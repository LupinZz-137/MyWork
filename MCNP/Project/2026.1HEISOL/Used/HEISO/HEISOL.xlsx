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codeName="ThisWorkbook"/>
  <xr:revisionPtr revIDLastSave="0" documentId="13_ncr:1_{3CAD21E0-00D1-4058-AB89-917A818C2A00}" xr6:coauthVersionLast="47" xr6:coauthVersionMax="47" xr10:uidLastSave="{00000000-0000-0000-0000-000000000000}"/>
  <bookViews>
    <workbookView xWindow="-135" yWindow="-135" windowWidth="29070" windowHeight="15870" activeTab="7" xr2:uid="{00000000-000D-0000-FFFF-FFFF00000000}"/>
  </bookViews>
  <sheets>
    <sheet name="Nuclides" sheetId="9" r:id="rId1"/>
    <sheet name="Sheet1" sheetId="17" r:id="rId2"/>
    <sheet name="Sheet2" sheetId="18" r:id="rId3"/>
    <sheet name="Sheet3" sheetId="19" r:id="rId4"/>
    <sheet name="aaa" sheetId="20" r:id="rId5"/>
    <sheet name="HEISOL" sheetId="21" r:id="rId6"/>
    <sheet name="Sheet5" sheetId="22" r:id="rId7"/>
    <sheet name="Sheet6" sheetId="23" r:id="rId8"/>
    <sheet name="Sheet7" sheetId="24" r:id="rId9"/>
  </sheets>
  <definedNames>
    <definedName name="_xlnm._FilterDatabase" localSheetId="4" hidden="1">aaa!$E$3:$E$817</definedName>
    <definedName name="_xlnm._FilterDatabase" localSheetId="1" hidden="1">Sheet1!$P$1:$Q$2207</definedName>
    <definedName name="_xlnm._FilterDatabase" localSheetId="6" hidden="1">Sheet5!$B$2:$E$850</definedName>
    <definedName name="_xlnm._FilterDatabase" localSheetId="7" hidden="1">Sheet6!$O$1:$T$850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2" i="23" l="1"/>
  <c r="G733" i="23"/>
  <c r="G734" i="23"/>
  <c r="G735" i="23"/>
  <c r="G736" i="23"/>
  <c r="G731" i="23"/>
  <c r="F732" i="23"/>
  <c r="F733" i="23"/>
  <c r="F734" i="23"/>
  <c r="F735" i="23"/>
  <c r="F736" i="23"/>
  <c r="F731" i="23"/>
  <c r="E732" i="23"/>
  <c r="E733" i="23"/>
  <c r="E734" i="23"/>
  <c r="E735" i="23"/>
  <c r="E736" i="23"/>
  <c r="E731" i="23"/>
  <c r="G4" i="23" l="1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3" i="23"/>
  <c r="H26" i="19"/>
  <c r="H25" i="19"/>
  <c r="S765" i="21"/>
  <c r="T765" i="21"/>
  <c r="H732" i="21"/>
  <c r="G732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I224" i="21"/>
  <c r="I225" i="21"/>
  <c r="I226" i="21"/>
  <c r="I227" i="21"/>
  <c r="I228" i="21"/>
  <c r="I229" i="21"/>
  <c r="I230" i="21"/>
  <c r="I231" i="21"/>
  <c r="I232" i="21"/>
  <c r="I233" i="21"/>
  <c r="I234" i="21"/>
  <c r="I235" i="21"/>
  <c r="I236" i="21"/>
  <c r="I237" i="21"/>
  <c r="I238" i="21"/>
  <c r="I239" i="21"/>
  <c r="I240" i="21"/>
  <c r="I241" i="21"/>
  <c r="I242" i="21"/>
  <c r="I243" i="21"/>
  <c r="I244" i="21"/>
  <c r="I245" i="21"/>
  <c r="I246" i="21"/>
  <c r="I247" i="21"/>
  <c r="I248" i="21"/>
  <c r="I249" i="21"/>
  <c r="I250" i="21"/>
  <c r="I251" i="21"/>
  <c r="I252" i="21"/>
  <c r="I253" i="21"/>
  <c r="I254" i="21"/>
  <c r="I255" i="21"/>
  <c r="I256" i="21"/>
  <c r="I257" i="21"/>
  <c r="I258" i="21"/>
  <c r="I259" i="21"/>
  <c r="I260" i="21"/>
  <c r="I261" i="21"/>
  <c r="I262" i="21"/>
  <c r="I263" i="21"/>
  <c r="I264" i="21"/>
  <c r="I265" i="21"/>
  <c r="I266" i="21"/>
  <c r="I267" i="21"/>
  <c r="I268" i="21"/>
  <c r="I269" i="21"/>
  <c r="I270" i="21"/>
  <c r="I271" i="21"/>
  <c r="I272" i="21"/>
  <c r="I273" i="21"/>
  <c r="I274" i="21"/>
  <c r="I275" i="21"/>
  <c r="I276" i="21"/>
  <c r="I277" i="21"/>
  <c r="I278" i="21"/>
  <c r="I279" i="21"/>
  <c r="I280" i="21"/>
  <c r="I281" i="21"/>
  <c r="I282" i="21"/>
  <c r="I283" i="21"/>
  <c r="I284" i="21"/>
  <c r="I285" i="21"/>
  <c r="I286" i="21"/>
  <c r="I287" i="21"/>
  <c r="I288" i="21"/>
  <c r="I289" i="21"/>
  <c r="I290" i="21"/>
  <c r="I291" i="21"/>
  <c r="I292" i="21"/>
  <c r="I293" i="21"/>
  <c r="I294" i="21"/>
  <c r="I295" i="21"/>
  <c r="I296" i="21"/>
  <c r="I297" i="21"/>
  <c r="I298" i="21"/>
  <c r="I299" i="21"/>
  <c r="I300" i="21"/>
  <c r="I301" i="21"/>
  <c r="I302" i="21"/>
  <c r="I303" i="21"/>
  <c r="I304" i="21"/>
  <c r="I305" i="21"/>
  <c r="I306" i="21"/>
  <c r="I307" i="21"/>
  <c r="I308" i="21"/>
  <c r="I309" i="21"/>
  <c r="I310" i="21"/>
  <c r="I311" i="21"/>
  <c r="I312" i="21"/>
  <c r="I313" i="21"/>
  <c r="I314" i="21"/>
  <c r="I315" i="21"/>
  <c r="I316" i="21"/>
  <c r="I317" i="21"/>
  <c r="I318" i="21"/>
  <c r="I319" i="21"/>
  <c r="I320" i="21"/>
  <c r="I321" i="21"/>
  <c r="I322" i="21"/>
  <c r="I323" i="21"/>
  <c r="I324" i="21"/>
  <c r="I325" i="21"/>
  <c r="I326" i="21"/>
  <c r="I327" i="21"/>
  <c r="I328" i="21"/>
  <c r="I329" i="21"/>
  <c r="I330" i="21"/>
  <c r="I331" i="21"/>
  <c r="I332" i="21"/>
  <c r="I333" i="21"/>
  <c r="I334" i="21"/>
  <c r="I335" i="21"/>
  <c r="I336" i="21"/>
  <c r="I337" i="21"/>
  <c r="I338" i="21"/>
  <c r="I339" i="21"/>
  <c r="I340" i="21"/>
  <c r="I341" i="21"/>
  <c r="I342" i="21"/>
  <c r="I343" i="21"/>
  <c r="I344" i="21"/>
  <c r="I345" i="21"/>
  <c r="I346" i="21"/>
  <c r="I347" i="21"/>
  <c r="I348" i="21"/>
  <c r="I349" i="21"/>
  <c r="I350" i="21"/>
  <c r="I351" i="21"/>
  <c r="I352" i="21"/>
  <c r="I353" i="21"/>
  <c r="I354" i="21"/>
  <c r="I355" i="21"/>
  <c r="I356" i="21"/>
  <c r="I357" i="21"/>
  <c r="I358" i="21"/>
  <c r="I359" i="21"/>
  <c r="I360" i="21"/>
  <c r="I361" i="21"/>
  <c r="I362" i="21"/>
  <c r="I363" i="21"/>
  <c r="I364" i="21"/>
  <c r="I365" i="21"/>
  <c r="I366" i="21"/>
  <c r="I367" i="21"/>
  <c r="I368" i="21"/>
  <c r="I369" i="21"/>
  <c r="I370" i="21"/>
  <c r="I371" i="21"/>
  <c r="I372" i="21"/>
  <c r="I373" i="21"/>
  <c r="I374" i="21"/>
  <c r="I375" i="21"/>
  <c r="I376" i="21"/>
  <c r="I377" i="21"/>
  <c r="I378" i="21"/>
  <c r="I379" i="21"/>
  <c r="I380" i="21"/>
  <c r="I381" i="21"/>
  <c r="I382" i="21"/>
  <c r="I383" i="21"/>
  <c r="I384" i="21"/>
  <c r="I385" i="21"/>
  <c r="I386" i="21"/>
  <c r="I387" i="21"/>
  <c r="I388" i="21"/>
  <c r="I389" i="21"/>
  <c r="I390" i="21"/>
  <c r="I391" i="21"/>
  <c r="I392" i="21"/>
  <c r="I393" i="21"/>
  <c r="I394" i="21"/>
  <c r="I395" i="21"/>
  <c r="I396" i="21"/>
  <c r="I397" i="21"/>
  <c r="I398" i="21"/>
  <c r="I399" i="21"/>
  <c r="I400" i="21"/>
  <c r="I401" i="21"/>
  <c r="I402" i="21"/>
  <c r="I403" i="21"/>
  <c r="I404" i="21"/>
  <c r="I405" i="21"/>
  <c r="I406" i="21"/>
  <c r="I407" i="21"/>
  <c r="I408" i="21"/>
  <c r="I409" i="21"/>
  <c r="I410" i="21"/>
  <c r="I411" i="21"/>
  <c r="I412" i="21"/>
  <c r="I413" i="21"/>
  <c r="I414" i="21"/>
  <c r="I415" i="21"/>
  <c r="I416" i="21"/>
  <c r="I417" i="21"/>
  <c r="I418" i="21"/>
  <c r="I419" i="21"/>
  <c r="I420" i="21"/>
  <c r="I421" i="21"/>
  <c r="I422" i="21"/>
  <c r="I423" i="21"/>
  <c r="I424" i="21"/>
  <c r="I425" i="21"/>
  <c r="I426" i="21"/>
  <c r="I427" i="21"/>
  <c r="I428" i="21"/>
  <c r="I429" i="21"/>
  <c r="I430" i="21"/>
  <c r="I431" i="21"/>
  <c r="I432" i="21"/>
  <c r="I433" i="21"/>
  <c r="I434" i="21"/>
  <c r="I435" i="21"/>
  <c r="I436" i="21"/>
  <c r="I437" i="21"/>
  <c r="I438" i="21"/>
  <c r="I439" i="21"/>
  <c r="I440" i="21"/>
  <c r="I441" i="21"/>
  <c r="I442" i="21"/>
  <c r="I443" i="21"/>
  <c r="I444" i="21"/>
  <c r="I445" i="21"/>
  <c r="I446" i="21"/>
  <c r="I447" i="21"/>
  <c r="I448" i="21"/>
  <c r="I449" i="21"/>
  <c r="I450" i="21"/>
  <c r="I451" i="21"/>
  <c r="I452" i="21"/>
  <c r="I453" i="21"/>
  <c r="I454" i="21"/>
  <c r="I455" i="21"/>
  <c r="I456" i="21"/>
  <c r="I457" i="21"/>
  <c r="I458" i="21"/>
  <c r="I459" i="21"/>
  <c r="I460" i="21"/>
  <c r="I461" i="21"/>
  <c r="I462" i="21"/>
  <c r="I463" i="21"/>
  <c r="I464" i="21"/>
  <c r="I465" i="21"/>
  <c r="I466" i="21"/>
  <c r="I467" i="21"/>
  <c r="I468" i="21"/>
  <c r="I469" i="21"/>
  <c r="I470" i="21"/>
  <c r="I471" i="21"/>
  <c r="I472" i="21"/>
  <c r="I473" i="21"/>
  <c r="I474" i="21"/>
  <c r="I475" i="21"/>
  <c r="I476" i="21"/>
  <c r="I477" i="21"/>
  <c r="I478" i="21"/>
  <c r="I479" i="21"/>
  <c r="I480" i="21"/>
  <c r="I481" i="21"/>
  <c r="I482" i="21"/>
  <c r="I483" i="21"/>
  <c r="I484" i="21"/>
  <c r="I485" i="21"/>
  <c r="I486" i="21"/>
  <c r="I487" i="21"/>
  <c r="I488" i="21"/>
  <c r="I489" i="21"/>
  <c r="I490" i="21"/>
  <c r="I491" i="21"/>
  <c r="I492" i="21"/>
  <c r="I493" i="21"/>
  <c r="I494" i="21"/>
  <c r="I495" i="21"/>
  <c r="I496" i="21"/>
  <c r="I497" i="21"/>
  <c r="I498" i="21"/>
  <c r="I499" i="21"/>
  <c r="I500" i="21"/>
  <c r="I501" i="21"/>
  <c r="I502" i="21"/>
  <c r="I503" i="21"/>
  <c r="I504" i="21"/>
  <c r="I505" i="21"/>
  <c r="I506" i="21"/>
  <c r="I507" i="21"/>
  <c r="I508" i="21"/>
  <c r="I509" i="21"/>
  <c r="I510" i="21"/>
  <c r="I511" i="21"/>
  <c r="I512" i="21"/>
  <c r="I513" i="21"/>
  <c r="I514" i="21"/>
  <c r="I515" i="21"/>
  <c r="I516" i="21"/>
  <c r="I517" i="21"/>
  <c r="I518" i="21"/>
  <c r="I519" i="21"/>
  <c r="I520" i="21"/>
  <c r="I521" i="21"/>
  <c r="I522" i="21"/>
  <c r="I523" i="21"/>
  <c r="I524" i="21"/>
  <c r="I525" i="21"/>
  <c r="I526" i="21"/>
  <c r="I527" i="21"/>
  <c r="I528" i="21"/>
  <c r="I529" i="21"/>
  <c r="I530" i="21"/>
  <c r="I531" i="21"/>
  <c r="I532" i="21"/>
  <c r="I533" i="21"/>
  <c r="I534" i="21"/>
  <c r="I535" i="21"/>
  <c r="I536" i="21"/>
  <c r="I537" i="21"/>
  <c r="I538" i="21"/>
  <c r="I539" i="21"/>
  <c r="I540" i="21"/>
  <c r="I541" i="21"/>
  <c r="I542" i="21"/>
  <c r="I543" i="21"/>
  <c r="I544" i="21"/>
  <c r="I545" i="21"/>
  <c r="I546" i="21"/>
  <c r="I547" i="21"/>
  <c r="I548" i="21"/>
  <c r="I549" i="21"/>
  <c r="I550" i="21"/>
  <c r="I551" i="21"/>
  <c r="I552" i="21"/>
  <c r="I553" i="21"/>
  <c r="I554" i="21"/>
  <c r="I555" i="21"/>
  <c r="I556" i="21"/>
  <c r="I557" i="21"/>
  <c r="I558" i="21"/>
  <c r="I559" i="21"/>
  <c r="I560" i="21"/>
  <c r="I561" i="21"/>
  <c r="I562" i="21"/>
  <c r="I563" i="21"/>
  <c r="I564" i="21"/>
  <c r="I565" i="21"/>
  <c r="I566" i="21"/>
  <c r="I567" i="21"/>
  <c r="I568" i="21"/>
  <c r="I569" i="21"/>
  <c r="I570" i="21"/>
  <c r="I571" i="21"/>
  <c r="I572" i="21"/>
  <c r="I573" i="21"/>
  <c r="I574" i="21"/>
  <c r="I575" i="21"/>
  <c r="I576" i="21"/>
  <c r="I577" i="21"/>
  <c r="I578" i="21"/>
  <c r="I579" i="21"/>
  <c r="I580" i="21"/>
  <c r="I581" i="21"/>
  <c r="I582" i="21"/>
  <c r="I583" i="21"/>
  <c r="I584" i="21"/>
  <c r="I585" i="21"/>
  <c r="I586" i="21"/>
  <c r="I587" i="21"/>
  <c r="I588" i="21"/>
  <c r="I589" i="21"/>
  <c r="I590" i="21"/>
  <c r="I591" i="21"/>
  <c r="I592" i="21"/>
  <c r="I593" i="21"/>
  <c r="I594" i="21"/>
  <c r="I595" i="21"/>
  <c r="I596" i="21"/>
  <c r="I597" i="21"/>
  <c r="I598" i="21"/>
  <c r="I599" i="21"/>
  <c r="I600" i="21"/>
  <c r="I601" i="21"/>
  <c r="I602" i="21"/>
  <c r="I603" i="21"/>
  <c r="I604" i="21"/>
  <c r="I605" i="21"/>
  <c r="I606" i="21"/>
  <c r="I607" i="21"/>
  <c r="I608" i="21"/>
  <c r="I609" i="21"/>
  <c r="I610" i="21"/>
  <c r="I611" i="21"/>
  <c r="I612" i="21"/>
  <c r="I613" i="21"/>
  <c r="I614" i="21"/>
  <c r="I615" i="21"/>
  <c r="I616" i="21"/>
  <c r="I617" i="21"/>
  <c r="I618" i="21"/>
  <c r="I619" i="21"/>
  <c r="I620" i="21"/>
  <c r="I621" i="21"/>
  <c r="I622" i="21"/>
  <c r="I623" i="21"/>
  <c r="I624" i="21"/>
  <c r="I625" i="21"/>
  <c r="I626" i="21"/>
  <c r="I627" i="21"/>
  <c r="I628" i="21"/>
  <c r="I629" i="21"/>
  <c r="I630" i="21"/>
  <c r="I631" i="21"/>
  <c r="I632" i="21"/>
  <c r="I633" i="21"/>
  <c r="I634" i="21"/>
  <c r="I635" i="21"/>
  <c r="I636" i="21"/>
  <c r="I637" i="21"/>
  <c r="I638" i="21"/>
  <c r="I639" i="21"/>
  <c r="I640" i="21"/>
  <c r="I641" i="21"/>
  <c r="I642" i="21"/>
  <c r="I643" i="21"/>
  <c r="I644" i="21"/>
  <c r="I645" i="21"/>
  <c r="I646" i="21"/>
  <c r="I647" i="21"/>
  <c r="I648" i="21"/>
  <c r="I649" i="21"/>
  <c r="I650" i="21"/>
  <c r="I651" i="21"/>
  <c r="I652" i="21"/>
  <c r="I653" i="21"/>
  <c r="I654" i="21"/>
  <c r="I655" i="21"/>
  <c r="I656" i="21"/>
  <c r="I657" i="21"/>
  <c r="I658" i="21"/>
  <c r="I659" i="21"/>
  <c r="I660" i="21"/>
  <c r="I661" i="21"/>
  <c r="I662" i="21"/>
  <c r="I663" i="21"/>
  <c r="I664" i="21"/>
  <c r="I665" i="21"/>
  <c r="I666" i="21"/>
  <c r="I667" i="21"/>
  <c r="I668" i="21"/>
  <c r="I669" i="21"/>
  <c r="I670" i="21"/>
  <c r="I671" i="21"/>
  <c r="I672" i="21"/>
  <c r="I673" i="21"/>
  <c r="I674" i="21"/>
  <c r="I675" i="21"/>
  <c r="I676" i="21"/>
  <c r="I677" i="21"/>
  <c r="I678" i="21"/>
  <c r="I679" i="21"/>
  <c r="I680" i="21"/>
  <c r="I681" i="21"/>
  <c r="I682" i="21"/>
  <c r="I683" i="21"/>
  <c r="I684" i="21"/>
  <c r="I685" i="21"/>
  <c r="I686" i="21"/>
  <c r="I687" i="21"/>
  <c r="I688" i="21"/>
  <c r="I689" i="21"/>
  <c r="I690" i="21"/>
  <c r="I691" i="21"/>
  <c r="I692" i="21"/>
  <c r="I693" i="21"/>
  <c r="I694" i="21"/>
  <c r="I695" i="21"/>
  <c r="I696" i="21"/>
  <c r="I697" i="21"/>
  <c r="I698" i="21"/>
  <c r="I699" i="21"/>
  <c r="I700" i="21"/>
  <c r="I701" i="21"/>
  <c r="I702" i="21"/>
  <c r="I703" i="21"/>
  <c r="I704" i="21"/>
  <c r="I705" i="21"/>
  <c r="I706" i="21"/>
  <c r="I707" i="21"/>
  <c r="I708" i="21"/>
  <c r="I709" i="21"/>
  <c r="I710" i="21"/>
  <c r="I711" i="21"/>
  <c r="I712" i="21"/>
  <c r="I713" i="21"/>
  <c r="I714" i="21"/>
  <c r="I715" i="21"/>
  <c r="I716" i="21"/>
  <c r="I717" i="21"/>
  <c r="I718" i="21"/>
  <c r="I719" i="21"/>
  <c r="I720" i="21"/>
  <c r="I721" i="21"/>
  <c r="I722" i="21"/>
  <c r="I723" i="21"/>
  <c r="I724" i="21"/>
  <c r="I725" i="21"/>
  <c r="I726" i="21"/>
  <c r="I727" i="21"/>
  <c r="I728" i="21"/>
  <c r="I729" i="21"/>
  <c r="I3" i="21"/>
  <c r="J4" i="24"/>
  <c r="J5" i="24"/>
  <c r="J6" i="24"/>
  <c r="J7" i="24"/>
  <c r="J8" i="24"/>
  <c r="J9" i="24"/>
  <c r="J10" i="24"/>
  <c r="J11" i="24"/>
  <c r="J12" i="24"/>
  <c r="J1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22" i="24"/>
  <c r="J123" i="24"/>
  <c r="J124" i="24"/>
  <c r="J125" i="24"/>
  <c r="J126" i="24"/>
  <c r="J127" i="24"/>
  <c r="J128" i="24"/>
  <c r="J129" i="24"/>
  <c r="J130" i="24"/>
  <c r="J131" i="24"/>
  <c r="J132" i="24"/>
  <c r="J133" i="24"/>
  <c r="J134" i="24"/>
  <c r="J135" i="24"/>
  <c r="J136" i="24"/>
  <c r="J137" i="24"/>
  <c r="J138" i="24"/>
  <c r="J139" i="24"/>
  <c r="J140" i="24"/>
  <c r="J141" i="24"/>
  <c r="J142" i="24"/>
  <c r="J143" i="24"/>
  <c r="J144" i="24"/>
  <c r="J145" i="24"/>
  <c r="J146" i="24"/>
  <c r="J147" i="24"/>
  <c r="J148" i="24"/>
  <c r="J149" i="24"/>
  <c r="J150" i="24"/>
  <c r="J151" i="24"/>
  <c r="J152" i="24"/>
  <c r="J153" i="24"/>
  <c r="J154" i="24"/>
  <c r="J155" i="24"/>
  <c r="J156" i="24"/>
  <c r="J157" i="24"/>
  <c r="J158" i="24"/>
  <c r="J159" i="24"/>
  <c r="J160" i="24"/>
  <c r="J161" i="24"/>
  <c r="J162" i="24"/>
  <c r="J163" i="24"/>
  <c r="J164" i="24"/>
  <c r="J165" i="24"/>
  <c r="J166" i="24"/>
  <c r="J167" i="24"/>
  <c r="J168" i="24"/>
  <c r="J169" i="24"/>
  <c r="J170" i="24"/>
  <c r="J171" i="24"/>
  <c r="J172" i="24"/>
  <c r="J173" i="24"/>
  <c r="J174" i="24"/>
  <c r="J175" i="24"/>
  <c r="J176" i="24"/>
  <c r="J177" i="24"/>
  <c r="J178" i="24"/>
  <c r="J179" i="24"/>
  <c r="J180" i="24"/>
  <c r="J181" i="24"/>
  <c r="J182" i="24"/>
  <c r="J183" i="24"/>
  <c r="J184" i="24"/>
  <c r="J185" i="24"/>
  <c r="J186" i="24"/>
  <c r="J187" i="24"/>
  <c r="J188" i="24"/>
  <c r="J189" i="24"/>
  <c r="J190" i="24"/>
  <c r="J191" i="24"/>
  <c r="J192" i="24"/>
  <c r="J193" i="24"/>
  <c r="J194" i="24"/>
  <c r="J195" i="24"/>
  <c r="J196" i="24"/>
  <c r="J197" i="24"/>
  <c r="J198" i="24"/>
  <c r="J199" i="24"/>
  <c r="J200" i="24"/>
  <c r="J201" i="24"/>
  <c r="J202" i="24"/>
  <c r="J203" i="24"/>
  <c r="J204" i="24"/>
  <c r="J205" i="24"/>
  <c r="J206" i="24"/>
  <c r="J207" i="24"/>
  <c r="J208" i="24"/>
  <c r="J209" i="24"/>
  <c r="J210" i="24"/>
  <c r="J211" i="24"/>
  <c r="J212" i="24"/>
  <c r="J213" i="24"/>
  <c r="J214" i="24"/>
  <c r="J215" i="24"/>
  <c r="J216" i="24"/>
  <c r="J217" i="24"/>
  <c r="J218" i="24"/>
  <c r="J219" i="24"/>
  <c r="J220" i="24"/>
  <c r="J221" i="24"/>
  <c r="J222" i="24"/>
  <c r="J223" i="24"/>
  <c r="J224" i="24"/>
  <c r="J225" i="24"/>
  <c r="J226" i="24"/>
  <c r="J227" i="24"/>
  <c r="J228" i="24"/>
  <c r="J229" i="24"/>
  <c r="J230" i="24"/>
  <c r="J231" i="24"/>
  <c r="J232" i="24"/>
  <c r="J233" i="24"/>
  <c r="J234" i="24"/>
  <c r="J235" i="24"/>
  <c r="J236" i="24"/>
  <c r="J237" i="24"/>
  <c r="J238" i="24"/>
  <c r="J239" i="24"/>
  <c r="J240" i="24"/>
  <c r="J241" i="24"/>
  <c r="J242" i="24"/>
  <c r="J243" i="24"/>
  <c r="J244" i="24"/>
  <c r="J245" i="24"/>
  <c r="J246" i="24"/>
  <c r="J247" i="24"/>
  <c r="J248" i="24"/>
  <c r="J249" i="24"/>
  <c r="J250" i="24"/>
  <c r="J251" i="24"/>
  <c r="J252" i="24"/>
  <c r="J253" i="24"/>
  <c r="J254" i="24"/>
  <c r="J255" i="24"/>
  <c r="J256" i="24"/>
  <c r="J257" i="24"/>
  <c r="J258" i="24"/>
  <c r="J259" i="24"/>
  <c r="J260" i="24"/>
  <c r="J261" i="24"/>
  <c r="J262" i="24"/>
  <c r="J263" i="24"/>
  <c r="J264" i="24"/>
  <c r="J265" i="24"/>
  <c r="J266" i="24"/>
  <c r="J267" i="24"/>
  <c r="J268" i="24"/>
  <c r="J269" i="24"/>
  <c r="J270" i="24"/>
  <c r="J271" i="24"/>
  <c r="J272" i="24"/>
  <c r="J273" i="24"/>
  <c r="J274" i="24"/>
  <c r="J275" i="24"/>
  <c r="J276" i="24"/>
  <c r="J277" i="24"/>
  <c r="J278" i="24"/>
  <c r="J279" i="24"/>
  <c r="J280" i="24"/>
  <c r="J281" i="24"/>
  <c r="J282" i="24"/>
  <c r="J283" i="24"/>
  <c r="J284" i="24"/>
  <c r="J285" i="24"/>
  <c r="J286" i="24"/>
  <c r="J287" i="24"/>
  <c r="J288" i="24"/>
  <c r="J289" i="24"/>
  <c r="J290" i="24"/>
  <c r="J291" i="24"/>
  <c r="J292" i="24"/>
  <c r="J293" i="24"/>
  <c r="J294" i="24"/>
  <c r="J295" i="24"/>
  <c r="J296" i="24"/>
  <c r="J297" i="24"/>
  <c r="J298" i="24"/>
  <c r="J299" i="24"/>
  <c r="J300" i="24"/>
  <c r="J301" i="24"/>
  <c r="J302" i="24"/>
  <c r="J303" i="24"/>
  <c r="J304" i="24"/>
  <c r="J305" i="24"/>
  <c r="J306" i="24"/>
  <c r="J307" i="24"/>
  <c r="J308" i="24"/>
  <c r="J309" i="24"/>
  <c r="J310" i="24"/>
  <c r="J311" i="24"/>
  <c r="J312" i="24"/>
  <c r="J313" i="24"/>
  <c r="J314" i="24"/>
  <c r="J315" i="24"/>
  <c r="J316" i="24"/>
  <c r="J317" i="24"/>
  <c r="J318" i="24"/>
  <c r="J319" i="24"/>
  <c r="J320" i="24"/>
  <c r="J321" i="24"/>
  <c r="J322" i="24"/>
  <c r="J323" i="24"/>
  <c r="J324" i="24"/>
  <c r="J325" i="24"/>
  <c r="J326" i="24"/>
  <c r="J327" i="24"/>
  <c r="J328" i="24"/>
  <c r="J329" i="24"/>
  <c r="J330" i="24"/>
  <c r="J331" i="24"/>
  <c r="J332" i="24"/>
  <c r="J333" i="24"/>
  <c r="J334" i="24"/>
  <c r="J335" i="24"/>
  <c r="J336" i="24"/>
  <c r="J337" i="24"/>
  <c r="J338" i="24"/>
  <c r="J339" i="24"/>
  <c r="J340" i="24"/>
  <c r="J341" i="24"/>
  <c r="J342" i="24"/>
  <c r="J343" i="24"/>
  <c r="J344" i="24"/>
  <c r="J345" i="24"/>
  <c r="J346" i="24"/>
  <c r="J347" i="24"/>
  <c r="J348" i="24"/>
  <c r="J349" i="24"/>
  <c r="J350" i="24"/>
  <c r="J351" i="24"/>
  <c r="J352" i="24"/>
  <c r="J353" i="24"/>
  <c r="J354" i="24"/>
  <c r="J355" i="24"/>
  <c r="J356" i="24"/>
  <c r="J357" i="24"/>
  <c r="J358" i="24"/>
  <c r="J359" i="24"/>
  <c r="J360" i="24"/>
  <c r="J361" i="24"/>
  <c r="J362" i="24"/>
  <c r="J363" i="24"/>
  <c r="J364" i="24"/>
  <c r="J365" i="24"/>
  <c r="J366" i="24"/>
  <c r="J367" i="24"/>
  <c r="J368" i="24"/>
  <c r="J369" i="24"/>
  <c r="J370" i="24"/>
  <c r="J371" i="24"/>
  <c r="J372" i="24"/>
  <c r="J373" i="24"/>
  <c r="J374" i="24"/>
  <c r="J375" i="24"/>
  <c r="J376" i="24"/>
  <c r="J377" i="24"/>
  <c r="J378" i="24"/>
  <c r="J379" i="24"/>
  <c r="J380" i="24"/>
  <c r="J381" i="24"/>
  <c r="J382" i="24"/>
  <c r="J383" i="24"/>
  <c r="J384" i="24"/>
  <c r="J385" i="24"/>
  <c r="J386" i="24"/>
  <c r="J387" i="24"/>
  <c r="J388" i="24"/>
  <c r="J389" i="24"/>
  <c r="J390" i="24"/>
  <c r="J391" i="24"/>
  <c r="J392" i="24"/>
  <c r="J393" i="24"/>
  <c r="J394" i="24"/>
  <c r="J395" i="24"/>
  <c r="J396" i="24"/>
  <c r="J397" i="24"/>
  <c r="J398" i="24"/>
  <c r="J399" i="24"/>
  <c r="J400" i="24"/>
  <c r="J401" i="24"/>
  <c r="J402" i="24"/>
  <c r="J403" i="24"/>
  <c r="J404" i="24"/>
  <c r="J405" i="24"/>
  <c r="J406" i="24"/>
  <c r="J407" i="24"/>
  <c r="J408" i="24"/>
  <c r="J409" i="24"/>
  <c r="J410" i="24"/>
  <c r="J411" i="24"/>
  <c r="J412" i="24"/>
  <c r="J413" i="24"/>
  <c r="J414" i="24"/>
  <c r="J415" i="24"/>
  <c r="J416" i="24"/>
  <c r="J417" i="24"/>
  <c r="J418" i="24"/>
  <c r="J419" i="24"/>
  <c r="J420" i="24"/>
  <c r="J421" i="24"/>
  <c r="J422" i="24"/>
  <c r="J423" i="24"/>
  <c r="J424" i="24"/>
  <c r="J425" i="24"/>
  <c r="J426" i="24"/>
  <c r="J427" i="24"/>
  <c r="J428" i="24"/>
  <c r="J429" i="24"/>
  <c r="J430" i="24"/>
  <c r="J431" i="24"/>
  <c r="J432" i="24"/>
  <c r="J433" i="24"/>
  <c r="J434" i="24"/>
  <c r="J435" i="24"/>
  <c r="J436" i="24"/>
  <c r="J437" i="24"/>
  <c r="J438" i="24"/>
  <c r="J439" i="24"/>
  <c r="J440" i="24"/>
  <c r="J441" i="24"/>
  <c r="J442" i="24"/>
  <c r="J443" i="24"/>
  <c r="J444" i="24"/>
  <c r="J445" i="24"/>
  <c r="J446" i="24"/>
  <c r="J447" i="24"/>
  <c r="J448" i="24"/>
  <c r="J449" i="24"/>
  <c r="J450" i="24"/>
  <c r="J451" i="24"/>
  <c r="J452" i="24"/>
  <c r="J453" i="24"/>
  <c r="J454" i="24"/>
  <c r="J455" i="24"/>
  <c r="J456" i="24"/>
  <c r="J457" i="24"/>
  <c r="J458" i="24"/>
  <c r="J459" i="24"/>
  <c r="J460" i="24"/>
  <c r="J461" i="24"/>
  <c r="J462" i="24"/>
  <c r="J463" i="24"/>
  <c r="J464" i="24"/>
  <c r="J465" i="24"/>
  <c r="J466" i="24"/>
  <c r="J467" i="24"/>
  <c r="J468" i="24"/>
  <c r="J469" i="24"/>
  <c r="J470" i="24"/>
  <c r="J471" i="24"/>
  <c r="J472" i="24"/>
  <c r="J473" i="24"/>
  <c r="J474" i="24"/>
  <c r="J475" i="24"/>
  <c r="J476" i="24"/>
  <c r="J477" i="24"/>
  <c r="J478" i="24"/>
  <c r="J479" i="24"/>
  <c r="J480" i="24"/>
  <c r="J481" i="24"/>
  <c r="J482" i="24"/>
  <c r="J483" i="24"/>
  <c r="J484" i="24"/>
  <c r="J485" i="24"/>
  <c r="J486" i="24"/>
  <c r="J487" i="24"/>
  <c r="J488" i="24"/>
  <c r="J489" i="24"/>
  <c r="J490" i="24"/>
  <c r="J491" i="24"/>
  <c r="J492" i="24"/>
  <c r="J493" i="24"/>
  <c r="J494" i="24"/>
  <c r="J495" i="24"/>
  <c r="J496" i="24"/>
  <c r="J497" i="24"/>
  <c r="J498" i="24"/>
  <c r="J499" i="24"/>
  <c r="J500" i="24"/>
  <c r="J501" i="24"/>
  <c r="J502" i="24"/>
  <c r="J503" i="24"/>
  <c r="J504" i="24"/>
  <c r="J505" i="24"/>
  <c r="J506" i="24"/>
  <c r="J507" i="24"/>
  <c r="J508" i="24"/>
  <c r="J509" i="24"/>
  <c r="J510" i="24"/>
  <c r="J511" i="24"/>
  <c r="J512" i="24"/>
  <c r="J513" i="24"/>
  <c r="J514" i="24"/>
  <c r="J515" i="24"/>
  <c r="J516" i="24"/>
  <c r="J517" i="24"/>
  <c r="J518" i="24"/>
  <c r="J519" i="24"/>
  <c r="J520" i="24"/>
  <c r="J521" i="24"/>
  <c r="J522" i="24"/>
  <c r="J523" i="24"/>
  <c r="J524" i="24"/>
  <c r="J525" i="24"/>
  <c r="J526" i="24"/>
  <c r="J527" i="24"/>
  <c r="J528" i="24"/>
  <c r="J529" i="24"/>
  <c r="J530" i="24"/>
  <c r="J531" i="24"/>
  <c r="J532" i="24"/>
  <c r="J533" i="24"/>
  <c r="J534" i="24"/>
  <c r="J535" i="24"/>
  <c r="J536" i="24"/>
  <c r="J537" i="24"/>
  <c r="J538" i="24"/>
  <c r="J539" i="24"/>
  <c r="J540" i="24"/>
  <c r="J541" i="24"/>
  <c r="J542" i="24"/>
  <c r="J543" i="24"/>
  <c r="J544" i="24"/>
  <c r="J545" i="24"/>
  <c r="J546" i="24"/>
  <c r="J547" i="24"/>
  <c r="J548" i="24"/>
  <c r="J549" i="24"/>
  <c r="J550" i="24"/>
  <c r="J551" i="24"/>
  <c r="J552" i="24"/>
  <c r="J553" i="24"/>
  <c r="J554" i="24"/>
  <c r="J555" i="24"/>
  <c r="J556" i="24"/>
  <c r="J557" i="24"/>
  <c r="J558" i="24"/>
  <c r="J559" i="24"/>
  <c r="J560" i="24"/>
  <c r="J561" i="24"/>
  <c r="J562" i="24"/>
  <c r="J563" i="24"/>
  <c r="J564" i="24"/>
  <c r="J565" i="24"/>
  <c r="J566" i="24"/>
  <c r="J567" i="24"/>
  <c r="J568" i="24"/>
  <c r="J569" i="24"/>
  <c r="J570" i="24"/>
  <c r="J571" i="24"/>
  <c r="J572" i="24"/>
  <c r="J573" i="24"/>
  <c r="J574" i="24"/>
  <c r="J575" i="24"/>
  <c r="J576" i="24"/>
  <c r="J577" i="24"/>
  <c r="J578" i="24"/>
  <c r="J579" i="24"/>
  <c r="J580" i="24"/>
  <c r="J581" i="24"/>
  <c r="J582" i="24"/>
  <c r="J583" i="24"/>
  <c r="J584" i="24"/>
  <c r="J585" i="24"/>
  <c r="J586" i="24"/>
  <c r="J587" i="24"/>
  <c r="J588" i="24"/>
  <c r="J589" i="24"/>
  <c r="J590" i="24"/>
  <c r="J591" i="24"/>
  <c r="J592" i="24"/>
  <c r="J593" i="24"/>
  <c r="J594" i="24"/>
  <c r="J595" i="24"/>
  <c r="J596" i="24"/>
  <c r="J597" i="24"/>
  <c r="J598" i="24"/>
  <c r="J599" i="24"/>
  <c r="J600" i="24"/>
  <c r="J601" i="24"/>
  <c r="J602" i="24"/>
  <c r="J603" i="24"/>
  <c r="J604" i="24"/>
  <c r="J605" i="24"/>
  <c r="J606" i="24"/>
  <c r="J607" i="24"/>
  <c r="J608" i="24"/>
  <c r="J609" i="24"/>
  <c r="J610" i="24"/>
  <c r="J611" i="24"/>
  <c r="J612" i="24"/>
  <c r="J613" i="24"/>
  <c r="J614" i="24"/>
  <c r="J615" i="24"/>
  <c r="J616" i="24"/>
  <c r="J617" i="24"/>
  <c r="J618" i="24"/>
  <c r="J619" i="24"/>
  <c r="J620" i="24"/>
  <c r="J621" i="24"/>
  <c r="J622" i="24"/>
  <c r="J623" i="24"/>
  <c r="J624" i="24"/>
  <c r="J625" i="24"/>
  <c r="J626" i="24"/>
  <c r="J627" i="24"/>
  <c r="J628" i="24"/>
  <c r="J629" i="24"/>
  <c r="J630" i="24"/>
  <c r="J631" i="24"/>
  <c r="J632" i="24"/>
  <c r="J633" i="24"/>
  <c r="J634" i="24"/>
  <c r="J635" i="24"/>
  <c r="J636" i="24"/>
  <c r="J637" i="24"/>
  <c r="J638" i="24"/>
  <c r="J639" i="24"/>
  <c r="J640" i="24"/>
  <c r="J641" i="24"/>
  <c r="J642" i="24"/>
  <c r="J643" i="24"/>
  <c r="J644" i="24"/>
  <c r="J645" i="24"/>
  <c r="J646" i="24"/>
  <c r="J647" i="24"/>
  <c r="J648" i="24"/>
  <c r="J649" i="24"/>
  <c r="J650" i="24"/>
  <c r="J651" i="24"/>
  <c r="J652" i="24"/>
  <c r="J653" i="24"/>
  <c r="J654" i="24"/>
  <c r="J655" i="24"/>
  <c r="J656" i="24"/>
  <c r="J657" i="24"/>
  <c r="J658" i="24"/>
  <c r="J659" i="24"/>
  <c r="J660" i="24"/>
  <c r="J661" i="24"/>
  <c r="J662" i="24"/>
  <c r="J663" i="24"/>
  <c r="J664" i="24"/>
  <c r="J665" i="24"/>
  <c r="J666" i="24"/>
  <c r="J667" i="24"/>
  <c r="J668" i="24"/>
  <c r="J669" i="24"/>
  <c r="J670" i="24"/>
  <c r="J671" i="24"/>
  <c r="J672" i="24"/>
  <c r="J673" i="24"/>
  <c r="J674" i="24"/>
  <c r="J675" i="24"/>
  <c r="J676" i="24"/>
  <c r="J677" i="24"/>
  <c r="J678" i="24"/>
  <c r="J679" i="24"/>
  <c r="J680" i="24"/>
  <c r="J681" i="24"/>
  <c r="J682" i="24"/>
  <c r="J683" i="24"/>
  <c r="J684" i="24"/>
  <c r="J685" i="24"/>
  <c r="J686" i="24"/>
  <c r="J687" i="24"/>
  <c r="J688" i="24"/>
  <c r="J689" i="24"/>
  <c r="J690" i="24"/>
  <c r="J691" i="24"/>
  <c r="J692" i="24"/>
  <c r="J693" i="24"/>
  <c r="J694" i="24"/>
  <c r="J695" i="24"/>
  <c r="J696" i="24"/>
  <c r="J697" i="24"/>
  <c r="J698" i="24"/>
  <c r="J699" i="24"/>
  <c r="J700" i="24"/>
  <c r="J701" i="24"/>
  <c r="J702" i="24"/>
  <c r="J703" i="24"/>
  <c r="J704" i="24"/>
  <c r="J705" i="24"/>
  <c r="J706" i="24"/>
  <c r="J707" i="24"/>
  <c r="J708" i="24"/>
  <c r="J709" i="24"/>
  <c r="J710" i="24"/>
  <c r="J711" i="24"/>
  <c r="J712" i="24"/>
  <c r="J713" i="24"/>
  <c r="J714" i="24"/>
  <c r="J715" i="24"/>
  <c r="J716" i="24"/>
  <c r="J717" i="24"/>
  <c r="J718" i="24"/>
  <c r="J719" i="24"/>
  <c r="J720" i="24"/>
  <c r="J721" i="24"/>
  <c r="J722" i="24"/>
  <c r="J723" i="24"/>
  <c r="J724" i="24"/>
  <c r="J725" i="24"/>
  <c r="J726" i="24"/>
  <c r="J727" i="24"/>
  <c r="J728" i="24"/>
  <c r="J729" i="24"/>
  <c r="J730" i="24"/>
  <c r="J731" i="24"/>
  <c r="J732" i="24"/>
  <c r="J733" i="24"/>
  <c r="J734" i="24"/>
  <c r="J735" i="24"/>
  <c r="J736" i="24"/>
  <c r="J737" i="24"/>
  <c r="J738" i="24"/>
  <c r="J739" i="24"/>
  <c r="J740" i="24"/>
  <c r="J741" i="24"/>
  <c r="J742" i="24"/>
  <c r="J743" i="24"/>
  <c r="J744" i="24"/>
  <c r="J745" i="24"/>
  <c r="J746" i="24"/>
  <c r="J747" i="24"/>
  <c r="J748" i="24"/>
  <c r="J749" i="24"/>
  <c r="J750" i="24"/>
  <c r="J751" i="24"/>
  <c r="J752" i="24"/>
  <c r="J753" i="24"/>
  <c r="J754" i="24"/>
  <c r="J755" i="24"/>
  <c r="J756" i="24"/>
  <c r="J757" i="24"/>
  <c r="J758" i="24"/>
  <c r="J759" i="24"/>
  <c r="J760" i="24"/>
  <c r="J761" i="24"/>
  <c r="J762" i="24"/>
  <c r="J763" i="24"/>
  <c r="J3" i="24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22" i="24"/>
  <c r="I123" i="24"/>
  <c r="I124" i="24"/>
  <c r="I125" i="24"/>
  <c r="I126" i="24"/>
  <c r="I127" i="24"/>
  <c r="I128" i="24"/>
  <c r="I129" i="24"/>
  <c r="I130" i="24"/>
  <c r="I131" i="24"/>
  <c r="I132" i="24"/>
  <c r="I133" i="24"/>
  <c r="I134" i="24"/>
  <c r="I135" i="24"/>
  <c r="I136" i="24"/>
  <c r="I137" i="24"/>
  <c r="I138" i="24"/>
  <c r="I139" i="24"/>
  <c r="I140" i="24"/>
  <c r="I141" i="24"/>
  <c r="I142" i="24"/>
  <c r="I143" i="24"/>
  <c r="I144" i="24"/>
  <c r="I145" i="24"/>
  <c r="I146" i="24"/>
  <c r="I147" i="24"/>
  <c r="I148" i="24"/>
  <c r="I149" i="24"/>
  <c r="I150" i="24"/>
  <c r="I151" i="24"/>
  <c r="I152" i="24"/>
  <c r="I153" i="24"/>
  <c r="I154" i="24"/>
  <c r="I155" i="24"/>
  <c r="I156" i="24"/>
  <c r="I157" i="24"/>
  <c r="I158" i="24"/>
  <c r="I159" i="24"/>
  <c r="I160" i="24"/>
  <c r="I161" i="24"/>
  <c r="I162" i="24"/>
  <c r="I163" i="24"/>
  <c r="I164" i="24"/>
  <c r="I165" i="24"/>
  <c r="I166" i="24"/>
  <c r="I167" i="24"/>
  <c r="I168" i="24"/>
  <c r="I169" i="24"/>
  <c r="I170" i="24"/>
  <c r="I171" i="24"/>
  <c r="I172" i="24"/>
  <c r="I173" i="24"/>
  <c r="I174" i="24"/>
  <c r="I175" i="24"/>
  <c r="I176" i="24"/>
  <c r="I177" i="24"/>
  <c r="I178" i="24"/>
  <c r="I179" i="24"/>
  <c r="I180" i="24"/>
  <c r="I181" i="24"/>
  <c r="I182" i="24"/>
  <c r="I183" i="24"/>
  <c r="I184" i="24"/>
  <c r="I185" i="24"/>
  <c r="I186" i="24"/>
  <c r="I187" i="24"/>
  <c r="I188" i="24"/>
  <c r="I189" i="24"/>
  <c r="I190" i="24"/>
  <c r="I191" i="24"/>
  <c r="I192" i="24"/>
  <c r="I193" i="24"/>
  <c r="I194" i="24"/>
  <c r="I195" i="24"/>
  <c r="I196" i="24"/>
  <c r="I197" i="24"/>
  <c r="I198" i="24"/>
  <c r="I199" i="24"/>
  <c r="I200" i="24"/>
  <c r="I201" i="24"/>
  <c r="I202" i="24"/>
  <c r="I203" i="24"/>
  <c r="I204" i="24"/>
  <c r="I205" i="24"/>
  <c r="I206" i="24"/>
  <c r="I207" i="24"/>
  <c r="I208" i="24"/>
  <c r="I209" i="24"/>
  <c r="I210" i="24"/>
  <c r="I211" i="24"/>
  <c r="I212" i="24"/>
  <c r="I213" i="24"/>
  <c r="I214" i="24"/>
  <c r="I215" i="24"/>
  <c r="I216" i="24"/>
  <c r="I217" i="24"/>
  <c r="I218" i="24"/>
  <c r="I219" i="24"/>
  <c r="I220" i="24"/>
  <c r="I221" i="24"/>
  <c r="I222" i="24"/>
  <c r="I223" i="24"/>
  <c r="I224" i="24"/>
  <c r="I225" i="24"/>
  <c r="I226" i="24"/>
  <c r="I227" i="24"/>
  <c r="I228" i="24"/>
  <c r="I229" i="24"/>
  <c r="I230" i="24"/>
  <c r="I231" i="24"/>
  <c r="I232" i="24"/>
  <c r="I233" i="24"/>
  <c r="I234" i="24"/>
  <c r="I235" i="24"/>
  <c r="I236" i="24"/>
  <c r="I237" i="24"/>
  <c r="I238" i="24"/>
  <c r="I239" i="24"/>
  <c r="I240" i="24"/>
  <c r="I241" i="24"/>
  <c r="I242" i="24"/>
  <c r="I243" i="24"/>
  <c r="I244" i="24"/>
  <c r="I245" i="24"/>
  <c r="I246" i="24"/>
  <c r="I247" i="24"/>
  <c r="I248" i="24"/>
  <c r="I249" i="24"/>
  <c r="I250" i="24"/>
  <c r="I251" i="24"/>
  <c r="I252" i="24"/>
  <c r="I253" i="24"/>
  <c r="I254" i="24"/>
  <c r="I255" i="24"/>
  <c r="I256" i="24"/>
  <c r="I257" i="24"/>
  <c r="I258" i="24"/>
  <c r="I259" i="24"/>
  <c r="I260" i="24"/>
  <c r="I261" i="24"/>
  <c r="I262" i="24"/>
  <c r="I263" i="24"/>
  <c r="I264" i="24"/>
  <c r="I265" i="24"/>
  <c r="I266" i="24"/>
  <c r="I267" i="24"/>
  <c r="I268" i="24"/>
  <c r="I269" i="24"/>
  <c r="I270" i="24"/>
  <c r="I271" i="24"/>
  <c r="I272" i="24"/>
  <c r="I273" i="24"/>
  <c r="I274" i="24"/>
  <c r="I275" i="24"/>
  <c r="I276" i="24"/>
  <c r="I277" i="24"/>
  <c r="I278" i="24"/>
  <c r="I279" i="24"/>
  <c r="I280" i="24"/>
  <c r="I281" i="24"/>
  <c r="I282" i="24"/>
  <c r="I283" i="24"/>
  <c r="I284" i="24"/>
  <c r="I285" i="24"/>
  <c r="I286" i="24"/>
  <c r="I287" i="24"/>
  <c r="I288" i="24"/>
  <c r="I289" i="24"/>
  <c r="I290" i="24"/>
  <c r="I291" i="24"/>
  <c r="I292" i="24"/>
  <c r="I293" i="24"/>
  <c r="I294" i="24"/>
  <c r="I295" i="24"/>
  <c r="I296" i="24"/>
  <c r="I297" i="24"/>
  <c r="I298" i="24"/>
  <c r="I299" i="24"/>
  <c r="I300" i="24"/>
  <c r="I301" i="24"/>
  <c r="I302" i="24"/>
  <c r="I303" i="24"/>
  <c r="I304" i="24"/>
  <c r="I305" i="24"/>
  <c r="I306" i="24"/>
  <c r="I307" i="24"/>
  <c r="I308" i="24"/>
  <c r="I309" i="24"/>
  <c r="I310" i="24"/>
  <c r="I311" i="24"/>
  <c r="I312" i="24"/>
  <c r="I313" i="24"/>
  <c r="I314" i="24"/>
  <c r="I315" i="24"/>
  <c r="I316" i="24"/>
  <c r="I317" i="24"/>
  <c r="I318" i="24"/>
  <c r="I319" i="24"/>
  <c r="I320" i="24"/>
  <c r="I321" i="24"/>
  <c r="I322" i="24"/>
  <c r="I323" i="24"/>
  <c r="I324" i="24"/>
  <c r="I325" i="24"/>
  <c r="I326" i="24"/>
  <c r="I327" i="24"/>
  <c r="I328" i="24"/>
  <c r="I329" i="24"/>
  <c r="I330" i="24"/>
  <c r="I331" i="24"/>
  <c r="I332" i="24"/>
  <c r="I333" i="24"/>
  <c r="I334" i="24"/>
  <c r="I335" i="24"/>
  <c r="I336" i="24"/>
  <c r="I337" i="24"/>
  <c r="I338" i="24"/>
  <c r="I339" i="24"/>
  <c r="I340" i="24"/>
  <c r="I341" i="24"/>
  <c r="I342" i="24"/>
  <c r="I343" i="24"/>
  <c r="I344" i="24"/>
  <c r="I345" i="24"/>
  <c r="I346" i="24"/>
  <c r="I347" i="24"/>
  <c r="I348" i="24"/>
  <c r="I349" i="24"/>
  <c r="I350" i="24"/>
  <c r="I351" i="24"/>
  <c r="I352" i="24"/>
  <c r="I353" i="24"/>
  <c r="I354" i="24"/>
  <c r="I355" i="24"/>
  <c r="I356" i="24"/>
  <c r="I357" i="24"/>
  <c r="I358" i="24"/>
  <c r="I359" i="24"/>
  <c r="I360" i="24"/>
  <c r="I361" i="24"/>
  <c r="I362" i="24"/>
  <c r="I363" i="24"/>
  <c r="I364" i="24"/>
  <c r="I365" i="24"/>
  <c r="I366" i="24"/>
  <c r="I367" i="24"/>
  <c r="I368" i="24"/>
  <c r="I369" i="24"/>
  <c r="I370" i="24"/>
  <c r="I371" i="24"/>
  <c r="I372" i="24"/>
  <c r="I373" i="24"/>
  <c r="I374" i="24"/>
  <c r="I375" i="24"/>
  <c r="I376" i="24"/>
  <c r="I377" i="24"/>
  <c r="I378" i="24"/>
  <c r="I379" i="24"/>
  <c r="I380" i="24"/>
  <c r="I381" i="24"/>
  <c r="I382" i="24"/>
  <c r="I383" i="24"/>
  <c r="I384" i="24"/>
  <c r="I385" i="24"/>
  <c r="I386" i="24"/>
  <c r="I387" i="24"/>
  <c r="I388" i="24"/>
  <c r="I389" i="24"/>
  <c r="I390" i="24"/>
  <c r="I391" i="24"/>
  <c r="I392" i="24"/>
  <c r="I393" i="24"/>
  <c r="I394" i="24"/>
  <c r="I395" i="24"/>
  <c r="I396" i="24"/>
  <c r="I397" i="24"/>
  <c r="I398" i="24"/>
  <c r="I399" i="24"/>
  <c r="I400" i="24"/>
  <c r="I401" i="24"/>
  <c r="I402" i="24"/>
  <c r="I403" i="24"/>
  <c r="I404" i="24"/>
  <c r="I405" i="24"/>
  <c r="I406" i="24"/>
  <c r="I407" i="24"/>
  <c r="I408" i="24"/>
  <c r="I409" i="24"/>
  <c r="I410" i="24"/>
  <c r="I411" i="24"/>
  <c r="I412" i="24"/>
  <c r="I413" i="24"/>
  <c r="I414" i="24"/>
  <c r="I415" i="24"/>
  <c r="I416" i="24"/>
  <c r="I417" i="24"/>
  <c r="I418" i="24"/>
  <c r="I419" i="24"/>
  <c r="I420" i="24"/>
  <c r="I421" i="24"/>
  <c r="I422" i="24"/>
  <c r="I423" i="24"/>
  <c r="I424" i="24"/>
  <c r="I425" i="24"/>
  <c r="I426" i="24"/>
  <c r="I427" i="24"/>
  <c r="I428" i="24"/>
  <c r="I429" i="24"/>
  <c r="I430" i="24"/>
  <c r="I431" i="24"/>
  <c r="I432" i="24"/>
  <c r="I433" i="24"/>
  <c r="I434" i="24"/>
  <c r="I435" i="24"/>
  <c r="I436" i="24"/>
  <c r="I437" i="24"/>
  <c r="I438" i="24"/>
  <c r="I439" i="24"/>
  <c r="I440" i="24"/>
  <c r="I441" i="24"/>
  <c r="I442" i="24"/>
  <c r="I443" i="24"/>
  <c r="I444" i="24"/>
  <c r="I445" i="24"/>
  <c r="I446" i="24"/>
  <c r="I447" i="24"/>
  <c r="I448" i="24"/>
  <c r="I449" i="24"/>
  <c r="I450" i="24"/>
  <c r="I451" i="24"/>
  <c r="I452" i="24"/>
  <c r="I453" i="24"/>
  <c r="I454" i="24"/>
  <c r="I455" i="24"/>
  <c r="I456" i="24"/>
  <c r="I457" i="24"/>
  <c r="I458" i="24"/>
  <c r="I459" i="24"/>
  <c r="I460" i="24"/>
  <c r="I461" i="24"/>
  <c r="I462" i="24"/>
  <c r="I463" i="24"/>
  <c r="I464" i="24"/>
  <c r="I465" i="24"/>
  <c r="I466" i="24"/>
  <c r="I467" i="24"/>
  <c r="I468" i="24"/>
  <c r="I469" i="24"/>
  <c r="I470" i="24"/>
  <c r="I471" i="24"/>
  <c r="I472" i="24"/>
  <c r="I473" i="24"/>
  <c r="I474" i="24"/>
  <c r="I475" i="24"/>
  <c r="I476" i="24"/>
  <c r="I477" i="24"/>
  <c r="I478" i="24"/>
  <c r="I479" i="24"/>
  <c r="I480" i="24"/>
  <c r="I481" i="24"/>
  <c r="I482" i="24"/>
  <c r="I483" i="24"/>
  <c r="I484" i="24"/>
  <c r="I485" i="24"/>
  <c r="I486" i="24"/>
  <c r="I487" i="24"/>
  <c r="I488" i="24"/>
  <c r="I489" i="24"/>
  <c r="I490" i="24"/>
  <c r="I491" i="24"/>
  <c r="I492" i="24"/>
  <c r="I493" i="24"/>
  <c r="I494" i="24"/>
  <c r="I495" i="24"/>
  <c r="I496" i="24"/>
  <c r="I497" i="24"/>
  <c r="I498" i="24"/>
  <c r="I499" i="24"/>
  <c r="I500" i="24"/>
  <c r="I501" i="24"/>
  <c r="I502" i="24"/>
  <c r="I503" i="24"/>
  <c r="I504" i="24"/>
  <c r="I505" i="24"/>
  <c r="I506" i="24"/>
  <c r="I507" i="24"/>
  <c r="I508" i="24"/>
  <c r="I509" i="24"/>
  <c r="I510" i="24"/>
  <c r="I511" i="24"/>
  <c r="I512" i="24"/>
  <c r="I513" i="24"/>
  <c r="I514" i="24"/>
  <c r="I515" i="24"/>
  <c r="I516" i="24"/>
  <c r="I517" i="24"/>
  <c r="I518" i="24"/>
  <c r="I519" i="24"/>
  <c r="I520" i="24"/>
  <c r="I521" i="24"/>
  <c r="I522" i="24"/>
  <c r="I523" i="24"/>
  <c r="I524" i="24"/>
  <c r="I525" i="24"/>
  <c r="I526" i="24"/>
  <c r="I527" i="24"/>
  <c r="I528" i="24"/>
  <c r="I529" i="24"/>
  <c r="I530" i="24"/>
  <c r="I531" i="24"/>
  <c r="I532" i="24"/>
  <c r="I533" i="24"/>
  <c r="I534" i="24"/>
  <c r="I535" i="24"/>
  <c r="I536" i="24"/>
  <c r="I537" i="24"/>
  <c r="I538" i="24"/>
  <c r="I539" i="24"/>
  <c r="I540" i="24"/>
  <c r="I541" i="24"/>
  <c r="I542" i="24"/>
  <c r="I543" i="24"/>
  <c r="I544" i="24"/>
  <c r="I545" i="24"/>
  <c r="I546" i="24"/>
  <c r="I547" i="24"/>
  <c r="I548" i="24"/>
  <c r="I549" i="24"/>
  <c r="I550" i="24"/>
  <c r="I551" i="24"/>
  <c r="I552" i="24"/>
  <c r="I553" i="24"/>
  <c r="I554" i="24"/>
  <c r="I555" i="24"/>
  <c r="I556" i="24"/>
  <c r="I557" i="24"/>
  <c r="I558" i="24"/>
  <c r="I559" i="24"/>
  <c r="I560" i="24"/>
  <c r="I561" i="24"/>
  <c r="I562" i="24"/>
  <c r="I563" i="24"/>
  <c r="I564" i="24"/>
  <c r="I565" i="24"/>
  <c r="I566" i="24"/>
  <c r="I567" i="24"/>
  <c r="I568" i="24"/>
  <c r="I569" i="24"/>
  <c r="I570" i="24"/>
  <c r="I571" i="24"/>
  <c r="I572" i="24"/>
  <c r="I573" i="24"/>
  <c r="I574" i="24"/>
  <c r="I575" i="24"/>
  <c r="I576" i="24"/>
  <c r="I577" i="24"/>
  <c r="I578" i="24"/>
  <c r="I579" i="24"/>
  <c r="I580" i="24"/>
  <c r="I581" i="24"/>
  <c r="I582" i="24"/>
  <c r="I583" i="24"/>
  <c r="I584" i="24"/>
  <c r="I585" i="24"/>
  <c r="I586" i="24"/>
  <c r="I587" i="24"/>
  <c r="I588" i="24"/>
  <c r="I589" i="24"/>
  <c r="I590" i="24"/>
  <c r="I591" i="24"/>
  <c r="I592" i="24"/>
  <c r="I593" i="24"/>
  <c r="I594" i="24"/>
  <c r="I595" i="24"/>
  <c r="I596" i="24"/>
  <c r="I597" i="24"/>
  <c r="I598" i="24"/>
  <c r="I599" i="24"/>
  <c r="I600" i="24"/>
  <c r="I601" i="24"/>
  <c r="I602" i="24"/>
  <c r="I603" i="24"/>
  <c r="I604" i="24"/>
  <c r="I605" i="24"/>
  <c r="I606" i="24"/>
  <c r="I607" i="24"/>
  <c r="I608" i="24"/>
  <c r="I609" i="24"/>
  <c r="I610" i="24"/>
  <c r="I611" i="24"/>
  <c r="I612" i="24"/>
  <c r="I613" i="24"/>
  <c r="I614" i="24"/>
  <c r="I615" i="24"/>
  <c r="I616" i="24"/>
  <c r="I617" i="24"/>
  <c r="I618" i="24"/>
  <c r="I619" i="24"/>
  <c r="I620" i="24"/>
  <c r="I621" i="24"/>
  <c r="I622" i="24"/>
  <c r="I623" i="24"/>
  <c r="I624" i="24"/>
  <c r="I625" i="24"/>
  <c r="I626" i="24"/>
  <c r="I627" i="24"/>
  <c r="I628" i="24"/>
  <c r="I629" i="24"/>
  <c r="I630" i="24"/>
  <c r="I631" i="24"/>
  <c r="I632" i="24"/>
  <c r="I633" i="24"/>
  <c r="I634" i="24"/>
  <c r="I635" i="24"/>
  <c r="I636" i="24"/>
  <c r="I637" i="24"/>
  <c r="I638" i="24"/>
  <c r="I639" i="24"/>
  <c r="I640" i="24"/>
  <c r="I641" i="24"/>
  <c r="I642" i="24"/>
  <c r="I643" i="24"/>
  <c r="I644" i="24"/>
  <c r="I645" i="24"/>
  <c r="I646" i="24"/>
  <c r="I647" i="24"/>
  <c r="I648" i="24"/>
  <c r="I649" i="24"/>
  <c r="I650" i="24"/>
  <c r="I651" i="24"/>
  <c r="I652" i="24"/>
  <c r="I653" i="24"/>
  <c r="I654" i="24"/>
  <c r="I655" i="24"/>
  <c r="I656" i="24"/>
  <c r="I657" i="24"/>
  <c r="I658" i="24"/>
  <c r="I659" i="24"/>
  <c r="I660" i="24"/>
  <c r="I661" i="24"/>
  <c r="I662" i="24"/>
  <c r="I663" i="24"/>
  <c r="I664" i="24"/>
  <c r="I665" i="24"/>
  <c r="I666" i="24"/>
  <c r="I667" i="24"/>
  <c r="I668" i="24"/>
  <c r="I669" i="24"/>
  <c r="I670" i="24"/>
  <c r="I671" i="24"/>
  <c r="I672" i="24"/>
  <c r="I673" i="24"/>
  <c r="I674" i="24"/>
  <c r="I675" i="24"/>
  <c r="I676" i="24"/>
  <c r="I677" i="24"/>
  <c r="I678" i="24"/>
  <c r="I679" i="24"/>
  <c r="I680" i="24"/>
  <c r="I681" i="24"/>
  <c r="I682" i="24"/>
  <c r="I683" i="24"/>
  <c r="I684" i="24"/>
  <c r="I685" i="24"/>
  <c r="I686" i="24"/>
  <c r="I687" i="24"/>
  <c r="I688" i="24"/>
  <c r="I689" i="24"/>
  <c r="I690" i="24"/>
  <c r="I691" i="24"/>
  <c r="I692" i="24"/>
  <c r="I693" i="24"/>
  <c r="I694" i="24"/>
  <c r="I695" i="24"/>
  <c r="I696" i="24"/>
  <c r="I697" i="24"/>
  <c r="I698" i="24"/>
  <c r="I699" i="24"/>
  <c r="I700" i="24"/>
  <c r="I701" i="24"/>
  <c r="I702" i="24"/>
  <c r="I703" i="24"/>
  <c r="I704" i="24"/>
  <c r="I705" i="24"/>
  <c r="I706" i="24"/>
  <c r="I707" i="24"/>
  <c r="I708" i="24"/>
  <c r="I709" i="24"/>
  <c r="I710" i="24"/>
  <c r="I711" i="24"/>
  <c r="I712" i="24"/>
  <c r="I713" i="24"/>
  <c r="I714" i="24"/>
  <c r="I715" i="24"/>
  <c r="I716" i="24"/>
  <c r="I717" i="24"/>
  <c r="I718" i="24"/>
  <c r="I719" i="24"/>
  <c r="I720" i="24"/>
  <c r="I721" i="24"/>
  <c r="I722" i="24"/>
  <c r="I723" i="24"/>
  <c r="I724" i="24"/>
  <c r="I725" i="24"/>
  <c r="I726" i="24"/>
  <c r="I727" i="24"/>
  <c r="I728" i="24"/>
  <c r="I729" i="24"/>
  <c r="I730" i="24"/>
  <c r="I731" i="24"/>
  <c r="I732" i="24"/>
  <c r="I733" i="24"/>
  <c r="I734" i="24"/>
  <c r="I735" i="24"/>
  <c r="I736" i="24"/>
  <c r="I737" i="24"/>
  <c r="I738" i="24"/>
  <c r="I739" i="24"/>
  <c r="I740" i="24"/>
  <c r="I741" i="24"/>
  <c r="I742" i="24"/>
  <c r="I743" i="24"/>
  <c r="I744" i="24"/>
  <c r="I745" i="24"/>
  <c r="I746" i="24"/>
  <c r="I747" i="24"/>
  <c r="I748" i="24"/>
  <c r="I749" i="24"/>
  <c r="I750" i="24"/>
  <c r="I751" i="24"/>
  <c r="I752" i="24"/>
  <c r="I753" i="24"/>
  <c r="I754" i="24"/>
  <c r="I755" i="24"/>
  <c r="I756" i="24"/>
  <c r="I757" i="24"/>
  <c r="I758" i="24"/>
  <c r="I759" i="24"/>
  <c r="I760" i="24"/>
  <c r="I761" i="24"/>
  <c r="I762" i="24"/>
  <c r="I763" i="24"/>
  <c r="I3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H201" i="24"/>
  <c r="H202" i="24"/>
  <c r="H203" i="24"/>
  <c r="H204" i="24"/>
  <c r="H205" i="24"/>
  <c r="H206" i="24"/>
  <c r="H207" i="24"/>
  <c r="H208" i="24"/>
  <c r="H209" i="24"/>
  <c r="H210" i="24"/>
  <c r="H211" i="24"/>
  <c r="H212" i="24"/>
  <c r="H213" i="24"/>
  <c r="H214" i="24"/>
  <c r="H215" i="24"/>
  <c r="H216" i="24"/>
  <c r="H217" i="24"/>
  <c r="H218" i="24"/>
  <c r="H219" i="24"/>
  <c r="H220" i="24"/>
  <c r="H221" i="24"/>
  <c r="H222" i="24"/>
  <c r="H223" i="24"/>
  <c r="H224" i="24"/>
  <c r="H225" i="24"/>
  <c r="H226" i="24"/>
  <c r="H227" i="24"/>
  <c r="H228" i="24"/>
  <c r="H229" i="24"/>
  <c r="H230" i="24"/>
  <c r="H231" i="24"/>
  <c r="H232" i="24"/>
  <c r="H233" i="24"/>
  <c r="H234" i="24"/>
  <c r="H235" i="24"/>
  <c r="H236" i="24"/>
  <c r="H237" i="24"/>
  <c r="H238" i="24"/>
  <c r="H239" i="24"/>
  <c r="H240" i="24"/>
  <c r="H241" i="24"/>
  <c r="H242" i="24"/>
  <c r="H243" i="24"/>
  <c r="H244" i="24"/>
  <c r="H245" i="24"/>
  <c r="H246" i="24"/>
  <c r="H247" i="24"/>
  <c r="H248" i="24"/>
  <c r="H249" i="24"/>
  <c r="H250" i="24"/>
  <c r="H251" i="24"/>
  <c r="H252" i="24"/>
  <c r="H253" i="24"/>
  <c r="H254" i="24"/>
  <c r="H255" i="24"/>
  <c r="H256" i="24"/>
  <c r="H257" i="24"/>
  <c r="H258" i="24"/>
  <c r="H259" i="24"/>
  <c r="H260" i="24"/>
  <c r="H261" i="24"/>
  <c r="H262" i="24"/>
  <c r="H263" i="24"/>
  <c r="H264" i="24"/>
  <c r="H265" i="24"/>
  <c r="H266" i="24"/>
  <c r="H267" i="24"/>
  <c r="H268" i="24"/>
  <c r="H269" i="24"/>
  <c r="H270" i="24"/>
  <c r="H271" i="24"/>
  <c r="H272" i="24"/>
  <c r="H273" i="24"/>
  <c r="H274" i="24"/>
  <c r="H275" i="24"/>
  <c r="H276" i="24"/>
  <c r="H277" i="24"/>
  <c r="H278" i="24"/>
  <c r="H279" i="24"/>
  <c r="H280" i="24"/>
  <c r="H281" i="24"/>
  <c r="H282" i="24"/>
  <c r="H283" i="24"/>
  <c r="H284" i="24"/>
  <c r="H285" i="24"/>
  <c r="H286" i="24"/>
  <c r="H287" i="24"/>
  <c r="H288" i="24"/>
  <c r="H289" i="24"/>
  <c r="H290" i="24"/>
  <c r="H291" i="24"/>
  <c r="H292" i="24"/>
  <c r="H293" i="24"/>
  <c r="H294" i="24"/>
  <c r="H295" i="24"/>
  <c r="H296" i="24"/>
  <c r="H297" i="24"/>
  <c r="H298" i="24"/>
  <c r="H299" i="24"/>
  <c r="H300" i="24"/>
  <c r="H301" i="24"/>
  <c r="H302" i="24"/>
  <c r="H303" i="24"/>
  <c r="H304" i="24"/>
  <c r="H305" i="24"/>
  <c r="H306" i="24"/>
  <c r="H307" i="24"/>
  <c r="H308" i="24"/>
  <c r="H309" i="24"/>
  <c r="H310" i="24"/>
  <c r="H311" i="24"/>
  <c r="H312" i="24"/>
  <c r="H313" i="24"/>
  <c r="H314" i="24"/>
  <c r="H315" i="24"/>
  <c r="H316" i="24"/>
  <c r="H317" i="24"/>
  <c r="H318" i="24"/>
  <c r="H319" i="24"/>
  <c r="H320" i="24"/>
  <c r="H321" i="24"/>
  <c r="H322" i="24"/>
  <c r="H323" i="24"/>
  <c r="H324" i="24"/>
  <c r="H325" i="24"/>
  <c r="H326" i="24"/>
  <c r="H327" i="24"/>
  <c r="H328" i="24"/>
  <c r="H329" i="24"/>
  <c r="H330" i="24"/>
  <c r="H331" i="24"/>
  <c r="H332" i="24"/>
  <c r="H333" i="24"/>
  <c r="H334" i="24"/>
  <c r="H335" i="24"/>
  <c r="H336" i="24"/>
  <c r="H337" i="24"/>
  <c r="H338" i="24"/>
  <c r="H339" i="24"/>
  <c r="H340" i="24"/>
  <c r="H341" i="24"/>
  <c r="H342" i="24"/>
  <c r="H343" i="24"/>
  <c r="H344" i="24"/>
  <c r="H345" i="24"/>
  <c r="H346" i="24"/>
  <c r="H347" i="24"/>
  <c r="H348" i="24"/>
  <c r="H349" i="24"/>
  <c r="H350" i="24"/>
  <c r="H351" i="24"/>
  <c r="H352" i="24"/>
  <c r="H353" i="24"/>
  <c r="H354" i="24"/>
  <c r="H355" i="24"/>
  <c r="H356" i="24"/>
  <c r="H357" i="24"/>
  <c r="H358" i="24"/>
  <c r="H359" i="24"/>
  <c r="H360" i="24"/>
  <c r="H361" i="24"/>
  <c r="H362" i="24"/>
  <c r="H363" i="24"/>
  <c r="H364" i="24"/>
  <c r="H365" i="24"/>
  <c r="H366" i="24"/>
  <c r="H367" i="24"/>
  <c r="H368" i="24"/>
  <c r="H369" i="24"/>
  <c r="H370" i="24"/>
  <c r="H371" i="24"/>
  <c r="H372" i="24"/>
  <c r="H373" i="24"/>
  <c r="H374" i="24"/>
  <c r="H375" i="24"/>
  <c r="H376" i="24"/>
  <c r="H377" i="24"/>
  <c r="H378" i="24"/>
  <c r="H379" i="24"/>
  <c r="H380" i="24"/>
  <c r="H381" i="24"/>
  <c r="H382" i="24"/>
  <c r="H383" i="24"/>
  <c r="H384" i="24"/>
  <c r="H385" i="24"/>
  <c r="H386" i="24"/>
  <c r="H387" i="24"/>
  <c r="H388" i="24"/>
  <c r="H389" i="24"/>
  <c r="H390" i="24"/>
  <c r="H391" i="24"/>
  <c r="H392" i="24"/>
  <c r="H393" i="24"/>
  <c r="H394" i="24"/>
  <c r="H395" i="24"/>
  <c r="H396" i="24"/>
  <c r="H397" i="24"/>
  <c r="H398" i="24"/>
  <c r="H399" i="24"/>
  <c r="H400" i="24"/>
  <c r="H401" i="24"/>
  <c r="H402" i="24"/>
  <c r="H403" i="24"/>
  <c r="H404" i="24"/>
  <c r="H405" i="24"/>
  <c r="H406" i="24"/>
  <c r="H407" i="24"/>
  <c r="H408" i="24"/>
  <c r="H409" i="24"/>
  <c r="H410" i="24"/>
  <c r="H411" i="24"/>
  <c r="H412" i="24"/>
  <c r="H413" i="24"/>
  <c r="H414" i="24"/>
  <c r="H415" i="24"/>
  <c r="H416" i="24"/>
  <c r="H417" i="24"/>
  <c r="H418" i="24"/>
  <c r="H419" i="24"/>
  <c r="H420" i="24"/>
  <c r="H421" i="24"/>
  <c r="H422" i="24"/>
  <c r="H423" i="24"/>
  <c r="H424" i="24"/>
  <c r="H425" i="24"/>
  <c r="H426" i="24"/>
  <c r="H427" i="24"/>
  <c r="H428" i="24"/>
  <c r="H429" i="24"/>
  <c r="H430" i="24"/>
  <c r="H431" i="24"/>
  <c r="H432" i="24"/>
  <c r="H433" i="24"/>
  <c r="H434" i="24"/>
  <c r="H435" i="24"/>
  <c r="H436" i="24"/>
  <c r="H437" i="24"/>
  <c r="H438" i="24"/>
  <c r="H439" i="24"/>
  <c r="H440" i="24"/>
  <c r="H441" i="24"/>
  <c r="H442" i="24"/>
  <c r="H443" i="24"/>
  <c r="H444" i="24"/>
  <c r="H445" i="24"/>
  <c r="H446" i="24"/>
  <c r="H447" i="24"/>
  <c r="H448" i="24"/>
  <c r="H449" i="24"/>
  <c r="H450" i="24"/>
  <c r="H451" i="24"/>
  <c r="H452" i="24"/>
  <c r="H453" i="24"/>
  <c r="H454" i="24"/>
  <c r="H455" i="24"/>
  <c r="H456" i="24"/>
  <c r="H457" i="24"/>
  <c r="H458" i="24"/>
  <c r="H459" i="24"/>
  <c r="H460" i="24"/>
  <c r="H461" i="24"/>
  <c r="H462" i="24"/>
  <c r="H463" i="24"/>
  <c r="H464" i="24"/>
  <c r="H465" i="24"/>
  <c r="H466" i="24"/>
  <c r="H467" i="24"/>
  <c r="H468" i="24"/>
  <c r="H469" i="24"/>
  <c r="H470" i="24"/>
  <c r="H471" i="24"/>
  <c r="H472" i="24"/>
  <c r="H473" i="24"/>
  <c r="H474" i="24"/>
  <c r="H475" i="24"/>
  <c r="H476" i="24"/>
  <c r="H477" i="24"/>
  <c r="H478" i="24"/>
  <c r="H479" i="24"/>
  <c r="H480" i="24"/>
  <c r="H481" i="24"/>
  <c r="H482" i="24"/>
  <c r="H483" i="24"/>
  <c r="H484" i="24"/>
  <c r="H485" i="24"/>
  <c r="H486" i="24"/>
  <c r="H487" i="24"/>
  <c r="H488" i="24"/>
  <c r="H489" i="24"/>
  <c r="H490" i="24"/>
  <c r="H491" i="24"/>
  <c r="H492" i="24"/>
  <c r="H493" i="24"/>
  <c r="H494" i="24"/>
  <c r="H495" i="24"/>
  <c r="H496" i="24"/>
  <c r="H497" i="24"/>
  <c r="H498" i="24"/>
  <c r="H499" i="24"/>
  <c r="H500" i="24"/>
  <c r="H501" i="24"/>
  <c r="H502" i="24"/>
  <c r="H503" i="24"/>
  <c r="H504" i="24"/>
  <c r="H505" i="24"/>
  <c r="H506" i="24"/>
  <c r="H507" i="24"/>
  <c r="H508" i="24"/>
  <c r="H509" i="24"/>
  <c r="H510" i="24"/>
  <c r="H511" i="24"/>
  <c r="H512" i="24"/>
  <c r="H513" i="24"/>
  <c r="H514" i="24"/>
  <c r="H515" i="24"/>
  <c r="H516" i="24"/>
  <c r="H517" i="24"/>
  <c r="H518" i="24"/>
  <c r="H519" i="24"/>
  <c r="H520" i="24"/>
  <c r="H521" i="24"/>
  <c r="H522" i="24"/>
  <c r="H523" i="24"/>
  <c r="H524" i="24"/>
  <c r="H525" i="24"/>
  <c r="H526" i="24"/>
  <c r="H527" i="24"/>
  <c r="H528" i="24"/>
  <c r="H529" i="24"/>
  <c r="H530" i="24"/>
  <c r="H531" i="24"/>
  <c r="H532" i="24"/>
  <c r="H533" i="24"/>
  <c r="H534" i="24"/>
  <c r="H535" i="24"/>
  <c r="H536" i="24"/>
  <c r="H537" i="24"/>
  <c r="H538" i="24"/>
  <c r="H539" i="24"/>
  <c r="H540" i="24"/>
  <c r="H541" i="24"/>
  <c r="H542" i="24"/>
  <c r="H543" i="24"/>
  <c r="H544" i="24"/>
  <c r="H545" i="24"/>
  <c r="H546" i="24"/>
  <c r="H547" i="24"/>
  <c r="H548" i="24"/>
  <c r="H549" i="24"/>
  <c r="H550" i="24"/>
  <c r="H551" i="24"/>
  <c r="H552" i="24"/>
  <c r="H553" i="24"/>
  <c r="H554" i="24"/>
  <c r="H555" i="24"/>
  <c r="H556" i="24"/>
  <c r="H557" i="24"/>
  <c r="H558" i="24"/>
  <c r="H559" i="24"/>
  <c r="H560" i="24"/>
  <c r="H561" i="24"/>
  <c r="H562" i="24"/>
  <c r="H563" i="24"/>
  <c r="H564" i="24"/>
  <c r="H565" i="24"/>
  <c r="H566" i="24"/>
  <c r="H567" i="24"/>
  <c r="H568" i="24"/>
  <c r="H569" i="24"/>
  <c r="H570" i="24"/>
  <c r="H571" i="24"/>
  <c r="H572" i="24"/>
  <c r="H573" i="24"/>
  <c r="H574" i="24"/>
  <c r="H575" i="24"/>
  <c r="H576" i="24"/>
  <c r="H577" i="24"/>
  <c r="H578" i="24"/>
  <c r="H579" i="24"/>
  <c r="H580" i="24"/>
  <c r="H581" i="24"/>
  <c r="H582" i="24"/>
  <c r="H583" i="24"/>
  <c r="H584" i="24"/>
  <c r="H585" i="24"/>
  <c r="H586" i="24"/>
  <c r="H587" i="24"/>
  <c r="H588" i="24"/>
  <c r="H589" i="24"/>
  <c r="H590" i="24"/>
  <c r="H591" i="24"/>
  <c r="H592" i="24"/>
  <c r="H593" i="24"/>
  <c r="H594" i="24"/>
  <c r="H595" i="24"/>
  <c r="H596" i="24"/>
  <c r="H597" i="24"/>
  <c r="H598" i="24"/>
  <c r="H599" i="24"/>
  <c r="H600" i="24"/>
  <c r="H601" i="24"/>
  <c r="H602" i="24"/>
  <c r="H603" i="24"/>
  <c r="H604" i="24"/>
  <c r="H605" i="24"/>
  <c r="H606" i="24"/>
  <c r="H607" i="24"/>
  <c r="H608" i="24"/>
  <c r="H609" i="24"/>
  <c r="H610" i="24"/>
  <c r="H611" i="24"/>
  <c r="H612" i="24"/>
  <c r="H613" i="24"/>
  <c r="H614" i="24"/>
  <c r="H615" i="24"/>
  <c r="H616" i="24"/>
  <c r="H617" i="24"/>
  <c r="H618" i="24"/>
  <c r="H619" i="24"/>
  <c r="H620" i="24"/>
  <c r="H621" i="24"/>
  <c r="H622" i="24"/>
  <c r="H623" i="24"/>
  <c r="H624" i="24"/>
  <c r="H625" i="24"/>
  <c r="H626" i="24"/>
  <c r="H627" i="24"/>
  <c r="H628" i="24"/>
  <c r="H629" i="24"/>
  <c r="H630" i="24"/>
  <c r="H631" i="24"/>
  <c r="H632" i="24"/>
  <c r="H633" i="24"/>
  <c r="H634" i="24"/>
  <c r="H635" i="24"/>
  <c r="H636" i="24"/>
  <c r="H637" i="24"/>
  <c r="H638" i="24"/>
  <c r="H639" i="24"/>
  <c r="H640" i="24"/>
  <c r="H641" i="24"/>
  <c r="H642" i="24"/>
  <c r="H643" i="24"/>
  <c r="H644" i="24"/>
  <c r="H645" i="24"/>
  <c r="H646" i="24"/>
  <c r="H647" i="24"/>
  <c r="H648" i="24"/>
  <c r="H649" i="24"/>
  <c r="H650" i="24"/>
  <c r="H651" i="24"/>
  <c r="H652" i="24"/>
  <c r="H653" i="24"/>
  <c r="H654" i="24"/>
  <c r="H655" i="24"/>
  <c r="H656" i="24"/>
  <c r="H657" i="24"/>
  <c r="H658" i="24"/>
  <c r="H659" i="24"/>
  <c r="H660" i="24"/>
  <c r="H661" i="24"/>
  <c r="H662" i="24"/>
  <c r="H663" i="24"/>
  <c r="H664" i="24"/>
  <c r="H665" i="24"/>
  <c r="H666" i="24"/>
  <c r="H667" i="24"/>
  <c r="H668" i="24"/>
  <c r="H669" i="24"/>
  <c r="H670" i="24"/>
  <c r="H671" i="24"/>
  <c r="H672" i="24"/>
  <c r="H673" i="24"/>
  <c r="H674" i="24"/>
  <c r="H675" i="24"/>
  <c r="H676" i="24"/>
  <c r="H677" i="24"/>
  <c r="H678" i="24"/>
  <c r="H679" i="24"/>
  <c r="H680" i="24"/>
  <c r="H681" i="24"/>
  <c r="H682" i="24"/>
  <c r="H683" i="24"/>
  <c r="H684" i="24"/>
  <c r="H685" i="24"/>
  <c r="H686" i="24"/>
  <c r="H687" i="24"/>
  <c r="H688" i="24"/>
  <c r="H689" i="24"/>
  <c r="H690" i="24"/>
  <c r="H691" i="24"/>
  <c r="H692" i="24"/>
  <c r="H693" i="24"/>
  <c r="H694" i="24"/>
  <c r="H695" i="24"/>
  <c r="H696" i="24"/>
  <c r="H697" i="24"/>
  <c r="H698" i="24"/>
  <c r="H699" i="24"/>
  <c r="H700" i="24"/>
  <c r="H701" i="24"/>
  <c r="H702" i="24"/>
  <c r="H703" i="24"/>
  <c r="H704" i="24"/>
  <c r="H705" i="24"/>
  <c r="H706" i="24"/>
  <c r="H707" i="24"/>
  <c r="H708" i="24"/>
  <c r="H709" i="24"/>
  <c r="H710" i="24"/>
  <c r="H711" i="24"/>
  <c r="H712" i="24"/>
  <c r="H713" i="24"/>
  <c r="H714" i="24"/>
  <c r="H715" i="24"/>
  <c r="H716" i="24"/>
  <c r="H717" i="24"/>
  <c r="H718" i="24"/>
  <c r="H719" i="24"/>
  <c r="H720" i="24"/>
  <c r="H721" i="24"/>
  <c r="H722" i="24"/>
  <c r="H723" i="24"/>
  <c r="H724" i="24"/>
  <c r="H725" i="24"/>
  <c r="H726" i="24"/>
  <c r="H727" i="24"/>
  <c r="H728" i="24"/>
  <c r="H729" i="24"/>
  <c r="H730" i="24"/>
  <c r="H731" i="24"/>
  <c r="H732" i="24"/>
  <c r="H733" i="24"/>
  <c r="H734" i="24"/>
  <c r="H735" i="24"/>
  <c r="H736" i="24"/>
  <c r="H737" i="24"/>
  <c r="H738" i="24"/>
  <c r="H739" i="24"/>
  <c r="H740" i="24"/>
  <c r="H741" i="24"/>
  <c r="H742" i="24"/>
  <c r="H743" i="24"/>
  <c r="H744" i="24"/>
  <c r="H745" i="24"/>
  <c r="H746" i="24"/>
  <c r="H747" i="24"/>
  <c r="H748" i="24"/>
  <c r="H749" i="24"/>
  <c r="H750" i="24"/>
  <c r="H751" i="24"/>
  <c r="H752" i="24"/>
  <c r="H753" i="24"/>
  <c r="H754" i="24"/>
  <c r="H755" i="24"/>
  <c r="H756" i="24"/>
  <c r="H757" i="24"/>
  <c r="H758" i="24"/>
  <c r="H759" i="24"/>
  <c r="H760" i="24"/>
  <c r="H761" i="24"/>
  <c r="H762" i="24"/>
  <c r="H763" i="24"/>
  <c r="H3" i="24"/>
  <c r="T4" i="23"/>
  <c r="T5" i="23"/>
  <c r="T6" i="23"/>
  <c r="T7" i="23"/>
  <c r="T8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T36" i="23"/>
  <c r="T37" i="23"/>
  <c r="T38" i="23"/>
  <c r="T39" i="23"/>
  <c r="T40" i="23"/>
  <c r="T41" i="23"/>
  <c r="T42" i="23"/>
  <c r="T43" i="23"/>
  <c r="T44" i="23"/>
  <c r="T45" i="23"/>
  <c r="T46" i="23"/>
  <c r="T47" i="23"/>
  <c r="T48" i="23"/>
  <c r="T49" i="23"/>
  <c r="T50" i="23"/>
  <c r="T51" i="23"/>
  <c r="T52" i="23"/>
  <c r="T53" i="23"/>
  <c r="T54" i="23"/>
  <c r="T55" i="23"/>
  <c r="T56" i="23"/>
  <c r="T57" i="23"/>
  <c r="T58" i="23"/>
  <c r="T59" i="23"/>
  <c r="T60" i="23"/>
  <c r="T61" i="23"/>
  <c r="T62" i="23"/>
  <c r="T63" i="23"/>
  <c r="T64" i="23"/>
  <c r="T65" i="23"/>
  <c r="T66" i="23"/>
  <c r="T67" i="23"/>
  <c r="T68" i="23"/>
  <c r="T69" i="23"/>
  <c r="T70" i="23"/>
  <c r="T71" i="23"/>
  <c r="T72" i="23"/>
  <c r="T73" i="23"/>
  <c r="T74" i="23"/>
  <c r="T75" i="23"/>
  <c r="T76" i="23"/>
  <c r="T77" i="23"/>
  <c r="T78" i="23"/>
  <c r="T79" i="23"/>
  <c r="T80" i="23"/>
  <c r="T81" i="23"/>
  <c r="T82" i="23"/>
  <c r="T83" i="23"/>
  <c r="T84" i="23"/>
  <c r="T85" i="23"/>
  <c r="T86" i="23"/>
  <c r="T87" i="23"/>
  <c r="T88" i="23"/>
  <c r="T89" i="23"/>
  <c r="T90" i="23"/>
  <c r="T91" i="23"/>
  <c r="T92" i="23"/>
  <c r="T93" i="23"/>
  <c r="T94" i="23"/>
  <c r="T95" i="23"/>
  <c r="T96" i="23"/>
  <c r="T97" i="23"/>
  <c r="T98" i="23"/>
  <c r="T99" i="23"/>
  <c r="T100" i="23"/>
  <c r="T101" i="23"/>
  <c r="T102" i="23"/>
  <c r="T103" i="23"/>
  <c r="T104" i="23"/>
  <c r="T105" i="23"/>
  <c r="T106" i="23"/>
  <c r="T107" i="23"/>
  <c r="T108" i="23"/>
  <c r="T109" i="23"/>
  <c r="T110" i="23"/>
  <c r="T111" i="23"/>
  <c r="T112" i="23"/>
  <c r="T113" i="23"/>
  <c r="T114" i="23"/>
  <c r="T115" i="23"/>
  <c r="T116" i="23"/>
  <c r="T117" i="23"/>
  <c r="T118" i="23"/>
  <c r="T119" i="23"/>
  <c r="T120" i="23"/>
  <c r="T121" i="23"/>
  <c r="T122" i="23"/>
  <c r="T123" i="23"/>
  <c r="T124" i="23"/>
  <c r="T125" i="23"/>
  <c r="T126" i="23"/>
  <c r="T127" i="23"/>
  <c r="T128" i="23"/>
  <c r="T129" i="23"/>
  <c r="T130" i="23"/>
  <c r="T131" i="23"/>
  <c r="T132" i="23"/>
  <c r="T133" i="23"/>
  <c r="T134" i="23"/>
  <c r="T135" i="23"/>
  <c r="T136" i="23"/>
  <c r="T137" i="23"/>
  <c r="T138" i="23"/>
  <c r="T139" i="23"/>
  <c r="T140" i="23"/>
  <c r="T141" i="23"/>
  <c r="T142" i="23"/>
  <c r="T143" i="23"/>
  <c r="T144" i="23"/>
  <c r="T145" i="23"/>
  <c r="T146" i="23"/>
  <c r="T147" i="23"/>
  <c r="T148" i="23"/>
  <c r="T149" i="23"/>
  <c r="T150" i="23"/>
  <c r="T151" i="23"/>
  <c r="T152" i="23"/>
  <c r="T153" i="23"/>
  <c r="T154" i="23"/>
  <c r="T155" i="23"/>
  <c r="T156" i="23"/>
  <c r="T157" i="23"/>
  <c r="T158" i="23"/>
  <c r="T159" i="23"/>
  <c r="T160" i="23"/>
  <c r="T161" i="23"/>
  <c r="T162" i="23"/>
  <c r="T163" i="23"/>
  <c r="T164" i="23"/>
  <c r="T165" i="23"/>
  <c r="T166" i="23"/>
  <c r="T167" i="23"/>
  <c r="T168" i="23"/>
  <c r="T169" i="23"/>
  <c r="T170" i="23"/>
  <c r="T171" i="23"/>
  <c r="T172" i="23"/>
  <c r="T173" i="23"/>
  <c r="T174" i="23"/>
  <c r="T175" i="23"/>
  <c r="T176" i="23"/>
  <c r="T177" i="23"/>
  <c r="T178" i="23"/>
  <c r="T179" i="23"/>
  <c r="T180" i="23"/>
  <c r="T181" i="23"/>
  <c r="T182" i="23"/>
  <c r="T183" i="23"/>
  <c r="T184" i="23"/>
  <c r="T185" i="23"/>
  <c r="T186" i="23"/>
  <c r="T187" i="23"/>
  <c r="T188" i="23"/>
  <c r="T189" i="23"/>
  <c r="T190" i="23"/>
  <c r="T191" i="23"/>
  <c r="T192" i="23"/>
  <c r="T193" i="23"/>
  <c r="T194" i="23"/>
  <c r="T195" i="23"/>
  <c r="T196" i="23"/>
  <c r="T197" i="23"/>
  <c r="T198" i="23"/>
  <c r="T199" i="23"/>
  <c r="T200" i="23"/>
  <c r="T201" i="23"/>
  <c r="T202" i="23"/>
  <c r="T203" i="23"/>
  <c r="T204" i="23"/>
  <c r="T205" i="23"/>
  <c r="T206" i="23"/>
  <c r="T207" i="23"/>
  <c r="T208" i="23"/>
  <c r="T209" i="23"/>
  <c r="T210" i="23"/>
  <c r="T211" i="23"/>
  <c r="T212" i="23"/>
  <c r="T213" i="23"/>
  <c r="T214" i="23"/>
  <c r="T215" i="23"/>
  <c r="T216" i="23"/>
  <c r="T217" i="23"/>
  <c r="T218" i="23"/>
  <c r="T219" i="23"/>
  <c r="T220" i="23"/>
  <c r="T221" i="23"/>
  <c r="T222" i="23"/>
  <c r="T223" i="23"/>
  <c r="T224" i="23"/>
  <c r="T225" i="23"/>
  <c r="T226" i="23"/>
  <c r="T227" i="23"/>
  <c r="T228" i="23"/>
  <c r="T229" i="23"/>
  <c r="T230" i="23"/>
  <c r="T231" i="23"/>
  <c r="T232" i="23"/>
  <c r="T233" i="23"/>
  <c r="T234" i="23"/>
  <c r="T235" i="23"/>
  <c r="T236" i="23"/>
  <c r="T237" i="23"/>
  <c r="T238" i="23"/>
  <c r="T239" i="23"/>
  <c r="T240" i="23"/>
  <c r="T241" i="23"/>
  <c r="T242" i="23"/>
  <c r="T243" i="23"/>
  <c r="T244" i="23"/>
  <c r="T245" i="23"/>
  <c r="T246" i="23"/>
  <c r="T247" i="23"/>
  <c r="T248" i="23"/>
  <c r="T249" i="23"/>
  <c r="T250" i="23"/>
  <c r="T251" i="23"/>
  <c r="T252" i="23"/>
  <c r="T253" i="23"/>
  <c r="T254" i="23"/>
  <c r="T255" i="23"/>
  <c r="T256" i="23"/>
  <c r="T257" i="23"/>
  <c r="T258" i="23"/>
  <c r="T259" i="23"/>
  <c r="T260" i="23"/>
  <c r="T261" i="23"/>
  <c r="T262" i="23"/>
  <c r="T263" i="23"/>
  <c r="T264" i="23"/>
  <c r="T265" i="23"/>
  <c r="T266" i="23"/>
  <c r="T267" i="23"/>
  <c r="T268" i="23"/>
  <c r="T269" i="23"/>
  <c r="T270" i="23"/>
  <c r="T271" i="23"/>
  <c r="T272" i="23"/>
  <c r="T273" i="23"/>
  <c r="T274" i="23"/>
  <c r="T275" i="23"/>
  <c r="T276" i="23"/>
  <c r="T277" i="23"/>
  <c r="T278" i="23"/>
  <c r="T279" i="23"/>
  <c r="T280" i="23"/>
  <c r="T281" i="23"/>
  <c r="T282" i="23"/>
  <c r="T283" i="23"/>
  <c r="T284" i="23"/>
  <c r="T285" i="23"/>
  <c r="T286" i="23"/>
  <c r="T287" i="23"/>
  <c r="T288" i="23"/>
  <c r="T289" i="23"/>
  <c r="T290" i="23"/>
  <c r="T291" i="23"/>
  <c r="T292" i="23"/>
  <c r="T293" i="23"/>
  <c r="T294" i="23"/>
  <c r="T295" i="23"/>
  <c r="T296" i="23"/>
  <c r="T297" i="23"/>
  <c r="T298" i="23"/>
  <c r="T299" i="23"/>
  <c r="T300" i="23"/>
  <c r="T301" i="23"/>
  <c r="T302" i="23"/>
  <c r="T303" i="23"/>
  <c r="T304" i="23"/>
  <c r="T305" i="23"/>
  <c r="T306" i="23"/>
  <c r="T307" i="23"/>
  <c r="T308" i="23"/>
  <c r="T309" i="23"/>
  <c r="T310" i="23"/>
  <c r="T311" i="23"/>
  <c r="T312" i="23"/>
  <c r="T313" i="23"/>
  <c r="T314" i="23"/>
  <c r="T315" i="23"/>
  <c r="T316" i="23"/>
  <c r="T317" i="23"/>
  <c r="T318" i="23"/>
  <c r="T319" i="23"/>
  <c r="T320" i="23"/>
  <c r="T321" i="23"/>
  <c r="T322" i="23"/>
  <c r="T323" i="23"/>
  <c r="T324" i="23"/>
  <c r="T325" i="23"/>
  <c r="T326" i="23"/>
  <c r="T327" i="23"/>
  <c r="T328" i="23"/>
  <c r="T329" i="23"/>
  <c r="T330" i="23"/>
  <c r="T331" i="23"/>
  <c r="T332" i="23"/>
  <c r="T333" i="23"/>
  <c r="T334" i="23"/>
  <c r="T335" i="23"/>
  <c r="T336" i="23"/>
  <c r="T337" i="23"/>
  <c r="T338" i="23"/>
  <c r="T339" i="23"/>
  <c r="T340" i="23"/>
  <c r="T341" i="23"/>
  <c r="T342" i="23"/>
  <c r="T343" i="23"/>
  <c r="T344" i="23"/>
  <c r="T345" i="23"/>
  <c r="T346" i="23"/>
  <c r="T347" i="23"/>
  <c r="T348" i="23"/>
  <c r="T349" i="23"/>
  <c r="T350" i="23"/>
  <c r="T351" i="23"/>
  <c r="T352" i="23"/>
  <c r="T353" i="23"/>
  <c r="T354" i="23"/>
  <c r="T355" i="23"/>
  <c r="T356" i="23"/>
  <c r="T357" i="23"/>
  <c r="T358" i="23"/>
  <c r="T359" i="23"/>
  <c r="T360" i="23"/>
  <c r="T361" i="23"/>
  <c r="T362" i="23"/>
  <c r="T363" i="23"/>
  <c r="T364" i="23"/>
  <c r="T365" i="23"/>
  <c r="T366" i="23"/>
  <c r="T367" i="23"/>
  <c r="T368" i="23"/>
  <c r="T369" i="23"/>
  <c r="T370" i="23"/>
  <c r="T371" i="23"/>
  <c r="T372" i="23"/>
  <c r="T373" i="23"/>
  <c r="T374" i="23"/>
  <c r="T375" i="23"/>
  <c r="T376" i="23"/>
  <c r="T377" i="23"/>
  <c r="T378" i="23"/>
  <c r="T379" i="23"/>
  <c r="T380" i="23"/>
  <c r="T381" i="23"/>
  <c r="T382" i="23"/>
  <c r="T383" i="23"/>
  <c r="T384" i="23"/>
  <c r="T385" i="23"/>
  <c r="T386" i="23"/>
  <c r="T387" i="23"/>
  <c r="T388" i="23"/>
  <c r="T389" i="23"/>
  <c r="T390" i="23"/>
  <c r="T391" i="23"/>
  <c r="T392" i="23"/>
  <c r="T393" i="23"/>
  <c r="T394" i="23"/>
  <c r="T395" i="23"/>
  <c r="T396" i="23"/>
  <c r="T397" i="23"/>
  <c r="T398" i="23"/>
  <c r="T399" i="23"/>
  <c r="T400" i="23"/>
  <c r="T401" i="23"/>
  <c r="T402" i="23"/>
  <c r="T403" i="23"/>
  <c r="T404" i="23"/>
  <c r="T405" i="23"/>
  <c r="T406" i="23"/>
  <c r="T407" i="23"/>
  <c r="T408" i="23"/>
  <c r="T409" i="23"/>
  <c r="T410" i="23"/>
  <c r="T411" i="23"/>
  <c r="T412" i="23"/>
  <c r="T413" i="23"/>
  <c r="T414" i="23"/>
  <c r="T415" i="23"/>
  <c r="T416" i="23"/>
  <c r="T417" i="23"/>
  <c r="T418" i="23"/>
  <c r="T419" i="23"/>
  <c r="T420" i="23"/>
  <c r="T421" i="23"/>
  <c r="T422" i="23"/>
  <c r="T423" i="23"/>
  <c r="T424" i="23"/>
  <c r="T425" i="23"/>
  <c r="T426" i="23"/>
  <c r="T427" i="23"/>
  <c r="T428" i="23"/>
  <c r="T429" i="23"/>
  <c r="T430" i="23"/>
  <c r="T431" i="23"/>
  <c r="T432" i="23"/>
  <c r="T433" i="23"/>
  <c r="T434" i="23"/>
  <c r="T435" i="23"/>
  <c r="T436" i="23"/>
  <c r="T437" i="23"/>
  <c r="T438" i="23"/>
  <c r="T439" i="23"/>
  <c r="T440" i="23"/>
  <c r="T441" i="23"/>
  <c r="T442" i="23"/>
  <c r="T443" i="23"/>
  <c r="T444" i="23"/>
  <c r="T445" i="23"/>
  <c r="T446" i="23"/>
  <c r="T447" i="23"/>
  <c r="T448" i="23"/>
  <c r="T449" i="23"/>
  <c r="T450" i="23"/>
  <c r="T451" i="23"/>
  <c r="T452" i="23"/>
  <c r="T453" i="23"/>
  <c r="T454" i="23"/>
  <c r="T455" i="23"/>
  <c r="T456" i="23"/>
  <c r="T457" i="23"/>
  <c r="T458" i="23"/>
  <c r="T459" i="23"/>
  <c r="T460" i="23"/>
  <c r="T461" i="23"/>
  <c r="T462" i="23"/>
  <c r="T463" i="23"/>
  <c r="T464" i="23"/>
  <c r="T465" i="23"/>
  <c r="T466" i="23"/>
  <c r="T467" i="23"/>
  <c r="T468" i="23"/>
  <c r="T469" i="23"/>
  <c r="T470" i="23"/>
  <c r="T471" i="23"/>
  <c r="T472" i="23"/>
  <c r="T473" i="23"/>
  <c r="T474" i="23"/>
  <c r="T475" i="23"/>
  <c r="T476" i="23"/>
  <c r="T477" i="23"/>
  <c r="T478" i="23"/>
  <c r="T479" i="23"/>
  <c r="T480" i="23"/>
  <c r="T481" i="23"/>
  <c r="T482" i="23"/>
  <c r="T483" i="23"/>
  <c r="T484" i="23"/>
  <c r="T485" i="23"/>
  <c r="T486" i="23"/>
  <c r="T487" i="23"/>
  <c r="T488" i="23"/>
  <c r="T489" i="23"/>
  <c r="T490" i="23"/>
  <c r="T491" i="23"/>
  <c r="T492" i="23"/>
  <c r="T493" i="23"/>
  <c r="T494" i="23"/>
  <c r="T495" i="23"/>
  <c r="T496" i="23"/>
  <c r="T497" i="23"/>
  <c r="T498" i="23"/>
  <c r="T499" i="23"/>
  <c r="T500" i="23"/>
  <c r="T501" i="23"/>
  <c r="T502" i="23"/>
  <c r="T503" i="23"/>
  <c r="T504" i="23"/>
  <c r="T505" i="23"/>
  <c r="T506" i="23"/>
  <c r="T507" i="23"/>
  <c r="T508" i="23"/>
  <c r="T509" i="23"/>
  <c r="T510" i="23"/>
  <c r="T511" i="23"/>
  <c r="T512" i="23"/>
  <c r="T513" i="23"/>
  <c r="T514" i="23"/>
  <c r="T515" i="23"/>
  <c r="T516" i="23"/>
  <c r="T517" i="23"/>
  <c r="T518" i="23"/>
  <c r="T519" i="23"/>
  <c r="T520" i="23"/>
  <c r="T521" i="23"/>
  <c r="T522" i="23"/>
  <c r="T523" i="23"/>
  <c r="T524" i="23"/>
  <c r="T525" i="23"/>
  <c r="T526" i="23"/>
  <c r="T527" i="23"/>
  <c r="T528" i="23"/>
  <c r="T529" i="23"/>
  <c r="T530" i="23"/>
  <c r="T531" i="23"/>
  <c r="T532" i="23"/>
  <c r="T533" i="23"/>
  <c r="T534" i="23"/>
  <c r="T535" i="23"/>
  <c r="T536" i="23"/>
  <c r="T537" i="23"/>
  <c r="T538" i="23"/>
  <c r="T539" i="23"/>
  <c r="T540" i="23"/>
  <c r="T541" i="23"/>
  <c r="T542" i="23"/>
  <c r="T543" i="23"/>
  <c r="T544" i="23"/>
  <c r="T545" i="23"/>
  <c r="T546" i="23"/>
  <c r="T547" i="23"/>
  <c r="T548" i="23"/>
  <c r="T549" i="23"/>
  <c r="T550" i="23"/>
  <c r="T551" i="23"/>
  <c r="T552" i="23"/>
  <c r="T553" i="23"/>
  <c r="T554" i="23"/>
  <c r="T555" i="23"/>
  <c r="T556" i="23"/>
  <c r="T557" i="23"/>
  <c r="T558" i="23"/>
  <c r="T559" i="23"/>
  <c r="T560" i="23"/>
  <c r="T561" i="23"/>
  <c r="T562" i="23"/>
  <c r="T563" i="23"/>
  <c r="T564" i="23"/>
  <c r="T565" i="23"/>
  <c r="T566" i="23"/>
  <c r="T567" i="23"/>
  <c r="T568" i="23"/>
  <c r="T569" i="23"/>
  <c r="T570" i="23"/>
  <c r="T571" i="23"/>
  <c r="T572" i="23"/>
  <c r="T573" i="23"/>
  <c r="T574" i="23"/>
  <c r="T575" i="23"/>
  <c r="T576" i="23"/>
  <c r="T577" i="23"/>
  <c r="T578" i="23"/>
  <c r="T579" i="23"/>
  <c r="T580" i="23"/>
  <c r="T581" i="23"/>
  <c r="T582" i="23"/>
  <c r="T583" i="23"/>
  <c r="T584" i="23"/>
  <c r="T585" i="23"/>
  <c r="T586" i="23"/>
  <c r="T587" i="23"/>
  <c r="T588" i="23"/>
  <c r="T589" i="23"/>
  <c r="T590" i="23"/>
  <c r="T591" i="23"/>
  <c r="T592" i="23"/>
  <c r="T593" i="23"/>
  <c r="T594" i="23"/>
  <c r="T595" i="23"/>
  <c r="T596" i="23"/>
  <c r="T597" i="23"/>
  <c r="T598" i="23"/>
  <c r="T599" i="23"/>
  <c r="T600" i="23"/>
  <c r="T601" i="23"/>
  <c r="T602" i="23"/>
  <c r="T603" i="23"/>
  <c r="T604" i="23"/>
  <c r="T605" i="23"/>
  <c r="T606" i="23"/>
  <c r="T607" i="23"/>
  <c r="T608" i="23"/>
  <c r="T609" i="23"/>
  <c r="T610" i="23"/>
  <c r="T611" i="23"/>
  <c r="T612" i="23"/>
  <c r="T613" i="23"/>
  <c r="T614" i="23"/>
  <c r="T615" i="23"/>
  <c r="T616" i="23"/>
  <c r="T617" i="23"/>
  <c r="T618" i="23"/>
  <c r="T619" i="23"/>
  <c r="T620" i="23"/>
  <c r="T621" i="23"/>
  <c r="T622" i="23"/>
  <c r="T623" i="23"/>
  <c r="T624" i="23"/>
  <c r="T625" i="23"/>
  <c r="T626" i="23"/>
  <c r="T627" i="23"/>
  <c r="T628" i="23"/>
  <c r="T629" i="23"/>
  <c r="T630" i="23"/>
  <c r="T631" i="23"/>
  <c r="T632" i="23"/>
  <c r="T633" i="23"/>
  <c r="T634" i="23"/>
  <c r="T635" i="23"/>
  <c r="T636" i="23"/>
  <c r="T637" i="23"/>
  <c r="T638" i="23"/>
  <c r="T639" i="23"/>
  <c r="T640" i="23"/>
  <c r="T641" i="23"/>
  <c r="T642" i="23"/>
  <c r="T643" i="23"/>
  <c r="T644" i="23"/>
  <c r="T645" i="23"/>
  <c r="T646" i="23"/>
  <c r="T647" i="23"/>
  <c r="T648" i="23"/>
  <c r="T649" i="23"/>
  <c r="T650" i="23"/>
  <c r="T651" i="23"/>
  <c r="T652" i="23"/>
  <c r="T653" i="23"/>
  <c r="T654" i="23"/>
  <c r="T655" i="23"/>
  <c r="T656" i="23"/>
  <c r="T657" i="23"/>
  <c r="T658" i="23"/>
  <c r="T659" i="23"/>
  <c r="T660" i="23"/>
  <c r="T661" i="23"/>
  <c r="T662" i="23"/>
  <c r="T663" i="23"/>
  <c r="T664" i="23"/>
  <c r="T665" i="23"/>
  <c r="T666" i="23"/>
  <c r="T667" i="23"/>
  <c r="T668" i="23"/>
  <c r="T669" i="23"/>
  <c r="T670" i="23"/>
  <c r="T671" i="23"/>
  <c r="T672" i="23"/>
  <c r="T673" i="23"/>
  <c r="T674" i="23"/>
  <c r="T675" i="23"/>
  <c r="T676" i="23"/>
  <c r="T677" i="23"/>
  <c r="T678" i="23"/>
  <c r="T679" i="23"/>
  <c r="T680" i="23"/>
  <c r="T681" i="23"/>
  <c r="T682" i="23"/>
  <c r="T683" i="23"/>
  <c r="T684" i="23"/>
  <c r="T685" i="23"/>
  <c r="T686" i="23"/>
  <c r="T687" i="23"/>
  <c r="T688" i="23"/>
  <c r="T689" i="23"/>
  <c r="T690" i="23"/>
  <c r="T691" i="23"/>
  <c r="T692" i="23"/>
  <c r="T693" i="23"/>
  <c r="T694" i="23"/>
  <c r="T695" i="23"/>
  <c r="T696" i="23"/>
  <c r="T697" i="23"/>
  <c r="T698" i="23"/>
  <c r="T699" i="23"/>
  <c r="T700" i="23"/>
  <c r="T701" i="23"/>
  <c r="T702" i="23"/>
  <c r="T703" i="23"/>
  <c r="T704" i="23"/>
  <c r="T705" i="23"/>
  <c r="T706" i="23"/>
  <c r="T707" i="23"/>
  <c r="T708" i="23"/>
  <c r="T709" i="23"/>
  <c r="T710" i="23"/>
  <c r="T711" i="23"/>
  <c r="T712" i="23"/>
  <c r="T713" i="23"/>
  <c r="T714" i="23"/>
  <c r="T715" i="23"/>
  <c r="T716" i="23"/>
  <c r="T717" i="23"/>
  <c r="T718" i="23"/>
  <c r="T719" i="23"/>
  <c r="T720" i="23"/>
  <c r="T721" i="23"/>
  <c r="T722" i="23"/>
  <c r="T723" i="23"/>
  <c r="T724" i="23"/>
  <c r="T725" i="23"/>
  <c r="T726" i="23"/>
  <c r="T727" i="23"/>
  <c r="T728" i="23"/>
  <c r="T729" i="23"/>
  <c r="T730" i="23"/>
  <c r="T731" i="23"/>
  <c r="T732" i="23"/>
  <c r="T733" i="23"/>
  <c r="T734" i="23"/>
  <c r="T735" i="23"/>
  <c r="T736" i="23"/>
  <c r="T737" i="23"/>
  <c r="T738" i="23"/>
  <c r="T739" i="23"/>
  <c r="T740" i="23"/>
  <c r="T741" i="23"/>
  <c r="T742" i="23"/>
  <c r="T743" i="23"/>
  <c r="T744" i="23"/>
  <c r="T745" i="23"/>
  <c r="T746" i="23"/>
  <c r="T747" i="23"/>
  <c r="T748" i="23"/>
  <c r="T749" i="23"/>
  <c r="T750" i="23"/>
  <c r="T751" i="23"/>
  <c r="T752" i="23"/>
  <c r="T753" i="23"/>
  <c r="T754" i="23"/>
  <c r="T755" i="23"/>
  <c r="T756" i="23"/>
  <c r="T757" i="23"/>
  <c r="T758" i="23"/>
  <c r="T759" i="23"/>
  <c r="T760" i="23"/>
  <c r="T761" i="23"/>
  <c r="T762" i="23"/>
  <c r="T763" i="23"/>
  <c r="T764" i="23"/>
  <c r="T765" i="23"/>
  <c r="T766" i="23"/>
  <c r="T767" i="23"/>
  <c r="T768" i="23"/>
  <c r="T769" i="23"/>
  <c r="T770" i="23"/>
  <c r="T771" i="23"/>
  <c r="T772" i="23"/>
  <c r="T773" i="23"/>
  <c r="T774" i="23"/>
  <c r="T775" i="23"/>
  <c r="T776" i="23"/>
  <c r="T777" i="23"/>
  <c r="T778" i="23"/>
  <c r="T779" i="23"/>
  <c r="T780" i="23"/>
  <c r="T781" i="23"/>
  <c r="T782" i="23"/>
  <c r="T783" i="23"/>
  <c r="T784" i="23"/>
  <c r="T785" i="23"/>
  <c r="T786" i="23"/>
  <c r="T787" i="23"/>
  <c r="T788" i="23"/>
  <c r="T789" i="23"/>
  <c r="T790" i="23"/>
  <c r="T791" i="23"/>
  <c r="T792" i="23"/>
  <c r="T793" i="23"/>
  <c r="T794" i="23"/>
  <c r="T795" i="23"/>
  <c r="T796" i="23"/>
  <c r="T797" i="23"/>
  <c r="T798" i="23"/>
  <c r="T799" i="23"/>
  <c r="T800" i="23"/>
  <c r="T801" i="23"/>
  <c r="T802" i="23"/>
  <c r="T803" i="23"/>
  <c r="T804" i="23"/>
  <c r="T805" i="23"/>
  <c r="T806" i="23"/>
  <c r="T807" i="23"/>
  <c r="T808" i="23"/>
  <c r="T809" i="23"/>
  <c r="T810" i="23"/>
  <c r="T811" i="23"/>
  <c r="T812" i="23"/>
  <c r="T813" i="23"/>
  <c r="T814" i="23"/>
  <c r="T815" i="23"/>
  <c r="T816" i="23"/>
  <c r="T817" i="23"/>
  <c r="T818" i="23"/>
  <c r="T819" i="23"/>
  <c r="T820" i="23"/>
  <c r="T821" i="23"/>
  <c r="T822" i="23"/>
  <c r="T823" i="23"/>
  <c r="T824" i="23"/>
  <c r="T825" i="23"/>
  <c r="T826" i="23"/>
  <c r="T827" i="23"/>
  <c r="T828" i="23"/>
  <c r="T829" i="23"/>
  <c r="T830" i="23"/>
  <c r="T831" i="23"/>
  <c r="T832" i="23"/>
  <c r="T833" i="23"/>
  <c r="T834" i="23"/>
  <c r="T835" i="23"/>
  <c r="T836" i="23"/>
  <c r="T837" i="23"/>
  <c r="T838" i="23"/>
  <c r="T839" i="23"/>
  <c r="T840" i="23"/>
  <c r="T841" i="23"/>
  <c r="T842" i="23"/>
  <c r="T843" i="23"/>
  <c r="T844" i="23"/>
  <c r="T845" i="23"/>
  <c r="T846" i="23"/>
  <c r="T847" i="23"/>
  <c r="T848" i="23"/>
  <c r="T849" i="23"/>
  <c r="T850" i="23"/>
  <c r="T3" i="23"/>
  <c r="K4" i="23"/>
  <c r="L4" i="23"/>
  <c r="K5" i="23"/>
  <c r="L5" i="23"/>
  <c r="K6" i="23"/>
  <c r="L6" i="23"/>
  <c r="K7" i="23"/>
  <c r="L7" i="23"/>
  <c r="K8" i="23"/>
  <c r="L8" i="23"/>
  <c r="K9" i="23"/>
  <c r="L9" i="23"/>
  <c r="K10" i="23"/>
  <c r="L10" i="23"/>
  <c r="K11" i="23"/>
  <c r="L11" i="23"/>
  <c r="K12" i="23"/>
  <c r="L12" i="23"/>
  <c r="K13" i="23"/>
  <c r="L13" i="23"/>
  <c r="K14" i="23"/>
  <c r="L14" i="23"/>
  <c r="K15" i="23"/>
  <c r="L15" i="23"/>
  <c r="K16" i="23"/>
  <c r="L16" i="23"/>
  <c r="K17" i="23"/>
  <c r="L17" i="23"/>
  <c r="K18" i="23"/>
  <c r="L18" i="23"/>
  <c r="K19" i="23"/>
  <c r="L19" i="23"/>
  <c r="K20" i="23"/>
  <c r="L20" i="23"/>
  <c r="K21" i="23"/>
  <c r="L21" i="23"/>
  <c r="K22" i="23"/>
  <c r="L22" i="23"/>
  <c r="K23" i="23"/>
  <c r="L23" i="23"/>
  <c r="K24" i="23"/>
  <c r="L24" i="23"/>
  <c r="K25" i="23"/>
  <c r="L25" i="23"/>
  <c r="K26" i="23"/>
  <c r="L26" i="23"/>
  <c r="K27" i="23"/>
  <c r="L27" i="23"/>
  <c r="K28" i="23"/>
  <c r="L28" i="23"/>
  <c r="K29" i="23"/>
  <c r="L29" i="23"/>
  <c r="K30" i="23"/>
  <c r="L30" i="23"/>
  <c r="K31" i="23"/>
  <c r="L31" i="23"/>
  <c r="K32" i="23"/>
  <c r="L32" i="23"/>
  <c r="K33" i="23"/>
  <c r="L33" i="23"/>
  <c r="K34" i="23"/>
  <c r="L34" i="23"/>
  <c r="K35" i="23"/>
  <c r="L35" i="23"/>
  <c r="K36" i="23"/>
  <c r="L36" i="23"/>
  <c r="K37" i="23"/>
  <c r="L37" i="23"/>
  <c r="K38" i="23"/>
  <c r="L38" i="23"/>
  <c r="K39" i="23"/>
  <c r="L39" i="23"/>
  <c r="K40" i="23"/>
  <c r="L40" i="23"/>
  <c r="K41" i="23"/>
  <c r="L41" i="23"/>
  <c r="K42" i="23"/>
  <c r="L42" i="23"/>
  <c r="K43" i="23"/>
  <c r="L43" i="23"/>
  <c r="K44" i="23"/>
  <c r="L44" i="23"/>
  <c r="K45" i="23"/>
  <c r="L45" i="23"/>
  <c r="K46" i="23"/>
  <c r="L46" i="23"/>
  <c r="K47" i="23"/>
  <c r="L47" i="23"/>
  <c r="K48" i="23"/>
  <c r="L48" i="23"/>
  <c r="K49" i="23"/>
  <c r="L49" i="23"/>
  <c r="K50" i="23"/>
  <c r="L50" i="23"/>
  <c r="K51" i="23"/>
  <c r="L51" i="23"/>
  <c r="K52" i="23"/>
  <c r="L52" i="23"/>
  <c r="K53" i="23"/>
  <c r="L53" i="23"/>
  <c r="K54" i="23"/>
  <c r="L54" i="23"/>
  <c r="K55" i="23"/>
  <c r="L55" i="23"/>
  <c r="K56" i="23"/>
  <c r="L56" i="23"/>
  <c r="K57" i="23"/>
  <c r="L57" i="23"/>
  <c r="K58" i="23"/>
  <c r="L58" i="23"/>
  <c r="K59" i="23"/>
  <c r="L59" i="23"/>
  <c r="K60" i="23"/>
  <c r="L60" i="23"/>
  <c r="K61" i="23"/>
  <c r="L61" i="23"/>
  <c r="K62" i="23"/>
  <c r="L62" i="23"/>
  <c r="K63" i="23"/>
  <c r="L63" i="23"/>
  <c r="K64" i="23"/>
  <c r="L64" i="23"/>
  <c r="K65" i="23"/>
  <c r="L65" i="23"/>
  <c r="K66" i="23"/>
  <c r="L66" i="23"/>
  <c r="K67" i="23"/>
  <c r="L67" i="23"/>
  <c r="K68" i="23"/>
  <c r="L68" i="23"/>
  <c r="K69" i="23"/>
  <c r="L69" i="23"/>
  <c r="K70" i="23"/>
  <c r="L70" i="23"/>
  <c r="K71" i="23"/>
  <c r="L71" i="23"/>
  <c r="K72" i="23"/>
  <c r="L72" i="23"/>
  <c r="K73" i="23"/>
  <c r="L73" i="23"/>
  <c r="K74" i="23"/>
  <c r="L74" i="23"/>
  <c r="K75" i="23"/>
  <c r="L75" i="23"/>
  <c r="K76" i="23"/>
  <c r="L76" i="23"/>
  <c r="K77" i="23"/>
  <c r="L77" i="23"/>
  <c r="K78" i="23"/>
  <c r="L78" i="23"/>
  <c r="K79" i="23"/>
  <c r="L79" i="23"/>
  <c r="K80" i="23"/>
  <c r="L80" i="23"/>
  <c r="K81" i="23"/>
  <c r="L81" i="23"/>
  <c r="K82" i="23"/>
  <c r="L82" i="23"/>
  <c r="K83" i="23"/>
  <c r="L83" i="23"/>
  <c r="K84" i="23"/>
  <c r="L84" i="23"/>
  <c r="K85" i="23"/>
  <c r="L85" i="23"/>
  <c r="K86" i="23"/>
  <c r="L86" i="23"/>
  <c r="K87" i="23"/>
  <c r="L87" i="23"/>
  <c r="K88" i="23"/>
  <c r="L88" i="23"/>
  <c r="K89" i="23"/>
  <c r="L89" i="23"/>
  <c r="K90" i="23"/>
  <c r="L90" i="23"/>
  <c r="K91" i="23"/>
  <c r="L91" i="23"/>
  <c r="K92" i="23"/>
  <c r="L92" i="23"/>
  <c r="K93" i="23"/>
  <c r="L93" i="23"/>
  <c r="K94" i="23"/>
  <c r="L94" i="23"/>
  <c r="K95" i="23"/>
  <c r="L95" i="23"/>
  <c r="K96" i="23"/>
  <c r="L96" i="23"/>
  <c r="K97" i="23"/>
  <c r="L97" i="23"/>
  <c r="K98" i="23"/>
  <c r="L98" i="23"/>
  <c r="K99" i="23"/>
  <c r="L99" i="23"/>
  <c r="K100" i="23"/>
  <c r="L100" i="23"/>
  <c r="K101" i="23"/>
  <c r="L101" i="23"/>
  <c r="K102" i="23"/>
  <c r="L102" i="23"/>
  <c r="K103" i="23"/>
  <c r="L103" i="23"/>
  <c r="K104" i="23"/>
  <c r="L104" i="23"/>
  <c r="K105" i="23"/>
  <c r="L105" i="23"/>
  <c r="K106" i="23"/>
  <c r="L106" i="23"/>
  <c r="K107" i="23"/>
  <c r="L107" i="23"/>
  <c r="K108" i="23"/>
  <c r="L108" i="23"/>
  <c r="K109" i="23"/>
  <c r="L109" i="23"/>
  <c r="K110" i="23"/>
  <c r="L110" i="23"/>
  <c r="K111" i="23"/>
  <c r="L111" i="23"/>
  <c r="K112" i="23"/>
  <c r="L112" i="23"/>
  <c r="K113" i="23"/>
  <c r="L113" i="23"/>
  <c r="K114" i="23"/>
  <c r="L114" i="23"/>
  <c r="K115" i="23"/>
  <c r="L115" i="23"/>
  <c r="K116" i="23"/>
  <c r="L116" i="23"/>
  <c r="K117" i="23"/>
  <c r="L117" i="23"/>
  <c r="K118" i="23"/>
  <c r="L118" i="23"/>
  <c r="K119" i="23"/>
  <c r="L119" i="23"/>
  <c r="K120" i="23"/>
  <c r="L120" i="23"/>
  <c r="K121" i="23"/>
  <c r="L121" i="23"/>
  <c r="K122" i="23"/>
  <c r="L122" i="23"/>
  <c r="K123" i="23"/>
  <c r="L123" i="23"/>
  <c r="K124" i="23"/>
  <c r="L124" i="23"/>
  <c r="K125" i="23"/>
  <c r="L125" i="23"/>
  <c r="K126" i="23"/>
  <c r="L126" i="23"/>
  <c r="K127" i="23"/>
  <c r="L127" i="23"/>
  <c r="K128" i="23"/>
  <c r="L128" i="23"/>
  <c r="K129" i="23"/>
  <c r="L129" i="23"/>
  <c r="K130" i="23"/>
  <c r="L130" i="23"/>
  <c r="K131" i="23"/>
  <c r="L131" i="23"/>
  <c r="K132" i="23"/>
  <c r="L132" i="23"/>
  <c r="K133" i="23"/>
  <c r="L133" i="23"/>
  <c r="K134" i="23"/>
  <c r="L134" i="23"/>
  <c r="K135" i="23"/>
  <c r="L135" i="23"/>
  <c r="K136" i="23"/>
  <c r="L136" i="23"/>
  <c r="K137" i="23"/>
  <c r="L137" i="23"/>
  <c r="K138" i="23"/>
  <c r="L138" i="23"/>
  <c r="K139" i="23"/>
  <c r="L139" i="23"/>
  <c r="K140" i="23"/>
  <c r="L140" i="23"/>
  <c r="K141" i="23"/>
  <c r="L141" i="23"/>
  <c r="K142" i="23"/>
  <c r="L142" i="23"/>
  <c r="K143" i="23"/>
  <c r="L143" i="23"/>
  <c r="K144" i="23"/>
  <c r="L144" i="23"/>
  <c r="K145" i="23"/>
  <c r="L145" i="23"/>
  <c r="K146" i="23"/>
  <c r="L146" i="23"/>
  <c r="K147" i="23"/>
  <c r="L147" i="23"/>
  <c r="K148" i="23"/>
  <c r="L148" i="23"/>
  <c r="K149" i="23"/>
  <c r="L149" i="23"/>
  <c r="K150" i="23"/>
  <c r="L150" i="23"/>
  <c r="K151" i="23"/>
  <c r="L151" i="23"/>
  <c r="K152" i="23"/>
  <c r="L152" i="23"/>
  <c r="K153" i="23"/>
  <c r="L153" i="23"/>
  <c r="K154" i="23"/>
  <c r="L154" i="23"/>
  <c r="K155" i="23"/>
  <c r="L155" i="23"/>
  <c r="K156" i="23"/>
  <c r="L156" i="23"/>
  <c r="K157" i="23"/>
  <c r="L157" i="23"/>
  <c r="K158" i="23"/>
  <c r="L158" i="23"/>
  <c r="K159" i="23"/>
  <c r="L159" i="23"/>
  <c r="K160" i="23"/>
  <c r="L160" i="23"/>
  <c r="K161" i="23"/>
  <c r="L161" i="23"/>
  <c r="K162" i="23"/>
  <c r="L162" i="23"/>
  <c r="K163" i="23"/>
  <c r="L163" i="23"/>
  <c r="K164" i="23"/>
  <c r="L164" i="23"/>
  <c r="K165" i="23"/>
  <c r="L165" i="23"/>
  <c r="K166" i="23"/>
  <c r="L166" i="23"/>
  <c r="K167" i="23"/>
  <c r="L167" i="23"/>
  <c r="K168" i="23"/>
  <c r="L168" i="23"/>
  <c r="K169" i="23"/>
  <c r="L169" i="23"/>
  <c r="K170" i="23"/>
  <c r="L170" i="23"/>
  <c r="K171" i="23"/>
  <c r="L171" i="23"/>
  <c r="K172" i="23"/>
  <c r="L172" i="23"/>
  <c r="K173" i="23"/>
  <c r="L173" i="23"/>
  <c r="K174" i="23"/>
  <c r="L174" i="23"/>
  <c r="K175" i="23"/>
  <c r="L175" i="23"/>
  <c r="K176" i="23"/>
  <c r="L176" i="23"/>
  <c r="K177" i="23"/>
  <c r="L177" i="23"/>
  <c r="K178" i="23"/>
  <c r="L178" i="23"/>
  <c r="K179" i="23"/>
  <c r="L179" i="23"/>
  <c r="K180" i="23"/>
  <c r="L180" i="23"/>
  <c r="K181" i="23"/>
  <c r="L181" i="23"/>
  <c r="K182" i="23"/>
  <c r="L182" i="23"/>
  <c r="K183" i="23"/>
  <c r="L183" i="23"/>
  <c r="K184" i="23"/>
  <c r="L184" i="23"/>
  <c r="K185" i="23"/>
  <c r="L185" i="23"/>
  <c r="K186" i="23"/>
  <c r="L186" i="23"/>
  <c r="K187" i="23"/>
  <c r="L187" i="23"/>
  <c r="K188" i="23"/>
  <c r="L188" i="23"/>
  <c r="K189" i="23"/>
  <c r="L189" i="23"/>
  <c r="K190" i="23"/>
  <c r="L190" i="23"/>
  <c r="K191" i="23"/>
  <c r="L191" i="23"/>
  <c r="K192" i="23"/>
  <c r="L192" i="23"/>
  <c r="K193" i="23"/>
  <c r="L193" i="23"/>
  <c r="K194" i="23"/>
  <c r="L194" i="23"/>
  <c r="K195" i="23"/>
  <c r="L195" i="23"/>
  <c r="K196" i="23"/>
  <c r="L196" i="23"/>
  <c r="K197" i="23"/>
  <c r="L197" i="23"/>
  <c r="K198" i="23"/>
  <c r="L198" i="23"/>
  <c r="K199" i="23"/>
  <c r="L199" i="23"/>
  <c r="K200" i="23"/>
  <c r="L200" i="23"/>
  <c r="K201" i="23"/>
  <c r="L201" i="23"/>
  <c r="K202" i="23"/>
  <c r="L202" i="23"/>
  <c r="K203" i="23"/>
  <c r="L203" i="23"/>
  <c r="K204" i="23"/>
  <c r="L204" i="23"/>
  <c r="K205" i="23"/>
  <c r="L205" i="23"/>
  <c r="K206" i="23"/>
  <c r="L206" i="23"/>
  <c r="K207" i="23"/>
  <c r="L207" i="23"/>
  <c r="K208" i="23"/>
  <c r="L208" i="23"/>
  <c r="K209" i="23"/>
  <c r="L209" i="23"/>
  <c r="K210" i="23"/>
  <c r="L210" i="23"/>
  <c r="K211" i="23"/>
  <c r="L211" i="23"/>
  <c r="K212" i="23"/>
  <c r="L212" i="23"/>
  <c r="K213" i="23"/>
  <c r="L213" i="23"/>
  <c r="K214" i="23"/>
  <c r="L214" i="23"/>
  <c r="K215" i="23"/>
  <c r="L215" i="23"/>
  <c r="K216" i="23"/>
  <c r="L216" i="23"/>
  <c r="K217" i="23"/>
  <c r="L217" i="23"/>
  <c r="K218" i="23"/>
  <c r="L218" i="23"/>
  <c r="K219" i="23"/>
  <c r="L219" i="23"/>
  <c r="K220" i="23"/>
  <c r="L220" i="23"/>
  <c r="K221" i="23"/>
  <c r="L221" i="23"/>
  <c r="K222" i="23"/>
  <c r="L222" i="23"/>
  <c r="K223" i="23"/>
  <c r="L223" i="23"/>
  <c r="K224" i="23"/>
  <c r="L224" i="23"/>
  <c r="K225" i="23"/>
  <c r="L225" i="23"/>
  <c r="K226" i="23"/>
  <c r="L226" i="23"/>
  <c r="K227" i="23"/>
  <c r="L227" i="23"/>
  <c r="K228" i="23"/>
  <c r="L228" i="23"/>
  <c r="K229" i="23"/>
  <c r="L229" i="23"/>
  <c r="K230" i="23"/>
  <c r="L230" i="23"/>
  <c r="K231" i="23"/>
  <c r="L231" i="23"/>
  <c r="K232" i="23"/>
  <c r="L232" i="23"/>
  <c r="K233" i="23"/>
  <c r="L233" i="23"/>
  <c r="K234" i="23"/>
  <c r="L234" i="23"/>
  <c r="K235" i="23"/>
  <c r="L235" i="23"/>
  <c r="K236" i="23"/>
  <c r="L236" i="23"/>
  <c r="K237" i="23"/>
  <c r="L237" i="23"/>
  <c r="K238" i="23"/>
  <c r="L238" i="23"/>
  <c r="K239" i="23"/>
  <c r="L239" i="23"/>
  <c r="K240" i="23"/>
  <c r="L240" i="23"/>
  <c r="K241" i="23"/>
  <c r="L241" i="23"/>
  <c r="K242" i="23"/>
  <c r="L242" i="23"/>
  <c r="K243" i="23"/>
  <c r="L243" i="23"/>
  <c r="K244" i="23"/>
  <c r="L244" i="23"/>
  <c r="K245" i="23"/>
  <c r="L245" i="23"/>
  <c r="K246" i="23"/>
  <c r="L246" i="23"/>
  <c r="K247" i="23"/>
  <c r="L247" i="23"/>
  <c r="K248" i="23"/>
  <c r="L248" i="23"/>
  <c r="K249" i="23"/>
  <c r="L249" i="23"/>
  <c r="K250" i="23"/>
  <c r="L250" i="23"/>
  <c r="K251" i="23"/>
  <c r="L251" i="23"/>
  <c r="K252" i="23"/>
  <c r="L252" i="23"/>
  <c r="K253" i="23"/>
  <c r="L253" i="23"/>
  <c r="K254" i="23"/>
  <c r="L254" i="23"/>
  <c r="K255" i="23"/>
  <c r="L255" i="23"/>
  <c r="K256" i="23"/>
  <c r="L256" i="23"/>
  <c r="K257" i="23"/>
  <c r="L257" i="23"/>
  <c r="K258" i="23"/>
  <c r="L258" i="23"/>
  <c r="K259" i="23"/>
  <c r="L259" i="23"/>
  <c r="K260" i="23"/>
  <c r="L260" i="23"/>
  <c r="K261" i="23"/>
  <c r="L261" i="23"/>
  <c r="K262" i="23"/>
  <c r="L262" i="23"/>
  <c r="K263" i="23"/>
  <c r="L263" i="23"/>
  <c r="K264" i="23"/>
  <c r="L264" i="23"/>
  <c r="K265" i="23"/>
  <c r="L265" i="23"/>
  <c r="K266" i="23"/>
  <c r="L266" i="23"/>
  <c r="K267" i="23"/>
  <c r="L267" i="23"/>
  <c r="K268" i="23"/>
  <c r="L268" i="23"/>
  <c r="K269" i="23"/>
  <c r="L269" i="23"/>
  <c r="K270" i="23"/>
  <c r="L270" i="23"/>
  <c r="K271" i="23"/>
  <c r="L271" i="23"/>
  <c r="K272" i="23"/>
  <c r="L272" i="23"/>
  <c r="K273" i="23"/>
  <c r="L273" i="23"/>
  <c r="K274" i="23"/>
  <c r="L274" i="23"/>
  <c r="K275" i="23"/>
  <c r="L275" i="23"/>
  <c r="K276" i="23"/>
  <c r="L276" i="23"/>
  <c r="K277" i="23"/>
  <c r="L277" i="23"/>
  <c r="K278" i="23"/>
  <c r="L278" i="23"/>
  <c r="K279" i="23"/>
  <c r="L279" i="23"/>
  <c r="K280" i="23"/>
  <c r="L280" i="23"/>
  <c r="K281" i="23"/>
  <c r="L281" i="23"/>
  <c r="K282" i="23"/>
  <c r="L282" i="23"/>
  <c r="K283" i="23"/>
  <c r="L283" i="23"/>
  <c r="K284" i="23"/>
  <c r="L284" i="23"/>
  <c r="K285" i="23"/>
  <c r="L285" i="23"/>
  <c r="K286" i="23"/>
  <c r="L286" i="23"/>
  <c r="K287" i="23"/>
  <c r="L287" i="23"/>
  <c r="K288" i="23"/>
  <c r="L288" i="23"/>
  <c r="K289" i="23"/>
  <c r="L289" i="23"/>
  <c r="K290" i="23"/>
  <c r="L290" i="23"/>
  <c r="K291" i="23"/>
  <c r="L291" i="23"/>
  <c r="K292" i="23"/>
  <c r="L292" i="23"/>
  <c r="K293" i="23"/>
  <c r="L293" i="23"/>
  <c r="K294" i="23"/>
  <c r="L294" i="23"/>
  <c r="K295" i="23"/>
  <c r="L295" i="23"/>
  <c r="K296" i="23"/>
  <c r="L296" i="23"/>
  <c r="K297" i="23"/>
  <c r="L297" i="23"/>
  <c r="K298" i="23"/>
  <c r="L298" i="23"/>
  <c r="K299" i="23"/>
  <c r="L299" i="23"/>
  <c r="K300" i="23"/>
  <c r="L300" i="23"/>
  <c r="K301" i="23"/>
  <c r="L301" i="23"/>
  <c r="K302" i="23"/>
  <c r="L302" i="23"/>
  <c r="K303" i="23"/>
  <c r="L303" i="23"/>
  <c r="K304" i="23"/>
  <c r="L304" i="23"/>
  <c r="K305" i="23"/>
  <c r="L305" i="23"/>
  <c r="K306" i="23"/>
  <c r="L306" i="23"/>
  <c r="K307" i="23"/>
  <c r="L307" i="23"/>
  <c r="K308" i="23"/>
  <c r="L308" i="23"/>
  <c r="K309" i="23"/>
  <c r="L309" i="23"/>
  <c r="K310" i="23"/>
  <c r="L310" i="23"/>
  <c r="K311" i="23"/>
  <c r="L311" i="23"/>
  <c r="K312" i="23"/>
  <c r="L312" i="23"/>
  <c r="K313" i="23"/>
  <c r="L313" i="23"/>
  <c r="K314" i="23"/>
  <c r="L314" i="23"/>
  <c r="K315" i="23"/>
  <c r="L315" i="23"/>
  <c r="K316" i="23"/>
  <c r="L316" i="23"/>
  <c r="K317" i="23"/>
  <c r="L317" i="23"/>
  <c r="K318" i="23"/>
  <c r="L318" i="23"/>
  <c r="K319" i="23"/>
  <c r="L319" i="23"/>
  <c r="K320" i="23"/>
  <c r="L320" i="23"/>
  <c r="K321" i="23"/>
  <c r="L321" i="23"/>
  <c r="K322" i="23"/>
  <c r="L322" i="23"/>
  <c r="K323" i="23"/>
  <c r="L323" i="23"/>
  <c r="K324" i="23"/>
  <c r="L324" i="23"/>
  <c r="K325" i="23"/>
  <c r="L325" i="23"/>
  <c r="K326" i="23"/>
  <c r="L326" i="23"/>
  <c r="K327" i="23"/>
  <c r="L327" i="23"/>
  <c r="K328" i="23"/>
  <c r="L328" i="23"/>
  <c r="K329" i="23"/>
  <c r="L329" i="23"/>
  <c r="K330" i="23"/>
  <c r="L330" i="23"/>
  <c r="K331" i="23"/>
  <c r="L331" i="23"/>
  <c r="K332" i="23"/>
  <c r="L332" i="23"/>
  <c r="K333" i="23"/>
  <c r="L333" i="23"/>
  <c r="K334" i="23"/>
  <c r="L334" i="23"/>
  <c r="K335" i="23"/>
  <c r="L335" i="23"/>
  <c r="K336" i="23"/>
  <c r="L336" i="23"/>
  <c r="K337" i="23"/>
  <c r="L337" i="23"/>
  <c r="K338" i="23"/>
  <c r="L338" i="23"/>
  <c r="K339" i="23"/>
  <c r="L339" i="23"/>
  <c r="K340" i="23"/>
  <c r="L340" i="23"/>
  <c r="K341" i="23"/>
  <c r="L341" i="23"/>
  <c r="K342" i="23"/>
  <c r="L342" i="23"/>
  <c r="K343" i="23"/>
  <c r="L343" i="23"/>
  <c r="K344" i="23"/>
  <c r="L344" i="23"/>
  <c r="K345" i="23"/>
  <c r="L345" i="23"/>
  <c r="K346" i="23"/>
  <c r="L346" i="23"/>
  <c r="K347" i="23"/>
  <c r="L347" i="23"/>
  <c r="K348" i="23"/>
  <c r="L348" i="23"/>
  <c r="K349" i="23"/>
  <c r="L349" i="23"/>
  <c r="K350" i="23"/>
  <c r="L350" i="23"/>
  <c r="K351" i="23"/>
  <c r="L351" i="23"/>
  <c r="K352" i="23"/>
  <c r="L352" i="23"/>
  <c r="K353" i="23"/>
  <c r="L353" i="23"/>
  <c r="K354" i="23"/>
  <c r="L354" i="23"/>
  <c r="K355" i="23"/>
  <c r="L355" i="23"/>
  <c r="K356" i="23"/>
  <c r="L356" i="23"/>
  <c r="K357" i="23"/>
  <c r="L357" i="23"/>
  <c r="K358" i="23"/>
  <c r="L358" i="23"/>
  <c r="K359" i="23"/>
  <c r="L359" i="23"/>
  <c r="K360" i="23"/>
  <c r="L360" i="23"/>
  <c r="K361" i="23"/>
  <c r="L361" i="23"/>
  <c r="K362" i="23"/>
  <c r="L362" i="23"/>
  <c r="K363" i="23"/>
  <c r="L363" i="23"/>
  <c r="K364" i="23"/>
  <c r="L364" i="23"/>
  <c r="K365" i="23"/>
  <c r="L365" i="23"/>
  <c r="K366" i="23"/>
  <c r="L366" i="23"/>
  <c r="K367" i="23"/>
  <c r="L367" i="23"/>
  <c r="K368" i="23"/>
  <c r="L368" i="23"/>
  <c r="K369" i="23"/>
  <c r="L369" i="23"/>
  <c r="K370" i="23"/>
  <c r="L370" i="23"/>
  <c r="K371" i="23"/>
  <c r="L371" i="23"/>
  <c r="K372" i="23"/>
  <c r="L372" i="23"/>
  <c r="K373" i="23"/>
  <c r="L373" i="23"/>
  <c r="K374" i="23"/>
  <c r="L374" i="23"/>
  <c r="K375" i="23"/>
  <c r="L375" i="23"/>
  <c r="K376" i="23"/>
  <c r="L376" i="23"/>
  <c r="K377" i="23"/>
  <c r="L377" i="23"/>
  <c r="K378" i="23"/>
  <c r="L378" i="23"/>
  <c r="K379" i="23"/>
  <c r="L379" i="23"/>
  <c r="K380" i="23"/>
  <c r="L380" i="23"/>
  <c r="K381" i="23"/>
  <c r="L381" i="23"/>
  <c r="K382" i="23"/>
  <c r="L382" i="23"/>
  <c r="K383" i="23"/>
  <c r="L383" i="23"/>
  <c r="K384" i="23"/>
  <c r="L384" i="23"/>
  <c r="K385" i="23"/>
  <c r="L385" i="23"/>
  <c r="K386" i="23"/>
  <c r="L386" i="23"/>
  <c r="K387" i="23"/>
  <c r="L387" i="23"/>
  <c r="K388" i="23"/>
  <c r="L388" i="23"/>
  <c r="K389" i="23"/>
  <c r="L389" i="23"/>
  <c r="K390" i="23"/>
  <c r="L390" i="23"/>
  <c r="K391" i="23"/>
  <c r="L391" i="23"/>
  <c r="K392" i="23"/>
  <c r="L392" i="23"/>
  <c r="K393" i="23"/>
  <c r="L393" i="23"/>
  <c r="K394" i="23"/>
  <c r="L394" i="23"/>
  <c r="K395" i="23"/>
  <c r="L395" i="23"/>
  <c r="K396" i="23"/>
  <c r="L396" i="23"/>
  <c r="K397" i="23"/>
  <c r="L397" i="23"/>
  <c r="K398" i="23"/>
  <c r="L398" i="23"/>
  <c r="K399" i="23"/>
  <c r="L399" i="23"/>
  <c r="K400" i="23"/>
  <c r="L400" i="23"/>
  <c r="K401" i="23"/>
  <c r="L401" i="23"/>
  <c r="K402" i="23"/>
  <c r="L402" i="23"/>
  <c r="K403" i="23"/>
  <c r="L403" i="23"/>
  <c r="K404" i="23"/>
  <c r="L404" i="23"/>
  <c r="K405" i="23"/>
  <c r="L405" i="23"/>
  <c r="K406" i="23"/>
  <c r="L406" i="23"/>
  <c r="K407" i="23"/>
  <c r="L407" i="23"/>
  <c r="K408" i="23"/>
  <c r="L408" i="23"/>
  <c r="K409" i="23"/>
  <c r="L409" i="23"/>
  <c r="K410" i="23"/>
  <c r="L410" i="23"/>
  <c r="K411" i="23"/>
  <c r="L411" i="23"/>
  <c r="K412" i="23"/>
  <c r="L412" i="23"/>
  <c r="K413" i="23"/>
  <c r="L413" i="23"/>
  <c r="K414" i="23"/>
  <c r="L414" i="23"/>
  <c r="K415" i="23"/>
  <c r="L415" i="23"/>
  <c r="K416" i="23"/>
  <c r="L416" i="23"/>
  <c r="K417" i="23"/>
  <c r="L417" i="23"/>
  <c r="K418" i="23"/>
  <c r="L418" i="23"/>
  <c r="K419" i="23"/>
  <c r="L419" i="23"/>
  <c r="K420" i="23"/>
  <c r="L420" i="23"/>
  <c r="K421" i="23"/>
  <c r="L421" i="23"/>
  <c r="K422" i="23"/>
  <c r="L422" i="23"/>
  <c r="K423" i="23"/>
  <c r="L423" i="23"/>
  <c r="K424" i="23"/>
  <c r="L424" i="23"/>
  <c r="K425" i="23"/>
  <c r="L425" i="23"/>
  <c r="K426" i="23"/>
  <c r="L426" i="23"/>
  <c r="K427" i="23"/>
  <c r="L427" i="23"/>
  <c r="K428" i="23"/>
  <c r="L428" i="23"/>
  <c r="K429" i="23"/>
  <c r="L429" i="23"/>
  <c r="K430" i="23"/>
  <c r="L430" i="23"/>
  <c r="K431" i="23"/>
  <c r="L431" i="23"/>
  <c r="K432" i="23"/>
  <c r="L432" i="23"/>
  <c r="K433" i="23"/>
  <c r="L433" i="23"/>
  <c r="K434" i="23"/>
  <c r="L434" i="23"/>
  <c r="K435" i="23"/>
  <c r="L435" i="23"/>
  <c r="K436" i="23"/>
  <c r="L436" i="23"/>
  <c r="K437" i="23"/>
  <c r="L437" i="23"/>
  <c r="K438" i="23"/>
  <c r="L438" i="23"/>
  <c r="K439" i="23"/>
  <c r="L439" i="23"/>
  <c r="K440" i="23"/>
  <c r="L440" i="23"/>
  <c r="K441" i="23"/>
  <c r="L441" i="23"/>
  <c r="K442" i="23"/>
  <c r="L442" i="23"/>
  <c r="K443" i="23"/>
  <c r="L443" i="23"/>
  <c r="K444" i="23"/>
  <c r="L444" i="23"/>
  <c r="K445" i="23"/>
  <c r="L445" i="23"/>
  <c r="K446" i="23"/>
  <c r="L446" i="23"/>
  <c r="K447" i="23"/>
  <c r="L447" i="23"/>
  <c r="K448" i="23"/>
  <c r="L448" i="23"/>
  <c r="K449" i="23"/>
  <c r="L449" i="23"/>
  <c r="K450" i="23"/>
  <c r="L450" i="23"/>
  <c r="K451" i="23"/>
  <c r="L451" i="23"/>
  <c r="K452" i="23"/>
  <c r="L452" i="23"/>
  <c r="K453" i="23"/>
  <c r="L453" i="23"/>
  <c r="K454" i="23"/>
  <c r="L454" i="23"/>
  <c r="K455" i="23"/>
  <c r="L455" i="23"/>
  <c r="K456" i="23"/>
  <c r="L456" i="23"/>
  <c r="K457" i="23"/>
  <c r="L457" i="23"/>
  <c r="K458" i="23"/>
  <c r="L458" i="23"/>
  <c r="K459" i="23"/>
  <c r="L459" i="23"/>
  <c r="K460" i="23"/>
  <c r="L460" i="23"/>
  <c r="K461" i="23"/>
  <c r="L461" i="23"/>
  <c r="K462" i="23"/>
  <c r="L462" i="23"/>
  <c r="K463" i="23"/>
  <c r="L463" i="23"/>
  <c r="K464" i="23"/>
  <c r="L464" i="23"/>
  <c r="K465" i="23"/>
  <c r="L465" i="23"/>
  <c r="K466" i="23"/>
  <c r="L466" i="23"/>
  <c r="K467" i="23"/>
  <c r="L467" i="23"/>
  <c r="K468" i="23"/>
  <c r="L468" i="23"/>
  <c r="K469" i="23"/>
  <c r="L469" i="23"/>
  <c r="K470" i="23"/>
  <c r="L470" i="23"/>
  <c r="K471" i="23"/>
  <c r="L471" i="23"/>
  <c r="K472" i="23"/>
  <c r="L472" i="23"/>
  <c r="K473" i="23"/>
  <c r="L473" i="23"/>
  <c r="K474" i="23"/>
  <c r="L474" i="23"/>
  <c r="K475" i="23"/>
  <c r="L475" i="23"/>
  <c r="K476" i="23"/>
  <c r="L476" i="23"/>
  <c r="K477" i="23"/>
  <c r="L477" i="23"/>
  <c r="K478" i="23"/>
  <c r="L478" i="23"/>
  <c r="K479" i="23"/>
  <c r="L479" i="23"/>
  <c r="K480" i="23"/>
  <c r="L480" i="23"/>
  <c r="K481" i="23"/>
  <c r="L481" i="23"/>
  <c r="K482" i="23"/>
  <c r="L482" i="23"/>
  <c r="K483" i="23"/>
  <c r="L483" i="23"/>
  <c r="K484" i="23"/>
  <c r="L484" i="23"/>
  <c r="K485" i="23"/>
  <c r="L485" i="23"/>
  <c r="K486" i="23"/>
  <c r="L486" i="23"/>
  <c r="K487" i="23"/>
  <c r="L487" i="23"/>
  <c r="K488" i="23"/>
  <c r="L488" i="23"/>
  <c r="K489" i="23"/>
  <c r="L489" i="23"/>
  <c r="K490" i="23"/>
  <c r="L490" i="23"/>
  <c r="K491" i="23"/>
  <c r="L491" i="23"/>
  <c r="K492" i="23"/>
  <c r="L492" i="23"/>
  <c r="K493" i="23"/>
  <c r="L493" i="23"/>
  <c r="K494" i="23"/>
  <c r="L494" i="23"/>
  <c r="K495" i="23"/>
  <c r="L495" i="23"/>
  <c r="K496" i="23"/>
  <c r="L496" i="23"/>
  <c r="K497" i="23"/>
  <c r="L497" i="23"/>
  <c r="K498" i="23"/>
  <c r="L498" i="23"/>
  <c r="K499" i="23"/>
  <c r="L499" i="23"/>
  <c r="K500" i="23"/>
  <c r="L500" i="23"/>
  <c r="K501" i="23"/>
  <c r="L501" i="23"/>
  <c r="K502" i="23"/>
  <c r="L502" i="23"/>
  <c r="K503" i="23"/>
  <c r="L503" i="23"/>
  <c r="K504" i="23"/>
  <c r="L504" i="23"/>
  <c r="K505" i="23"/>
  <c r="L505" i="23"/>
  <c r="K506" i="23"/>
  <c r="L506" i="23"/>
  <c r="K507" i="23"/>
  <c r="L507" i="23"/>
  <c r="K508" i="23"/>
  <c r="L508" i="23"/>
  <c r="K509" i="23"/>
  <c r="L509" i="23"/>
  <c r="K510" i="23"/>
  <c r="L510" i="23"/>
  <c r="K511" i="23"/>
  <c r="L511" i="23"/>
  <c r="K512" i="23"/>
  <c r="L512" i="23"/>
  <c r="K513" i="23"/>
  <c r="L513" i="23"/>
  <c r="K514" i="23"/>
  <c r="L514" i="23"/>
  <c r="K515" i="23"/>
  <c r="L515" i="23"/>
  <c r="K516" i="23"/>
  <c r="L516" i="23"/>
  <c r="K517" i="23"/>
  <c r="L517" i="23"/>
  <c r="K518" i="23"/>
  <c r="L518" i="23"/>
  <c r="K519" i="23"/>
  <c r="L519" i="23"/>
  <c r="K520" i="23"/>
  <c r="L520" i="23"/>
  <c r="K521" i="23"/>
  <c r="L521" i="23"/>
  <c r="K522" i="23"/>
  <c r="L522" i="23"/>
  <c r="K523" i="23"/>
  <c r="L523" i="23"/>
  <c r="K524" i="23"/>
  <c r="L524" i="23"/>
  <c r="K525" i="23"/>
  <c r="L525" i="23"/>
  <c r="K526" i="23"/>
  <c r="L526" i="23"/>
  <c r="K527" i="23"/>
  <c r="L527" i="23"/>
  <c r="K528" i="23"/>
  <c r="L528" i="23"/>
  <c r="K529" i="23"/>
  <c r="L529" i="23"/>
  <c r="K530" i="23"/>
  <c r="L530" i="23"/>
  <c r="K531" i="23"/>
  <c r="L531" i="23"/>
  <c r="K532" i="23"/>
  <c r="L532" i="23"/>
  <c r="K533" i="23"/>
  <c r="L533" i="23"/>
  <c r="K534" i="23"/>
  <c r="L534" i="23"/>
  <c r="K535" i="23"/>
  <c r="L535" i="23"/>
  <c r="K536" i="23"/>
  <c r="L536" i="23"/>
  <c r="K537" i="23"/>
  <c r="L537" i="23"/>
  <c r="K538" i="23"/>
  <c r="L538" i="23"/>
  <c r="K539" i="23"/>
  <c r="L539" i="23"/>
  <c r="K540" i="23"/>
  <c r="L540" i="23"/>
  <c r="K541" i="23"/>
  <c r="L541" i="23"/>
  <c r="K542" i="23"/>
  <c r="L542" i="23"/>
  <c r="K543" i="23"/>
  <c r="L543" i="23"/>
  <c r="K544" i="23"/>
  <c r="L544" i="23"/>
  <c r="K545" i="23"/>
  <c r="L545" i="23"/>
  <c r="K546" i="23"/>
  <c r="L546" i="23"/>
  <c r="K547" i="23"/>
  <c r="L547" i="23"/>
  <c r="K548" i="23"/>
  <c r="L548" i="23"/>
  <c r="K549" i="23"/>
  <c r="L549" i="23"/>
  <c r="K550" i="23"/>
  <c r="L550" i="23"/>
  <c r="K551" i="23"/>
  <c r="L551" i="23"/>
  <c r="K552" i="23"/>
  <c r="L552" i="23"/>
  <c r="K553" i="23"/>
  <c r="L553" i="23"/>
  <c r="K554" i="23"/>
  <c r="L554" i="23"/>
  <c r="K555" i="23"/>
  <c r="L555" i="23"/>
  <c r="K556" i="23"/>
  <c r="L556" i="23"/>
  <c r="K557" i="23"/>
  <c r="L557" i="23"/>
  <c r="K558" i="23"/>
  <c r="L558" i="23"/>
  <c r="K559" i="23"/>
  <c r="L559" i="23"/>
  <c r="K560" i="23"/>
  <c r="L560" i="23"/>
  <c r="K561" i="23"/>
  <c r="L561" i="23"/>
  <c r="K562" i="23"/>
  <c r="L562" i="23"/>
  <c r="K563" i="23"/>
  <c r="L563" i="23"/>
  <c r="K564" i="23"/>
  <c r="L564" i="23"/>
  <c r="K565" i="23"/>
  <c r="L565" i="23"/>
  <c r="K566" i="23"/>
  <c r="L566" i="23"/>
  <c r="K567" i="23"/>
  <c r="L567" i="23"/>
  <c r="K568" i="23"/>
  <c r="L568" i="23"/>
  <c r="K569" i="23"/>
  <c r="L569" i="23"/>
  <c r="K570" i="23"/>
  <c r="L570" i="23"/>
  <c r="K571" i="23"/>
  <c r="L571" i="23"/>
  <c r="K572" i="23"/>
  <c r="L572" i="23"/>
  <c r="K573" i="23"/>
  <c r="L573" i="23"/>
  <c r="K574" i="23"/>
  <c r="L574" i="23"/>
  <c r="K575" i="23"/>
  <c r="L575" i="23"/>
  <c r="K576" i="23"/>
  <c r="L576" i="23"/>
  <c r="K577" i="23"/>
  <c r="L577" i="23"/>
  <c r="K578" i="23"/>
  <c r="L578" i="23"/>
  <c r="K579" i="23"/>
  <c r="L579" i="23"/>
  <c r="K580" i="23"/>
  <c r="L580" i="23"/>
  <c r="K581" i="23"/>
  <c r="L581" i="23"/>
  <c r="K582" i="23"/>
  <c r="L582" i="23"/>
  <c r="K583" i="23"/>
  <c r="L583" i="23"/>
  <c r="K584" i="23"/>
  <c r="L584" i="23"/>
  <c r="K585" i="23"/>
  <c r="L585" i="23"/>
  <c r="K586" i="23"/>
  <c r="L586" i="23"/>
  <c r="K587" i="23"/>
  <c r="L587" i="23"/>
  <c r="K588" i="23"/>
  <c r="L588" i="23"/>
  <c r="K589" i="23"/>
  <c r="L589" i="23"/>
  <c r="K590" i="23"/>
  <c r="L590" i="23"/>
  <c r="K591" i="23"/>
  <c r="L591" i="23"/>
  <c r="K592" i="23"/>
  <c r="L592" i="23"/>
  <c r="K593" i="23"/>
  <c r="L593" i="23"/>
  <c r="K594" i="23"/>
  <c r="L594" i="23"/>
  <c r="K595" i="23"/>
  <c r="L595" i="23"/>
  <c r="K596" i="23"/>
  <c r="L596" i="23"/>
  <c r="K597" i="23"/>
  <c r="L597" i="23"/>
  <c r="K598" i="23"/>
  <c r="L598" i="23"/>
  <c r="K599" i="23"/>
  <c r="L599" i="23"/>
  <c r="K600" i="23"/>
  <c r="L600" i="23"/>
  <c r="K601" i="23"/>
  <c r="L601" i="23"/>
  <c r="K602" i="23"/>
  <c r="L602" i="23"/>
  <c r="K603" i="23"/>
  <c r="L603" i="23"/>
  <c r="K604" i="23"/>
  <c r="L604" i="23"/>
  <c r="K605" i="23"/>
  <c r="L605" i="23"/>
  <c r="K606" i="23"/>
  <c r="L606" i="23"/>
  <c r="K607" i="23"/>
  <c r="L607" i="23"/>
  <c r="K608" i="23"/>
  <c r="L608" i="23"/>
  <c r="K609" i="23"/>
  <c r="L609" i="23"/>
  <c r="K610" i="23"/>
  <c r="L610" i="23"/>
  <c r="K611" i="23"/>
  <c r="L611" i="23"/>
  <c r="K612" i="23"/>
  <c r="L612" i="23"/>
  <c r="K613" i="23"/>
  <c r="L613" i="23"/>
  <c r="K614" i="23"/>
  <c r="L614" i="23"/>
  <c r="K615" i="23"/>
  <c r="L615" i="23"/>
  <c r="K616" i="23"/>
  <c r="L616" i="23"/>
  <c r="K617" i="23"/>
  <c r="L617" i="23"/>
  <c r="K618" i="23"/>
  <c r="L618" i="23"/>
  <c r="K619" i="23"/>
  <c r="L619" i="23"/>
  <c r="K620" i="23"/>
  <c r="L620" i="23"/>
  <c r="K621" i="23"/>
  <c r="L621" i="23"/>
  <c r="K622" i="23"/>
  <c r="L622" i="23"/>
  <c r="K623" i="23"/>
  <c r="L623" i="23"/>
  <c r="K624" i="23"/>
  <c r="L624" i="23"/>
  <c r="K625" i="23"/>
  <c r="L625" i="23"/>
  <c r="K626" i="23"/>
  <c r="L626" i="23"/>
  <c r="K627" i="23"/>
  <c r="L627" i="23"/>
  <c r="K628" i="23"/>
  <c r="L628" i="23"/>
  <c r="K629" i="23"/>
  <c r="L629" i="23"/>
  <c r="K630" i="23"/>
  <c r="L630" i="23"/>
  <c r="K631" i="23"/>
  <c r="L631" i="23"/>
  <c r="K632" i="23"/>
  <c r="L632" i="23"/>
  <c r="K633" i="23"/>
  <c r="L633" i="23"/>
  <c r="K634" i="23"/>
  <c r="L634" i="23"/>
  <c r="K635" i="23"/>
  <c r="L635" i="23"/>
  <c r="K636" i="23"/>
  <c r="L636" i="23"/>
  <c r="K637" i="23"/>
  <c r="L637" i="23"/>
  <c r="K638" i="23"/>
  <c r="L638" i="23"/>
  <c r="K639" i="23"/>
  <c r="L639" i="23"/>
  <c r="K640" i="23"/>
  <c r="L640" i="23"/>
  <c r="K641" i="23"/>
  <c r="L641" i="23"/>
  <c r="K642" i="23"/>
  <c r="L642" i="23"/>
  <c r="K643" i="23"/>
  <c r="L643" i="23"/>
  <c r="K644" i="23"/>
  <c r="L644" i="23"/>
  <c r="K645" i="23"/>
  <c r="L645" i="23"/>
  <c r="K646" i="23"/>
  <c r="L646" i="23"/>
  <c r="K647" i="23"/>
  <c r="L647" i="23"/>
  <c r="K648" i="23"/>
  <c r="L648" i="23"/>
  <c r="K649" i="23"/>
  <c r="L649" i="23"/>
  <c r="K650" i="23"/>
  <c r="L650" i="23"/>
  <c r="K651" i="23"/>
  <c r="L651" i="23"/>
  <c r="K652" i="23"/>
  <c r="L652" i="23"/>
  <c r="K653" i="23"/>
  <c r="L653" i="23"/>
  <c r="K654" i="23"/>
  <c r="L654" i="23"/>
  <c r="K655" i="23"/>
  <c r="L655" i="23"/>
  <c r="K656" i="23"/>
  <c r="L656" i="23"/>
  <c r="K657" i="23"/>
  <c r="L657" i="23"/>
  <c r="K658" i="23"/>
  <c r="L658" i="23"/>
  <c r="K659" i="23"/>
  <c r="L659" i="23"/>
  <c r="K660" i="23"/>
  <c r="L660" i="23"/>
  <c r="K661" i="23"/>
  <c r="L661" i="23"/>
  <c r="K662" i="23"/>
  <c r="L662" i="23"/>
  <c r="K663" i="23"/>
  <c r="L663" i="23"/>
  <c r="K664" i="23"/>
  <c r="L664" i="23"/>
  <c r="K665" i="23"/>
  <c r="L665" i="23"/>
  <c r="K666" i="23"/>
  <c r="L666" i="23"/>
  <c r="K667" i="23"/>
  <c r="L667" i="23"/>
  <c r="K668" i="23"/>
  <c r="L668" i="23"/>
  <c r="K669" i="23"/>
  <c r="L669" i="23"/>
  <c r="K670" i="23"/>
  <c r="L670" i="23"/>
  <c r="K671" i="23"/>
  <c r="L671" i="23"/>
  <c r="K672" i="23"/>
  <c r="L672" i="23"/>
  <c r="K673" i="23"/>
  <c r="L673" i="23"/>
  <c r="K674" i="23"/>
  <c r="L674" i="23"/>
  <c r="K675" i="23"/>
  <c r="L675" i="23"/>
  <c r="K676" i="23"/>
  <c r="L676" i="23"/>
  <c r="K677" i="23"/>
  <c r="L677" i="23"/>
  <c r="K678" i="23"/>
  <c r="L678" i="23"/>
  <c r="K679" i="23"/>
  <c r="L679" i="23"/>
  <c r="K680" i="23"/>
  <c r="L680" i="23"/>
  <c r="K681" i="23"/>
  <c r="L681" i="23"/>
  <c r="K682" i="23"/>
  <c r="L682" i="23"/>
  <c r="K683" i="23"/>
  <c r="L683" i="23"/>
  <c r="K684" i="23"/>
  <c r="L684" i="23"/>
  <c r="K685" i="23"/>
  <c r="L685" i="23"/>
  <c r="K686" i="23"/>
  <c r="L686" i="23"/>
  <c r="K687" i="23"/>
  <c r="L687" i="23"/>
  <c r="K688" i="23"/>
  <c r="L688" i="23"/>
  <c r="K689" i="23"/>
  <c r="L689" i="23"/>
  <c r="K690" i="23"/>
  <c r="L690" i="23"/>
  <c r="K691" i="23"/>
  <c r="L691" i="23"/>
  <c r="K692" i="23"/>
  <c r="L692" i="23"/>
  <c r="K693" i="23"/>
  <c r="L693" i="23"/>
  <c r="K694" i="23"/>
  <c r="L694" i="23"/>
  <c r="K695" i="23"/>
  <c r="L695" i="23"/>
  <c r="K696" i="23"/>
  <c r="L696" i="23"/>
  <c r="K697" i="23"/>
  <c r="L697" i="23"/>
  <c r="K698" i="23"/>
  <c r="L698" i="23"/>
  <c r="K699" i="23"/>
  <c r="L699" i="23"/>
  <c r="K700" i="23"/>
  <c r="L700" i="23"/>
  <c r="K701" i="23"/>
  <c r="L701" i="23"/>
  <c r="K702" i="23"/>
  <c r="L702" i="23"/>
  <c r="K703" i="23"/>
  <c r="L703" i="23"/>
  <c r="K704" i="23"/>
  <c r="L704" i="23"/>
  <c r="K705" i="23"/>
  <c r="L705" i="23"/>
  <c r="K706" i="23"/>
  <c r="L706" i="23"/>
  <c r="K707" i="23"/>
  <c r="L707" i="23"/>
  <c r="K708" i="23"/>
  <c r="L708" i="23"/>
  <c r="K709" i="23"/>
  <c r="L709" i="23"/>
  <c r="K710" i="23"/>
  <c r="L710" i="23"/>
  <c r="K711" i="23"/>
  <c r="L711" i="23"/>
  <c r="K712" i="23"/>
  <c r="L712" i="23"/>
  <c r="K713" i="23"/>
  <c r="L713" i="23"/>
  <c r="K714" i="23"/>
  <c r="L714" i="23"/>
  <c r="K715" i="23"/>
  <c r="L715" i="23"/>
  <c r="K716" i="23"/>
  <c r="L716" i="23"/>
  <c r="K717" i="23"/>
  <c r="L717" i="23"/>
  <c r="K718" i="23"/>
  <c r="L718" i="23"/>
  <c r="K719" i="23"/>
  <c r="L719" i="23"/>
  <c r="K720" i="23"/>
  <c r="L720" i="23"/>
  <c r="K721" i="23"/>
  <c r="L721" i="23"/>
  <c r="K722" i="23"/>
  <c r="L722" i="23"/>
  <c r="K723" i="23"/>
  <c r="L723" i="23"/>
  <c r="K724" i="23"/>
  <c r="L724" i="23"/>
  <c r="K725" i="23"/>
  <c r="L725" i="23"/>
  <c r="K726" i="23"/>
  <c r="L726" i="23"/>
  <c r="K727" i="23"/>
  <c r="L727" i="23"/>
  <c r="K728" i="23"/>
  <c r="L728" i="23"/>
  <c r="K729" i="23"/>
  <c r="L729" i="23"/>
  <c r="L3" i="23"/>
  <c r="K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H38" i="23" s="1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H92" i="23" s="1"/>
  <c r="F93" i="23"/>
  <c r="H93" i="23" s="1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H154" i="23" s="1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H218" i="23" s="1"/>
  <c r="F219" i="23"/>
  <c r="H219" i="23" s="1"/>
  <c r="F220" i="23"/>
  <c r="H220" i="23" s="1"/>
  <c r="F221" i="23"/>
  <c r="F222" i="23"/>
  <c r="F223" i="23"/>
  <c r="F224" i="23"/>
  <c r="F225" i="23"/>
  <c r="F226" i="23"/>
  <c r="F227" i="23"/>
  <c r="F228" i="23"/>
  <c r="F229" i="23"/>
  <c r="F230" i="23"/>
  <c r="H230" i="23" s="1"/>
  <c r="F231" i="23"/>
  <c r="F232" i="23"/>
  <c r="F233" i="23"/>
  <c r="F234" i="23"/>
  <c r="F235" i="23"/>
  <c r="F236" i="23"/>
  <c r="F237" i="23"/>
  <c r="F238" i="23"/>
  <c r="F239" i="23"/>
  <c r="F240" i="23"/>
  <c r="F241" i="23"/>
  <c r="F242" i="23"/>
  <c r="H242" i="23" s="1"/>
  <c r="F243" i="23"/>
  <c r="F244" i="23"/>
  <c r="F245" i="23"/>
  <c r="F246" i="23"/>
  <c r="F247" i="23"/>
  <c r="F248" i="23"/>
  <c r="F249" i="23"/>
  <c r="F250" i="23"/>
  <c r="F251" i="23"/>
  <c r="F252" i="23"/>
  <c r="F253" i="23"/>
  <c r="F254" i="23"/>
  <c r="F255" i="23"/>
  <c r="F256" i="23"/>
  <c r="F257" i="23"/>
  <c r="F258" i="23"/>
  <c r="F259" i="23"/>
  <c r="F260" i="23"/>
  <c r="F261" i="23"/>
  <c r="F262" i="23"/>
  <c r="F263" i="23"/>
  <c r="F264" i="23"/>
  <c r="F265" i="23"/>
  <c r="F266" i="23"/>
  <c r="F267" i="23"/>
  <c r="F268" i="23"/>
  <c r="F269" i="23"/>
  <c r="F270" i="23"/>
  <c r="F271" i="23"/>
  <c r="F272" i="23"/>
  <c r="F273" i="23"/>
  <c r="F274" i="23"/>
  <c r="F275" i="23"/>
  <c r="F276" i="23"/>
  <c r="F277" i="23"/>
  <c r="F278" i="23"/>
  <c r="F279" i="23"/>
  <c r="F280" i="23"/>
  <c r="F281" i="23"/>
  <c r="F282" i="23"/>
  <c r="H282" i="23" s="1"/>
  <c r="F283" i="23"/>
  <c r="H283" i="23" s="1"/>
  <c r="F284" i="23"/>
  <c r="F285" i="23"/>
  <c r="H285" i="23" s="1"/>
  <c r="F286" i="23"/>
  <c r="H286" i="23" s="1"/>
  <c r="F287" i="23"/>
  <c r="F288" i="23"/>
  <c r="F289" i="23"/>
  <c r="F290" i="23"/>
  <c r="F291" i="23"/>
  <c r="F292" i="23"/>
  <c r="F293" i="23"/>
  <c r="F294" i="23"/>
  <c r="H294" i="23" s="1"/>
  <c r="F295" i="23"/>
  <c r="F296" i="23"/>
  <c r="F297" i="23"/>
  <c r="F298" i="23"/>
  <c r="F299" i="23"/>
  <c r="F300" i="23"/>
  <c r="F301" i="23"/>
  <c r="F302" i="23"/>
  <c r="F303" i="23"/>
  <c r="F304" i="23"/>
  <c r="F305" i="23"/>
  <c r="F306" i="23"/>
  <c r="F307" i="23"/>
  <c r="F308" i="23"/>
  <c r="F309" i="23"/>
  <c r="F310" i="23"/>
  <c r="F311" i="23"/>
  <c r="F312" i="23"/>
  <c r="F313" i="23"/>
  <c r="F314" i="23"/>
  <c r="F315" i="23"/>
  <c r="F316" i="23"/>
  <c r="F317" i="23"/>
  <c r="F318" i="23"/>
  <c r="F319" i="23"/>
  <c r="F320" i="23"/>
  <c r="F321" i="23"/>
  <c r="F322" i="23"/>
  <c r="F323" i="23"/>
  <c r="F324" i="23"/>
  <c r="F325" i="23"/>
  <c r="F326" i="23"/>
  <c r="F327" i="23"/>
  <c r="F328" i="23"/>
  <c r="F329" i="23"/>
  <c r="F330" i="23"/>
  <c r="F331" i="23"/>
  <c r="F332" i="23"/>
  <c r="F333" i="23"/>
  <c r="F334" i="23"/>
  <c r="F335" i="23"/>
  <c r="F336" i="23"/>
  <c r="F337" i="23"/>
  <c r="F338" i="23"/>
  <c r="F339" i="23"/>
  <c r="F340" i="23"/>
  <c r="F341" i="23"/>
  <c r="F342" i="23"/>
  <c r="F343" i="23"/>
  <c r="F344" i="23"/>
  <c r="F345" i="23"/>
  <c r="F346" i="23"/>
  <c r="F347" i="23"/>
  <c r="F348" i="23"/>
  <c r="F349" i="23"/>
  <c r="F350" i="23"/>
  <c r="F351" i="23"/>
  <c r="F352" i="23"/>
  <c r="F353" i="23"/>
  <c r="F354" i="23"/>
  <c r="F355" i="23"/>
  <c r="F356" i="23"/>
  <c r="F357" i="23"/>
  <c r="F358" i="23"/>
  <c r="F359" i="23"/>
  <c r="F360" i="23"/>
  <c r="F361" i="23"/>
  <c r="F362" i="23"/>
  <c r="F363" i="23"/>
  <c r="F364" i="23"/>
  <c r="F365" i="23"/>
  <c r="F366" i="23"/>
  <c r="F367" i="23"/>
  <c r="F368" i="23"/>
  <c r="F369" i="23"/>
  <c r="F370" i="23"/>
  <c r="F371" i="23"/>
  <c r="F372" i="23"/>
  <c r="F373" i="23"/>
  <c r="F374" i="23"/>
  <c r="F375" i="23"/>
  <c r="F376" i="23"/>
  <c r="F377" i="23"/>
  <c r="F378" i="23"/>
  <c r="F379" i="23"/>
  <c r="F380" i="23"/>
  <c r="F381" i="23"/>
  <c r="F382" i="23"/>
  <c r="F383" i="23"/>
  <c r="F384" i="23"/>
  <c r="F385" i="23"/>
  <c r="F386" i="23"/>
  <c r="F387" i="23"/>
  <c r="F388" i="23"/>
  <c r="F389" i="23"/>
  <c r="F390" i="23"/>
  <c r="F391" i="23"/>
  <c r="F392" i="23"/>
  <c r="F393" i="23"/>
  <c r="F394" i="23"/>
  <c r="F395" i="23"/>
  <c r="F396" i="23"/>
  <c r="F397" i="23"/>
  <c r="F398" i="23"/>
  <c r="F399" i="23"/>
  <c r="F400" i="23"/>
  <c r="F401" i="23"/>
  <c r="F402" i="23"/>
  <c r="F403" i="23"/>
  <c r="F404" i="23"/>
  <c r="F405" i="23"/>
  <c r="F406" i="23"/>
  <c r="F407" i="23"/>
  <c r="F408" i="23"/>
  <c r="F409" i="23"/>
  <c r="F410" i="23"/>
  <c r="F411" i="23"/>
  <c r="F412" i="23"/>
  <c r="F413" i="23"/>
  <c r="F414" i="23"/>
  <c r="F415" i="23"/>
  <c r="F416" i="23"/>
  <c r="F417" i="23"/>
  <c r="F418" i="23"/>
  <c r="F419" i="23"/>
  <c r="F420" i="23"/>
  <c r="F421" i="23"/>
  <c r="F422" i="23"/>
  <c r="F423" i="23"/>
  <c r="F424" i="23"/>
  <c r="F425" i="23"/>
  <c r="F426" i="23"/>
  <c r="F427" i="23"/>
  <c r="F428" i="23"/>
  <c r="F429" i="23"/>
  <c r="F430" i="23"/>
  <c r="F431" i="23"/>
  <c r="F432" i="23"/>
  <c r="F433" i="23"/>
  <c r="F434" i="23"/>
  <c r="H434" i="23" s="1"/>
  <c r="F435" i="23"/>
  <c r="F436" i="23"/>
  <c r="F437" i="23"/>
  <c r="F438" i="23"/>
  <c r="F439" i="23"/>
  <c r="F440" i="23"/>
  <c r="F441" i="23"/>
  <c r="F442" i="23"/>
  <c r="F443" i="23"/>
  <c r="F444" i="23"/>
  <c r="F445" i="23"/>
  <c r="F446" i="23"/>
  <c r="F447" i="23"/>
  <c r="F448" i="23"/>
  <c r="F449" i="23"/>
  <c r="F450" i="23"/>
  <c r="F451" i="23"/>
  <c r="F452" i="23"/>
  <c r="F453" i="23"/>
  <c r="F454" i="23"/>
  <c r="F455" i="23"/>
  <c r="F456" i="23"/>
  <c r="F457" i="23"/>
  <c r="F458" i="23"/>
  <c r="F459" i="23"/>
  <c r="F460" i="23"/>
  <c r="F461" i="23"/>
  <c r="F462" i="23"/>
  <c r="F463" i="23"/>
  <c r="F464" i="23"/>
  <c r="F465" i="23"/>
  <c r="F466" i="23"/>
  <c r="F467" i="23"/>
  <c r="F468" i="23"/>
  <c r="F469" i="23"/>
  <c r="F470" i="23"/>
  <c r="F471" i="23"/>
  <c r="F472" i="23"/>
  <c r="F473" i="23"/>
  <c r="F474" i="23"/>
  <c r="F475" i="23"/>
  <c r="H475" i="23" s="1"/>
  <c r="F476" i="23"/>
  <c r="H476" i="23" s="1"/>
  <c r="F477" i="23"/>
  <c r="F478" i="23"/>
  <c r="F479" i="23"/>
  <c r="F480" i="23"/>
  <c r="F481" i="23"/>
  <c r="F482" i="23"/>
  <c r="F483" i="23"/>
  <c r="F484" i="23"/>
  <c r="F485" i="23"/>
  <c r="F486" i="23"/>
  <c r="F487" i="23"/>
  <c r="F488" i="23"/>
  <c r="F489" i="23"/>
  <c r="F490" i="23"/>
  <c r="F491" i="23"/>
  <c r="F492" i="23"/>
  <c r="F493" i="23"/>
  <c r="F494" i="23"/>
  <c r="F495" i="23"/>
  <c r="F496" i="23"/>
  <c r="F497" i="23"/>
  <c r="F498" i="23"/>
  <c r="F499" i="23"/>
  <c r="F500" i="23"/>
  <c r="F501" i="23"/>
  <c r="F502" i="23"/>
  <c r="F503" i="23"/>
  <c r="F504" i="23"/>
  <c r="F505" i="23"/>
  <c r="F506" i="23"/>
  <c r="F507" i="23"/>
  <c r="F508" i="23"/>
  <c r="F509" i="23"/>
  <c r="F510" i="23"/>
  <c r="F511" i="23"/>
  <c r="F512" i="23"/>
  <c r="F513" i="23"/>
  <c r="F514" i="23"/>
  <c r="F515" i="23"/>
  <c r="F516" i="23"/>
  <c r="F517" i="23"/>
  <c r="F518" i="23"/>
  <c r="F519" i="23"/>
  <c r="F520" i="23"/>
  <c r="F521" i="23"/>
  <c r="F522" i="23"/>
  <c r="F523" i="23"/>
  <c r="F524" i="23"/>
  <c r="F525" i="23"/>
  <c r="F526" i="23"/>
  <c r="F527" i="23"/>
  <c r="F528" i="23"/>
  <c r="F529" i="23"/>
  <c r="F530" i="23"/>
  <c r="F531" i="23"/>
  <c r="F532" i="23"/>
  <c r="F533" i="23"/>
  <c r="F534" i="23"/>
  <c r="F535" i="23"/>
  <c r="F536" i="23"/>
  <c r="F537" i="23"/>
  <c r="F538" i="23"/>
  <c r="H538" i="23" s="1"/>
  <c r="F539" i="23"/>
  <c r="H539" i="23" s="1"/>
  <c r="F540" i="23"/>
  <c r="H540" i="23" s="1"/>
  <c r="F541" i="23"/>
  <c r="F542" i="23"/>
  <c r="F543" i="23"/>
  <c r="F544" i="23"/>
  <c r="F545" i="23"/>
  <c r="F546" i="23"/>
  <c r="F547" i="23"/>
  <c r="F548" i="23"/>
  <c r="F549" i="23"/>
  <c r="F550" i="23"/>
  <c r="H550" i="23" s="1"/>
  <c r="F551" i="23"/>
  <c r="F552" i="23"/>
  <c r="F553" i="23"/>
  <c r="F554" i="23"/>
  <c r="F555" i="23"/>
  <c r="F556" i="23"/>
  <c r="F557" i="23"/>
  <c r="F558" i="23"/>
  <c r="F559" i="23"/>
  <c r="F560" i="23"/>
  <c r="F561" i="23"/>
  <c r="F562" i="23"/>
  <c r="H562" i="23" s="1"/>
  <c r="F563" i="23"/>
  <c r="F564" i="23"/>
  <c r="F565" i="23"/>
  <c r="F566" i="23"/>
  <c r="F567" i="23"/>
  <c r="F568" i="23"/>
  <c r="F569" i="23"/>
  <c r="F570" i="23"/>
  <c r="F571" i="23"/>
  <c r="F572" i="23"/>
  <c r="F573" i="23"/>
  <c r="F574" i="23"/>
  <c r="F575" i="23"/>
  <c r="F576" i="23"/>
  <c r="F577" i="23"/>
  <c r="F578" i="23"/>
  <c r="F579" i="23"/>
  <c r="F580" i="23"/>
  <c r="F581" i="23"/>
  <c r="F582" i="23"/>
  <c r="F583" i="23"/>
  <c r="F584" i="23"/>
  <c r="F585" i="23"/>
  <c r="F586" i="23"/>
  <c r="F587" i="23"/>
  <c r="F588" i="23"/>
  <c r="F589" i="23"/>
  <c r="F590" i="23"/>
  <c r="F591" i="23"/>
  <c r="F592" i="23"/>
  <c r="F593" i="23"/>
  <c r="F594" i="23"/>
  <c r="F595" i="23"/>
  <c r="F596" i="23"/>
  <c r="F597" i="23"/>
  <c r="F598" i="23"/>
  <c r="F599" i="23"/>
  <c r="F600" i="23"/>
  <c r="F601" i="23"/>
  <c r="F602" i="23"/>
  <c r="H602" i="23" s="1"/>
  <c r="F603" i="23"/>
  <c r="H603" i="23" s="1"/>
  <c r="F604" i="23"/>
  <c r="F605" i="23"/>
  <c r="F606" i="23"/>
  <c r="F607" i="23"/>
  <c r="F608" i="23"/>
  <c r="F609" i="23"/>
  <c r="F610" i="23"/>
  <c r="F611" i="23"/>
  <c r="F612" i="23"/>
  <c r="F613" i="23"/>
  <c r="F614" i="23"/>
  <c r="F615" i="23"/>
  <c r="F616" i="23"/>
  <c r="F617" i="23"/>
  <c r="F618" i="23"/>
  <c r="F619" i="23"/>
  <c r="F620" i="23"/>
  <c r="F621" i="23"/>
  <c r="F622" i="23"/>
  <c r="F623" i="23"/>
  <c r="F624" i="23"/>
  <c r="F625" i="23"/>
  <c r="F626" i="23"/>
  <c r="F627" i="23"/>
  <c r="F628" i="23"/>
  <c r="F629" i="23"/>
  <c r="F630" i="23"/>
  <c r="F631" i="23"/>
  <c r="F632" i="23"/>
  <c r="F633" i="23"/>
  <c r="F634" i="23"/>
  <c r="F635" i="23"/>
  <c r="F636" i="23"/>
  <c r="F637" i="23"/>
  <c r="F638" i="23"/>
  <c r="F639" i="23"/>
  <c r="F640" i="23"/>
  <c r="F641" i="23"/>
  <c r="F642" i="23"/>
  <c r="F643" i="23"/>
  <c r="F644" i="23"/>
  <c r="F645" i="23"/>
  <c r="F646" i="23"/>
  <c r="F647" i="23"/>
  <c r="F648" i="23"/>
  <c r="F649" i="23"/>
  <c r="F650" i="23"/>
  <c r="F651" i="23"/>
  <c r="F652" i="23"/>
  <c r="F653" i="23"/>
  <c r="F654" i="23"/>
  <c r="F655" i="23"/>
  <c r="F656" i="23"/>
  <c r="F657" i="23"/>
  <c r="F658" i="23"/>
  <c r="F659" i="23"/>
  <c r="F660" i="23"/>
  <c r="F661" i="23"/>
  <c r="F662" i="23"/>
  <c r="F663" i="23"/>
  <c r="F664" i="23"/>
  <c r="F665" i="23"/>
  <c r="F666" i="23"/>
  <c r="F667" i="23"/>
  <c r="F668" i="23"/>
  <c r="F669" i="23"/>
  <c r="F670" i="23"/>
  <c r="F671" i="23"/>
  <c r="F672" i="23"/>
  <c r="F673" i="23"/>
  <c r="F674" i="23"/>
  <c r="F675" i="23"/>
  <c r="F676" i="23"/>
  <c r="F677" i="23"/>
  <c r="F678" i="23"/>
  <c r="F679" i="23"/>
  <c r="F680" i="23"/>
  <c r="F681" i="23"/>
  <c r="F682" i="23"/>
  <c r="F683" i="23"/>
  <c r="F684" i="23"/>
  <c r="F685" i="23"/>
  <c r="F686" i="23"/>
  <c r="F687" i="23"/>
  <c r="F688" i="23"/>
  <c r="F689" i="23"/>
  <c r="F690" i="23"/>
  <c r="H690" i="23" s="1"/>
  <c r="F691" i="23"/>
  <c r="F692" i="23"/>
  <c r="F693" i="23"/>
  <c r="F694" i="23"/>
  <c r="F695" i="23"/>
  <c r="F696" i="23"/>
  <c r="F697" i="23"/>
  <c r="F698" i="23"/>
  <c r="F699" i="23"/>
  <c r="F700" i="23"/>
  <c r="F701" i="23"/>
  <c r="F702" i="23"/>
  <c r="F703" i="23"/>
  <c r="F704" i="23"/>
  <c r="F705" i="23"/>
  <c r="F706" i="23"/>
  <c r="F707" i="23"/>
  <c r="F708" i="23"/>
  <c r="F709" i="23"/>
  <c r="F710" i="23"/>
  <c r="F711" i="23"/>
  <c r="F712" i="23"/>
  <c r="F713" i="23"/>
  <c r="F714" i="23"/>
  <c r="F715" i="23"/>
  <c r="F716" i="23"/>
  <c r="F717" i="23"/>
  <c r="F718" i="23"/>
  <c r="F719" i="23"/>
  <c r="F720" i="23"/>
  <c r="F721" i="23"/>
  <c r="F722" i="23"/>
  <c r="F723" i="23"/>
  <c r="F724" i="23"/>
  <c r="F725" i="23"/>
  <c r="F726" i="23"/>
  <c r="F727" i="23"/>
  <c r="F728" i="23"/>
  <c r="F729" i="23"/>
  <c r="F3" i="23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346" i="22"/>
  <c r="E347" i="22"/>
  <c r="E348" i="22"/>
  <c r="E349" i="22"/>
  <c r="E350" i="22"/>
  <c r="E351" i="22"/>
  <c r="E352" i="22"/>
  <c r="E353" i="22"/>
  <c r="E354" i="22"/>
  <c r="E355" i="22"/>
  <c r="E356" i="22"/>
  <c r="E357" i="22"/>
  <c r="E358" i="22"/>
  <c r="E359" i="22"/>
  <c r="E360" i="22"/>
  <c r="E361" i="22"/>
  <c r="E362" i="22"/>
  <c r="E363" i="22"/>
  <c r="E364" i="22"/>
  <c r="E365" i="22"/>
  <c r="E366" i="22"/>
  <c r="E367" i="22"/>
  <c r="E368" i="22"/>
  <c r="E369" i="22"/>
  <c r="E370" i="22"/>
  <c r="E371" i="22"/>
  <c r="E372" i="22"/>
  <c r="E373" i="22"/>
  <c r="E374" i="22"/>
  <c r="E375" i="22"/>
  <c r="E376" i="22"/>
  <c r="E377" i="22"/>
  <c r="E378" i="22"/>
  <c r="E379" i="22"/>
  <c r="E380" i="22"/>
  <c r="E381" i="22"/>
  <c r="E382" i="22"/>
  <c r="E383" i="22"/>
  <c r="E384" i="22"/>
  <c r="E385" i="22"/>
  <c r="E386" i="22"/>
  <c r="E387" i="22"/>
  <c r="E388" i="22"/>
  <c r="E389" i="22"/>
  <c r="E390" i="22"/>
  <c r="E391" i="22"/>
  <c r="E392" i="22"/>
  <c r="E393" i="22"/>
  <c r="E394" i="22"/>
  <c r="E395" i="22"/>
  <c r="E396" i="22"/>
  <c r="E397" i="22"/>
  <c r="E398" i="22"/>
  <c r="E399" i="22"/>
  <c r="E400" i="22"/>
  <c r="E401" i="22"/>
  <c r="E402" i="22"/>
  <c r="E403" i="22"/>
  <c r="E404" i="22"/>
  <c r="E405" i="22"/>
  <c r="E406" i="22"/>
  <c r="E407" i="22"/>
  <c r="E408" i="22"/>
  <c r="E409" i="22"/>
  <c r="E410" i="22"/>
  <c r="E411" i="22"/>
  <c r="E412" i="22"/>
  <c r="E413" i="22"/>
  <c r="E414" i="22"/>
  <c r="E415" i="22"/>
  <c r="E416" i="22"/>
  <c r="E417" i="22"/>
  <c r="E418" i="22"/>
  <c r="E419" i="22"/>
  <c r="E420" i="22"/>
  <c r="E421" i="22"/>
  <c r="E422" i="22"/>
  <c r="E423" i="22"/>
  <c r="E424" i="22"/>
  <c r="E425" i="22"/>
  <c r="E426" i="22"/>
  <c r="E427" i="22"/>
  <c r="E428" i="22"/>
  <c r="E429" i="22"/>
  <c r="E430" i="22"/>
  <c r="E431" i="22"/>
  <c r="E432" i="22"/>
  <c r="E433" i="22"/>
  <c r="E434" i="22"/>
  <c r="E435" i="22"/>
  <c r="E436" i="22"/>
  <c r="E437" i="22"/>
  <c r="E438" i="22"/>
  <c r="E439" i="22"/>
  <c r="E440" i="22"/>
  <c r="E441" i="22"/>
  <c r="E442" i="22"/>
  <c r="E443" i="22"/>
  <c r="E444" i="22"/>
  <c r="E445" i="22"/>
  <c r="E446" i="22"/>
  <c r="E447" i="22"/>
  <c r="E448" i="22"/>
  <c r="E449" i="22"/>
  <c r="E450" i="22"/>
  <c r="E451" i="22"/>
  <c r="E452" i="22"/>
  <c r="E453" i="22"/>
  <c r="E454" i="22"/>
  <c r="E455" i="22"/>
  <c r="E456" i="22"/>
  <c r="E457" i="22"/>
  <c r="E458" i="22"/>
  <c r="E459" i="22"/>
  <c r="E460" i="22"/>
  <c r="E461" i="22"/>
  <c r="E462" i="22"/>
  <c r="E463" i="22"/>
  <c r="E464" i="22"/>
  <c r="E465" i="22"/>
  <c r="E466" i="22"/>
  <c r="E467" i="22"/>
  <c r="E468" i="22"/>
  <c r="E469" i="22"/>
  <c r="E470" i="22"/>
  <c r="E471" i="22"/>
  <c r="E472" i="22"/>
  <c r="E473" i="22"/>
  <c r="E474" i="22"/>
  <c r="E475" i="22"/>
  <c r="E476" i="22"/>
  <c r="E477" i="22"/>
  <c r="E478" i="22"/>
  <c r="E479" i="22"/>
  <c r="E480" i="22"/>
  <c r="E481" i="22"/>
  <c r="E482" i="22"/>
  <c r="E483" i="22"/>
  <c r="E484" i="22"/>
  <c r="E485" i="22"/>
  <c r="E486" i="22"/>
  <c r="E487" i="22"/>
  <c r="E488" i="22"/>
  <c r="E489" i="22"/>
  <c r="E490" i="22"/>
  <c r="E491" i="22"/>
  <c r="E492" i="22"/>
  <c r="E493" i="22"/>
  <c r="E494" i="22"/>
  <c r="E495" i="22"/>
  <c r="E496" i="22"/>
  <c r="E497" i="22"/>
  <c r="E498" i="22"/>
  <c r="E499" i="22"/>
  <c r="E500" i="22"/>
  <c r="E501" i="22"/>
  <c r="E502" i="22"/>
  <c r="E503" i="22"/>
  <c r="E504" i="22"/>
  <c r="E505" i="22"/>
  <c r="E506" i="22"/>
  <c r="E507" i="22"/>
  <c r="E508" i="22"/>
  <c r="E509" i="22"/>
  <c r="E510" i="22"/>
  <c r="E511" i="22"/>
  <c r="E512" i="22"/>
  <c r="E513" i="22"/>
  <c r="E514" i="22"/>
  <c r="E515" i="22"/>
  <c r="E516" i="22"/>
  <c r="E517" i="22"/>
  <c r="E518" i="22"/>
  <c r="E519" i="22"/>
  <c r="E520" i="22"/>
  <c r="E521" i="22"/>
  <c r="E522" i="22"/>
  <c r="E523" i="22"/>
  <c r="E524" i="22"/>
  <c r="E525" i="22"/>
  <c r="E526" i="22"/>
  <c r="E527" i="22"/>
  <c r="E528" i="22"/>
  <c r="E529" i="22"/>
  <c r="E530" i="22"/>
  <c r="E531" i="22"/>
  <c r="E532" i="22"/>
  <c r="E533" i="22"/>
  <c r="E534" i="22"/>
  <c r="E535" i="22"/>
  <c r="E536" i="22"/>
  <c r="E537" i="22"/>
  <c r="E538" i="22"/>
  <c r="E539" i="22"/>
  <c r="E540" i="22"/>
  <c r="E541" i="22"/>
  <c r="E542" i="22"/>
  <c r="E543" i="22"/>
  <c r="E544" i="22"/>
  <c r="E545" i="22"/>
  <c r="E546" i="22"/>
  <c r="E547" i="22"/>
  <c r="E548" i="22"/>
  <c r="E549" i="22"/>
  <c r="E550" i="22"/>
  <c r="E551" i="22"/>
  <c r="E552" i="22"/>
  <c r="E553" i="22"/>
  <c r="E554" i="22"/>
  <c r="E555" i="22"/>
  <c r="E556" i="22"/>
  <c r="E557" i="22"/>
  <c r="E558" i="22"/>
  <c r="E559" i="22"/>
  <c r="E560" i="22"/>
  <c r="E561" i="22"/>
  <c r="E562" i="22"/>
  <c r="E563" i="22"/>
  <c r="E564" i="22"/>
  <c r="E565" i="22"/>
  <c r="E566" i="22"/>
  <c r="E567" i="22"/>
  <c r="E568" i="22"/>
  <c r="E569" i="22"/>
  <c r="E570" i="22"/>
  <c r="E571" i="22"/>
  <c r="E572" i="22"/>
  <c r="E573" i="22"/>
  <c r="E574" i="22"/>
  <c r="E575" i="22"/>
  <c r="E576" i="22"/>
  <c r="E577" i="22"/>
  <c r="E578" i="22"/>
  <c r="E579" i="22"/>
  <c r="E580" i="22"/>
  <c r="E581" i="22"/>
  <c r="E582" i="22"/>
  <c r="E583" i="22"/>
  <c r="E584" i="22"/>
  <c r="E585" i="22"/>
  <c r="E586" i="22"/>
  <c r="E587" i="22"/>
  <c r="E588" i="22"/>
  <c r="E589" i="22"/>
  <c r="E590" i="22"/>
  <c r="E591" i="22"/>
  <c r="E592" i="22"/>
  <c r="E593" i="22"/>
  <c r="E594" i="22"/>
  <c r="E595" i="22"/>
  <c r="E596" i="22"/>
  <c r="E597" i="22"/>
  <c r="E598" i="22"/>
  <c r="E599" i="22"/>
  <c r="E600" i="22"/>
  <c r="E601" i="22"/>
  <c r="E602" i="22"/>
  <c r="E603" i="22"/>
  <c r="E604" i="22"/>
  <c r="E605" i="22"/>
  <c r="E606" i="22"/>
  <c r="E607" i="22"/>
  <c r="E608" i="22"/>
  <c r="E609" i="22"/>
  <c r="E610" i="22"/>
  <c r="E611" i="22"/>
  <c r="E612" i="22"/>
  <c r="E613" i="22"/>
  <c r="E614" i="22"/>
  <c r="E615" i="22"/>
  <c r="E616" i="22"/>
  <c r="E617" i="22"/>
  <c r="E618" i="22"/>
  <c r="E619" i="22"/>
  <c r="E620" i="22"/>
  <c r="E621" i="22"/>
  <c r="E622" i="22"/>
  <c r="E623" i="22"/>
  <c r="E624" i="22"/>
  <c r="E625" i="22"/>
  <c r="E626" i="22"/>
  <c r="E627" i="22"/>
  <c r="E628" i="22"/>
  <c r="E629" i="22"/>
  <c r="E630" i="22"/>
  <c r="E631" i="22"/>
  <c r="E632" i="22"/>
  <c r="E633" i="22"/>
  <c r="E634" i="22"/>
  <c r="E635" i="22"/>
  <c r="E636" i="22"/>
  <c r="E637" i="22"/>
  <c r="E638" i="22"/>
  <c r="E639" i="22"/>
  <c r="E640" i="22"/>
  <c r="E641" i="22"/>
  <c r="E642" i="22"/>
  <c r="E643" i="22"/>
  <c r="E644" i="22"/>
  <c r="E645" i="22"/>
  <c r="E646" i="22"/>
  <c r="E647" i="22"/>
  <c r="E648" i="22"/>
  <c r="E649" i="22"/>
  <c r="E650" i="22"/>
  <c r="E651" i="22"/>
  <c r="E652" i="22"/>
  <c r="E653" i="22"/>
  <c r="E654" i="22"/>
  <c r="E655" i="22"/>
  <c r="E656" i="22"/>
  <c r="E657" i="22"/>
  <c r="E658" i="22"/>
  <c r="E659" i="22"/>
  <c r="E660" i="22"/>
  <c r="E661" i="22"/>
  <c r="E662" i="22"/>
  <c r="E663" i="22"/>
  <c r="E664" i="22"/>
  <c r="E665" i="22"/>
  <c r="E666" i="22"/>
  <c r="E667" i="22"/>
  <c r="E668" i="22"/>
  <c r="E669" i="22"/>
  <c r="E670" i="22"/>
  <c r="E671" i="22"/>
  <c r="E672" i="22"/>
  <c r="E673" i="22"/>
  <c r="E674" i="22"/>
  <c r="E675" i="22"/>
  <c r="E676" i="22"/>
  <c r="E677" i="22"/>
  <c r="E678" i="22"/>
  <c r="E679" i="22"/>
  <c r="E680" i="22"/>
  <c r="E681" i="22"/>
  <c r="E682" i="22"/>
  <c r="E683" i="22"/>
  <c r="E684" i="22"/>
  <c r="E685" i="22"/>
  <c r="E686" i="22"/>
  <c r="E687" i="22"/>
  <c r="E688" i="22"/>
  <c r="E689" i="22"/>
  <c r="E690" i="22"/>
  <c r="E691" i="22"/>
  <c r="E692" i="22"/>
  <c r="E693" i="22"/>
  <c r="E694" i="22"/>
  <c r="E695" i="22"/>
  <c r="E696" i="22"/>
  <c r="E697" i="22"/>
  <c r="E698" i="22"/>
  <c r="E699" i="22"/>
  <c r="E700" i="22"/>
  <c r="E701" i="22"/>
  <c r="E702" i="22"/>
  <c r="E703" i="22"/>
  <c r="E704" i="22"/>
  <c r="E705" i="22"/>
  <c r="E706" i="22"/>
  <c r="E707" i="22"/>
  <c r="E708" i="22"/>
  <c r="E709" i="22"/>
  <c r="E710" i="22"/>
  <c r="E711" i="22"/>
  <c r="E712" i="22"/>
  <c r="E713" i="22"/>
  <c r="E714" i="22"/>
  <c r="E715" i="22"/>
  <c r="E716" i="22"/>
  <c r="E717" i="22"/>
  <c r="E718" i="22"/>
  <c r="E719" i="22"/>
  <c r="E720" i="22"/>
  <c r="E721" i="22"/>
  <c r="E722" i="22"/>
  <c r="E723" i="22"/>
  <c r="E724" i="22"/>
  <c r="E725" i="22"/>
  <c r="E726" i="22"/>
  <c r="E727" i="22"/>
  <c r="E728" i="22"/>
  <c r="E729" i="22"/>
  <c r="E730" i="22"/>
  <c r="E731" i="22"/>
  <c r="E732" i="22"/>
  <c r="E733" i="22"/>
  <c r="E734" i="22"/>
  <c r="E735" i="22"/>
  <c r="E736" i="22"/>
  <c r="E737" i="22"/>
  <c r="E738" i="22"/>
  <c r="E739" i="22"/>
  <c r="E740" i="22"/>
  <c r="E741" i="22"/>
  <c r="E742" i="22"/>
  <c r="E743" i="22"/>
  <c r="E744" i="22"/>
  <c r="E745" i="22"/>
  <c r="E746" i="22"/>
  <c r="E747" i="22"/>
  <c r="E748" i="22"/>
  <c r="E749" i="22"/>
  <c r="E750" i="22"/>
  <c r="E751" i="22"/>
  <c r="E752" i="22"/>
  <c r="E753" i="22"/>
  <c r="E754" i="22"/>
  <c r="E755" i="22"/>
  <c r="E756" i="22"/>
  <c r="E757" i="22"/>
  <c r="E758" i="22"/>
  <c r="E759" i="22"/>
  <c r="E760" i="22"/>
  <c r="E761" i="22"/>
  <c r="E762" i="22"/>
  <c r="E763" i="22"/>
  <c r="E764" i="22"/>
  <c r="E765" i="22"/>
  <c r="E766" i="22"/>
  <c r="E767" i="22"/>
  <c r="E768" i="22"/>
  <c r="E769" i="22"/>
  <c r="E770" i="22"/>
  <c r="E771" i="22"/>
  <c r="E772" i="22"/>
  <c r="E773" i="22"/>
  <c r="E774" i="22"/>
  <c r="E775" i="22"/>
  <c r="E776" i="22"/>
  <c r="E777" i="22"/>
  <c r="E778" i="22"/>
  <c r="E779" i="22"/>
  <c r="E780" i="22"/>
  <c r="E781" i="22"/>
  <c r="E782" i="22"/>
  <c r="E783" i="22"/>
  <c r="E784" i="22"/>
  <c r="E785" i="22"/>
  <c r="E786" i="22"/>
  <c r="E787" i="22"/>
  <c r="E788" i="22"/>
  <c r="E789" i="22"/>
  <c r="E790" i="22"/>
  <c r="E791" i="22"/>
  <c r="E792" i="22"/>
  <c r="E793" i="22"/>
  <c r="E794" i="22"/>
  <c r="E795" i="22"/>
  <c r="E796" i="22"/>
  <c r="E797" i="22"/>
  <c r="E798" i="22"/>
  <c r="E799" i="22"/>
  <c r="E800" i="22"/>
  <c r="E801" i="22"/>
  <c r="E802" i="22"/>
  <c r="E803" i="22"/>
  <c r="E804" i="22"/>
  <c r="E805" i="22"/>
  <c r="E806" i="22"/>
  <c r="E807" i="22"/>
  <c r="E808" i="22"/>
  <c r="E809" i="22"/>
  <c r="E810" i="22"/>
  <c r="E811" i="22"/>
  <c r="E812" i="22"/>
  <c r="E813" i="22"/>
  <c r="E814" i="22"/>
  <c r="E815" i="22"/>
  <c r="E816" i="22"/>
  <c r="E817" i="22"/>
  <c r="E3" i="22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12" i="20"/>
  <c r="E313" i="20"/>
  <c r="E314" i="20"/>
  <c r="E315" i="20"/>
  <c r="E316" i="20"/>
  <c r="E317" i="20"/>
  <c r="E318" i="20"/>
  <c r="E319" i="20"/>
  <c r="E320" i="20"/>
  <c r="E321" i="20"/>
  <c r="E322" i="20"/>
  <c r="E323" i="20"/>
  <c r="E324" i="20"/>
  <c r="E325" i="20"/>
  <c r="E326" i="20"/>
  <c r="E327" i="20"/>
  <c r="E328" i="20"/>
  <c r="E329" i="20"/>
  <c r="E330" i="20"/>
  <c r="E331" i="20"/>
  <c r="E332" i="20"/>
  <c r="E333" i="20"/>
  <c r="E334" i="20"/>
  <c r="E335" i="20"/>
  <c r="E336" i="20"/>
  <c r="E337" i="20"/>
  <c r="E338" i="20"/>
  <c r="E339" i="20"/>
  <c r="E340" i="20"/>
  <c r="E341" i="20"/>
  <c r="E342" i="20"/>
  <c r="E343" i="20"/>
  <c r="E344" i="20"/>
  <c r="E345" i="20"/>
  <c r="E346" i="20"/>
  <c r="E347" i="20"/>
  <c r="E348" i="20"/>
  <c r="E349" i="20"/>
  <c r="E350" i="20"/>
  <c r="E351" i="20"/>
  <c r="E352" i="20"/>
  <c r="E353" i="20"/>
  <c r="E354" i="20"/>
  <c r="E355" i="20"/>
  <c r="E356" i="20"/>
  <c r="E357" i="20"/>
  <c r="E358" i="20"/>
  <c r="E359" i="20"/>
  <c r="E360" i="20"/>
  <c r="E361" i="20"/>
  <c r="E362" i="20"/>
  <c r="E363" i="20"/>
  <c r="E364" i="20"/>
  <c r="E365" i="20"/>
  <c r="E366" i="20"/>
  <c r="E367" i="20"/>
  <c r="E368" i="20"/>
  <c r="E369" i="20"/>
  <c r="E370" i="20"/>
  <c r="E371" i="20"/>
  <c r="E372" i="20"/>
  <c r="E373" i="20"/>
  <c r="E374" i="20"/>
  <c r="E375" i="20"/>
  <c r="E376" i="20"/>
  <c r="E377" i="20"/>
  <c r="E378" i="20"/>
  <c r="E379" i="20"/>
  <c r="E380" i="20"/>
  <c r="E381" i="20"/>
  <c r="E382" i="20"/>
  <c r="E383" i="20"/>
  <c r="E384" i="20"/>
  <c r="E385" i="20"/>
  <c r="E386" i="20"/>
  <c r="E387" i="20"/>
  <c r="E388" i="20"/>
  <c r="E389" i="20"/>
  <c r="E390" i="20"/>
  <c r="E391" i="20"/>
  <c r="E392" i="20"/>
  <c r="E393" i="20"/>
  <c r="E394" i="20"/>
  <c r="E395" i="20"/>
  <c r="E396" i="20"/>
  <c r="E397" i="20"/>
  <c r="E398" i="20"/>
  <c r="E399" i="20"/>
  <c r="E400" i="20"/>
  <c r="E401" i="20"/>
  <c r="E402" i="20"/>
  <c r="E403" i="20"/>
  <c r="E404" i="20"/>
  <c r="E405" i="20"/>
  <c r="E406" i="20"/>
  <c r="E407" i="20"/>
  <c r="E408" i="20"/>
  <c r="E409" i="20"/>
  <c r="E410" i="20"/>
  <c r="E411" i="20"/>
  <c r="E412" i="20"/>
  <c r="E413" i="20"/>
  <c r="E414" i="20"/>
  <c r="E415" i="20"/>
  <c r="E416" i="20"/>
  <c r="E417" i="20"/>
  <c r="E418" i="20"/>
  <c r="E419" i="20"/>
  <c r="E420" i="20"/>
  <c r="E421" i="20"/>
  <c r="E422" i="20"/>
  <c r="E423" i="20"/>
  <c r="E424" i="20"/>
  <c r="E425" i="20"/>
  <c r="E426" i="20"/>
  <c r="E427" i="20"/>
  <c r="E428" i="20"/>
  <c r="E429" i="20"/>
  <c r="E430" i="20"/>
  <c r="E431" i="20"/>
  <c r="E432" i="20"/>
  <c r="E433" i="20"/>
  <c r="E434" i="20"/>
  <c r="E435" i="20"/>
  <c r="E436" i="20"/>
  <c r="E437" i="20"/>
  <c r="E438" i="20"/>
  <c r="E439" i="20"/>
  <c r="E440" i="20"/>
  <c r="E441" i="20"/>
  <c r="E442" i="20"/>
  <c r="E443" i="20"/>
  <c r="E444" i="20"/>
  <c r="E445" i="20"/>
  <c r="E446" i="20"/>
  <c r="E447" i="20"/>
  <c r="E448" i="20"/>
  <c r="E449" i="20"/>
  <c r="E450" i="20"/>
  <c r="E451" i="20"/>
  <c r="E452" i="20"/>
  <c r="E453" i="20"/>
  <c r="E454" i="20"/>
  <c r="E455" i="20"/>
  <c r="E456" i="20"/>
  <c r="E457" i="20"/>
  <c r="E458" i="20"/>
  <c r="E459" i="20"/>
  <c r="E460" i="20"/>
  <c r="E461" i="20"/>
  <c r="E462" i="20"/>
  <c r="E463" i="20"/>
  <c r="E464" i="20"/>
  <c r="E465" i="20"/>
  <c r="E466" i="20"/>
  <c r="E467" i="20"/>
  <c r="E468" i="20"/>
  <c r="E469" i="20"/>
  <c r="E470" i="20"/>
  <c r="E471" i="20"/>
  <c r="E472" i="20"/>
  <c r="E473" i="20"/>
  <c r="E474" i="20"/>
  <c r="E475" i="20"/>
  <c r="E476" i="20"/>
  <c r="E477" i="20"/>
  <c r="E478" i="20"/>
  <c r="E479" i="20"/>
  <c r="E480" i="20"/>
  <c r="E481" i="20"/>
  <c r="E482" i="20"/>
  <c r="E483" i="20"/>
  <c r="E484" i="20"/>
  <c r="E485" i="20"/>
  <c r="E486" i="20"/>
  <c r="E487" i="20"/>
  <c r="E488" i="20"/>
  <c r="E489" i="20"/>
  <c r="E490" i="20"/>
  <c r="E491" i="20"/>
  <c r="E492" i="20"/>
  <c r="E493" i="20"/>
  <c r="E494" i="20"/>
  <c r="E495" i="20"/>
  <c r="E496" i="20"/>
  <c r="E497" i="20"/>
  <c r="E498" i="20"/>
  <c r="E499" i="20"/>
  <c r="E500" i="20"/>
  <c r="E501" i="20"/>
  <c r="E502" i="20"/>
  <c r="E503" i="20"/>
  <c r="E504" i="20"/>
  <c r="E505" i="20"/>
  <c r="E506" i="20"/>
  <c r="E507" i="20"/>
  <c r="E508" i="20"/>
  <c r="E509" i="20"/>
  <c r="E510" i="20"/>
  <c r="E511" i="20"/>
  <c r="E512" i="20"/>
  <c r="E513" i="20"/>
  <c r="E514" i="20"/>
  <c r="E515" i="20"/>
  <c r="E516" i="20"/>
  <c r="E517" i="20"/>
  <c r="E518" i="20"/>
  <c r="E519" i="20"/>
  <c r="E520" i="20"/>
  <c r="E521" i="20"/>
  <c r="E522" i="20"/>
  <c r="E523" i="20"/>
  <c r="E524" i="20"/>
  <c r="E525" i="20"/>
  <c r="E526" i="20"/>
  <c r="E527" i="20"/>
  <c r="E528" i="20"/>
  <c r="E529" i="20"/>
  <c r="E530" i="20"/>
  <c r="E531" i="20"/>
  <c r="E532" i="20"/>
  <c r="E533" i="20"/>
  <c r="E534" i="20"/>
  <c r="E535" i="20"/>
  <c r="E536" i="20"/>
  <c r="E537" i="20"/>
  <c r="E538" i="20"/>
  <c r="E539" i="20"/>
  <c r="E540" i="20"/>
  <c r="E541" i="20"/>
  <c r="E542" i="20"/>
  <c r="E543" i="20"/>
  <c r="E544" i="20"/>
  <c r="E545" i="20"/>
  <c r="E546" i="20"/>
  <c r="E547" i="20"/>
  <c r="E548" i="20"/>
  <c r="E549" i="20"/>
  <c r="E550" i="20"/>
  <c r="E551" i="20"/>
  <c r="E552" i="20"/>
  <c r="E553" i="20"/>
  <c r="E554" i="20"/>
  <c r="E555" i="20"/>
  <c r="E556" i="20"/>
  <c r="E557" i="20"/>
  <c r="E558" i="20"/>
  <c r="E559" i="20"/>
  <c r="E560" i="20"/>
  <c r="E561" i="20"/>
  <c r="E562" i="20"/>
  <c r="E563" i="20"/>
  <c r="E564" i="20"/>
  <c r="E565" i="20"/>
  <c r="E566" i="20"/>
  <c r="E567" i="20"/>
  <c r="E568" i="20"/>
  <c r="E569" i="20"/>
  <c r="E570" i="20"/>
  <c r="E571" i="20"/>
  <c r="E572" i="20"/>
  <c r="E573" i="20"/>
  <c r="E574" i="20"/>
  <c r="E575" i="20"/>
  <c r="E576" i="20"/>
  <c r="E577" i="20"/>
  <c r="E578" i="20"/>
  <c r="E579" i="20"/>
  <c r="E580" i="20"/>
  <c r="E581" i="20"/>
  <c r="E582" i="20"/>
  <c r="E583" i="20"/>
  <c r="E584" i="20"/>
  <c r="E585" i="20"/>
  <c r="E586" i="20"/>
  <c r="E587" i="20"/>
  <c r="E588" i="20"/>
  <c r="E589" i="20"/>
  <c r="E590" i="20"/>
  <c r="E591" i="20"/>
  <c r="E592" i="20"/>
  <c r="E593" i="20"/>
  <c r="E594" i="20"/>
  <c r="E595" i="20"/>
  <c r="E596" i="20"/>
  <c r="E597" i="20"/>
  <c r="E598" i="20"/>
  <c r="E599" i="20"/>
  <c r="E600" i="20"/>
  <c r="E601" i="20"/>
  <c r="E602" i="20"/>
  <c r="E603" i="20"/>
  <c r="E604" i="20"/>
  <c r="E605" i="20"/>
  <c r="E606" i="20"/>
  <c r="E607" i="20"/>
  <c r="E608" i="20"/>
  <c r="E609" i="20"/>
  <c r="E610" i="20"/>
  <c r="E611" i="20"/>
  <c r="E612" i="20"/>
  <c r="E613" i="20"/>
  <c r="E614" i="20"/>
  <c r="E615" i="20"/>
  <c r="E616" i="20"/>
  <c r="E617" i="20"/>
  <c r="E618" i="20"/>
  <c r="E619" i="20"/>
  <c r="E620" i="20"/>
  <c r="E621" i="20"/>
  <c r="E622" i="20"/>
  <c r="E623" i="20"/>
  <c r="E624" i="20"/>
  <c r="E625" i="20"/>
  <c r="E626" i="20"/>
  <c r="E627" i="20"/>
  <c r="E628" i="20"/>
  <c r="E629" i="20"/>
  <c r="E630" i="20"/>
  <c r="E631" i="20"/>
  <c r="E632" i="20"/>
  <c r="E633" i="20"/>
  <c r="E634" i="20"/>
  <c r="E635" i="20"/>
  <c r="E636" i="20"/>
  <c r="E637" i="20"/>
  <c r="E638" i="20"/>
  <c r="E639" i="20"/>
  <c r="E640" i="20"/>
  <c r="E641" i="20"/>
  <c r="E642" i="20"/>
  <c r="E643" i="20"/>
  <c r="E644" i="20"/>
  <c r="E645" i="20"/>
  <c r="E646" i="20"/>
  <c r="E647" i="20"/>
  <c r="E648" i="20"/>
  <c r="E649" i="20"/>
  <c r="E650" i="20"/>
  <c r="E651" i="20"/>
  <c r="E652" i="20"/>
  <c r="E653" i="20"/>
  <c r="E654" i="20"/>
  <c r="E655" i="20"/>
  <c r="E656" i="20"/>
  <c r="E657" i="20"/>
  <c r="E658" i="20"/>
  <c r="E659" i="20"/>
  <c r="E660" i="20"/>
  <c r="E661" i="20"/>
  <c r="E662" i="20"/>
  <c r="E663" i="20"/>
  <c r="E664" i="20"/>
  <c r="E665" i="20"/>
  <c r="E666" i="20"/>
  <c r="E667" i="20"/>
  <c r="E668" i="20"/>
  <c r="E669" i="20"/>
  <c r="E670" i="20"/>
  <c r="E671" i="20"/>
  <c r="E672" i="20"/>
  <c r="E673" i="20"/>
  <c r="E674" i="20"/>
  <c r="E675" i="20"/>
  <c r="E676" i="20"/>
  <c r="E677" i="20"/>
  <c r="E678" i="20"/>
  <c r="E679" i="20"/>
  <c r="E680" i="20"/>
  <c r="E681" i="20"/>
  <c r="E682" i="20"/>
  <c r="E683" i="20"/>
  <c r="E684" i="20"/>
  <c r="E685" i="20"/>
  <c r="E686" i="20"/>
  <c r="E687" i="20"/>
  <c r="E688" i="20"/>
  <c r="E689" i="20"/>
  <c r="E690" i="20"/>
  <c r="E691" i="20"/>
  <c r="E692" i="20"/>
  <c r="E693" i="20"/>
  <c r="E694" i="20"/>
  <c r="E695" i="20"/>
  <c r="E696" i="20"/>
  <c r="E697" i="20"/>
  <c r="E698" i="20"/>
  <c r="E699" i="20"/>
  <c r="E700" i="20"/>
  <c r="E701" i="20"/>
  <c r="E702" i="20"/>
  <c r="E703" i="20"/>
  <c r="E704" i="20"/>
  <c r="E705" i="20"/>
  <c r="E706" i="20"/>
  <c r="E707" i="20"/>
  <c r="E708" i="20"/>
  <c r="E709" i="20"/>
  <c r="E710" i="20"/>
  <c r="E711" i="20"/>
  <c r="E712" i="20"/>
  <c r="E713" i="20"/>
  <c r="E714" i="20"/>
  <c r="E715" i="20"/>
  <c r="E716" i="20"/>
  <c r="E717" i="20"/>
  <c r="E718" i="20"/>
  <c r="E719" i="20"/>
  <c r="E720" i="20"/>
  <c r="E721" i="20"/>
  <c r="E722" i="20"/>
  <c r="E723" i="20"/>
  <c r="E724" i="20"/>
  <c r="E725" i="20"/>
  <c r="E726" i="20"/>
  <c r="E727" i="20"/>
  <c r="E728" i="20"/>
  <c r="E729" i="20"/>
  <c r="E730" i="20"/>
  <c r="E731" i="20"/>
  <c r="E732" i="20"/>
  <c r="E733" i="20"/>
  <c r="E734" i="20"/>
  <c r="E735" i="20"/>
  <c r="E736" i="20"/>
  <c r="E737" i="20"/>
  <c r="E738" i="20"/>
  <c r="E739" i="20"/>
  <c r="E740" i="20"/>
  <c r="E741" i="20"/>
  <c r="E742" i="20"/>
  <c r="E743" i="20"/>
  <c r="E744" i="20"/>
  <c r="E745" i="20"/>
  <c r="E746" i="20"/>
  <c r="E747" i="20"/>
  <c r="E748" i="20"/>
  <c r="E749" i="20"/>
  <c r="E750" i="20"/>
  <c r="E751" i="20"/>
  <c r="E752" i="20"/>
  <c r="E753" i="20"/>
  <c r="E754" i="20"/>
  <c r="E755" i="20"/>
  <c r="E756" i="20"/>
  <c r="E757" i="20"/>
  <c r="E758" i="20"/>
  <c r="E759" i="20"/>
  <c r="E760" i="20"/>
  <c r="E761" i="20"/>
  <c r="E762" i="20"/>
  <c r="E763" i="20"/>
  <c r="E764" i="20"/>
  <c r="E765" i="20"/>
  <c r="E766" i="20"/>
  <c r="E767" i="20"/>
  <c r="E768" i="20"/>
  <c r="E769" i="20"/>
  <c r="E770" i="20"/>
  <c r="E771" i="20"/>
  <c r="E772" i="20"/>
  <c r="E773" i="20"/>
  <c r="E774" i="20"/>
  <c r="E775" i="20"/>
  <c r="E776" i="20"/>
  <c r="E777" i="20"/>
  <c r="E778" i="20"/>
  <c r="E779" i="20"/>
  <c r="E780" i="20"/>
  <c r="E781" i="20"/>
  <c r="E782" i="20"/>
  <c r="E783" i="20"/>
  <c r="E784" i="20"/>
  <c r="E785" i="20"/>
  <c r="E786" i="20"/>
  <c r="E787" i="20"/>
  <c r="E788" i="20"/>
  <c r="E789" i="20"/>
  <c r="E790" i="20"/>
  <c r="E791" i="20"/>
  <c r="E792" i="20"/>
  <c r="E793" i="20"/>
  <c r="E794" i="20"/>
  <c r="E795" i="20"/>
  <c r="E796" i="20"/>
  <c r="E797" i="20"/>
  <c r="E798" i="20"/>
  <c r="E799" i="20"/>
  <c r="E800" i="20"/>
  <c r="E801" i="20"/>
  <c r="E802" i="20"/>
  <c r="E803" i="20"/>
  <c r="E804" i="20"/>
  <c r="E805" i="20"/>
  <c r="E806" i="20"/>
  <c r="E807" i="20"/>
  <c r="E808" i="20"/>
  <c r="E809" i="20"/>
  <c r="E810" i="20"/>
  <c r="E811" i="20"/>
  <c r="E812" i="20"/>
  <c r="E813" i="20"/>
  <c r="E814" i="20"/>
  <c r="E815" i="20"/>
  <c r="E816" i="20"/>
  <c r="E817" i="20"/>
  <c r="E3" i="20"/>
  <c r="H306" i="23" l="1"/>
  <c r="H687" i="23"/>
  <c r="H367" i="23"/>
  <c r="H622" i="23"/>
  <c r="H238" i="23"/>
  <c r="H685" i="23"/>
  <c r="H621" i="23"/>
  <c r="H557" i="23"/>
  <c r="H493" i="23"/>
  <c r="H429" i="23"/>
  <c r="H301" i="23"/>
  <c r="H237" i="23"/>
  <c r="H173" i="23"/>
  <c r="H109" i="23"/>
  <c r="H45" i="23"/>
  <c r="H114" i="23"/>
  <c r="H431" i="23"/>
  <c r="H494" i="23"/>
  <c r="H110" i="23"/>
  <c r="H556" i="23"/>
  <c r="H492" i="23"/>
  <c r="H236" i="23"/>
  <c r="H44" i="23"/>
  <c r="H178" i="23"/>
  <c r="H47" i="23"/>
  <c r="H558" i="23"/>
  <c r="H555" i="23"/>
  <c r="H491" i="23"/>
  <c r="H299" i="23"/>
  <c r="H235" i="23"/>
  <c r="H43" i="23"/>
  <c r="H498" i="23"/>
  <c r="H554" i="23"/>
  <c r="H50" i="23"/>
  <c r="H559" i="23"/>
  <c r="H303" i="23"/>
  <c r="H686" i="23"/>
  <c r="H302" i="23"/>
  <c r="H46" i="23"/>
  <c r="H425" i="23"/>
  <c r="H297" i="23"/>
  <c r="H233" i="23"/>
  <c r="H41" i="23"/>
  <c r="H111" i="23"/>
  <c r="H366" i="23"/>
  <c r="H552" i="23"/>
  <c r="H424" i="23"/>
  <c r="H232" i="23"/>
  <c r="H239" i="23"/>
  <c r="H430" i="23"/>
  <c r="H174" i="23"/>
  <c r="H551" i="23"/>
  <c r="H295" i="23"/>
  <c r="H231" i="23"/>
  <c r="H39" i="23"/>
  <c r="H266" i="23"/>
  <c r="H390" i="23"/>
  <c r="H326" i="23"/>
  <c r="H262" i="23"/>
  <c r="H201" i="23"/>
  <c r="H647" i="23"/>
  <c r="H519" i="23"/>
  <c r="H391" i="23"/>
  <c r="H263" i="23"/>
  <c r="H135" i="23"/>
  <c r="H581" i="23"/>
  <c r="H517" i="23"/>
  <c r="H453" i="23"/>
  <c r="H389" i="23"/>
  <c r="H684" i="23"/>
  <c r="H620" i="23"/>
  <c r="H428" i="23"/>
  <c r="H364" i="23"/>
  <c r="H300" i="23"/>
  <c r="H172" i="23"/>
  <c r="H108" i="23"/>
  <c r="H657" i="23"/>
  <c r="H529" i="23"/>
  <c r="H401" i="23"/>
  <c r="H273" i="23"/>
  <c r="H145" i="23"/>
  <c r="H81" i="23"/>
  <c r="H17" i="23"/>
  <c r="H720" i="23"/>
  <c r="H656" i="23"/>
  <c r="H400" i="23"/>
  <c r="H336" i="23"/>
  <c r="H272" i="23"/>
  <c r="H208" i="23"/>
  <c r="H16" i="23"/>
  <c r="H465" i="23"/>
  <c r="H144" i="23"/>
  <c r="H682" i="23"/>
  <c r="H618" i="23"/>
  <c r="H490" i="23"/>
  <c r="H426" i="23"/>
  <c r="H362" i="23"/>
  <c r="H298" i="23"/>
  <c r="H234" i="23"/>
  <c r="H170" i="23"/>
  <c r="H106" i="23"/>
  <c r="H42" i="23"/>
  <c r="H719" i="23"/>
  <c r="H655" i="23"/>
  <c r="H591" i="23"/>
  <c r="H527" i="23"/>
  <c r="H463" i="23"/>
  <c r="H399" i="23"/>
  <c r="H335" i="23"/>
  <c r="H271" i="23"/>
  <c r="H207" i="23"/>
  <c r="H143" i="23"/>
  <c r="H79" i="23"/>
  <c r="H15" i="23"/>
  <c r="H619" i="23"/>
  <c r="H363" i="23"/>
  <c r="H681" i="23"/>
  <c r="H617" i="23"/>
  <c r="H553" i="23"/>
  <c r="H489" i="23"/>
  <c r="H361" i="23"/>
  <c r="H169" i="23"/>
  <c r="H105" i="23"/>
  <c r="H718" i="23"/>
  <c r="H654" i="23"/>
  <c r="H590" i="23"/>
  <c r="H526" i="23"/>
  <c r="H462" i="23"/>
  <c r="H398" i="23"/>
  <c r="H334" i="23"/>
  <c r="H270" i="23"/>
  <c r="H206" i="23"/>
  <c r="H142" i="23"/>
  <c r="H78" i="23"/>
  <c r="H14" i="23"/>
  <c r="H337" i="23"/>
  <c r="H464" i="23"/>
  <c r="H365" i="23"/>
  <c r="H683" i="23"/>
  <c r="H427" i="23"/>
  <c r="H171" i="23"/>
  <c r="H680" i="23"/>
  <c r="H616" i="23"/>
  <c r="H488" i="23"/>
  <c r="H360" i="23"/>
  <c r="H296" i="23"/>
  <c r="H168" i="23"/>
  <c r="H104" i="23"/>
  <c r="H40" i="23"/>
  <c r="H717" i="23"/>
  <c r="H653" i="23"/>
  <c r="H589" i="23"/>
  <c r="H525" i="23"/>
  <c r="H461" i="23"/>
  <c r="H397" i="23"/>
  <c r="H333" i="23"/>
  <c r="H269" i="23"/>
  <c r="H205" i="23"/>
  <c r="H141" i="23"/>
  <c r="H77" i="23"/>
  <c r="H13" i="23"/>
  <c r="H107" i="23"/>
  <c r="H679" i="23"/>
  <c r="H615" i="23"/>
  <c r="H487" i="23"/>
  <c r="H423" i="23"/>
  <c r="H359" i="23"/>
  <c r="H167" i="23"/>
  <c r="H103" i="23"/>
  <c r="H716" i="23"/>
  <c r="H652" i="23"/>
  <c r="H588" i="23"/>
  <c r="H524" i="23"/>
  <c r="H460" i="23"/>
  <c r="H396" i="23"/>
  <c r="H332" i="23"/>
  <c r="H268" i="23"/>
  <c r="H204" i="23"/>
  <c r="H140" i="23"/>
  <c r="H76" i="23"/>
  <c r="H12" i="23"/>
  <c r="H715" i="23"/>
  <c r="H651" i="23"/>
  <c r="H587" i="23"/>
  <c r="H523" i="23"/>
  <c r="H459" i="23"/>
  <c r="H395" i="23"/>
  <c r="H331" i="23"/>
  <c r="H267" i="23"/>
  <c r="H203" i="23"/>
  <c r="H139" i="23"/>
  <c r="H75" i="23"/>
  <c r="H11" i="23"/>
  <c r="H650" i="23"/>
  <c r="H586" i="23"/>
  <c r="H522" i="23"/>
  <c r="H458" i="23"/>
  <c r="H394" i="23"/>
  <c r="H330" i="23"/>
  <c r="H202" i="23"/>
  <c r="H138" i="23"/>
  <c r="H74" i="23"/>
  <c r="H713" i="23"/>
  <c r="H649" i="23"/>
  <c r="H585" i="23"/>
  <c r="H521" i="23"/>
  <c r="H457" i="23"/>
  <c r="H393" i="23"/>
  <c r="H329" i="23"/>
  <c r="H265" i="23"/>
  <c r="H137" i="23"/>
  <c r="H73" i="23"/>
  <c r="H9" i="23"/>
  <c r="H528" i="23"/>
  <c r="H486" i="23"/>
  <c r="H358" i="23"/>
  <c r="H102" i="23"/>
  <c r="H613" i="23"/>
  <c r="H485" i="23"/>
  <c r="H357" i="23"/>
  <c r="H229" i="23"/>
  <c r="H37" i="23"/>
  <c r="H714" i="23"/>
  <c r="H10" i="23"/>
  <c r="H676" i="23"/>
  <c r="H612" i="23"/>
  <c r="H548" i="23"/>
  <c r="H484" i="23"/>
  <c r="H420" i="23"/>
  <c r="H356" i="23"/>
  <c r="H292" i="23"/>
  <c r="H228" i="23"/>
  <c r="H164" i="23"/>
  <c r="H100" i="23"/>
  <c r="H36" i="23"/>
  <c r="H675" i="23"/>
  <c r="H611" i="23"/>
  <c r="H547" i="23"/>
  <c r="H483" i="23"/>
  <c r="H419" i="23"/>
  <c r="H355" i="23"/>
  <c r="H291" i="23"/>
  <c r="H227" i="23"/>
  <c r="H163" i="23"/>
  <c r="H99" i="23"/>
  <c r="H35" i="23"/>
  <c r="H712" i="23"/>
  <c r="H648" i="23"/>
  <c r="H584" i="23"/>
  <c r="H520" i="23"/>
  <c r="H456" i="23"/>
  <c r="H392" i="23"/>
  <c r="H328" i="23"/>
  <c r="H264" i="23"/>
  <c r="H200" i="23"/>
  <c r="H136" i="23"/>
  <c r="H72" i="23"/>
  <c r="H8" i="23"/>
  <c r="H593" i="23"/>
  <c r="H80" i="23"/>
  <c r="H422" i="23"/>
  <c r="H166" i="23"/>
  <c r="H677" i="23"/>
  <c r="H549" i="23"/>
  <c r="H421" i="23"/>
  <c r="H293" i="23"/>
  <c r="H165" i="23"/>
  <c r="H101" i="23"/>
  <c r="H674" i="23"/>
  <c r="H610" i="23"/>
  <c r="H546" i="23"/>
  <c r="H482" i="23"/>
  <c r="H418" i="23"/>
  <c r="H354" i="23"/>
  <c r="H290" i="23"/>
  <c r="H226" i="23"/>
  <c r="H162" i="23"/>
  <c r="H98" i="23"/>
  <c r="H34" i="23"/>
  <c r="H711" i="23"/>
  <c r="H583" i="23"/>
  <c r="H455" i="23"/>
  <c r="H327" i="23"/>
  <c r="H199" i="23"/>
  <c r="H71" i="23"/>
  <c r="H7" i="23"/>
  <c r="H592" i="23"/>
  <c r="H481" i="23"/>
  <c r="H417" i="23"/>
  <c r="H353" i="23"/>
  <c r="H289" i="23"/>
  <c r="H97" i="23"/>
  <c r="H710" i="23"/>
  <c r="H646" i="23"/>
  <c r="H582" i="23"/>
  <c r="H518" i="23"/>
  <c r="H454" i="23"/>
  <c r="H198" i="23"/>
  <c r="H134" i="23"/>
  <c r="H70" i="23"/>
  <c r="H6" i="23"/>
  <c r="H614" i="23"/>
  <c r="H545" i="23"/>
  <c r="H33" i="23"/>
  <c r="H672" i="23"/>
  <c r="H608" i="23"/>
  <c r="H544" i="23"/>
  <c r="H480" i="23"/>
  <c r="H416" i="23"/>
  <c r="H352" i="23"/>
  <c r="H288" i="23"/>
  <c r="H224" i="23"/>
  <c r="H160" i="23"/>
  <c r="H96" i="23"/>
  <c r="H32" i="23"/>
  <c r="H709" i="23"/>
  <c r="H645" i="23"/>
  <c r="H325" i="23"/>
  <c r="H261" i="23"/>
  <c r="H197" i="23"/>
  <c r="H133" i="23"/>
  <c r="H69" i="23"/>
  <c r="H5" i="23"/>
  <c r="H673" i="23"/>
  <c r="H161" i="23"/>
  <c r="H671" i="23"/>
  <c r="H607" i="23"/>
  <c r="H543" i="23"/>
  <c r="H479" i="23"/>
  <c r="H415" i="23"/>
  <c r="H351" i="23"/>
  <c r="H287" i="23"/>
  <c r="H223" i="23"/>
  <c r="H159" i="23"/>
  <c r="H95" i="23"/>
  <c r="H31" i="23"/>
  <c r="H708" i="23"/>
  <c r="H516" i="23"/>
  <c r="H452" i="23"/>
  <c r="H132" i="23"/>
  <c r="H68" i="23"/>
  <c r="H388" i="23"/>
  <c r="H678" i="23"/>
  <c r="H609" i="23"/>
  <c r="H225" i="23"/>
  <c r="H670" i="23"/>
  <c r="H606" i="23"/>
  <c r="H542" i="23"/>
  <c r="H478" i="23"/>
  <c r="H414" i="23"/>
  <c r="H350" i="23"/>
  <c r="H222" i="23"/>
  <c r="H158" i="23"/>
  <c r="H94" i="23"/>
  <c r="H30" i="23"/>
  <c r="H721" i="23"/>
  <c r="H196" i="23"/>
  <c r="H669" i="23"/>
  <c r="H605" i="23"/>
  <c r="H541" i="23"/>
  <c r="H477" i="23"/>
  <c r="H413" i="23"/>
  <c r="H349" i="23"/>
  <c r="H221" i="23"/>
  <c r="H157" i="23"/>
  <c r="H29" i="23"/>
  <c r="H604" i="23"/>
  <c r="H348" i="23"/>
  <c r="H156" i="23"/>
  <c r="H667" i="23"/>
  <c r="H411" i="23"/>
  <c r="H347" i="23"/>
  <c r="H155" i="23"/>
  <c r="H91" i="23"/>
  <c r="H27" i="23"/>
  <c r="H260" i="23"/>
  <c r="H668" i="23"/>
  <c r="H284" i="23"/>
  <c r="H28" i="23"/>
  <c r="H3" i="23"/>
  <c r="H666" i="23"/>
  <c r="H474" i="23"/>
  <c r="H410" i="23"/>
  <c r="H346" i="23"/>
  <c r="H90" i="23"/>
  <c r="H26" i="23"/>
  <c r="H324" i="23"/>
  <c r="H412" i="23"/>
  <c r="H729" i="23"/>
  <c r="H665" i="23"/>
  <c r="H601" i="23"/>
  <c r="H537" i="23"/>
  <c r="H473" i="23"/>
  <c r="H409" i="23"/>
  <c r="H345" i="23"/>
  <c r="H281" i="23"/>
  <c r="H217" i="23"/>
  <c r="H153" i="23"/>
  <c r="H89" i="23"/>
  <c r="H25" i="23"/>
  <c r="H580" i="23"/>
  <c r="H600" i="23"/>
  <c r="H408" i="23"/>
  <c r="H216" i="23"/>
  <c r="H24" i="23"/>
  <c r="H727" i="23"/>
  <c r="H663" i="23"/>
  <c r="H599" i="23"/>
  <c r="H535" i="23"/>
  <c r="H471" i="23"/>
  <c r="H407" i="23"/>
  <c r="H343" i="23"/>
  <c r="H279" i="23"/>
  <c r="H215" i="23"/>
  <c r="H151" i="23"/>
  <c r="H87" i="23"/>
  <c r="H23" i="23"/>
  <c r="H4" i="23"/>
  <c r="H664" i="23"/>
  <c r="H472" i="23"/>
  <c r="H280" i="23"/>
  <c r="H726" i="23"/>
  <c r="H662" i="23"/>
  <c r="H598" i="23"/>
  <c r="H534" i="23"/>
  <c r="H470" i="23"/>
  <c r="H406" i="23"/>
  <c r="H342" i="23"/>
  <c r="H278" i="23"/>
  <c r="H214" i="23"/>
  <c r="H150" i="23"/>
  <c r="H86" i="23"/>
  <c r="H22" i="23"/>
  <c r="H728" i="23"/>
  <c r="H536" i="23"/>
  <c r="H344" i="23"/>
  <c r="H152" i="23"/>
  <c r="H88" i="23"/>
  <c r="H725" i="23"/>
  <c r="H661" i="23"/>
  <c r="H597" i="23"/>
  <c r="H533" i="23"/>
  <c r="H469" i="23"/>
  <c r="H405" i="23"/>
  <c r="H341" i="23"/>
  <c r="H277" i="23"/>
  <c r="H213" i="23"/>
  <c r="H149" i="23"/>
  <c r="H85" i="23"/>
  <c r="H21" i="23"/>
  <c r="H644" i="23"/>
  <c r="H724" i="23"/>
  <c r="H660" i="23"/>
  <c r="H596" i="23"/>
  <c r="H532" i="23"/>
  <c r="H468" i="23"/>
  <c r="H404" i="23"/>
  <c r="H340" i="23"/>
  <c r="H276" i="23"/>
  <c r="H212" i="23"/>
  <c r="H148" i="23"/>
  <c r="H84" i="23"/>
  <c r="H20" i="23"/>
  <c r="H723" i="23"/>
  <c r="H659" i="23"/>
  <c r="H595" i="23"/>
  <c r="H531" i="23"/>
  <c r="H467" i="23"/>
  <c r="H403" i="23"/>
  <c r="H339" i="23"/>
  <c r="H275" i="23"/>
  <c r="H211" i="23"/>
  <c r="H147" i="23"/>
  <c r="H83" i="23"/>
  <c r="H19" i="23"/>
  <c r="H722" i="23"/>
  <c r="H658" i="23"/>
  <c r="H594" i="23"/>
  <c r="H530" i="23"/>
  <c r="H466" i="23"/>
  <c r="H402" i="23"/>
  <c r="H338" i="23"/>
  <c r="H274" i="23"/>
  <c r="H210" i="23"/>
  <c r="H146" i="23"/>
  <c r="H82" i="23"/>
  <c r="H18" i="23"/>
  <c r="H209" i="23"/>
  <c r="H707" i="23"/>
  <c r="H643" i="23"/>
  <c r="H579" i="23"/>
  <c r="H515" i="23"/>
  <c r="H451" i="23"/>
  <c r="H387" i="23"/>
  <c r="H323" i="23"/>
  <c r="H259" i="23"/>
  <c r="H195" i="23"/>
  <c r="H131" i="23"/>
  <c r="H67" i="23"/>
  <c r="H706" i="23"/>
  <c r="H642" i="23"/>
  <c r="H578" i="23"/>
  <c r="H514" i="23"/>
  <c r="H450" i="23"/>
  <c r="H386" i="23"/>
  <c r="H322" i="23"/>
  <c r="H258" i="23"/>
  <c r="H194" i="23"/>
  <c r="H130" i="23"/>
  <c r="H66" i="23"/>
  <c r="H705" i="23"/>
  <c r="H641" i="23"/>
  <c r="H577" i="23"/>
  <c r="H513" i="23"/>
  <c r="H449" i="23"/>
  <c r="H385" i="23"/>
  <c r="H321" i="23"/>
  <c r="H257" i="23"/>
  <c r="H193" i="23"/>
  <c r="H129" i="23"/>
  <c r="H65" i="23"/>
  <c r="H704" i="23"/>
  <c r="H640" i="23"/>
  <c r="H576" i="23"/>
  <c r="H512" i="23"/>
  <c r="H448" i="23"/>
  <c r="H384" i="23"/>
  <c r="H320" i="23"/>
  <c r="H256" i="23"/>
  <c r="H192" i="23"/>
  <c r="H128" i="23"/>
  <c r="H64" i="23"/>
  <c r="H703" i="23"/>
  <c r="H639" i="23"/>
  <c r="H575" i="23"/>
  <c r="H511" i="23"/>
  <c r="H447" i="23"/>
  <c r="H383" i="23"/>
  <c r="H319" i="23"/>
  <c r="H255" i="23"/>
  <c r="H191" i="23"/>
  <c r="H127" i="23"/>
  <c r="H63" i="23"/>
  <c r="H702" i="23"/>
  <c r="H382" i="23"/>
  <c r="H190" i="23"/>
  <c r="H126" i="23"/>
  <c r="H62" i="23"/>
  <c r="H699" i="23"/>
  <c r="H635" i="23"/>
  <c r="H571" i="23"/>
  <c r="H507" i="23"/>
  <c r="H443" i="23"/>
  <c r="H379" i="23"/>
  <c r="H315" i="23"/>
  <c r="H251" i="23"/>
  <c r="H187" i="23"/>
  <c r="H123" i="23"/>
  <c r="H59" i="23"/>
  <c r="H698" i="23"/>
  <c r="H634" i="23"/>
  <c r="H570" i="23"/>
  <c r="H506" i="23"/>
  <c r="H442" i="23"/>
  <c r="H378" i="23"/>
  <c r="H314" i="23"/>
  <c r="H250" i="23"/>
  <c r="H186" i="23"/>
  <c r="H122" i="23"/>
  <c r="H58" i="23"/>
  <c r="H701" i="23"/>
  <c r="H697" i="23"/>
  <c r="H633" i="23"/>
  <c r="H569" i="23"/>
  <c r="H505" i="23"/>
  <c r="H441" i="23"/>
  <c r="H377" i="23"/>
  <c r="H313" i="23"/>
  <c r="H249" i="23"/>
  <c r="H185" i="23"/>
  <c r="H121" i="23"/>
  <c r="H57" i="23"/>
  <c r="H696" i="23"/>
  <c r="H632" i="23"/>
  <c r="H568" i="23"/>
  <c r="H504" i="23"/>
  <c r="H440" i="23"/>
  <c r="H376" i="23"/>
  <c r="H312" i="23"/>
  <c r="H248" i="23"/>
  <c r="H184" i="23"/>
  <c r="H120" i="23"/>
  <c r="H56" i="23"/>
  <c r="H381" i="23"/>
  <c r="H695" i="23"/>
  <c r="H631" i="23"/>
  <c r="H567" i="23"/>
  <c r="H503" i="23"/>
  <c r="H439" i="23"/>
  <c r="H375" i="23"/>
  <c r="H311" i="23"/>
  <c r="H247" i="23"/>
  <c r="H183" i="23"/>
  <c r="H119" i="23"/>
  <c r="H55" i="23"/>
  <c r="H445" i="23"/>
  <c r="H630" i="23"/>
  <c r="H246" i="23"/>
  <c r="H182" i="23"/>
  <c r="H118" i="23"/>
  <c r="H54" i="23"/>
  <c r="H117" i="23"/>
  <c r="H318" i="23"/>
  <c r="H509" i="23"/>
  <c r="H61" i="23"/>
  <c r="H700" i="23"/>
  <c r="H636" i="23"/>
  <c r="H508" i="23"/>
  <c r="H252" i="23"/>
  <c r="H502" i="23"/>
  <c r="H693" i="23"/>
  <c r="H309" i="23"/>
  <c r="H692" i="23"/>
  <c r="H628" i="23"/>
  <c r="H564" i="23"/>
  <c r="H500" i="23"/>
  <c r="H436" i="23"/>
  <c r="H372" i="23"/>
  <c r="H308" i="23"/>
  <c r="H244" i="23"/>
  <c r="H180" i="23"/>
  <c r="H116" i="23"/>
  <c r="H52" i="23"/>
  <c r="H510" i="23"/>
  <c r="H317" i="23"/>
  <c r="H188" i="23"/>
  <c r="H566" i="23"/>
  <c r="H373" i="23"/>
  <c r="H691" i="23"/>
  <c r="H627" i="23"/>
  <c r="H563" i="23"/>
  <c r="H499" i="23"/>
  <c r="H435" i="23"/>
  <c r="H371" i="23"/>
  <c r="H307" i="23"/>
  <c r="H243" i="23"/>
  <c r="H179" i="23"/>
  <c r="H115" i="23"/>
  <c r="H51" i="23"/>
  <c r="H446" i="23"/>
  <c r="H637" i="23"/>
  <c r="H125" i="23"/>
  <c r="H444" i="23"/>
  <c r="H438" i="23"/>
  <c r="H437" i="23"/>
  <c r="H53" i="23"/>
  <c r="H626" i="23"/>
  <c r="H370" i="23"/>
  <c r="H254" i="23"/>
  <c r="H573" i="23"/>
  <c r="H189" i="23"/>
  <c r="H380" i="23"/>
  <c r="H310" i="23"/>
  <c r="H501" i="23"/>
  <c r="H181" i="23"/>
  <c r="H689" i="23"/>
  <c r="H625" i="23"/>
  <c r="H561" i="23"/>
  <c r="H497" i="23"/>
  <c r="H433" i="23"/>
  <c r="H369" i="23"/>
  <c r="H305" i="23"/>
  <c r="H241" i="23"/>
  <c r="H177" i="23"/>
  <c r="H113" i="23"/>
  <c r="H49" i="23"/>
  <c r="H574" i="23"/>
  <c r="H253" i="23"/>
  <c r="H124" i="23"/>
  <c r="H694" i="23"/>
  <c r="H565" i="23"/>
  <c r="H688" i="23"/>
  <c r="H624" i="23"/>
  <c r="H560" i="23"/>
  <c r="H496" i="23"/>
  <c r="H432" i="23"/>
  <c r="H368" i="23"/>
  <c r="H304" i="23"/>
  <c r="H240" i="23"/>
  <c r="H176" i="23"/>
  <c r="H112" i="23"/>
  <c r="H48" i="23"/>
  <c r="H638" i="23"/>
  <c r="H572" i="23"/>
  <c r="H316" i="23"/>
  <c r="H60" i="23"/>
  <c r="H374" i="23"/>
  <c r="H629" i="23"/>
  <c r="H245" i="23"/>
  <c r="H623" i="23"/>
  <c r="H495" i="23"/>
  <c r="H175" i="23"/>
  <c r="AB4" i="18"/>
  <c r="AC4" i="18"/>
  <c r="AD4" i="18"/>
  <c r="AE4" i="18"/>
  <c r="AB5" i="18"/>
  <c r="AC5" i="18"/>
  <c r="AD5" i="18"/>
  <c r="AE5" i="18"/>
  <c r="AB6" i="18"/>
  <c r="AC6" i="18"/>
  <c r="AD6" i="18"/>
  <c r="AE6" i="18"/>
  <c r="AB7" i="18"/>
  <c r="AC7" i="18"/>
  <c r="AD7" i="18"/>
  <c r="AE7" i="18"/>
  <c r="AB8" i="18"/>
  <c r="AC8" i="18"/>
  <c r="AD8" i="18"/>
  <c r="AE8" i="18"/>
  <c r="AB9" i="18"/>
  <c r="AC9" i="18"/>
  <c r="AD9" i="18"/>
  <c r="AE9" i="18"/>
  <c r="AB10" i="18"/>
  <c r="AC10" i="18"/>
  <c r="AD10" i="18"/>
  <c r="AE10" i="18"/>
  <c r="AB11" i="18"/>
  <c r="AC11" i="18"/>
  <c r="AD11" i="18"/>
  <c r="AE11" i="18"/>
  <c r="AB12" i="18"/>
  <c r="AC12" i="18"/>
  <c r="AD12" i="18"/>
  <c r="AE12" i="18"/>
  <c r="AB13" i="18"/>
  <c r="AC13" i="18"/>
  <c r="AD13" i="18"/>
  <c r="AE13" i="18"/>
  <c r="AB14" i="18"/>
  <c r="AC14" i="18"/>
  <c r="AD14" i="18"/>
  <c r="AE14" i="18"/>
  <c r="AB15" i="18"/>
  <c r="AC15" i="18"/>
  <c r="AD15" i="18"/>
  <c r="AE15" i="18"/>
  <c r="AB16" i="18"/>
  <c r="AC16" i="18"/>
  <c r="AD16" i="18"/>
  <c r="AE16" i="18"/>
  <c r="AB17" i="18"/>
  <c r="AC17" i="18"/>
  <c r="AD17" i="18"/>
  <c r="AE17" i="18"/>
  <c r="AB18" i="18"/>
  <c r="AC18" i="18"/>
  <c r="AD18" i="18"/>
  <c r="AE18" i="18"/>
  <c r="AB19" i="18"/>
  <c r="AC19" i="18"/>
  <c r="AD19" i="18"/>
  <c r="AE19" i="18"/>
  <c r="AB20" i="18"/>
  <c r="AC20" i="18"/>
  <c r="AD20" i="18"/>
  <c r="AE20" i="18"/>
  <c r="AB21" i="18"/>
  <c r="AC21" i="18"/>
  <c r="AD21" i="18"/>
  <c r="AE21" i="18"/>
  <c r="AB22" i="18"/>
  <c r="AC22" i="18"/>
  <c r="AD22" i="18"/>
  <c r="AE22" i="18"/>
  <c r="AB23" i="18"/>
  <c r="AC23" i="18"/>
  <c r="AD23" i="18"/>
  <c r="AE23" i="18"/>
  <c r="AB24" i="18"/>
  <c r="AC24" i="18"/>
  <c r="AD24" i="18"/>
  <c r="AE24" i="18"/>
  <c r="AB25" i="18"/>
  <c r="AC25" i="18"/>
  <c r="AD25" i="18"/>
  <c r="AE25" i="18"/>
  <c r="AB26" i="18"/>
  <c r="AC26" i="18"/>
  <c r="AD26" i="18"/>
  <c r="AE26" i="18"/>
  <c r="AB27" i="18"/>
  <c r="AC27" i="18"/>
  <c r="AD27" i="18"/>
  <c r="AE27" i="18"/>
  <c r="AB28" i="18"/>
  <c r="AC28" i="18"/>
  <c r="AD28" i="18"/>
  <c r="AE28" i="18"/>
  <c r="AB29" i="18"/>
  <c r="AC29" i="18"/>
  <c r="AD29" i="18"/>
  <c r="AE29" i="18"/>
  <c r="AB30" i="18"/>
  <c r="AC30" i="18"/>
  <c r="AD30" i="18"/>
  <c r="AE30" i="18"/>
  <c r="AB31" i="18"/>
  <c r="AC31" i="18"/>
  <c r="AD31" i="18"/>
  <c r="AE31" i="18"/>
  <c r="AB32" i="18"/>
  <c r="AC32" i="18"/>
  <c r="AD32" i="18"/>
  <c r="AE32" i="18"/>
  <c r="AB33" i="18"/>
  <c r="AC33" i="18"/>
  <c r="AD33" i="18"/>
  <c r="AE33" i="18"/>
  <c r="AB34" i="18"/>
  <c r="AC34" i="18"/>
  <c r="AD34" i="18"/>
  <c r="AE34" i="18"/>
  <c r="AB35" i="18"/>
  <c r="AC35" i="18"/>
  <c r="AD35" i="18"/>
  <c r="AE35" i="18"/>
  <c r="AB36" i="18"/>
  <c r="AC36" i="18"/>
  <c r="AD36" i="18"/>
  <c r="AE36" i="18"/>
  <c r="AB37" i="18"/>
  <c r="AC37" i="18"/>
  <c r="AD37" i="18"/>
  <c r="AE37" i="18"/>
  <c r="AB38" i="18"/>
  <c r="AC38" i="18"/>
  <c r="AD38" i="18"/>
  <c r="AE38" i="18"/>
  <c r="AB39" i="18"/>
  <c r="AC39" i="18"/>
  <c r="AD39" i="18"/>
  <c r="AE39" i="18"/>
  <c r="AB40" i="18"/>
  <c r="AC40" i="18"/>
  <c r="AD40" i="18"/>
  <c r="AE40" i="18"/>
  <c r="AB41" i="18"/>
  <c r="AC41" i="18"/>
  <c r="AD41" i="18"/>
  <c r="AE41" i="18"/>
  <c r="AB42" i="18"/>
  <c r="AC42" i="18"/>
  <c r="AD42" i="18"/>
  <c r="AE42" i="18"/>
  <c r="AB43" i="18"/>
  <c r="AC43" i="18"/>
  <c r="AD43" i="18"/>
  <c r="AE43" i="18"/>
  <c r="AB44" i="18"/>
  <c r="AC44" i="18"/>
  <c r="AD44" i="18"/>
  <c r="AE44" i="18"/>
  <c r="AB45" i="18"/>
  <c r="AC45" i="18"/>
  <c r="AD45" i="18"/>
  <c r="AE45" i="18"/>
  <c r="AB46" i="18"/>
  <c r="AC46" i="18"/>
  <c r="AD46" i="18"/>
  <c r="AE46" i="18"/>
  <c r="AB47" i="18"/>
  <c r="AC47" i="18"/>
  <c r="AD47" i="18"/>
  <c r="AE47" i="18"/>
  <c r="AB48" i="18"/>
  <c r="AC48" i="18"/>
  <c r="AD48" i="18"/>
  <c r="AE48" i="18"/>
  <c r="AB49" i="18"/>
  <c r="AC49" i="18"/>
  <c r="AD49" i="18"/>
  <c r="AE49" i="18"/>
  <c r="AB50" i="18"/>
  <c r="AC50" i="18"/>
  <c r="AD50" i="18"/>
  <c r="AE50" i="18"/>
  <c r="AB51" i="18"/>
  <c r="AC51" i="18"/>
  <c r="AD51" i="18"/>
  <c r="AE51" i="18"/>
  <c r="AB52" i="18"/>
  <c r="AC52" i="18"/>
  <c r="AD52" i="18"/>
  <c r="AE52" i="18"/>
  <c r="AB53" i="18"/>
  <c r="AC53" i="18"/>
  <c r="AD53" i="18"/>
  <c r="AE53" i="18"/>
  <c r="AB54" i="18"/>
  <c r="AC54" i="18"/>
  <c r="AD54" i="18"/>
  <c r="AE54" i="18"/>
  <c r="AB55" i="18"/>
  <c r="AC55" i="18"/>
  <c r="AD55" i="18"/>
  <c r="AE55" i="18"/>
  <c r="AB56" i="18"/>
  <c r="AC56" i="18"/>
  <c r="AD56" i="18"/>
  <c r="AE56" i="18"/>
  <c r="AB57" i="18"/>
  <c r="AC57" i="18"/>
  <c r="AD57" i="18"/>
  <c r="AE57" i="18"/>
  <c r="AB58" i="18"/>
  <c r="AC58" i="18"/>
  <c r="AD58" i="18"/>
  <c r="AE58" i="18"/>
  <c r="AB59" i="18"/>
  <c r="AC59" i="18"/>
  <c r="AD59" i="18"/>
  <c r="AE59" i="18"/>
  <c r="AB60" i="18"/>
  <c r="AC60" i="18"/>
  <c r="AD60" i="18"/>
  <c r="AE60" i="18"/>
  <c r="AB61" i="18"/>
  <c r="AC61" i="18"/>
  <c r="AD61" i="18"/>
  <c r="AE61" i="18"/>
  <c r="AB62" i="18"/>
  <c r="AC62" i="18"/>
  <c r="AD62" i="18"/>
  <c r="AE62" i="18"/>
  <c r="AB63" i="18"/>
  <c r="AC63" i="18"/>
  <c r="AD63" i="18"/>
  <c r="AE63" i="18"/>
  <c r="AB64" i="18"/>
  <c r="AC64" i="18"/>
  <c r="AD64" i="18"/>
  <c r="AE64" i="18"/>
  <c r="AB65" i="18"/>
  <c r="AC65" i="18"/>
  <c r="AD65" i="18"/>
  <c r="AE65" i="18"/>
  <c r="AB66" i="18"/>
  <c r="AC66" i="18"/>
  <c r="AD66" i="18"/>
  <c r="AE66" i="18"/>
  <c r="AB67" i="18"/>
  <c r="AC67" i="18"/>
  <c r="AD67" i="18"/>
  <c r="AE67" i="18"/>
  <c r="AB68" i="18"/>
  <c r="AC68" i="18"/>
  <c r="AD68" i="18"/>
  <c r="AE68" i="18"/>
  <c r="AB69" i="18"/>
  <c r="AC69" i="18"/>
  <c r="AD69" i="18"/>
  <c r="AE69" i="18"/>
  <c r="AB70" i="18"/>
  <c r="AC70" i="18"/>
  <c r="AD70" i="18"/>
  <c r="AE70" i="18"/>
  <c r="AB71" i="18"/>
  <c r="AC71" i="18"/>
  <c r="AD71" i="18"/>
  <c r="AE71" i="18"/>
  <c r="AB72" i="18"/>
  <c r="AC72" i="18"/>
  <c r="AD72" i="18"/>
  <c r="AE72" i="18"/>
  <c r="AB73" i="18"/>
  <c r="AC73" i="18"/>
  <c r="AD73" i="18"/>
  <c r="AE73" i="18"/>
  <c r="AB74" i="18"/>
  <c r="AC74" i="18"/>
  <c r="AD74" i="18"/>
  <c r="AE74" i="18"/>
  <c r="AB75" i="18"/>
  <c r="AC75" i="18"/>
  <c r="AD75" i="18"/>
  <c r="AE75" i="18"/>
  <c r="AB76" i="18"/>
  <c r="AC76" i="18"/>
  <c r="AD76" i="18"/>
  <c r="AE76" i="18"/>
  <c r="AB77" i="18"/>
  <c r="AC77" i="18"/>
  <c r="AD77" i="18"/>
  <c r="AE77" i="18"/>
  <c r="AB78" i="18"/>
  <c r="AC78" i="18"/>
  <c r="AD78" i="18"/>
  <c r="AE78" i="18"/>
  <c r="AB79" i="18"/>
  <c r="AC79" i="18"/>
  <c r="AD79" i="18"/>
  <c r="AE79" i="18"/>
  <c r="AB80" i="18"/>
  <c r="AC80" i="18"/>
  <c r="AD80" i="18"/>
  <c r="AE80" i="18"/>
  <c r="AB81" i="18"/>
  <c r="AC81" i="18"/>
  <c r="AD81" i="18"/>
  <c r="AE81" i="18"/>
  <c r="AB82" i="18"/>
  <c r="AC82" i="18"/>
  <c r="AD82" i="18"/>
  <c r="AE82" i="18"/>
  <c r="AB83" i="18"/>
  <c r="AC83" i="18"/>
  <c r="AD83" i="18"/>
  <c r="AE83" i="18"/>
  <c r="AB84" i="18"/>
  <c r="AC84" i="18"/>
  <c r="AD84" i="18"/>
  <c r="AE84" i="18"/>
  <c r="AB85" i="18"/>
  <c r="AC85" i="18"/>
  <c r="AD85" i="18"/>
  <c r="AE85" i="18"/>
  <c r="AB86" i="18"/>
  <c r="AC86" i="18"/>
  <c r="AD86" i="18"/>
  <c r="AE86" i="18"/>
  <c r="AB87" i="18"/>
  <c r="AC87" i="18"/>
  <c r="AD87" i="18"/>
  <c r="AE87" i="18"/>
  <c r="AB88" i="18"/>
  <c r="AC88" i="18"/>
  <c r="AD88" i="18"/>
  <c r="AE88" i="18"/>
  <c r="AB89" i="18"/>
  <c r="AC89" i="18"/>
  <c r="AD89" i="18"/>
  <c r="AE89" i="18"/>
  <c r="AB90" i="18"/>
  <c r="AC90" i="18"/>
  <c r="AD90" i="18"/>
  <c r="AE90" i="18"/>
  <c r="AB91" i="18"/>
  <c r="AC91" i="18"/>
  <c r="AD91" i="18"/>
  <c r="AE91" i="18"/>
  <c r="AB92" i="18"/>
  <c r="AC92" i="18"/>
  <c r="AD92" i="18"/>
  <c r="AE92" i="18"/>
  <c r="AB93" i="18"/>
  <c r="AC93" i="18"/>
  <c r="AD93" i="18"/>
  <c r="AE93" i="18"/>
  <c r="AB94" i="18"/>
  <c r="AC94" i="18"/>
  <c r="AD94" i="18"/>
  <c r="AE94" i="18"/>
  <c r="AB95" i="18"/>
  <c r="AC95" i="18"/>
  <c r="AD95" i="18"/>
  <c r="AE95" i="18"/>
  <c r="AB96" i="18"/>
  <c r="AC96" i="18"/>
  <c r="AD96" i="18"/>
  <c r="AE96" i="18"/>
  <c r="AB97" i="18"/>
  <c r="AC97" i="18"/>
  <c r="AD97" i="18"/>
  <c r="AE97" i="18"/>
  <c r="AB98" i="18"/>
  <c r="AC98" i="18"/>
  <c r="AD98" i="18"/>
  <c r="AE98" i="18"/>
  <c r="AB99" i="18"/>
  <c r="AC99" i="18"/>
  <c r="AD99" i="18"/>
  <c r="AE99" i="18"/>
  <c r="AB100" i="18"/>
  <c r="AC100" i="18"/>
  <c r="AD100" i="18"/>
  <c r="AE100" i="18"/>
  <c r="AB101" i="18"/>
  <c r="AC101" i="18"/>
  <c r="AD101" i="18"/>
  <c r="AE101" i="18"/>
  <c r="AB102" i="18"/>
  <c r="AC102" i="18"/>
  <c r="AD102" i="18"/>
  <c r="AE102" i="18"/>
  <c r="AB103" i="18"/>
  <c r="AC103" i="18"/>
  <c r="AD103" i="18"/>
  <c r="AE103" i="18"/>
  <c r="AB104" i="18"/>
  <c r="AC104" i="18"/>
  <c r="AD104" i="18"/>
  <c r="AE104" i="18"/>
  <c r="AB105" i="18"/>
  <c r="AC105" i="18"/>
  <c r="AD105" i="18"/>
  <c r="AE105" i="18"/>
  <c r="AB106" i="18"/>
  <c r="AC106" i="18"/>
  <c r="AD106" i="18"/>
  <c r="AE106" i="18"/>
  <c r="AB107" i="18"/>
  <c r="AC107" i="18"/>
  <c r="AD107" i="18"/>
  <c r="AE107" i="18"/>
  <c r="AB108" i="18"/>
  <c r="AC108" i="18"/>
  <c r="AD108" i="18"/>
  <c r="AE108" i="18"/>
  <c r="AB109" i="18"/>
  <c r="AC109" i="18"/>
  <c r="AD109" i="18"/>
  <c r="AE109" i="18"/>
  <c r="AB110" i="18"/>
  <c r="AC110" i="18"/>
  <c r="AD110" i="18"/>
  <c r="AE110" i="18"/>
  <c r="AB111" i="18"/>
  <c r="AC111" i="18"/>
  <c r="AD111" i="18"/>
  <c r="AE111" i="18"/>
  <c r="AB112" i="18"/>
  <c r="AC112" i="18"/>
  <c r="AD112" i="18"/>
  <c r="AE112" i="18"/>
  <c r="AB113" i="18"/>
  <c r="AC113" i="18"/>
  <c r="AD113" i="18"/>
  <c r="AE113" i="18"/>
  <c r="AB114" i="18"/>
  <c r="AC114" i="18"/>
  <c r="AD114" i="18"/>
  <c r="AE114" i="18"/>
  <c r="AB115" i="18"/>
  <c r="AC115" i="18"/>
  <c r="AD115" i="18"/>
  <c r="AE115" i="18"/>
  <c r="AB116" i="18"/>
  <c r="AC116" i="18"/>
  <c r="AD116" i="18"/>
  <c r="AE116" i="18"/>
  <c r="AB117" i="18"/>
  <c r="AC117" i="18"/>
  <c r="AD117" i="18"/>
  <c r="AE117" i="18"/>
  <c r="AB118" i="18"/>
  <c r="AC118" i="18"/>
  <c r="AD118" i="18"/>
  <c r="AE118" i="18"/>
  <c r="AB119" i="18"/>
  <c r="AC119" i="18"/>
  <c r="AD119" i="18"/>
  <c r="AE119" i="18"/>
  <c r="AB120" i="18"/>
  <c r="AC120" i="18"/>
  <c r="AD120" i="18"/>
  <c r="AE120" i="18"/>
  <c r="AB121" i="18"/>
  <c r="AC121" i="18"/>
  <c r="AD121" i="18"/>
  <c r="AE121" i="18"/>
  <c r="AB122" i="18"/>
  <c r="AC122" i="18"/>
  <c r="AD122" i="18"/>
  <c r="AE122" i="18"/>
  <c r="AB123" i="18"/>
  <c r="AC123" i="18"/>
  <c r="AD123" i="18"/>
  <c r="AE123" i="18"/>
  <c r="AB124" i="18"/>
  <c r="AC124" i="18"/>
  <c r="AD124" i="18"/>
  <c r="AE124" i="18"/>
  <c r="AB125" i="18"/>
  <c r="AC125" i="18"/>
  <c r="AD125" i="18"/>
  <c r="AE125" i="18"/>
  <c r="AB126" i="18"/>
  <c r="AC126" i="18"/>
  <c r="AD126" i="18"/>
  <c r="AE126" i="18"/>
  <c r="AB127" i="18"/>
  <c r="AC127" i="18"/>
  <c r="AD127" i="18"/>
  <c r="AE127" i="18"/>
  <c r="AB128" i="18"/>
  <c r="AC128" i="18"/>
  <c r="AD128" i="18"/>
  <c r="AE128" i="18"/>
  <c r="AB129" i="18"/>
  <c r="AC129" i="18"/>
  <c r="AD129" i="18"/>
  <c r="AE129" i="18"/>
  <c r="AB130" i="18"/>
  <c r="AC130" i="18"/>
  <c r="AD130" i="18"/>
  <c r="AE130" i="18"/>
  <c r="AB131" i="18"/>
  <c r="AC131" i="18"/>
  <c r="AD131" i="18"/>
  <c r="AE131" i="18"/>
  <c r="AB132" i="18"/>
  <c r="AC132" i="18"/>
  <c r="AD132" i="18"/>
  <c r="AE132" i="18"/>
  <c r="AB133" i="18"/>
  <c r="AC133" i="18"/>
  <c r="AD133" i="18"/>
  <c r="AE133" i="18"/>
  <c r="AB134" i="18"/>
  <c r="AC134" i="18"/>
  <c r="AD134" i="18"/>
  <c r="AE134" i="18"/>
  <c r="AB135" i="18"/>
  <c r="AC135" i="18"/>
  <c r="AD135" i="18"/>
  <c r="AE135" i="18"/>
  <c r="AB136" i="18"/>
  <c r="AC136" i="18"/>
  <c r="AD136" i="18"/>
  <c r="AE136" i="18"/>
  <c r="AB137" i="18"/>
  <c r="AC137" i="18"/>
  <c r="AD137" i="18"/>
  <c r="AE137" i="18"/>
  <c r="AB138" i="18"/>
  <c r="AC138" i="18"/>
  <c r="AD138" i="18"/>
  <c r="AE138" i="18"/>
  <c r="AB139" i="18"/>
  <c r="AC139" i="18"/>
  <c r="AD139" i="18"/>
  <c r="AE139" i="18"/>
  <c r="AB140" i="18"/>
  <c r="AC140" i="18"/>
  <c r="AD140" i="18"/>
  <c r="AE140" i="18"/>
  <c r="AB141" i="18"/>
  <c r="AC141" i="18"/>
  <c r="AD141" i="18"/>
  <c r="AE141" i="18"/>
  <c r="AB142" i="18"/>
  <c r="AC142" i="18"/>
  <c r="AD142" i="18"/>
  <c r="AE142" i="18"/>
  <c r="AB143" i="18"/>
  <c r="AC143" i="18"/>
  <c r="AD143" i="18"/>
  <c r="AE143" i="18"/>
  <c r="AB144" i="18"/>
  <c r="AC144" i="18"/>
  <c r="AD144" i="18"/>
  <c r="AE144" i="18"/>
  <c r="AB145" i="18"/>
  <c r="AC145" i="18"/>
  <c r="AD145" i="18"/>
  <c r="AE145" i="18"/>
  <c r="AB146" i="18"/>
  <c r="AC146" i="18"/>
  <c r="AD146" i="18"/>
  <c r="AE146" i="18"/>
  <c r="AB147" i="18"/>
  <c r="AC147" i="18"/>
  <c r="AD147" i="18"/>
  <c r="AE147" i="18"/>
  <c r="AB148" i="18"/>
  <c r="AC148" i="18"/>
  <c r="AD148" i="18"/>
  <c r="AE148" i="18"/>
  <c r="AB149" i="18"/>
  <c r="AC149" i="18"/>
  <c r="AD149" i="18"/>
  <c r="AE149" i="18"/>
  <c r="AB150" i="18"/>
  <c r="AC150" i="18"/>
  <c r="AD150" i="18"/>
  <c r="AE150" i="18"/>
  <c r="AB151" i="18"/>
  <c r="AC151" i="18"/>
  <c r="AD151" i="18"/>
  <c r="AE151" i="18"/>
  <c r="AB152" i="18"/>
  <c r="AC152" i="18"/>
  <c r="AD152" i="18"/>
  <c r="AE152" i="18"/>
  <c r="AB153" i="18"/>
  <c r="AC153" i="18"/>
  <c r="AD153" i="18"/>
  <c r="AE153" i="18"/>
  <c r="AB154" i="18"/>
  <c r="AC154" i="18"/>
  <c r="AD154" i="18"/>
  <c r="AE154" i="18"/>
  <c r="AB155" i="18"/>
  <c r="AC155" i="18"/>
  <c r="AD155" i="18"/>
  <c r="AE155" i="18"/>
  <c r="AB156" i="18"/>
  <c r="AC156" i="18"/>
  <c r="AD156" i="18"/>
  <c r="AE156" i="18"/>
  <c r="AB157" i="18"/>
  <c r="AC157" i="18"/>
  <c r="AD157" i="18"/>
  <c r="AE157" i="18"/>
  <c r="AB158" i="18"/>
  <c r="AC158" i="18"/>
  <c r="AD158" i="18"/>
  <c r="AE158" i="18"/>
  <c r="AB159" i="18"/>
  <c r="AC159" i="18"/>
  <c r="AD159" i="18"/>
  <c r="AE159" i="18"/>
  <c r="AB160" i="18"/>
  <c r="AC160" i="18"/>
  <c r="AD160" i="18"/>
  <c r="AE160" i="18"/>
  <c r="AB161" i="18"/>
  <c r="AC161" i="18"/>
  <c r="AD161" i="18"/>
  <c r="AE161" i="18"/>
  <c r="AB162" i="18"/>
  <c r="AC162" i="18"/>
  <c r="AD162" i="18"/>
  <c r="AE162" i="18"/>
  <c r="AB163" i="18"/>
  <c r="AC163" i="18"/>
  <c r="AD163" i="18"/>
  <c r="AE163" i="18"/>
  <c r="AB164" i="18"/>
  <c r="AC164" i="18"/>
  <c r="AD164" i="18"/>
  <c r="AE164" i="18"/>
  <c r="AB165" i="18"/>
  <c r="AC165" i="18"/>
  <c r="AD165" i="18"/>
  <c r="AE165" i="18"/>
  <c r="AB166" i="18"/>
  <c r="AC166" i="18"/>
  <c r="AD166" i="18"/>
  <c r="AE166" i="18"/>
  <c r="AB167" i="18"/>
  <c r="AC167" i="18"/>
  <c r="AD167" i="18"/>
  <c r="AE167" i="18"/>
  <c r="AB168" i="18"/>
  <c r="AC168" i="18"/>
  <c r="AD168" i="18"/>
  <c r="AE168" i="18"/>
  <c r="AB169" i="18"/>
  <c r="AC169" i="18"/>
  <c r="AD169" i="18"/>
  <c r="AE169" i="18"/>
  <c r="AB170" i="18"/>
  <c r="AC170" i="18"/>
  <c r="AD170" i="18"/>
  <c r="AE170" i="18"/>
  <c r="AB171" i="18"/>
  <c r="AC171" i="18"/>
  <c r="AD171" i="18"/>
  <c r="AE171" i="18"/>
  <c r="AB172" i="18"/>
  <c r="AC172" i="18"/>
  <c r="AD172" i="18"/>
  <c r="AE172" i="18"/>
  <c r="AB173" i="18"/>
  <c r="AC173" i="18"/>
  <c r="AD173" i="18"/>
  <c r="AE173" i="18"/>
  <c r="AB174" i="18"/>
  <c r="AC174" i="18"/>
  <c r="AD174" i="18"/>
  <c r="AE174" i="18"/>
  <c r="AB175" i="18"/>
  <c r="AC175" i="18"/>
  <c r="AD175" i="18"/>
  <c r="AE175" i="18"/>
  <c r="AB176" i="18"/>
  <c r="AC176" i="18"/>
  <c r="AD176" i="18"/>
  <c r="AE176" i="18"/>
  <c r="AB177" i="18"/>
  <c r="AC177" i="18"/>
  <c r="AD177" i="18"/>
  <c r="AE177" i="18"/>
  <c r="AB178" i="18"/>
  <c r="AC178" i="18"/>
  <c r="AD178" i="18"/>
  <c r="AE178" i="18"/>
  <c r="AB179" i="18"/>
  <c r="AC179" i="18"/>
  <c r="AD179" i="18"/>
  <c r="AE179" i="18"/>
  <c r="AB180" i="18"/>
  <c r="AC180" i="18"/>
  <c r="AD180" i="18"/>
  <c r="AE180" i="18"/>
  <c r="AB181" i="18"/>
  <c r="AC181" i="18"/>
  <c r="AD181" i="18"/>
  <c r="AE181" i="18"/>
  <c r="AB182" i="18"/>
  <c r="AC182" i="18"/>
  <c r="AD182" i="18"/>
  <c r="AE182" i="18"/>
  <c r="AB183" i="18"/>
  <c r="AC183" i="18"/>
  <c r="AD183" i="18"/>
  <c r="AE183" i="18"/>
  <c r="AB184" i="18"/>
  <c r="AC184" i="18"/>
  <c r="AD184" i="18"/>
  <c r="AE184" i="18"/>
  <c r="AB185" i="18"/>
  <c r="AC185" i="18"/>
  <c r="AD185" i="18"/>
  <c r="AE185" i="18"/>
  <c r="AB186" i="18"/>
  <c r="AC186" i="18"/>
  <c r="AD186" i="18"/>
  <c r="AE186" i="18"/>
  <c r="AB187" i="18"/>
  <c r="AC187" i="18"/>
  <c r="AD187" i="18"/>
  <c r="AE187" i="18"/>
  <c r="AB188" i="18"/>
  <c r="AC188" i="18"/>
  <c r="AD188" i="18"/>
  <c r="AE188" i="18"/>
  <c r="AB189" i="18"/>
  <c r="AC189" i="18"/>
  <c r="AD189" i="18"/>
  <c r="AE189" i="18"/>
  <c r="AB190" i="18"/>
  <c r="AC190" i="18"/>
  <c r="AD190" i="18"/>
  <c r="AE190" i="18"/>
  <c r="AB191" i="18"/>
  <c r="AC191" i="18"/>
  <c r="AD191" i="18"/>
  <c r="AE191" i="18"/>
  <c r="AB192" i="18"/>
  <c r="AC192" i="18"/>
  <c r="AD192" i="18"/>
  <c r="AE192" i="18"/>
  <c r="AB193" i="18"/>
  <c r="AC193" i="18"/>
  <c r="AD193" i="18"/>
  <c r="AE193" i="18"/>
  <c r="AB194" i="18"/>
  <c r="AC194" i="18"/>
  <c r="AD194" i="18"/>
  <c r="AE194" i="18"/>
  <c r="AB195" i="18"/>
  <c r="AC195" i="18"/>
  <c r="AD195" i="18"/>
  <c r="AE195" i="18"/>
  <c r="AB196" i="18"/>
  <c r="AC196" i="18"/>
  <c r="AD196" i="18"/>
  <c r="AE196" i="18"/>
  <c r="AB197" i="18"/>
  <c r="AC197" i="18"/>
  <c r="AD197" i="18"/>
  <c r="AE197" i="18"/>
  <c r="AB198" i="18"/>
  <c r="AC198" i="18"/>
  <c r="AD198" i="18"/>
  <c r="AE198" i="18"/>
  <c r="AB199" i="18"/>
  <c r="AC199" i="18"/>
  <c r="AD199" i="18"/>
  <c r="AE199" i="18"/>
  <c r="AB200" i="18"/>
  <c r="AC200" i="18"/>
  <c r="AD200" i="18"/>
  <c r="AE200" i="18"/>
  <c r="AB201" i="18"/>
  <c r="AC201" i="18"/>
  <c r="AD201" i="18"/>
  <c r="AE201" i="18"/>
  <c r="AB202" i="18"/>
  <c r="AC202" i="18"/>
  <c r="AD202" i="18"/>
  <c r="AE202" i="18"/>
  <c r="AB203" i="18"/>
  <c r="AC203" i="18"/>
  <c r="AD203" i="18"/>
  <c r="AE203" i="18"/>
  <c r="AB204" i="18"/>
  <c r="AC204" i="18"/>
  <c r="AD204" i="18"/>
  <c r="AE204" i="18"/>
  <c r="AB205" i="18"/>
  <c r="AC205" i="18"/>
  <c r="AD205" i="18"/>
  <c r="AE205" i="18"/>
  <c r="AB206" i="18"/>
  <c r="AC206" i="18"/>
  <c r="AD206" i="18"/>
  <c r="AE206" i="18"/>
  <c r="AB207" i="18"/>
  <c r="AC207" i="18"/>
  <c r="AD207" i="18"/>
  <c r="AE207" i="18"/>
  <c r="AB208" i="18"/>
  <c r="AC208" i="18"/>
  <c r="AD208" i="18"/>
  <c r="AE208" i="18"/>
  <c r="AB209" i="18"/>
  <c r="AC209" i="18"/>
  <c r="AD209" i="18"/>
  <c r="AE209" i="18"/>
  <c r="AB210" i="18"/>
  <c r="AC210" i="18"/>
  <c r="AD210" i="18"/>
  <c r="AE210" i="18"/>
  <c r="AB211" i="18"/>
  <c r="AC211" i="18"/>
  <c r="AD211" i="18"/>
  <c r="AE211" i="18"/>
  <c r="AB212" i="18"/>
  <c r="AC212" i="18"/>
  <c r="AD212" i="18"/>
  <c r="AE212" i="18"/>
  <c r="AB213" i="18"/>
  <c r="AC213" i="18"/>
  <c r="AD213" i="18"/>
  <c r="AE213" i="18"/>
  <c r="AB214" i="18"/>
  <c r="AC214" i="18"/>
  <c r="AD214" i="18"/>
  <c r="AE214" i="18"/>
  <c r="AB215" i="18"/>
  <c r="AC215" i="18"/>
  <c r="AD215" i="18"/>
  <c r="AE215" i="18"/>
  <c r="AB216" i="18"/>
  <c r="AC216" i="18"/>
  <c r="AD216" i="18"/>
  <c r="AE216" i="18"/>
  <c r="AB217" i="18"/>
  <c r="AC217" i="18"/>
  <c r="AD217" i="18"/>
  <c r="AE217" i="18"/>
  <c r="AB218" i="18"/>
  <c r="AC218" i="18"/>
  <c r="AD218" i="18"/>
  <c r="AE218" i="18"/>
  <c r="AB219" i="18"/>
  <c r="AC219" i="18"/>
  <c r="AD219" i="18"/>
  <c r="AE219" i="18"/>
  <c r="AB220" i="18"/>
  <c r="AC220" i="18"/>
  <c r="AD220" i="18"/>
  <c r="AE220" i="18"/>
  <c r="AB221" i="18"/>
  <c r="AC221" i="18"/>
  <c r="AD221" i="18"/>
  <c r="AE221" i="18"/>
  <c r="AB222" i="18"/>
  <c r="AC222" i="18"/>
  <c r="AD222" i="18"/>
  <c r="AE222" i="18"/>
  <c r="AB223" i="18"/>
  <c r="AC223" i="18"/>
  <c r="AD223" i="18"/>
  <c r="AE223" i="18"/>
  <c r="AB224" i="18"/>
  <c r="AC224" i="18"/>
  <c r="AD224" i="18"/>
  <c r="AE224" i="18"/>
  <c r="AB225" i="18"/>
  <c r="AC225" i="18"/>
  <c r="AD225" i="18"/>
  <c r="AE225" i="18"/>
  <c r="AB226" i="18"/>
  <c r="AC226" i="18"/>
  <c r="AD226" i="18"/>
  <c r="AE226" i="18"/>
  <c r="AB227" i="18"/>
  <c r="AC227" i="18"/>
  <c r="AD227" i="18"/>
  <c r="AE227" i="18"/>
  <c r="AB228" i="18"/>
  <c r="AC228" i="18"/>
  <c r="AD228" i="18"/>
  <c r="AE228" i="18"/>
  <c r="AB229" i="18"/>
  <c r="AC229" i="18"/>
  <c r="AD229" i="18"/>
  <c r="AE229" i="18"/>
  <c r="AB230" i="18"/>
  <c r="AC230" i="18"/>
  <c r="AD230" i="18"/>
  <c r="AE230" i="18"/>
  <c r="AB231" i="18"/>
  <c r="AC231" i="18"/>
  <c r="AD231" i="18"/>
  <c r="AE231" i="18"/>
  <c r="AB232" i="18"/>
  <c r="AC232" i="18"/>
  <c r="AD232" i="18"/>
  <c r="AE232" i="18"/>
  <c r="AB233" i="18"/>
  <c r="AC233" i="18"/>
  <c r="AD233" i="18"/>
  <c r="AE233" i="18"/>
  <c r="AB234" i="18"/>
  <c r="AC234" i="18"/>
  <c r="AD234" i="18"/>
  <c r="AE234" i="18"/>
  <c r="AB235" i="18"/>
  <c r="AC235" i="18"/>
  <c r="AD235" i="18"/>
  <c r="AE235" i="18"/>
  <c r="AB236" i="18"/>
  <c r="AC236" i="18"/>
  <c r="AD236" i="18"/>
  <c r="AE236" i="18"/>
  <c r="AB237" i="18"/>
  <c r="AC237" i="18"/>
  <c r="AD237" i="18"/>
  <c r="AE237" i="18"/>
  <c r="AB238" i="18"/>
  <c r="AC238" i="18"/>
  <c r="AD238" i="18"/>
  <c r="AE238" i="18"/>
  <c r="AB239" i="18"/>
  <c r="AC239" i="18"/>
  <c r="AD239" i="18"/>
  <c r="AE239" i="18"/>
  <c r="AB240" i="18"/>
  <c r="AC240" i="18"/>
  <c r="AD240" i="18"/>
  <c r="AE240" i="18"/>
  <c r="AB241" i="18"/>
  <c r="AC241" i="18"/>
  <c r="AD241" i="18"/>
  <c r="AE241" i="18"/>
  <c r="AB242" i="18"/>
  <c r="AC242" i="18"/>
  <c r="AD242" i="18"/>
  <c r="AE242" i="18"/>
  <c r="AB243" i="18"/>
  <c r="AC243" i="18"/>
  <c r="AD243" i="18"/>
  <c r="AE243" i="18"/>
  <c r="AB244" i="18"/>
  <c r="AC244" i="18"/>
  <c r="AD244" i="18"/>
  <c r="AE244" i="18"/>
  <c r="AB245" i="18"/>
  <c r="AC245" i="18"/>
  <c r="AD245" i="18"/>
  <c r="AE245" i="18"/>
  <c r="AB246" i="18"/>
  <c r="AC246" i="18"/>
  <c r="AD246" i="18"/>
  <c r="AE246" i="18"/>
  <c r="AB247" i="18"/>
  <c r="AC247" i="18"/>
  <c r="AD247" i="18"/>
  <c r="AE247" i="18"/>
  <c r="AB248" i="18"/>
  <c r="AC248" i="18"/>
  <c r="AD248" i="18"/>
  <c r="AE248" i="18"/>
  <c r="AB249" i="18"/>
  <c r="AC249" i="18"/>
  <c r="AD249" i="18"/>
  <c r="AE249" i="18"/>
  <c r="AB250" i="18"/>
  <c r="AC250" i="18"/>
  <c r="AD250" i="18"/>
  <c r="AE250" i="18"/>
  <c r="AB251" i="18"/>
  <c r="AC251" i="18"/>
  <c r="AD251" i="18"/>
  <c r="AE251" i="18"/>
  <c r="AB252" i="18"/>
  <c r="AC252" i="18"/>
  <c r="AD252" i="18"/>
  <c r="AE252" i="18"/>
  <c r="AB253" i="18"/>
  <c r="AC253" i="18"/>
  <c r="AD253" i="18"/>
  <c r="AE253" i="18"/>
  <c r="AB254" i="18"/>
  <c r="AC254" i="18"/>
  <c r="AD254" i="18"/>
  <c r="AE254" i="18"/>
  <c r="AB255" i="18"/>
  <c r="AC255" i="18"/>
  <c r="AD255" i="18"/>
  <c r="AE255" i="18"/>
  <c r="AB256" i="18"/>
  <c r="AC256" i="18"/>
  <c r="AD256" i="18"/>
  <c r="AE256" i="18"/>
  <c r="AB257" i="18"/>
  <c r="AC257" i="18"/>
  <c r="AD257" i="18"/>
  <c r="AE257" i="18"/>
  <c r="AB258" i="18"/>
  <c r="AC258" i="18"/>
  <c r="AD258" i="18"/>
  <c r="AE258" i="18"/>
  <c r="AB259" i="18"/>
  <c r="AC259" i="18"/>
  <c r="AD259" i="18"/>
  <c r="AE259" i="18"/>
  <c r="AB260" i="18"/>
  <c r="AC260" i="18"/>
  <c r="AD260" i="18"/>
  <c r="AE260" i="18"/>
  <c r="AB261" i="18"/>
  <c r="AC261" i="18"/>
  <c r="AD261" i="18"/>
  <c r="AE261" i="18"/>
  <c r="AB262" i="18"/>
  <c r="AC262" i="18"/>
  <c r="AD262" i="18"/>
  <c r="AE262" i="18"/>
  <c r="AB263" i="18"/>
  <c r="AC263" i="18"/>
  <c r="AD263" i="18"/>
  <c r="AE263" i="18"/>
  <c r="AB264" i="18"/>
  <c r="AC264" i="18"/>
  <c r="AD264" i="18"/>
  <c r="AE264" i="18"/>
  <c r="AB265" i="18"/>
  <c r="AC265" i="18"/>
  <c r="AD265" i="18"/>
  <c r="AE265" i="18"/>
  <c r="AB266" i="18"/>
  <c r="AC266" i="18"/>
  <c r="AD266" i="18"/>
  <c r="AE266" i="18"/>
  <c r="AB267" i="18"/>
  <c r="AC267" i="18"/>
  <c r="AD267" i="18"/>
  <c r="AE267" i="18"/>
  <c r="AB268" i="18"/>
  <c r="AC268" i="18"/>
  <c r="AD268" i="18"/>
  <c r="AE268" i="18"/>
  <c r="AB269" i="18"/>
  <c r="AC269" i="18"/>
  <c r="AD269" i="18"/>
  <c r="AE269" i="18"/>
  <c r="AB270" i="18"/>
  <c r="AC270" i="18"/>
  <c r="AD270" i="18"/>
  <c r="AE270" i="18"/>
  <c r="AB271" i="18"/>
  <c r="AC271" i="18"/>
  <c r="AD271" i="18"/>
  <c r="AE271" i="18"/>
  <c r="AB272" i="18"/>
  <c r="AC272" i="18"/>
  <c r="AD272" i="18"/>
  <c r="AE272" i="18"/>
  <c r="AB273" i="18"/>
  <c r="AC273" i="18"/>
  <c r="AD273" i="18"/>
  <c r="AE273" i="18"/>
  <c r="AB274" i="18"/>
  <c r="AC274" i="18"/>
  <c r="AD274" i="18"/>
  <c r="AE274" i="18"/>
  <c r="AB275" i="18"/>
  <c r="AC275" i="18"/>
  <c r="AD275" i="18"/>
  <c r="AE275" i="18"/>
  <c r="AB276" i="18"/>
  <c r="AC276" i="18"/>
  <c r="AD276" i="18"/>
  <c r="AE276" i="18"/>
  <c r="AB277" i="18"/>
  <c r="AC277" i="18"/>
  <c r="AD277" i="18"/>
  <c r="AE277" i="18"/>
  <c r="AB278" i="18"/>
  <c r="AC278" i="18"/>
  <c r="AD278" i="18"/>
  <c r="AE278" i="18"/>
  <c r="AB279" i="18"/>
  <c r="AC279" i="18"/>
  <c r="AD279" i="18"/>
  <c r="AE279" i="18"/>
  <c r="AB280" i="18"/>
  <c r="AC280" i="18"/>
  <c r="AD280" i="18"/>
  <c r="AE280" i="18"/>
  <c r="AB281" i="18"/>
  <c r="AC281" i="18"/>
  <c r="AD281" i="18"/>
  <c r="AE281" i="18"/>
  <c r="AB282" i="18"/>
  <c r="AC282" i="18"/>
  <c r="AD282" i="18"/>
  <c r="AE282" i="18"/>
  <c r="AB283" i="18"/>
  <c r="AC283" i="18"/>
  <c r="AD283" i="18"/>
  <c r="AE283" i="18"/>
  <c r="AB284" i="18"/>
  <c r="AC284" i="18"/>
  <c r="AD284" i="18"/>
  <c r="AE284" i="18"/>
  <c r="AB285" i="18"/>
  <c r="AC285" i="18"/>
  <c r="AD285" i="18"/>
  <c r="AE285" i="18"/>
  <c r="AB286" i="18"/>
  <c r="AC286" i="18"/>
  <c r="AD286" i="18"/>
  <c r="AE286" i="18"/>
  <c r="AB287" i="18"/>
  <c r="AC287" i="18"/>
  <c r="AD287" i="18"/>
  <c r="AE287" i="18"/>
  <c r="AB288" i="18"/>
  <c r="AC288" i="18"/>
  <c r="AD288" i="18"/>
  <c r="AE288" i="18"/>
  <c r="AB289" i="18"/>
  <c r="AC289" i="18"/>
  <c r="AD289" i="18"/>
  <c r="AE289" i="18"/>
  <c r="AB290" i="18"/>
  <c r="AC290" i="18"/>
  <c r="AD290" i="18"/>
  <c r="AE290" i="18"/>
  <c r="AB291" i="18"/>
  <c r="AC291" i="18"/>
  <c r="AD291" i="18"/>
  <c r="AE291" i="18"/>
  <c r="AB292" i="18"/>
  <c r="AC292" i="18"/>
  <c r="AD292" i="18"/>
  <c r="AE292" i="18"/>
  <c r="AB293" i="18"/>
  <c r="AC293" i="18"/>
  <c r="AD293" i="18"/>
  <c r="AE293" i="18"/>
  <c r="AB294" i="18"/>
  <c r="AC294" i="18"/>
  <c r="AD294" i="18"/>
  <c r="AE294" i="18"/>
  <c r="AB295" i="18"/>
  <c r="AC295" i="18"/>
  <c r="AD295" i="18"/>
  <c r="AE295" i="18"/>
  <c r="AB296" i="18"/>
  <c r="AC296" i="18"/>
  <c r="AD296" i="18"/>
  <c r="AE296" i="18"/>
  <c r="AB297" i="18"/>
  <c r="AC297" i="18"/>
  <c r="AD297" i="18"/>
  <c r="AE297" i="18"/>
  <c r="AB298" i="18"/>
  <c r="AC298" i="18"/>
  <c r="AD298" i="18"/>
  <c r="AE298" i="18"/>
  <c r="AB299" i="18"/>
  <c r="AC299" i="18"/>
  <c r="AD299" i="18"/>
  <c r="AE299" i="18"/>
  <c r="AB300" i="18"/>
  <c r="AC300" i="18"/>
  <c r="AD300" i="18"/>
  <c r="AE300" i="18"/>
  <c r="AB301" i="18"/>
  <c r="AC301" i="18"/>
  <c r="AD301" i="18"/>
  <c r="AE301" i="18"/>
  <c r="AB302" i="18"/>
  <c r="AC302" i="18"/>
  <c r="AD302" i="18"/>
  <c r="AE302" i="18"/>
  <c r="AB303" i="18"/>
  <c r="AC303" i="18"/>
  <c r="AD303" i="18"/>
  <c r="AE303" i="18"/>
  <c r="AB304" i="18"/>
  <c r="AC304" i="18"/>
  <c r="AD304" i="18"/>
  <c r="AE304" i="18"/>
  <c r="AB305" i="18"/>
  <c r="AC305" i="18"/>
  <c r="AD305" i="18"/>
  <c r="AE305" i="18"/>
  <c r="AB306" i="18"/>
  <c r="AC306" i="18"/>
  <c r="AD306" i="18"/>
  <c r="AE306" i="18"/>
  <c r="AB307" i="18"/>
  <c r="AC307" i="18"/>
  <c r="AD307" i="18"/>
  <c r="AE307" i="18"/>
  <c r="AB308" i="18"/>
  <c r="AC308" i="18"/>
  <c r="AD308" i="18"/>
  <c r="AE308" i="18"/>
  <c r="AB309" i="18"/>
  <c r="AC309" i="18"/>
  <c r="AD309" i="18"/>
  <c r="AE309" i="18"/>
  <c r="AB310" i="18"/>
  <c r="AC310" i="18"/>
  <c r="AD310" i="18"/>
  <c r="AE310" i="18"/>
  <c r="AB311" i="18"/>
  <c r="AC311" i="18"/>
  <c r="AD311" i="18"/>
  <c r="AE311" i="18"/>
  <c r="AB312" i="18"/>
  <c r="AC312" i="18"/>
  <c r="AD312" i="18"/>
  <c r="AE312" i="18"/>
  <c r="AB313" i="18"/>
  <c r="AC313" i="18"/>
  <c r="AD313" i="18"/>
  <c r="AE313" i="18"/>
  <c r="AB314" i="18"/>
  <c r="AC314" i="18"/>
  <c r="AD314" i="18"/>
  <c r="AE314" i="18"/>
  <c r="AB315" i="18"/>
  <c r="AC315" i="18"/>
  <c r="AD315" i="18"/>
  <c r="AE315" i="18"/>
  <c r="AB316" i="18"/>
  <c r="AC316" i="18"/>
  <c r="AD316" i="18"/>
  <c r="AE316" i="18"/>
  <c r="AB317" i="18"/>
  <c r="AC317" i="18"/>
  <c r="AD317" i="18"/>
  <c r="AE317" i="18"/>
  <c r="AB318" i="18"/>
  <c r="AC318" i="18"/>
  <c r="AD318" i="18"/>
  <c r="AE318" i="18"/>
  <c r="AB319" i="18"/>
  <c r="AC319" i="18"/>
  <c r="AD319" i="18"/>
  <c r="AE319" i="18"/>
  <c r="AB320" i="18"/>
  <c r="AC320" i="18"/>
  <c r="AD320" i="18"/>
  <c r="AE320" i="18"/>
  <c r="AB321" i="18"/>
  <c r="AC321" i="18"/>
  <c r="AD321" i="18"/>
  <c r="AE321" i="18"/>
  <c r="AB322" i="18"/>
  <c r="AC322" i="18"/>
  <c r="AD322" i="18"/>
  <c r="AE322" i="18"/>
  <c r="AB323" i="18"/>
  <c r="AC323" i="18"/>
  <c r="AD323" i="18"/>
  <c r="AE323" i="18"/>
  <c r="AB324" i="18"/>
  <c r="AC324" i="18"/>
  <c r="AD324" i="18"/>
  <c r="AE324" i="18"/>
  <c r="AB325" i="18"/>
  <c r="AC325" i="18"/>
  <c r="AD325" i="18"/>
  <c r="AE325" i="18"/>
  <c r="AB326" i="18"/>
  <c r="AC326" i="18"/>
  <c r="AD326" i="18"/>
  <c r="AE326" i="18"/>
  <c r="AB327" i="18"/>
  <c r="AC327" i="18"/>
  <c r="AD327" i="18"/>
  <c r="AE327" i="18"/>
  <c r="AB328" i="18"/>
  <c r="AC328" i="18"/>
  <c r="AD328" i="18"/>
  <c r="AE328" i="18"/>
  <c r="AB329" i="18"/>
  <c r="AC329" i="18"/>
  <c r="AD329" i="18"/>
  <c r="AE329" i="18"/>
  <c r="AB330" i="18"/>
  <c r="AC330" i="18"/>
  <c r="AD330" i="18"/>
  <c r="AE330" i="18"/>
  <c r="AB331" i="18"/>
  <c r="AC331" i="18"/>
  <c r="AD331" i="18"/>
  <c r="AE331" i="18"/>
  <c r="AB332" i="18"/>
  <c r="AC332" i="18"/>
  <c r="AD332" i="18"/>
  <c r="AE332" i="18"/>
  <c r="AB333" i="18"/>
  <c r="AC333" i="18"/>
  <c r="AD333" i="18"/>
  <c r="AE333" i="18"/>
  <c r="AB334" i="18"/>
  <c r="AC334" i="18"/>
  <c r="AD334" i="18"/>
  <c r="AE334" i="18"/>
  <c r="AB335" i="18"/>
  <c r="AC335" i="18"/>
  <c r="AD335" i="18"/>
  <c r="AE335" i="18"/>
  <c r="AB336" i="18"/>
  <c r="AC336" i="18"/>
  <c r="AD336" i="18"/>
  <c r="AE336" i="18"/>
  <c r="AB337" i="18"/>
  <c r="AC337" i="18"/>
  <c r="AD337" i="18"/>
  <c r="AE337" i="18"/>
  <c r="AB338" i="18"/>
  <c r="AC338" i="18"/>
  <c r="AD338" i="18"/>
  <c r="AE338" i="18"/>
  <c r="AB339" i="18"/>
  <c r="AC339" i="18"/>
  <c r="AD339" i="18"/>
  <c r="AE339" i="18"/>
  <c r="AB340" i="18"/>
  <c r="AC340" i="18"/>
  <c r="AD340" i="18"/>
  <c r="AE340" i="18"/>
  <c r="AB341" i="18"/>
  <c r="AC341" i="18"/>
  <c r="AD341" i="18"/>
  <c r="AE341" i="18"/>
  <c r="AB342" i="18"/>
  <c r="AC342" i="18"/>
  <c r="AD342" i="18"/>
  <c r="AE342" i="18"/>
  <c r="AB343" i="18"/>
  <c r="AC343" i="18"/>
  <c r="AD343" i="18"/>
  <c r="AE343" i="18"/>
  <c r="AB344" i="18"/>
  <c r="AC344" i="18"/>
  <c r="AD344" i="18"/>
  <c r="AE344" i="18"/>
  <c r="AB345" i="18"/>
  <c r="AC345" i="18"/>
  <c r="AD345" i="18"/>
  <c r="AE345" i="18"/>
  <c r="AB346" i="18"/>
  <c r="AC346" i="18"/>
  <c r="AD346" i="18"/>
  <c r="AE346" i="18"/>
  <c r="AB347" i="18"/>
  <c r="AC347" i="18"/>
  <c r="AD347" i="18"/>
  <c r="AE347" i="18"/>
  <c r="AB348" i="18"/>
  <c r="AC348" i="18"/>
  <c r="AD348" i="18"/>
  <c r="AE348" i="18"/>
  <c r="AB349" i="18"/>
  <c r="AC349" i="18"/>
  <c r="AD349" i="18"/>
  <c r="AE349" i="18"/>
  <c r="AB350" i="18"/>
  <c r="AC350" i="18"/>
  <c r="AD350" i="18"/>
  <c r="AE350" i="18"/>
  <c r="AB351" i="18"/>
  <c r="AC351" i="18"/>
  <c r="AD351" i="18"/>
  <c r="AE351" i="18"/>
  <c r="AB352" i="18"/>
  <c r="AC352" i="18"/>
  <c r="AD352" i="18"/>
  <c r="AE352" i="18"/>
  <c r="AB353" i="18"/>
  <c r="AC353" i="18"/>
  <c r="AD353" i="18"/>
  <c r="AE353" i="18"/>
  <c r="AB354" i="18"/>
  <c r="AC354" i="18"/>
  <c r="AD354" i="18"/>
  <c r="AE354" i="18"/>
  <c r="AB355" i="18"/>
  <c r="AC355" i="18"/>
  <c r="AD355" i="18"/>
  <c r="AE355" i="18"/>
  <c r="AB356" i="18"/>
  <c r="AC356" i="18"/>
  <c r="AD356" i="18"/>
  <c r="AE356" i="18"/>
  <c r="AB357" i="18"/>
  <c r="AC357" i="18"/>
  <c r="AD357" i="18"/>
  <c r="AE357" i="18"/>
  <c r="AB358" i="18"/>
  <c r="AC358" i="18"/>
  <c r="AD358" i="18"/>
  <c r="AE358" i="18"/>
  <c r="AB359" i="18"/>
  <c r="AC359" i="18"/>
  <c r="AD359" i="18"/>
  <c r="AE359" i="18"/>
  <c r="AB360" i="18"/>
  <c r="AC360" i="18"/>
  <c r="AD360" i="18"/>
  <c r="AE360" i="18"/>
  <c r="AB361" i="18"/>
  <c r="AC361" i="18"/>
  <c r="AD361" i="18"/>
  <c r="AE361" i="18"/>
  <c r="AB362" i="18"/>
  <c r="AC362" i="18"/>
  <c r="AD362" i="18"/>
  <c r="AE362" i="18"/>
  <c r="AB363" i="18"/>
  <c r="AC363" i="18"/>
  <c r="AD363" i="18"/>
  <c r="AE363" i="18"/>
  <c r="AB364" i="18"/>
  <c r="AC364" i="18"/>
  <c r="AD364" i="18"/>
  <c r="AE364" i="18"/>
  <c r="AB365" i="18"/>
  <c r="AC365" i="18"/>
  <c r="AD365" i="18"/>
  <c r="AE365" i="18"/>
  <c r="AB366" i="18"/>
  <c r="AC366" i="18"/>
  <c r="AD366" i="18"/>
  <c r="AE366" i="18"/>
  <c r="AB367" i="18"/>
  <c r="AC367" i="18"/>
  <c r="AD367" i="18"/>
  <c r="AE367" i="18"/>
  <c r="AB368" i="18"/>
  <c r="AC368" i="18"/>
  <c r="AD368" i="18"/>
  <c r="AE368" i="18"/>
  <c r="AB369" i="18"/>
  <c r="AC369" i="18"/>
  <c r="AD369" i="18"/>
  <c r="AE369" i="18"/>
  <c r="AB370" i="18"/>
  <c r="AC370" i="18"/>
  <c r="AD370" i="18"/>
  <c r="AE370" i="18"/>
  <c r="AB371" i="18"/>
  <c r="AC371" i="18"/>
  <c r="AD371" i="18"/>
  <c r="AE371" i="18"/>
  <c r="AB372" i="18"/>
  <c r="AC372" i="18"/>
  <c r="AD372" i="18"/>
  <c r="AE372" i="18"/>
  <c r="AB373" i="18"/>
  <c r="AC373" i="18"/>
  <c r="AD373" i="18"/>
  <c r="AE373" i="18"/>
  <c r="AB374" i="18"/>
  <c r="AC374" i="18"/>
  <c r="AD374" i="18"/>
  <c r="AE374" i="18"/>
  <c r="AB375" i="18"/>
  <c r="AC375" i="18"/>
  <c r="AD375" i="18"/>
  <c r="AE375" i="18"/>
  <c r="AB376" i="18"/>
  <c r="AC376" i="18"/>
  <c r="AD376" i="18"/>
  <c r="AE376" i="18"/>
  <c r="AB377" i="18"/>
  <c r="AC377" i="18"/>
  <c r="AD377" i="18"/>
  <c r="AE377" i="18"/>
  <c r="AB378" i="18"/>
  <c r="AC378" i="18"/>
  <c r="AD378" i="18"/>
  <c r="AE378" i="18"/>
  <c r="AB379" i="18"/>
  <c r="AC379" i="18"/>
  <c r="AD379" i="18"/>
  <c r="AE379" i="18"/>
  <c r="AB380" i="18"/>
  <c r="AC380" i="18"/>
  <c r="AD380" i="18"/>
  <c r="AE380" i="18"/>
  <c r="AB381" i="18"/>
  <c r="AC381" i="18"/>
  <c r="AD381" i="18"/>
  <c r="AE381" i="18"/>
  <c r="AB382" i="18"/>
  <c r="AC382" i="18"/>
  <c r="AD382" i="18"/>
  <c r="AE382" i="18"/>
  <c r="AB383" i="18"/>
  <c r="AC383" i="18"/>
  <c r="AD383" i="18"/>
  <c r="AE383" i="18"/>
  <c r="AB384" i="18"/>
  <c r="AC384" i="18"/>
  <c r="AD384" i="18"/>
  <c r="AE384" i="18"/>
  <c r="AB385" i="18"/>
  <c r="AC385" i="18"/>
  <c r="AD385" i="18"/>
  <c r="AE385" i="18"/>
  <c r="AB386" i="18"/>
  <c r="AC386" i="18"/>
  <c r="AD386" i="18"/>
  <c r="AE386" i="18"/>
  <c r="AB387" i="18"/>
  <c r="AC387" i="18"/>
  <c r="AD387" i="18"/>
  <c r="AE387" i="18"/>
  <c r="AB388" i="18"/>
  <c r="AC388" i="18"/>
  <c r="AD388" i="18"/>
  <c r="AE388" i="18"/>
  <c r="AB389" i="18"/>
  <c r="AC389" i="18"/>
  <c r="AD389" i="18"/>
  <c r="AE389" i="18"/>
  <c r="AB390" i="18"/>
  <c r="AC390" i="18"/>
  <c r="AD390" i="18"/>
  <c r="AE390" i="18"/>
  <c r="AB391" i="18"/>
  <c r="AC391" i="18"/>
  <c r="AD391" i="18"/>
  <c r="AE391" i="18"/>
  <c r="AB392" i="18"/>
  <c r="AC392" i="18"/>
  <c r="AD392" i="18"/>
  <c r="AE392" i="18"/>
  <c r="AB393" i="18"/>
  <c r="AC393" i="18"/>
  <c r="AD393" i="18"/>
  <c r="AE393" i="18"/>
  <c r="AB394" i="18"/>
  <c r="AC394" i="18"/>
  <c r="AD394" i="18"/>
  <c r="AE394" i="18"/>
  <c r="AB395" i="18"/>
  <c r="AC395" i="18"/>
  <c r="AD395" i="18"/>
  <c r="AE395" i="18"/>
  <c r="AB396" i="18"/>
  <c r="AC396" i="18"/>
  <c r="AD396" i="18"/>
  <c r="AE396" i="18"/>
  <c r="AB397" i="18"/>
  <c r="AC397" i="18"/>
  <c r="AD397" i="18"/>
  <c r="AE397" i="18"/>
  <c r="AB398" i="18"/>
  <c r="AC398" i="18"/>
  <c r="AD398" i="18"/>
  <c r="AE398" i="18"/>
  <c r="AB399" i="18"/>
  <c r="AC399" i="18"/>
  <c r="AD399" i="18"/>
  <c r="AE399" i="18"/>
  <c r="AB400" i="18"/>
  <c r="AC400" i="18"/>
  <c r="AD400" i="18"/>
  <c r="AE400" i="18"/>
  <c r="AB401" i="18"/>
  <c r="AC401" i="18"/>
  <c r="AD401" i="18"/>
  <c r="AE401" i="18"/>
  <c r="AB402" i="18"/>
  <c r="AC402" i="18"/>
  <c r="AD402" i="18"/>
  <c r="AE402" i="18"/>
  <c r="AB403" i="18"/>
  <c r="AC403" i="18"/>
  <c r="AD403" i="18"/>
  <c r="AE403" i="18"/>
  <c r="AB404" i="18"/>
  <c r="AC404" i="18"/>
  <c r="AD404" i="18"/>
  <c r="AE404" i="18"/>
  <c r="AB405" i="18"/>
  <c r="AC405" i="18"/>
  <c r="AD405" i="18"/>
  <c r="AE405" i="18"/>
  <c r="AB406" i="18"/>
  <c r="AC406" i="18"/>
  <c r="AD406" i="18"/>
  <c r="AE406" i="18"/>
  <c r="AB407" i="18"/>
  <c r="AC407" i="18"/>
  <c r="AD407" i="18"/>
  <c r="AE407" i="18"/>
  <c r="AB408" i="18"/>
  <c r="AC408" i="18"/>
  <c r="AD408" i="18"/>
  <c r="AE408" i="18"/>
  <c r="AB409" i="18"/>
  <c r="AC409" i="18"/>
  <c r="AD409" i="18"/>
  <c r="AE409" i="18"/>
  <c r="AB410" i="18"/>
  <c r="AC410" i="18"/>
  <c r="AD410" i="18"/>
  <c r="AE410" i="18"/>
  <c r="AB411" i="18"/>
  <c r="AC411" i="18"/>
  <c r="AD411" i="18"/>
  <c r="AE411" i="18"/>
  <c r="AB412" i="18"/>
  <c r="AC412" i="18"/>
  <c r="AD412" i="18"/>
  <c r="AE412" i="18"/>
  <c r="AB413" i="18"/>
  <c r="AC413" i="18"/>
  <c r="AD413" i="18"/>
  <c r="AE413" i="18"/>
  <c r="AB414" i="18"/>
  <c r="AC414" i="18"/>
  <c r="AD414" i="18"/>
  <c r="AE414" i="18"/>
  <c r="AB415" i="18"/>
  <c r="AC415" i="18"/>
  <c r="AD415" i="18"/>
  <c r="AE415" i="18"/>
  <c r="AB416" i="18"/>
  <c r="AC416" i="18"/>
  <c r="AD416" i="18"/>
  <c r="AE416" i="18"/>
  <c r="AB417" i="18"/>
  <c r="AC417" i="18"/>
  <c r="AD417" i="18"/>
  <c r="AE417" i="18"/>
  <c r="AB418" i="18"/>
  <c r="AC418" i="18"/>
  <c r="AD418" i="18"/>
  <c r="AE418" i="18"/>
  <c r="AB419" i="18"/>
  <c r="AC419" i="18"/>
  <c r="AD419" i="18"/>
  <c r="AE419" i="18"/>
  <c r="AB420" i="18"/>
  <c r="AC420" i="18"/>
  <c r="AD420" i="18"/>
  <c r="AE420" i="18"/>
  <c r="AB421" i="18"/>
  <c r="AC421" i="18"/>
  <c r="AD421" i="18"/>
  <c r="AE421" i="18"/>
  <c r="AB422" i="18"/>
  <c r="AC422" i="18"/>
  <c r="AD422" i="18"/>
  <c r="AE422" i="18"/>
  <c r="AB423" i="18"/>
  <c r="AC423" i="18"/>
  <c r="AD423" i="18"/>
  <c r="AE423" i="18"/>
  <c r="AB424" i="18"/>
  <c r="AC424" i="18"/>
  <c r="AD424" i="18"/>
  <c r="AE424" i="18"/>
  <c r="AB425" i="18"/>
  <c r="AC425" i="18"/>
  <c r="AD425" i="18"/>
  <c r="AE425" i="18"/>
  <c r="AB426" i="18"/>
  <c r="AC426" i="18"/>
  <c r="AD426" i="18"/>
  <c r="AE426" i="18"/>
  <c r="AB427" i="18"/>
  <c r="AC427" i="18"/>
  <c r="AD427" i="18"/>
  <c r="AE427" i="18"/>
  <c r="AB428" i="18"/>
  <c r="AC428" i="18"/>
  <c r="AD428" i="18"/>
  <c r="AE428" i="18"/>
  <c r="AB429" i="18"/>
  <c r="AC429" i="18"/>
  <c r="AD429" i="18"/>
  <c r="AE429" i="18"/>
  <c r="AB430" i="18"/>
  <c r="AC430" i="18"/>
  <c r="AD430" i="18"/>
  <c r="AE430" i="18"/>
  <c r="AB431" i="18"/>
  <c r="AC431" i="18"/>
  <c r="AD431" i="18"/>
  <c r="AE431" i="18"/>
  <c r="AB432" i="18"/>
  <c r="AC432" i="18"/>
  <c r="AD432" i="18"/>
  <c r="AE432" i="18"/>
  <c r="AB433" i="18"/>
  <c r="AC433" i="18"/>
  <c r="AD433" i="18"/>
  <c r="AE433" i="18"/>
  <c r="AB434" i="18"/>
  <c r="AC434" i="18"/>
  <c r="AD434" i="18"/>
  <c r="AE434" i="18"/>
  <c r="AB435" i="18"/>
  <c r="AC435" i="18"/>
  <c r="AD435" i="18"/>
  <c r="AE435" i="18"/>
  <c r="AB436" i="18"/>
  <c r="AC436" i="18"/>
  <c r="AD436" i="18"/>
  <c r="AE436" i="18"/>
  <c r="AB437" i="18"/>
  <c r="AC437" i="18"/>
  <c r="AD437" i="18"/>
  <c r="AE437" i="18"/>
  <c r="AB438" i="18"/>
  <c r="AC438" i="18"/>
  <c r="AD438" i="18"/>
  <c r="AE438" i="18"/>
  <c r="AB439" i="18"/>
  <c r="AC439" i="18"/>
  <c r="AD439" i="18"/>
  <c r="AE439" i="18"/>
  <c r="AB440" i="18"/>
  <c r="AC440" i="18"/>
  <c r="AD440" i="18"/>
  <c r="AE440" i="18"/>
  <c r="AB441" i="18"/>
  <c r="AC441" i="18"/>
  <c r="AD441" i="18"/>
  <c r="AE441" i="18"/>
  <c r="AB442" i="18"/>
  <c r="AC442" i="18"/>
  <c r="AD442" i="18"/>
  <c r="AE442" i="18"/>
  <c r="AB443" i="18"/>
  <c r="AC443" i="18"/>
  <c r="AD443" i="18"/>
  <c r="AE443" i="18"/>
  <c r="AB444" i="18"/>
  <c r="AC444" i="18"/>
  <c r="AD444" i="18"/>
  <c r="AE444" i="18"/>
  <c r="AB445" i="18"/>
  <c r="AC445" i="18"/>
  <c r="AD445" i="18"/>
  <c r="AE445" i="18"/>
  <c r="AB446" i="18"/>
  <c r="AC446" i="18"/>
  <c r="AD446" i="18"/>
  <c r="AE446" i="18"/>
  <c r="AB447" i="18"/>
  <c r="AC447" i="18"/>
  <c r="AD447" i="18"/>
  <c r="AE447" i="18"/>
  <c r="AB448" i="18"/>
  <c r="AC448" i="18"/>
  <c r="AD448" i="18"/>
  <c r="AE448" i="18"/>
  <c r="AB449" i="18"/>
  <c r="AC449" i="18"/>
  <c r="AD449" i="18"/>
  <c r="AE449" i="18"/>
  <c r="AB450" i="18"/>
  <c r="AC450" i="18"/>
  <c r="AD450" i="18"/>
  <c r="AE450" i="18"/>
  <c r="AB451" i="18"/>
  <c r="AC451" i="18"/>
  <c r="AD451" i="18"/>
  <c r="AE451" i="18"/>
  <c r="AB452" i="18"/>
  <c r="AC452" i="18"/>
  <c r="AD452" i="18"/>
  <c r="AE452" i="18"/>
  <c r="AB453" i="18"/>
  <c r="AC453" i="18"/>
  <c r="AD453" i="18"/>
  <c r="AE453" i="18"/>
  <c r="AB454" i="18"/>
  <c r="AC454" i="18"/>
  <c r="AD454" i="18"/>
  <c r="AE454" i="18"/>
  <c r="AB455" i="18"/>
  <c r="AC455" i="18"/>
  <c r="AD455" i="18"/>
  <c r="AE455" i="18"/>
  <c r="AB456" i="18"/>
  <c r="AC456" i="18"/>
  <c r="AD456" i="18"/>
  <c r="AE456" i="18"/>
  <c r="AB457" i="18"/>
  <c r="AC457" i="18"/>
  <c r="AD457" i="18"/>
  <c r="AE457" i="18"/>
  <c r="AB458" i="18"/>
  <c r="AC458" i="18"/>
  <c r="AD458" i="18"/>
  <c r="AE458" i="18"/>
  <c r="AB459" i="18"/>
  <c r="AC459" i="18"/>
  <c r="AD459" i="18"/>
  <c r="AE459" i="18"/>
  <c r="AB460" i="18"/>
  <c r="AC460" i="18"/>
  <c r="AD460" i="18"/>
  <c r="AE460" i="18"/>
  <c r="AB461" i="18"/>
  <c r="AC461" i="18"/>
  <c r="AD461" i="18"/>
  <c r="AE461" i="18"/>
  <c r="AB462" i="18"/>
  <c r="AC462" i="18"/>
  <c r="AD462" i="18"/>
  <c r="AE462" i="18"/>
  <c r="AB463" i="18"/>
  <c r="AC463" i="18"/>
  <c r="AD463" i="18"/>
  <c r="AE463" i="18"/>
  <c r="AB464" i="18"/>
  <c r="AC464" i="18"/>
  <c r="AD464" i="18"/>
  <c r="AE464" i="18"/>
  <c r="AB465" i="18"/>
  <c r="AC465" i="18"/>
  <c r="AD465" i="18"/>
  <c r="AE465" i="18"/>
  <c r="AB466" i="18"/>
  <c r="AC466" i="18"/>
  <c r="AD466" i="18"/>
  <c r="AE466" i="18"/>
  <c r="AB467" i="18"/>
  <c r="AC467" i="18"/>
  <c r="AD467" i="18"/>
  <c r="AE467" i="18"/>
  <c r="AB468" i="18"/>
  <c r="AC468" i="18"/>
  <c r="AD468" i="18"/>
  <c r="AE468" i="18"/>
  <c r="AB469" i="18"/>
  <c r="AC469" i="18"/>
  <c r="AD469" i="18"/>
  <c r="AE469" i="18"/>
  <c r="AB470" i="18"/>
  <c r="AC470" i="18"/>
  <c r="AD470" i="18"/>
  <c r="AE470" i="18"/>
  <c r="AB471" i="18"/>
  <c r="AC471" i="18"/>
  <c r="AD471" i="18"/>
  <c r="AE471" i="18"/>
  <c r="AB472" i="18"/>
  <c r="AC472" i="18"/>
  <c r="AD472" i="18"/>
  <c r="AE472" i="18"/>
  <c r="AB473" i="18"/>
  <c r="AC473" i="18"/>
  <c r="AD473" i="18"/>
  <c r="AE473" i="18"/>
  <c r="AB474" i="18"/>
  <c r="AC474" i="18"/>
  <c r="AD474" i="18"/>
  <c r="AE474" i="18"/>
  <c r="AB475" i="18"/>
  <c r="AC475" i="18"/>
  <c r="AD475" i="18"/>
  <c r="AE475" i="18"/>
  <c r="AB476" i="18"/>
  <c r="AC476" i="18"/>
  <c r="AD476" i="18"/>
  <c r="AE476" i="18"/>
  <c r="AB477" i="18"/>
  <c r="AC477" i="18"/>
  <c r="AD477" i="18"/>
  <c r="AE477" i="18"/>
  <c r="AB478" i="18"/>
  <c r="AC478" i="18"/>
  <c r="AD478" i="18"/>
  <c r="AE478" i="18"/>
  <c r="AB479" i="18"/>
  <c r="AC479" i="18"/>
  <c r="AD479" i="18"/>
  <c r="AE479" i="18"/>
  <c r="AB480" i="18"/>
  <c r="AC480" i="18"/>
  <c r="AD480" i="18"/>
  <c r="AE480" i="18"/>
  <c r="AB481" i="18"/>
  <c r="AC481" i="18"/>
  <c r="AD481" i="18"/>
  <c r="AE481" i="18"/>
  <c r="AB482" i="18"/>
  <c r="AC482" i="18"/>
  <c r="AD482" i="18"/>
  <c r="AE482" i="18"/>
  <c r="AB483" i="18"/>
  <c r="AC483" i="18"/>
  <c r="AD483" i="18"/>
  <c r="AE483" i="18"/>
  <c r="AB484" i="18"/>
  <c r="AC484" i="18"/>
  <c r="AD484" i="18"/>
  <c r="AE484" i="18"/>
  <c r="AB485" i="18"/>
  <c r="AC485" i="18"/>
  <c r="AD485" i="18"/>
  <c r="AE485" i="18"/>
  <c r="AB486" i="18"/>
  <c r="AC486" i="18"/>
  <c r="AD486" i="18"/>
  <c r="AE486" i="18"/>
  <c r="AB487" i="18"/>
  <c r="AC487" i="18"/>
  <c r="AD487" i="18"/>
  <c r="AE487" i="18"/>
  <c r="AB488" i="18"/>
  <c r="AC488" i="18"/>
  <c r="AD488" i="18"/>
  <c r="AE488" i="18"/>
  <c r="AB489" i="18"/>
  <c r="AC489" i="18"/>
  <c r="AD489" i="18"/>
  <c r="AE489" i="18"/>
  <c r="AB490" i="18"/>
  <c r="AC490" i="18"/>
  <c r="AD490" i="18"/>
  <c r="AE490" i="18"/>
  <c r="AB491" i="18"/>
  <c r="AC491" i="18"/>
  <c r="AD491" i="18"/>
  <c r="AE491" i="18"/>
  <c r="AB492" i="18"/>
  <c r="AC492" i="18"/>
  <c r="AD492" i="18"/>
  <c r="AE492" i="18"/>
  <c r="AB493" i="18"/>
  <c r="AC493" i="18"/>
  <c r="AD493" i="18"/>
  <c r="AE493" i="18"/>
  <c r="AB494" i="18"/>
  <c r="AC494" i="18"/>
  <c r="AD494" i="18"/>
  <c r="AE494" i="18"/>
  <c r="AB495" i="18"/>
  <c r="AC495" i="18"/>
  <c r="AD495" i="18"/>
  <c r="AE495" i="18"/>
  <c r="AB496" i="18"/>
  <c r="AC496" i="18"/>
  <c r="AD496" i="18"/>
  <c r="AE496" i="18"/>
  <c r="AB497" i="18"/>
  <c r="AC497" i="18"/>
  <c r="AD497" i="18"/>
  <c r="AE497" i="18"/>
  <c r="AB498" i="18"/>
  <c r="AC498" i="18"/>
  <c r="AD498" i="18"/>
  <c r="AE498" i="18"/>
  <c r="AB499" i="18"/>
  <c r="AC499" i="18"/>
  <c r="AD499" i="18"/>
  <c r="AE499" i="18"/>
  <c r="AB500" i="18"/>
  <c r="AC500" i="18"/>
  <c r="AD500" i="18"/>
  <c r="AE500" i="18"/>
  <c r="AB501" i="18"/>
  <c r="AC501" i="18"/>
  <c r="AD501" i="18"/>
  <c r="AE501" i="18"/>
  <c r="AB502" i="18"/>
  <c r="AC502" i="18"/>
  <c r="AD502" i="18"/>
  <c r="AE502" i="18"/>
  <c r="AB503" i="18"/>
  <c r="AC503" i="18"/>
  <c r="AD503" i="18"/>
  <c r="AE503" i="18"/>
  <c r="AB504" i="18"/>
  <c r="AC504" i="18"/>
  <c r="AD504" i="18"/>
  <c r="AE504" i="18"/>
  <c r="AB505" i="18"/>
  <c r="AC505" i="18"/>
  <c r="AD505" i="18"/>
  <c r="AE505" i="18"/>
  <c r="AB506" i="18"/>
  <c r="AC506" i="18"/>
  <c r="AD506" i="18"/>
  <c r="AE506" i="18"/>
  <c r="AB507" i="18"/>
  <c r="AC507" i="18"/>
  <c r="AD507" i="18"/>
  <c r="AE507" i="18"/>
  <c r="AB508" i="18"/>
  <c r="AC508" i="18"/>
  <c r="AD508" i="18"/>
  <c r="AE508" i="18"/>
  <c r="AB509" i="18"/>
  <c r="AC509" i="18"/>
  <c r="AD509" i="18"/>
  <c r="AE509" i="18"/>
  <c r="AB510" i="18"/>
  <c r="AC510" i="18"/>
  <c r="AD510" i="18"/>
  <c r="AE510" i="18"/>
  <c r="AB511" i="18"/>
  <c r="AC511" i="18"/>
  <c r="AD511" i="18"/>
  <c r="AE511" i="18"/>
  <c r="AB512" i="18"/>
  <c r="AC512" i="18"/>
  <c r="AD512" i="18"/>
  <c r="AE512" i="18"/>
  <c r="AB513" i="18"/>
  <c r="AC513" i="18"/>
  <c r="AD513" i="18"/>
  <c r="AE513" i="18"/>
  <c r="AB514" i="18"/>
  <c r="AC514" i="18"/>
  <c r="AD514" i="18"/>
  <c r="AE514" i="18"/>
  <c r="AB515" i="18"/>
  <c r="AC515" i="18"/>
  <c r="AD515" i="18"/>
  <c r="AE515" i="18"/>
  <c r="AB516" i="18"/>
  <c r="AC516" i="18"/>
  <c r="AD516" i="18"/>
  <c r="AE516" i="18"/>
  <c r="AB517" i="18"/>
  <c r="AC517" i="18"/>
  <c r="AD517" i="18"/>
  <c r="AE517" i="18"/>
  <c r="AB518" i="18"/>
  <c r="AC518" i="18"/>
  <c r="AD518" i="18"/>
  <c r="AE518" i="18"/>
  <c r="AB519" i="18"/>
  <c r="AC519" i="18"/>
  <c r="AD519" i="18"/>
  <c r="AE519" i="18"/>
  <c r="AB520" i="18"/>
  <c r="AC520" i="18"/>
  <c r="AD520" i="18"/>
  <c r="AE520" i="18"/>
  <c r="AB521" i="18"/>
  <c r="AC521" i="18"/>
  <c r="AD521" i="18"/>
  <c r="AE521" i="18"/>
  <c r="AB522" i="18"/>
  <c r="AC522" i="18"/>
  <c r="AD522" i="18"/>
  <c r="AE522" i="18"/>
  <c r="AB523" i="18"/>
  <c r="AC523" i="18"/>
  <c r="AD523" i="18"/>
  <c r="AE523" i="18"/>
  <c r="AB524" i="18"/>
  <c r="AC524" i="18"/>
  <c r="AD524" i="18"/>
  <c r="AE524" i="18"/>
  <c r="AB525" i="18"/>
  <c r="AC525" i="18"/>
  <c r="AD525" i="18"/>
  <c r="AE525" i="18"/>
  <c r="AB526" i="18"/>
  <c r="AC526" i="18"/>
  <c r="AD526" i="18"/>
  <c r="AE526" i="18"/>
  <c r="AB527" i="18"/>
  <c r="AC527" i="18"/>
  <c r="AD527" i="18"/>
  <c r="AE527" i="18"/>
  <c r="AB528" i="18"/>
  <c r="AC528" i="18"/>
  <c r="AD528" i="18"/>
  <c r="AE528" i="18"/>
  <c r="AB529" i="18"/>
  <c r="AC529" i="18"/>
  <c r="AD529" i="18"/>
  <c r="AE529" i="18"/>
  <c r="AB530" i="18"/>
  <c r="AC530" i="18"/>
  <c r="AD530" i="18"/>
  <c r="AE530" i="18"/>
  <c r="AB531" i="18"/>
  <c r="AC531" i="18"/>
  <c r="AD531" i="18"/>
  <c r="AE531" i="18"/>
  <c r="AB532" i="18"/>
  <c r="AC532" i="18"/>
  <c r="AD532" i="18"/>
  <c r="AE532" i="18"/>
  <c r="AB533" i="18"/>
  <c r="AC533" i="18"/>
  <c r="AD533" i="18"/>
  <c r="AE533" i="18"/>
  <c r="AB534" i="18"/>
  <c r="AC534" i="18"/>
  <c r="AD534" i="18"/>
  <c r="AE534" i="18"/>
  <c r="AB535" i="18"/>
  <c r="AC535" i="18"/>
  <c r="AD535" i="18"/>
  <c r="AE535" i="18"/>
  <c r="AB536" i="18"/>
  <c r="AC536" i="18"/>
  <c r="AD536" i="18"/>
  <c r="AE536" i="18"/>
  <c r="AB537" i="18"/>
  <c r="AC537" i="18"/>
  <c r="AD537" i="18"/>
  <c r="AE537" i="18"/>
  <c r="AB538" i="18"/>
  <c r="AC538" i="18"/>
  <c r="AD538" i="18"/>
  <c r="AE538" i="18"/>
  <c r="AB539" i="18"/>
  <c r="AC539" i="18"/>
  <c r="AD539" i="18"/>
  <c r="AE539" i="18"/>
  <c r="AB540" i="18"/>
  <c r="AC540" i="18"/>
  <c r="AD540" i="18"/>
  <c r="AE540" i="18"/>
  <c r="AB541" i="18"/>
  <c r="AC541" i="18"/>
  <c r="AD541" i="18"/>
  <c r="AE541" i="18"/>
  <c r="AB542" i="18"/>
  <c r="AC542" i="18"/>
  <c r="AD542" i="18"/>
  <c r="AE542" i="18"/>
  <c r="AB543" i="18"/>
  <c r="AC543" i="18"/>
  <c r="AD543" i="18"/>
  <c r="AE543" i="18"/>
  <c r="AB544" i="18"/>
  <c r="AC544" i="18"/>
  <c r="AD544" i="18"/>
  <c r="AE544" i="18"/>
  <c r="AB545" i="18"/>
  <c r="AC545" i="18"/>
  <c r="AD545" i="18"/>
  <c r="AE545" i="18"/>
  <c r="AB546" i="18"/>
  <c r="AC546" i="18"/>
  <c r="AD546" i="18"/>
  <c r="AE546" i="18"/>
  <c r="AB547" i="18"/>
  <c r="AC547" i="18"/>
  <c r="AD547" i="18"/>
  <c r="AE547" i="18"/>
  <c r="AB548" i="18"/>
  <c r="AC548" i="18"/>
  <c r="AD548" i="18"/>
  <c r="AE548" i="18"/>
  <c r="AB549" i="18"/>
  <c r="AC549" i="18"/>
  <c r="AD549" i="18"/>
  <c r="AE549" i="18"/>
  <c r="AB550" i="18"/>
  <c r="AC550" i="18"/>
  <c r="AD550" i="18"/>
  <c r="AE550" i="18"/>
  <c r="AB551" i="18"/>
  <c r="AC551" i="18"/>
  <c r="AD551" i="18"/>
  <c r="AE551" i="18"/>
  <c r="AB552" i="18"/>
  <c r="AC552" i="18"/>
  <c r="AD552" i="18"/>
  <c r="AE552" i="18"/>
  <c r="AB553" i="18"/>
  <c r="AC553" i="18"/>
  <c r="AD553" i="18"/>
  <c r="AE553" i="18"/>
  <c r="AB554" i="18"/>
  <c r="AC554" i="18"/>
  <c r="AD554" i="18"/>
  <c r="AE554" i="18"/>
  <c r="AB555" i="18"/>
  <c r="AC555" i="18"/>
  <c r="AD555" i="18"/>
  <c r="AE555" i="18"/>
  <c r="AB556" i="18"/>
  <c r="AC556" i="18"/>
  <c r="AD556" i="18"/>
  <c r="AE556" i="18"/>
  <c r="AB557" i="18"/>
  <c r="AC557" i="18"/>
  <c r="AD557" i="18"/>
  <c r="AE557" i="18"/>
  <c r="AB558" i="18"/>
  <c r="AC558" i="18"/>
  <c r="AD558" i="18"/>
  <c r="AE558" i="18"/>
  <c r="AB559" i="18"/>
  <c r="AC559" i="18"/>
  <c r="AD559" i="18"/>
  <c r="AE559" i="18"/>
  <c r="AB560" i="18"/>
  <c r="AC560" i="18"/>
  <c r="AD560" i="18"/>
  <c r="AE560" i="18"/>
  <c r="AB561" i="18"/>
  <c r="AC561" i="18"/>
  <c r="AD561" i="18"/>
  <c r="AE561" i="18"/>
  <c r="AB562" i="18"/>
  <c r="AC562" i="18"/>
  <c r="AD562" i="18"/>
  <c r="AE562" i="18"/>
  <c r="AB563" i="18"/>
  <c r="AC563" i="18"/>
  <c r="AD563" i="18"/>
  <c r="AE563" i="18"/>
  <c r="AB564" i="18"/>
  <c r="AC564" i="18"/>
  <c r="AD564" i="18"/>
  <c r="AE564" i="18"/>
  <c r="AB565" i="18"/>
  <c r="AC565" i="18"/>
  <c r="AD565" i="18"/>
  <c r="AE565" i="18"/>
  <c r="AB566" i="18"/>
  <c r="AC566" i="18"/>
  <c r="AD566" i="18"/>
  <c r="AE566" i="18"/>
  <c r="AB567" i="18"/>
  <c r="AC567" i="18"/>
  <c r="AD567" i="18"/>
  <c r="AE567" i="18"/>
  <c r="AB568" i="18"/>
  <c r="AC568" i="18"/>
  <c r="AD568" i="18"/>
  <c r="AE568" i="18"/>
  <c r="AB569" i="18"/>
  <c r="AC569" i="18"/>
  <c r="AD569" i="18"/>
  <c r="AE569" i="18"/>
  <c r="AB570" i="18"/>
  <c r="AC570" i="18"/>
  <c r="AD570" i="18"/>
  <c r="AE570" i="18"/>
  <c r="AB571" i="18"/>
  <c r="AC571" i="18"/>
  <c r="AD571" i="18"/>
  <c r="AE571" i="18"/>
  <c r="AB572" i="18"/>
  <c r="AC572" i="18"/>
  <c r="AD572" i="18"/>
  <c r="AE572" i="18"/>
  <c r="AB573" i="18"/>
  <c r="AC573" i="18"/>
  <c r="AD573" i="18"/>
  <c r="AE573" i="18"/>
  <c r="AB574" i="18"/>
  <c r="AC574" i="18"/>
  <c r="AD574" i="18"/>
  <c r="AE574" i="18"/>
  <c r="AB575" i="18"/>
  <c r="AC575" i="18"/>
  <c r="AD575" i="18"/>
  <c r="AE575" i="18"/>
  <c r="AB576" i="18"/>
  <c r="AC576" i="18"/>
  <c r="AD576" i="18"/>
  <c r="AE576" i="18"/>
  <c r="AB577" i="18"/>
  <c r="AC577" i="18"/>
  <c r="AD577" i="18"/>
  <c r="AE577" i="18"/>
  <c r="AB578" i="18"/>
  <c r="AC578" i="18"/>
  <c r="AD578" i="18"/>
  <c r="AE578" i="18"/>
  <c r="AB579" i="18"/>
  <c r="AC579" i="18"/>
  <c r="AD579" i="18"/>
  <c r="AE579" i="18"/>
  <c r="AB580" i="18"/>
  <c r="AC580" i="18"/>
  <c r="AD580" i="18"/>
  <c r="AE580" i="18"/>
  <c r="AB581" i="18"/>
  <c r="AC581" i="18"/>
  <c r="AD581" i="18"/>
  <c r="AE581" i="18"/>
  <c r="AB582" i="18"/>
  <c r="AC582" i="18"/>
  <c r="AD582" i="18"/>
  <c r="AE582" i="18"/>
  <c r="AB583" i="18"/>
  <c r="AC583" i="18"/>
  <c r="AD583" i="18"/>
  <c r="AE583" i="18"/>
  <c r="AB584" i="18"/>
  <c r="AC584" i="18"/>
  <c r="AD584" i="18"/>
  <c r="AE584" i="18"/>
  <c r="AB585" i="18"/>
  <c r="AC585" i="18"/>
  <c r="AD585" i="18"/>
  <c r="AE585" i="18"/>
  <c r="AB586" i="18"/>
  <c r="AC586" i="18"/>
  <c r="AD586" i="18"/>
  <c r="AE586" i="18"/>
  <c r="AB587" i="18"/>
  <c r="AC587" i="18"/>
  <c r="AD587" i="18"/>
  <c r="AE587" i="18"/>
  <c r="AB588" i="18"/>
  <c r="AC588" i="18"/>
  <c r="AD588" i="18"/>
  <c r="AE588" i="18"/>
  <c r="AB589" i="18"/>
  <c r="AC589" i="18"/>
  <c r="AD589" i="18"/>
  <c r="AE589" i="18"/>
  <c r="AB590" i="18"/>
  <c r="AC590" i="18"/>
  <c r="AD590" i="18"/>
  <c r="AE590" i="18"/>
  <c r="AB591" i="18"/>
  <c r="AC591" i="18"/>
  <c r="AD591" i="18"/>
  <c r="AE591" i="18"/>
  <c r="AB592" i="18"/>
  <c r="AC592" i="18"/>
  <c r="AD592" i="18"/>
  <c r="AE592" i="18"/>
  <c r="AB593" i="18"/>
  <c r="AC593" i="18"/>
  <c r="AD593" i="18"/>
  <c r="AE593" i="18"/>
  <c r="AB594" i="18"/>
  <c r="AC594" i="18"/>
  <c r="AD594" i="18"/>
  <c r="AE594" i="18"/>
  <c r="AB595" i="18"/>
  <c r="AC595" i="18"/>
  <c r="AD595" i="18"/>
  <c r="AE595" i="18"/>
  <c r="AB596" i="18"/>
  <c r="AC596" i="18"/>
  <c r="AD596" i="18"/>
  <c r="AE596" i="18"/>
  <c r="AB597" i="18"/>
  <c r="AC597" i="18"/>
  <c r="AD597" i="18"/>
  <c r="AE597" i="18"/>
  <c r="AB598" i="18"/>
  <c r="AC598" i="18"/>
  <c r="AD598" i="18"/>
  <c r="AE598" i="18"/>
  <c r="AB599" i="18"/>
  <c r="AC599" i="18"/>
  <c r="AD599" i="18"/>
  <c r="AE599" i="18"/>
  <c r="AB600" i="18"/>
  <c r="AC600" i="18"/>
  <c r="AD600" i="18"/>
  <c r="AE600" i="18"/>
  <c r="AB601" i="18"/>
  <c r="AC601" i="18"/>
  <c r="AD601" i="18"/>
  <c r="AE601" i="18"/>
  <c r="AB602" i="18"/>
  <c r="AC602" i="18"/>
  <c r="AD602" i="18"/>
  <c r="AE602" i="18"/>
  <c r="AB603" i="18"/>
  <c r="AC603" i="18"/>
  <c r="AD603" i="18"/>
  <c r="AE603" i="18"/>
  <c r="AB604" i="18"/>
  <c r="AC604" i="18"/>
  <c r="AD604" i="18"/>
  <c r="AE604" i="18"/>
  <c r="AB605" i="18"/>
  <c r="AC605" i="18"/>
  <c r="AD605" i="18"/>
  <c r="AE605" i="18"/>
  <c r="AB606" i="18"/>
  <c r="AC606" i="18"/>
  <c r="AD606" i="18"/>
  <c r="AE606" i="18"/>
  <c r="AB607" i="18"/>
  <c r="AC607" i="18"/>
  <c r="AD607" i="18"/>
  <c r="AE607" i="18"/>
  <c r="AB608" i="18"/>
  <c r="AC608" i="18"/>
  <c r="AD608" i="18"/>
  <c r="AE608" i="18"/>
  <c r="AB609" i="18"/>
  <c r="AC609" i="18"/>
  <c r="AD609" i="18"/>
  <c r="AE609" i="18"/>
  <c r="AB610" i="18"/>
  <c r="AC610" i="18"/>
  <c r="AD610" i="18"/>
  <c r="AE610" i="18"/>
  <c r="AB611" i="18"/>
  <c r="AC611" i="18"/>
  <c r="AD611" i="18"/>
  <c r="AE611" i="18"/>
  <c r="AB612" i="18"/>
  <c r="AC612" i="18"/>
  <c r="AD612" i="18"/>
  <c r="AE612" i="18"/>
  <c r="AB613" i="18"/>
  <c r="AC613" i="18"/>
  <c r="AD613" i="18"/>
  <c r="AE613" i="18"/>
  <c r="AB614" i="18"/>
  <c r="AC614" i="18"/>
  <c r="AD614" i="18"/>
  <c r="AE614" i="18"/>
  <c r="AB615" i="18"/>
  <c r="AC615" i="18"/>
  <c r="AD615" i="18"/>
  <c r="AE615" i="18"/>
  <c r="AB616" i="18"/>
  <c r="AC616" i="18"/>
  <c r="AD616" i="18"/>
  <c r="AE616" i="18"/>
  <c r="AB617" i="18"/>
  <c r="AC617" i="18"/>
  <c r="AD617" i="18"/>
  <c r="AE617" i="18"/>
  <c r="AB618" i="18"/>
  <c r="AC618" i="18"/>
  <c r="AD618" i="18"/>
  <c r="AE618" i="18"/>
  <c r="AB619" i="18"/>
  <c r="AC619" i="18"/>
  <c r="AD619" i="18"/>
  <c r="AE619" i="18"/>
  <c r="AB620" i="18"/>
  <c r="AC620" i="18"/>
  <c r="AD620" i="18"/>
  <c r="AE620" i="18"/>
  <c r="AB621" i="18"/>
  <c r="AC621" i="18"/>
  <c r="AD621" i="18"/>
  <c r="AE621" i="18"/>
  <c r="AB622" i="18"/>
  <c r="AC622" i="18"/>
  <c r="AD622" i="18"/>
  <c r="AE622" i="18"/>
  <c r="AB623" i="18"/>
  <c r="AC623" i="18"/>
  <c r="AD623" i="18"/>
  <c r="AE623" i="18"/>
  <c r="AB624" i="18"/>
  <c r="AC624" i="18"/>
  <c r="AD624" i="18"/>
  <c r="AE624" i="18"/>
  <c r="AB625" i="18"/>
  <c r="AC625" i="18"/>
  <c r="AD625" i="18"/>
  <c r="AE625" i="18"/>
  <c r="AB626" i="18"/>
  <c r="AC626" i="18"/>
  <c r="AD626" i="18"/>
  <c r="AE626" i="18"/>
  <c r="AB627" i="18"/>
  <c r="AC627" i="18"/>
  <c r="AD627" i="18"/>
  <c r="AE627" i="18"/>
  <c r="AB628" i="18"/>
  <c r="AC628" i="18"/>
  <c r="AD628" i="18"/>
  <c r="AE628" i="18"/>
  <c r="AB629" i="18"/>
  <c r="AC629" i="18"/>
  <c r="AD629" i="18"/>
  <c r="AE629" i="18"/>
  <c r="AB630" i="18"/>
  <c r="AC630" i="18"/>
  <c r="AD630" i="18"/>
  <c r="AE630" i="18"/>
  <c r="AB631" i="18"/>
  <c r="AC631" i="18"/>
  <c r="AD631" i="18"/>
  <c r="AE631" i="18"/>
  <c r="AB632" i="18"/>
  <c r="AC632" i="18"/>
  <c r="AD632" i="18"/>
  <c r="AE632" i="18"/>
  <c r="AB633" i="18"/>
  <c r="AC633" i="18"/>
  <c r="AD633" i="18"/>
  <c r="AE633" i="18"/>
  <c r="AB634" i="18"/>
  <c r="AC634" i="18"/>
  <c r="AD634" i="18"/>
  <c r="AE634" i="18"/>
  <c r="AB635" i="18"/>
  <c r="AC635" i="18"/>
  <c r="AD635" i="18"/>
  <c r="AE635" i="18"/>
  <c r="AB636" i="18"/>
  <c r="AC636" i="18"/>
  <c r="AD636" i="18"/>
  <c r="AE636" i="18"/>
  <c r="AB637" i="18"/>
  <c r="AC637" i="18"/>
  <c r="AD637" i="18"/>
  <c r="AE637" i="18"/>
  <c r="AB638" i="18"/>
  <c r="AC638" i="18"/>
  <c r="AD638" i="18"/>
  <c r="AE638" i="18"/>
  <c r="AB639" i="18"/>
  <c r="AC639" i="18"/>
  <c r="AD639" i="18"/>
  <c r="AE639" i="18"/>
  <c r="AB640" i="18"/>
  <c r="AC640" i="18"/>
  <c r="AD640" i="18"/>
  <c r="AE640" i="18"/>
  <c r="AB641" i="18"/>
  <c r="AC641" i="18"/>
  <c r="AD641" i="18"/>
  <c r="AE641" i="18"/>
  <c r="AB642" i="18"/>
  <c r="AC642" i="18"/>
  <c r="AD642" i="18"/>
  <c r="AE642" i="18"/>
  <c r="AB643" i="18"/>
  <c r="AC643" i="18"/>
  <c r="AD643" i="18"/>
  <c r="AE643" i="18"/>
  <c r="AB644" i="18"/>
  <c r="AC644" i="18"/>
  <c r="AD644" i="18"/>
  <c r="AE644" i="18"/>
  <c r="AB645" i="18"/>
  <c r="AC645" i="18"/>
  <c r="AD645" i="18"/>
  <c r="AE645" i="18"/>
  <c r="AB646" i="18"/>
  <c r="AC646" i="18"/>
  <c r="AD646" i="18"/>
  <c r="AE646" i="18"/>
  <c r="AB647" i="18"/>
  <c r="AC647" i="18"/>
  <c r="AD647" i="18"/>
  <c r="AE647" i="18"/>
  <c r="AB648" i="18"/>
  <c r="AC648" i="18"/>
  <c r="AD648" i="18"/>
  <c r="AE648" i="18"/>
  <c r="AB649" i="18"/>
  <c r="AC649" i="18"/>
  <c r="AD649" i="18"/>
  <c r="AE649" i="18"/>
  <c r="AB650" i="18"/>
  <c r="AC650" i="18"/>
  <c r="AD650" i="18"/>
  <c r="AE650" i="18"/>
  <c r="AB651" i="18"/>
  <c r="AC651" i="18"/>
  <c r="AD651" i="18"/>
  <c r="AE651" i="18"/>
  <c r="AB652" i="18"/>
  <c r="AC652" i="18"/>
  <c r="AD652" i="18"/>
  <c r="AE652" i="18"/>
  <c r="AB653" i="18"/>
  <c r="AC653" i="18"/>
  <c r="AD653" i="18"/>
  <c r="AE653" i="18"/>
  <c r="AB654" i="18"/>
  <c r="AC654" i="18"/>
  <c r="AD654" i="18"/>
  <c r="AE654" i="18"/>
  <c r="AB655" i="18"/>
  <c r="AC655" i="18"/>
  <c r="AD655" i="18"/>
  <c r="AE655" i="18"/>
  <c r="AB656" i="18"/>
  <c r="AC656" i="18"/>
  <c r="AD656" i="18"/>
  <c r="AE656" i="18"/>
  <c r="AB657" i="18"/>
  <c r="AC657" i="18"/>
  <c r="AD657" i="18"/>
  <c r="AE657" i="18"/>
  <c r="AB658" i="18"/>
  <c r="AC658" i="18"/>
  <c r="AD658" i="18"/>
  <c r="AE658" i="18"/>
  <c r="AB659" i="18"/>
  <c r="AC659" i="18"/>
  <c r="AD659" i="18"/>
  <c r="AE659" i="18"/>
  <c r="AB660" i="18"/>
  <c r="AC660" i="18"/>
  <c r="AD660" i="18"/>
  <c r="AE660" i="18"/>
  <c r="AB661" i="18"/>
  <c r="AC661" i="18"/>
  <c r="AD661" i="18"/>
  <c r="AE661" i="18"/>
  <c r="AB662" i="18"/>
  <c r="AC662" i="18"/>
  <c r="AD662" i="18"/>
  <c r="AE662" i="18"/>
  <c r="AB663" i="18"/>
  <c r="AC663" i="18"/>
  <c r="AD663" i="18"/>
  <c r="AE663" i="18"/>
  <c r="AB664" i="18"/>
  <c r="AC664" i="18"/>
  <c r="AD664" i="18"/>
  <c r="AE664" i="18"/>
  <c r="AB665" i="18"/>
  <c r="AC665" i="18"/>
  <c r="AD665" i="18"/>
  <c r="AE665" i="18"/>
  <c r="AB666" i="18"/>
  <c r="AC666" i="18"/>
  <c r="AD666" i="18"/>
  <c r="AE666" i="18"/>
  <c r="AB667" i="18"/>
  <c r="AC667" i="18"/>
  <c r="AD667" i="18"/>
  <c r="AE667" i="18"/>
  <c r="AB668" i="18"/>
  <c r="AC668" i="18"/>
  <c r="AD668" i="18"/>
  <c r="AE668" i="18"/>
  <c r="AB669" i="18"/>
  <c r="AC669" i="18"/>
  <c r="AD669" i="18"/>
  <c r="AE669" i="18"/>
  <c r="AB670" i="18"/>
  <c r="AC670" i="18"/>
  <c r="AD670" i="18"/>
  <c r="AE670" i="18"/>
  <c r="AB671" i="18"/>
  <c r="AC671" i="18"/>
  <c r="AD671" i="18"/>
  <c r="AE671" i="18"/>
  <c r="AB672" i="18"/>
  <c r="AC672" i="18"/>
  <c r="AD672" i="18"/>
  <c r="AE672" i="18"/>
  <c r="AB673" i="18"/>
  <c r="AC673" i="18"/>
  <c r="AD673" i="18"/>
  <c r="AE673" i="18"/>
  <c r="AB674" i="18"/>
  <c r="AC674" i="18"/>
  <c r="AD674" i="18"/>
  <c r="AE674" i="18"/>
  <c r="AB675" i="18"/>
  <c r="AC675" i="18"/>
  <c r="AD675" i="18"/>
  <c r="AE675" i="18"/>
  <c r="AB676" i="18"/>
  <c r="AC676" i="18"/>
  <c r="AD676" i="18"/>
  <c r="AE676" i="18"/>
  <c r="AB677" i="18"/>
  <c r="AC677" i="18"/>
  <c r="AD677" i="18"/>
  <c r="AE677" i="18"/>
  <c r="AB678" i="18"/>
  <c r="AC678" i="18"/>
  <c r="AD678" i="18"/>
  <c r="AE678" i="18"/>
  <c r="AB679" i="18"/>
  <c r="AC679" i="18"/>
  <c r="AD679" i="18"/>
  <c r="AE679" i="18"/>
  <c r="AB680" i="18"/>
  <c r="AC680" i="18"/>
  <c r="AD680" i="18"/>
  <c r="AE680" i="18"/>
  <c r="AB681" i="18"/>
  <c r="AC681" i="18"/>
  <c r="AD681" i="18"/>
  <c r="AE681" i="18"/>
  <c r="AB682" i="18"/>
  <c r="AC682" i="18"/>
  <c r="AD682" i="18"/>
  <c r="AE682" i="18"/>
  <c r="AB683" i="18"/>
  <c r="AC683" i="18"/>
  <c r="AD683" i="18"/>
  <c r="AE683" i="18"/>
  <c r="AB684" i="18"/>
  <c r="AC684" i="18"/>
  <c r="AD684" i="18"/>
  <c r="AE684" i="18"/>
  <c r="AB685" i="18"/>
  <c r="AC685" i="18"/>
  <c r="AD685" i="18"/>
  <c r="AE685" i="18"/>
  <c r="AB686" i="18"/>
  <c r="AC686" i="18"/>
  <c r="AD686" i="18"/>
  <c r="AE686" i="18"/>
  <c r="AB687" i="18"/>
  <c r="AC687" i="18"/>
  <c r="AD687" i="18"/>
  <c r="AE687" i="18"/>
  <c r="AB688" i="18"/>
  <c r="AC688" i="18"/>
  <c r="AD688" i="18"/>
  <c r="AE688" i="18"/>
  <c r="AB689" i="18"/>
  <c r="AC689" i="18"/>
  <c r="AD689" i="18"/>
  <c r="AE689" i="18"/>
  <c r="AB690" i="18"/>
  <c r="AC690" i="18"/>
  <c r="AD690" i="18"/>
  <c r="AE690" i="18"/>
  <c r="AB691" i="18"/>
  <c r="AC691" i="18"/>
  <c r="AD691" i="18"/>
  <c r="AE691" i="18"/>
  <c r="AB692" i="18"/>
  <c r="AC692" i="18"/>
  <c r="AD692" i="18"/>
  <c r="AE692" i="18"/>
  <c r="AB693" i="18"/>
  <c r="AC693" i="18"/>
  <c r="AD693" i="18"/>
  <c r="AE693" i="18"/>
  <c r="AB694" i="18"/>
  <c r="AC694" i="18"/>
  <c r="AD694" i="18"/>
  <c r="AE694" i="18"/>
  <c r="AB695" i="18"/>
  <c r="AC695" i="18"/>
  <c r="AD695" i="18"/>
  <c r="AE695" i="18"/>
  <c r="AB696" i="18"/>
  <c r="AC696" i="18"/>
  <c r="AD696" i="18"/>
  <c r="AE696" i="18"/>
  <c r="AB697" i="18"/>
  <c r="AC697" i="18"/>
  <c r="AD697" i="18"/>
  <c r="AE697" i="18"/>
  <c r="AB698" i="18"/>
  <c r="AC698" i="18"/>
  <c r="AD698" i="18"/>
  <c r="AE698" i="18"/>
  <c r="AB699" i="18"/>
  <c r="AC699" i="18"/>
  <c r="AD699" i="18"/>
  <c r="AE699" i="18"/>
  <c r="AB700" i="18"/>
  <c r="AC700" i="18"/>
  <c r="AD700" i="18"/>
  <c r="AE700" i="18"/>
  <c r="AB701" i="18"/>
  <c r="AC701" i="18"/>
  <c r="AD701" i="18"/>
  <c r="AE701" i="18"/>
  <c r="AB702" i="18"/>
  <c r="AC702" i="18"/>
  <c r="AD702" i="18"/>
  <c r="AE702" i="18"/>
  <c r="AB703" i="18"/>
  <c r="AC703" i="18"/>
  <c r="AD703" i="18"/>
  <c r="AE703" i="18"/>
  <c r="AB704" i="18"/>
  <c r="AC704" i="18"/>
  <c r="AD704" i="18"/>
  <c r="AE704" i="18"/>
  <c r="AB705" i="18"/>
  <c r="AC705" i="18"/>
  <c r="AD705" i="18"/>
  <c r="AE705" i="18"/>
  <c r="AB706" i="18"/>
  <c r="AC706" i="18"/>
  <c r="AD706" i="18"/>
  <c r="AE706" i="18"/>
  <c r="AB707" i="18"/>
  <c r="AC707" i="18"/>
  <c r="AD707" i="18"/>
  <c r="AE707" i="18"/>
  <c r="AB708" i="18"/>
  <c r="AC708" i="18"/>
  <c r="AD708" i="18"/>
  <c r="AE708" i="18"/>
  <c r="AB709" i="18"/>
  <c r="AC709" i="18"/>
  <c r="AD709" i="18"/>
  <c r="AE709" i="18"/>
  <c r="AB710" i="18"/>
  <c r="AC710" i="18"/>
  <c r="AD710" i="18"/>
  <c r="AE710" i="18"/>
  <c r="AB711" i="18"/>
  <c r="AC711" i="18"/>
  <c r="AD711" i="18"/>
  <c r="AE711" i="18"/>
  <c r="AB712" i="18"/>
  <c r="AC712" i="18"/>
  <c r="AD712" i="18"/>
  <c r="AE712" i="18"/>
  <c r="AB713" i="18"/>
  <c r="AC713" i="18"/>
  <c r="AD713" i="18"/>
  <c r="AE713" i="18"/>
  <c r="AB714" i="18"/>
  <c r="AC714" i="18"/>
  <c r="AD714" i="18"/>
  <c r="AE714" i="18"/>
  <c r="AB715" i="18"/>
  <c r="AC715" i="18"/>
  <c r="AD715" i="18"/>
  <c r="AE715" i="18"/>
  <c r="AB716" i="18"/>
  <c r="AC716" i="18"/>
  <c r="AD716" i="18"/>
  <c r="AE716" i="18"/>
  <c r="AB717" i="18"/>
  <c r="AC717" i="18"/>
  <c r="AD717" i="18"/>
  <c r="AE717" i="18"/>
  <c r="AB718" i="18"/>
  <c r="AC718" i="18"/>
  <c r="AD718" i="18"/>
  <c r="AE718" i="18"/>
  <c r="AB719" i="18"/>
  <c r="AC719" i="18"/>
  <c r="AD719" i="18"/>
  <c r="AE719" i="18"/>
  <c r="AB720" i="18"/>
  <c r="AC720" i="18"/>
  <c r="AD720" i="18"/>
  <c r="AE720" i="18"/>
  <c r="AB721" i="18"/>
  <c r="AC721" i="18"/>
  <c r="AD721" i="18"/>
  <c r="AE721" i="18"/>
  <c r="AB722" i="18"/>
  <c r="AC722" i="18"/>
  <c r="AD722" i="18"/>
  <c r="AE722" i="18"/>
  <c r="AB723" i="18"/>
  <c r="AC723" i="18"/>
  <c r="AD723" i="18"/>
  <c r="AE723" i="18"/>
  <c r="AB724" i="18"/>
  <c r="AC724" i="18"/>
  <c r="AD724" i="18"/>
  <c r="AE724" i="18"/>
  <c r="AB725" i="18"/>
  <c r="AC725" i="18"/>
  <c r="AD725" i="18"/>
  <c r="AE725" i="18"/>
  <c r="AB726" i="18"/>
  <c r="AC726" i="18"/>
  <c r="AD726" i="18"/>
  <c r="AE726" i="18"/>
  <c r="AB727" i="18"/>
  <c r="AC727" i="18"/>
  <c r="AD727" i="18"/>
  <c r="AE727" i="18"/>
  <c r="AB728" i="18"/>
  <c r="AC728" i="18"/>
  <c r="AD728" i="18"/>
  <c r="AE728" i="18"/>
  <c r="AB729" i="18"/>
  <c r="AC729" i="18"/>
  <c r="AD729" i="18"/>
  <c r="AE729" i="18"/>
  <c r="AB730" i="18"/>
  <c r="AC730" i="18"/>
  <c r="AD730" i="18"/>
  <c r="AE730" i="18"/>
  <c r="AB731" i="18"/>
  <c r="AC731" i="18"/>
  <c r="AD731" i="18"/>
  <c r="AE731" i="18"/>
  <c r="AB732" i="18"/>
  <c r="AC732" i="18"/>
  <c r="AD732" i="18"/>
  <c r="AE732" i="18"/>
  <c r="AB733" i="18"/>
  <c r="AC733" i="18"/>
  <c r="AD733" i="18"/>
  <c r="AE733" i="18"/>
  <c r="AB734" i="18"/>
  <c r="AC734" i="18"/>
  <c r="AD734" i="18"/>
  <c r="AE734" i="18"/>
  <c r="AB735" i="18"/>
  <c r="AC735" i="18"/>
  <c r="AD735" i="18"/>
  <c r="AE735" i="18"/>
  <c r="AB736" i="18"/>
  <c r="AC736" i="18"/>
  <c r="AD736" i="18"/>
  <c r="AE736" i="18"/>
  <c r="AB737" i="18"/>
  <c r="AC737" i="18"/>
  <c r="AD737" i="18"/>
  <c r="AE737" i="18"/>
  <c r="AB738" i="18"/>
  <c r="AC738" i="18"/>
  <c r="AD738" i="18"/>
  <c r="AE738" i="18"/>
  <c r="AB739" i="18"/>
  <c r="AC739" i="18"/>
  <c r="AD739" i="18"/>
  <c r="AE739" i="18"/>
  <c r="AB740" i="18"/>
  <c r="AC740" i="18"/>
  <c r="AD740" i="18"/>
  <c r="AE740" i="18"/>
  <c r="AB741" i="18"/>
  <c r="AC741" i="18"/>
  <c r="AD741" i="18"/>
  <c r="AE741" i="18"/>
  <c r="AB742" i="18"/>
  <c r="AC742" i="18"/>
  <c r="AD742" i="18"/>
  <c r="AE742" i="18"/>
  <c r="AB743" i="18"/>
  <c r="AC743" i="18"/>
  <c r="AD743" i="18"/>
  <c r="AE743" i="18"/>
  <c r="AB744" i="18"/>
  <c r="AC744" i="18"/>
  <c r="AD744" i="18"/>
  <c r="AE744" i="18"/>
  <c r="AB745" i="18"/>
  <c r="AC745" i="18"/>
  <c r="AD745" i="18"/>
  <c r="AE745" i="18"/>
  <c r="AB746" i="18"/>
  <c r="AC746" i="18"/>
  <c r="AD746" i="18"/>
  <c r="AE746" i="18"/>
  <c r="AB747" i="18"/>
  <c r="AC747" i="18"/>
  <c r="AD747" i="18"/>
  <c r="AE747" i="18"/>
  <c r="AB748" i="18"/>
  <c r="AC748" i="18"/>
  <c r="AD748" i="18"/>
  <c r="AE748" i="18"/>
  <c r="AB749" i="18"/>
  <c r="AC749" i="18"/>
  <c r="AD749" i="18"/>
  <c r="AE749" i="18"/>
  <c r="AB750" i="18"/>
  <c r="AC750" i="18"/>
  <c r="AD750" i="18"/>
  <c r="AE750" i="18"/>
  <c r="AB751" i="18"/>
  <c r="AC751" i="18"/>
  <c r="AD751" i="18"/>
  <c r="AE751" i="18"/>
  <c r="AB752" i="18"/>
  <c r="AC752" i="18"/>
  <c r="AD752" i="18"/>
  <c r="AE752" i="18"/>
  <c r="AB753" i="18"/>
  <c r="AC753" i="18"/>
  <c r="AD753" i="18"/>
  <c r="AE753" i="18"/>
  <c r="AB754" i="18"/>
  <c r="AC754" i="18"/>
  <c r="AD754" i="18"/>
  <c r="AE754" i="18"/>
  <c r="AB755" i="18"/>
  <c r="AC755" i="18"/>
  <c r="AD755" i="18"/>
  <c r="AE755" i="18"/>
  <c r="AB756" i="18"/>
  <c r="AC756" i="18"/>
  <c r="AD756" i="18"/>
  <c r="AE756" i="18"/>
  <c r="AB757" i="18"/>
  <c r="AC757" i="18"/>
  <c r="AD757" i="18"/>
  <c r="AE757" i="18"/>
  <c r="AB758" i="18"/>
  <c r="AC758" i="18"/>
  <c r="AD758" i="18"/>
  <c r="AE758" i="18"/>
  <c r="AB759" i="18"/>
  <c r="AC759" i="18"/>
  <c r="AD759" i="18"/>
  <c r="AE759" i="18"/>
  <c r="AB760" i="18"/>
  <c r="AC760" i="18"/>
  <c r="AD760" i="18"/>
  <c r="AE760" i="18"/>
  <c r="AB761" i="18"/>
  <c r="AC761" i="18"/>
  <c r="AD761" i="18"/>
  <c r="AE761" i="18"/>
  <c r="AB762" i="18"/>
  <c r="AC762" i="18"/>
  <c r="AD762" i="18"/>
  <c r="AE762" i="18"/>
  <c r="AB763" i="18"/>
  <c r="AC763" i="18"/>
  <c r="AD763" i="18"/>
  <c r="AE763" i="18"/>
  <c r="AB764" i="18"/>
  <c r="AC764" i="18"/>
  <c r="AD764" i="18"/>
  <c r="AE764" i="18"/>
  <c r="AB765" i="18"/>
  <c r="AC765" i="18"/>
  <c r="AD765" i="18"/>
  <c r="AE765" i="18"/>
  <c r="AB766" i="18"/>
  <c r="AC766" i="18"/>
  <c r="AD766" i="18"/>
  <c r="AE766" i="18"/>
  <c r="AB767" i="18"/>
  <c r="AC767" i="18"/>
  <c r="AD767" i="18"/>
  <c r="AE767" i="18"/>
  <c r="AB768" i="18"/>
  <c r="AC768" i="18"/>
  <c r="AD768" i="18"/>
  <c r="AE768" i="18"/>
  <c r="AB769" i="18"/>
  <c r="AC769" i="18"/>
  <c r="AD769" i="18"/>
  <c r="AE769" i="18"/>
  <c r="AB770" i="18"/>
  <c r="AC770" i="18"/>
  <c r="AD770" i="18"/>
  <c r="AE770" i="18"/>
  <c r="AB771" i="18"/>
  <c r="AC771" i="18"/>
  <c r="AD771" i="18"/>
  <c r="AE771" i="18"/>
  <c r="AB772" i="18"/>
  <c r="AC772" i="18"/>
  <c r="AD772" i="18"/>
  <c r="AE772" i="18"/>
  <c r="AB773" i="18"/>
  <c r="AC773" i="18"/>
  <c r="AD773" i="18"/>
  <c r="AE773" i="18"/>
  <c r="AB774" i="18"/>
  <c r="AC774" i="18"/>
  <c r="AD774" i="18"/>
  <c r="AE774" i="18"/>
  <c r="AB775" i="18"/>
  <c r="AC775" i="18"/>
  <c r="AD775" i="18"/>
  <c r="AE775" i="18"/>
  <c r="AB776" i="18"/>
  <c r="AC776" i="18"/>
  <c r="AD776" i="18"/>
  <c r="AE776" i="18"/>
  <c r="AB777" i="18"/>
  <c r="AC777" i="18"/>
  <c r="AD777" i="18"/>
  <c r="AE777" i="18"/>
  <c r="AB778" i="18"/>
  <c r="AC778" i="18"/>
  <c r="AD778" i="18"/>
  <c r="AE778" i="18"/>
  <c r="AB779" i="18"/>
  <c r="AC779" i="18"/>
  <c r="AD779" i="18"/>
  <c r="AE779" i="18"/>
  <c r="AB780" i="18"/>
  <c r="AC780" i="18"/>
  <c r="AD780" i="18"/>
  <c r="AE780" i="18"/>
  <c r="AB781" i="18"/>
  <c r="AC781" i="18"/>
  <c r="AD781" i="18"/>
  <c r="AE781" i="18"/>
  <c r="AB782" i="18"/>
  <c r="AC782" i="18"/>
  <c r="AD782" i="18"/>
  <c r="AE782" i="18"/>
  <c r="AB783" i="18"/>
  <c r="AC783" i="18"/>
  <c r="AD783" i="18"/>
  <c r="AE783" i="18"/>
  <c r="AB784" i="18"/>
  <c r="AC784" i="18"/>
  <c r="AD784" i="18"/>
  <c r="AE784" i="18"/>
  <c r="AB785" i="18"/>
  <c r="AC785" i="18"/>
  <c r="AD785" i="18"/>
  <c r="AE785" i="18"/>
  <c r="AB786" i="18"/>
  <c r="AC786" i="18"/>
  <c r="AD786" i="18"/>
  <c r="AE786" i="18"/>
  <c r="AB787" i="18"/>
  <c r="AC787" i="18"/>
  <c r="AD787" i="18"/>
  <c r="AE787" i="18"/>
  <c r="AB788" i="18"/>
  <c r="AC788" i="18"/>
  <c r="AD788" i="18"/>
  <c r="AE788" i="18"/>
  <c r="AB789" i="18"/>
  <c r="AC789" i="18"/>
  <c r="AD789" i="18"/>
  <c r="AE789" i="18"/>
  <c r="AB790" i="18"/>
  <c r="AC790" i="18"/>
  <c r="AD790" i="18"/>
  <c r="AE790" i="18"/>
  <c r="AB791" i="18"/>
  <c r="AC791" i="18"/>
  <c r="AD791" i="18"/>
  <c r="AE791" i="18"/>
  <c r="AB792" i="18"/>
  <c r="AC792" i="18"/>
  <c r="AD792" i="18"/>
  <c r="AE792" i="18"/>
  <c r="AB793" i="18"/>
  <c r="AC793" i="18"/>
  <c r="AD793" i="18"/>
  <c r="AE793" i="18"/>
  <c r="AB794" i="18"/>
  <c r="AC794" i="18"/>
  <c r="AD794" i="18"/>
  <c r="AE794" i="18"/>
  <c r="AB795" i="18"/>
  <c r="AC795" i="18"/>
  <c r="AD795" i="18"/>
  <c r="AE795" i="18"/>
  <c r="AB796" i="18"/>
  <c r="AC796" i="18"/>
  <c r="AD796" i="18"/>
  <c r="AE796" i="18"/>
  <c r="AB797" i="18"/>
  <c r="AC797" i="18"/>
  <c r="AD797" i="18"/>
  <c r="AE797" i="18"/>
  <c r="AB798" i="18"/>
  <c r="AC798" i="18"/>
  <c r="AD798" i="18"/>
  <c r="AE798" i="18"/>
  <c r="AB799" i="18"/>
  <c r="AC799" i="18"/>
  <c r="AD799" i="18"/>
  <c r="AE799" i="18"/>
  <c r="AB800" i="18"/>
  <c r="AC800" i="18"/>
  <c r="AD800" i="18"/>
  <c r="AE800" i="18"/>
  <c r="AB801" i="18"/>
  <c r="AC801" i="18"/>
  <c r="AD801" i="18"/>
  <c r="AE801" i="18"/>
  <c r="AB802" i="18"/>
  <c r="AC802" i="18"/>
  <c r="AD802" i="18"/>
  <c r="AE802" i="18"/>
  <c r="AB803" i="18"/>
  <c r="AC803" i="18"/>
  <c r="AD803" i="18"/>
  <c r="AE803" i="18"/>
  <c r="AB804" i="18"/>
  <c r="AC804" i="18"/>
  <c r="AD804" i="18"/>
  <c r="AE804" i="18"/>
  <c r="AB805" i="18"/>
  <c r="AC805" i="18"/>
  <c r="AD805" i="18"/>
  <c r="AE805" i="18"/>
  <c r="AB806" i="18"/>
  <c r="AC806" i="18"/>
  <c r="AD806" i="18"/>
  <c r="AE806" i="18"/>
  <c r="AB807" i="18"/>
  <c r="AC807" i="18"/>
  <c r="AD807" i="18"/>
  <c r="AE807" i="18"/>
  <c r="AB808" i="18"/>
  <c r="AC808" i="18"/>
  <c r="AD808" i="18"/>
  <c r="AE808" i="18"/>
  <c r="AB809" i="18"/>
  <c r="AC809" i="18"/>
  <c r="AD809" i="18"/>
  <c r="AE809" i="18"/>
  <c r="AB810" i="18"/>
  <c r="AC810" i="18"/>
  <c r="AD810" i="18"/>
  <c r="AE810" i="18"/>
  <c r="AB811" i="18"/>
  <c r="AC811" i="18"/>
  <c r="AD811" i="18"/>
  <c r="AE811" i="18"/>
  <c r="AB812" i="18"/>
  <c r="AC812" i="18"/>
  <c r="AD812" i="18"/>
  <c r="AE812" i="18"/>
  <c r="AB813" i="18"/>
  <c r="AC813" i="18"/>
  <c r="AD813" i="18"/>
  <c r="AE813" i="18"/>
  <c r="AB814" i="18"/>
  <c r="AC814" i="18"/>
  <c r="AD814" i="18"/>
  <c r="AE814" i="18"/>
  <c r="AB815" i="18"/>
  <c r="AC815" i="18"/>
  <c r="AD815" i="18"/>
  <c r="AE815" i="18"/>
  <c r="AB816" i="18"/>
  <c r="AC816" i="18"/>
  <c r="AD816" i="18"/>
  <c r="AE816" i="18"/>
  <c r="AB817" i="18"/>
  <c r="AC817" i="18"/>
  <c r="AD817" i="18"/>
  <c r="AE817" i="18"/>
  <c r="AB818" i="18"/>
  <c r="AC818" i="18"/>
  <c r="AD818" i="18"/>
  <c r="AE818" i="18"/>
  <c r="AB819" i="18"/>
  <c r="AC819" i="18"/>
  <c r="AD819" i="18"/>
  <c r="AE819" i="18"/>
  <c r="AB820" i="18"/>
  <c r="AC820" i="18"/>
  <c r="AD820" i="18"/>
  <c r="AE820" i="18"/>
  <c r="AB821" i="18"/>
  <c r="AC821" i="18"/>
  <c r="AD821" i="18"/>
  <c r="AE821" i="18"/>
  <c r="AB822" i="18"/>
  <c r="AC822" i="18"/>
  <c r="AD822" i="18"/>
  <c r="AE822" i="18"/>
  <c r="AB823" i="18"/>
  <c r="AC823" i="18"/>
  <c r="AD823" i="18"/>
  <c r="AE823" i="18"/>
  <c r="AB824" i="18"/>
  <c r="AC824" i="18"/>
  <c r="AD824" i="18"/>
  <c r="AE824" i="18"/>
  <c r="AB825" i="18"/>
  <c r="AC825" i="18"/>
  <c r="AD825" i="18"/>
  <c r="AE825" i="18"/>
  <c r="AB826" i="18"/>
  <c r="AC826" i="18"/>
  <c r="AD826" i="18"/>
  <c r="AE826" i="18"/>
  <c r="AB827" i="18"/>
  <c r="AC827" i="18"/>
  <c r="AD827" i="18"/>
  <c r="AE827" i="18"/>
  <c r="AB828" i="18"/>
  <c r="AC828" i="18"/>
  <c r="AD828" i="18"/>
  <c r="AE828" i="18"/>
  <c r="AB829" i="18"/>
  <c r="AC829" i="18"/>
  <c r="AD829" i="18"/>
  <c r="AE829" i="18"/>
  <c r="AB830" i="18"/>
  <c r="AC830" i="18"/>
  <c r="AD830" i="18"/>
  <c r="AE830" i="18"/>
  <c r="AB831" i="18"/>
  <c r="AC831" i="18"/>
  <c r="AD831" i="18"/>
  <c r="AE831" i="18"/>
  <c r="AB832" i="18"/>
  <c r="AC832" i="18"/>
  <c r="AD832" i="18"/>
  <c r="AE832" i="18"/>
  <c r="AB833" i="18"/>
  <c r="AC833" i="18"/>
  <c r="AD833" i="18"/>
  <c r="AE833" i="18"/>
  <c r="AB834" i="18"/>
  <c r="AC834" i="18"/>
  <c r="AD834" i="18"/>
  <c r="AE834" i="18"/>
  <c r="AB835" i="18"/>
  <c r="AC835" i="18"/>
  <c r="AD835" i="18"/>
  <c r="AE835" i="18"/>
  <c r="AB836" i="18"/>
  <c r="AC836" i="18"/>
  <c r="AD836" i="18"/>
  <c r="AE836" i="18"/>
  <c r="AB837" i="18"/>
  <c r="AC837" i="18"/>
  <c r="AD837" i="18"/>
  <c r="AE837" i="18"/>
  <c r="AB838" i="18"/>
  <c r="AC838" i="18"/>
  <c r="AD838" i="18"/>
  <c r="AE838" i="18"/>
  <c r="AB839" i="18"/>
  <c r="AC839" i="18"/>
  <c r="AD839" i="18"/>
  <c r="AE839" i="18"/>
  <c r="AB840" i="18"/>
  <c r="AC840" i="18"/>
  <c r="AD840" i="18"/>
  <c r="AE840" i="18"/>
  <c r="AB841" i="18"/>
  <c r="AC841" i="18"/>
  <c r="AD841" i="18"/>
  <c r="AE841" i="18"/>
  <c r="AB842" i="18"/>
  <c r="AC842" i="18"/>
  <c r="AD842" i="18"/>
  <c r="AE842" i="18"/>
  <c r="AB843" i="18"/>
  <c r="AC843" i="18"/>
  <c r="AD843" i="18"/>
  <c r="AE843" i="18"/>
  <c r="AB844" i="18"/>
  <c r="AC844" i="18"/>
  <c r="AD844" i="18"/>
  <c r="AE844" i="18"/>
  <c r="AB845" i="18"/>
  <c r="AC845" i="18"/>
  <c r="AD845" i="18"/>
  <c r="AE845" i="18"/>
  <c r="AB846" i="18"/>
  <c r="AC846" i="18"/>
  <c r="AD846" i="18"/>
  <c r="AE846" i="18"/>
  <c r="AB847" i="18"/>
  <c r="AC847" i="18"/>
  <c r="AD847" i="18"/>
  <c r="AE847" i="18"/>
  <c r="AB848" i="18"/>
  <c r="AC848" i="18"/>
  <c r="AD848" i="18"/>
  <c r="AE848" i="18"/>
  <c r="AB849" i="18"/>
  <c r="AC849" i="18"/>
  <c r="AD849" i="18"/>
  <c r="AE849" i="18"/>
  <c r="AB850" i="18"/>
  <c r="AC850" i="18"/>
  <c r="AD850" i="18"/>
  <c r="AE850" i="18"/>
  <c r="AE3" i="18"/>
  <c r="AD3" i="18"/>
  <c r="AC3" i="18"/>
  <c r="AB3" i="18"/>
  <c r="U4" i="18"/>
  <c r="V4" i="18"/>
  <c r="W4" i="18"/>
  <c r="U5" i="18"/>
  <c r="V5" i="18"/>
  <c r="W5" i="18"/>
  <c r="U6" i="18"/>
  <c r="V6" i="18"/>
  <c r="W6" i="18"/>
  <c r="U7" i="18"/>
  <c r="V7" i="18"/>
  <c r="W7" i="18"/>
  <c r="U8" i="18"/>
  <c r="V8" i="18"/>
  <c r="W8" i="18"/>
  <c r="U9" i="18"/>
  <c r="V9" i="18"/>
  <c r="W9" i="18"/>
  <c r="U10" i="18"/>
  <c r="V10" i="18"/>
  <c r="W10" i="18"/>
  <c r="U11" i="18"/>
  <c r="V11" i="18"/>
  <c r="W11" i="18"/>
  <c r="U12" i="18"/>
  <c r="V12" i="18"/>
  <c r="W12" i="18"/>
  <c r="U13" i="18"/>
  <c r="V13" i="18"/>
  <c r="W13" i="18"/>
  <c r="U14" i="18"/>
  <c r="V14" i="18"/>
  <c r="W14" i="18"/>
  <c r="U15" i="18"/>
  <c r="V15" i="18"/>
  <c r="W15" i="18"/>
  <c r="U16" i="18"/>
  <c r="V16" i="18"/>
  <c r="W16" i="18"/>
  <c r="U17" i="18"/>
  <c r="V17" i="18"/>
  <c r="W17" i="18"/>
  <c r="U18" i="18"/>
  <c r="V18" i="18"/>
  <c r="W18" i="18"/>
  <c r="U19" i="18"/>
  <c r="V19" i="18"/>
  <c r="W19" i="18"/>
  <c r="U20" i="18"/>
  <c r="V20" i="18"/>
  <c r="W20" i="18"/>
  <c r="U21" i="18"/>
  <c r="V21" i="18"/>
  <c r="W21" i="18"/>
  <c r="U22" i="18"/>
  <c r="V22" i="18"/>
  <c r="W22" i="18"/>
  <c r="U23" i="18"/>
  <c r="V23" i="18"/>
  <c r="W23" i="18"/>
  <c r="U24" i="18"/>
  <c r="V24" i="18"/>
  <c r="W24" i="18"/>
  <c r="U25" i="18"/>
  <c r="V25" i="18"/>
  <c r="W25" i="18"/>
  <c r="U26" i="18"/>
  <c r="V26" i="18"/>
  <c r="W26" i="18"/>
  <c r="U27" i="18"/>
  <c r="V27" i="18"/>
  <c r="W27" i="18"/>
  <c r="U28" i="18"/>
  <c r="V28" i="18"/>
  <c r="W28" i="18"/>
  <c r="U29" i="18"/>
  <c r="V29" i="18"/>
  <c r="W29" i="18"/>
  <c r="U30" i="18"/>
  <c r="V30" i="18"/>
  <c r="W30" i="18"/>
  <c r="U31" i="18"/>
  <c r="V31" i="18"/>
  <c r="W31" i="18"/>
  <c r="U32" i="18"/>
  <c r="V32" i="18"/>
  <c r="W32" i="18"/>
  <c r="U33" i="18"/>
  <c r="V33" i="18"/>
  <c r="W33" i="18"/>
  <c r="U34" i="18"/>
  <c r="V34" i="18"/>
  <c r="W34" i="18"/>
  <c r="U35" i="18"/>
  <c r="V35" i="18"/>
  <c r="W35" i="18"/>
  <c r="U36" i="18"/>
  <c r="V36" i="18"/>
  <c r="W36" i="18"/>
  <c r="U37" i="18"/>
  <c r="V37" i="18"/>
  <c r="W37" i="18"/>
  <c r="U38" i="18"/>
  <c r="V38" i="18"/>
  <c r="W38" i="18"/>
  <c r="U39" i="18"/>
  <c r="V39" i="18"/>
  <c r="W39" i="18"/>
  <c r="U40" i="18"/>
  <c r="V40" i="18"/>
  <c r="W40" i="18"/>
  <c r="U41" i="18"/>
  <c r="V41" i="18"/>
  <c r="W41" i="18"/>
  <c r="U42" i="18"/>
  <c r="V42" i="18"/>
  <c r="W42" i="18"/>
  <c r="U43" i="18"/>
  <c r="V43" i="18"/>
  <c r="W43" i="18"/>
  <c r="U44" i="18"/>
  <c r="V44" i="18"/>
  <c r="W44" i="18"/>
  <c r="U45" i="18"/>
  <c r="V45" i="18"/>
  <c r="W45" i="18"/>
  <c r="U46" i="18"/>
  <c r="V46" i="18"/>
  <c r="W46" i="18"/>
  <c r="U47" i="18"/>
  <c r="V47" i="18"/>
  <c r="W47" i="18"/>
  <c r="U48" i="18"/>
  <c r="V48" i="18"/>
  <c r="W48" i="18"/>
  <c r="U49" i="18"/>
  <c r="V49" i="18"/>
  <c r="W49" i="18"/>
  <c r="U50" i="18"/>
  <c r="V50" i="18"/>
  <c r="W50" i="18"/>
  <c r="U51" i="18"/>
  <c r="V51" i="18"/>
  <c r="W51" i="18"/>
  <c r="U52" i="18"/>
  <c r="V52" i="18"/>
  <c r="W52" i="18"/>
  <c r="U53" i="18"/>
  <c r="V53" i="18"/>
  <c r="W53" i="18"/>
  <c r="U54" i="18"/>
  <c r="V54" i="18"/>
  <c r="W54" i="18"/>
  <c r="U55" i="18"/>
  <c r="V55" i="18"/>
  <c r="W55" i="18"/>
  <c r="U56" i="18"/>
  <c r="V56" i="18"/>
  <c r="W56" i="18"/>
  <c r="U57" i="18"/>
  <c r="V57" i="18"/>
  <c r="W57" i="18"/>
  <c r="U58" i="18"/>
  <c r="V58" i="18"/>
  <c r="W58" i="18"/>
  <c r="U59" i="18"/>
  <c r="V59" i="18"/>
  <c r="W59" i="18"/>
  <c r="U60" i="18"/>
  <c r="V60" i="18"/>
  <c r="W60" i="18"/>
  <c r="U61" i="18"/>
  <c r="V61" i="18"/>
  <c r="W61" i="18"/>
  <c r="U62" i="18"/>
  <c r="V62" i="18"/>
  <c r="W62" i="18"/>
  <c r="U63" i="18"/>
  <c r="V63" i="18"/>
  <c r="W63" i="18"/>
  <c r="U64" i="18"/>
  <c r="V64" i="18"/>
  <c r="W64" i="18"/>
  <c r="U65" i="18"/>
  <c r="V65" i="18"/>
  <c r="W65" i="18"/>
  <c r="U66" i="18"/>
  <c r="V66" i="18"/>
  <c r="W66" i="18"/>
  <c r="U67" i="18"/>
  <c r="V67" i="18"/>
  <c r="W67" i="18"/>
  <c r="U68" i="18"/>
  <c r="V68" i="18"/>
  <c r="W68" i="18"/>
  <c r="U69" i="18"/>
  <c r="V69" i="18"/>
  <c r="W69" i="18"/>
  <c r="U70" i="18"/>
  <c r="V70" i="18"/>
  <c r="W70" i="18"/>
  <c r="U71" i="18"/>
  <c r="V71" i="18"/>
  <c r="W71" i="18"/>
  <c r="U72" i="18"/>
  <c r="V72" i="18"/>
  <c r="W72" i="18"/>
  <c r="U73" i="18"/>
  <c r="V73" i="18"/>
  <c r="W73" i="18"/>
  <c r="U74" i="18"/>
  <c r="V74" i="18"/>
  <c r="W74" i="18"/>
  <c r="U75" i="18"/>
  <c r="V75" i="18"/>
  <c r="W75" i="18"/>
  <c r="U76" i="18"/>
  <c r="V76" i="18"/>
  <c r="W76" i="18"/>
  <c r="U77" i="18"/>
  <c r="V77" i="18"/>
  <c r="W77" i="18"/>
  <c r="U78" i="18"/>
  <c r="V78" i="18"/>
  <c r="W78" i="18"/>
  <c r="U79" i="18"/>
  <c r="V79" i="18"/>
  <c r="W79" i="18"/>
  <c r="U80" i="18"/>
  <c r="V80" i="18"/>
  <c r="W80" i="18"/>
  <c r="U81" i="18"/>
  <c r="V81" i="18"/>
  <c r="W81" i="18"/>
  <c r="U82" i="18"/>
  <c r="V82" i="18"/>
  <c r="W82" i="18"/>
  <c r="U83" i="18"/>
  <c r="V83" i="18"/>
  <c r="W83" i="18"/>
  <c r="U84" i="18"/>
  <c r="V84" i="18"/>
  <c r="W84" i="18"/>
  <c r="U85" i="18"/>
  <c r="V85" i="18"/>
  <c r="W85" i="18"/>
  <c r="U86" i="18"/>
  <c r="V86" i="18"/>
  <c r="W86" i="18"/>
  <c r="U87" i="18"/>
  <c r="V87" i="18"/>
  <c r="W87" i="18"/>
  <c r="U88" i="18"/>
  <c r="V88" i="18"/>
  <c r="W88" i="18"/>
  <c r="U89" i="18"/>
  <c r="V89" i="18"/>
  <c r="W89" i="18"/>
  <c r="U90" i="18"/>
  <c r="V90" i="18"/>
  <c r="W90" i="18"/>
  <c r="U91" i="18"/>
  <c r="V91" i="18"/>
  <c r="W91" i="18"/>
  <c r="U92" i="18"/>
  <c r="V92" i="18"/>
  <c r="W92" i="18"/>
  <c r="U93" i="18"/>
  <c r="V93" i="18"/>
  <c r="W93" i="18"/>
  <c r="U94" i="18"/>
  <c r="V94" i="18"/>
  <c r="W94" i="18"/>
  <c r="U95" i="18"/>
  <c r="V95" i="18"/>
  <c r="W95" i="18"/>
  <c r="U96" i="18"/>
  <c r="V96" i="18"/>
  <c r="W96" i="18"/>
  <c r="U97" i="18"/>
  <c r="V97" i="18"/>
  <c r="W97" i="18"/>
  <c r="U98" i="18"/>
  <c r="V98" i="18"/>
  <c r="W98" i="18"/>
  <c r="U99" i="18"/>
  <c r="V99" i="18"/>
  <c r="W99" i="18"/>
  <c r="U100" i="18"/>
  <c r="V100" i="18"/>
  <c r="W100" i="18"/>
  <c r="U101" i="18"/>
  <c r="V101" i="18"/>
  <c r="W101" i="18"/>
  <c r="U102" i="18"/>
  <c r="V102" i="18"/>
  <c r="W102" i="18"/>
  <c r="U103" i="18"/>
  <c r="V103" i="18"/>
  <c r="W103" i="18"/>
  <c r="U104" i="18"/>
  <c r="V104" i="18"/>
  <c r="W104" i="18"/>
  <c r="U105" i="18"/>
  <c r="V105" i="18"/>
  <c r="W105" i="18"/>
  <c r="U106" i="18"/>
  <c r="V106" i="18"/>
  <c r="W106" i="18"/>
  <c r="U107" i="18"/>
  <c r="V107" i="18"/>
  <c r="W107" i="18"/>
  <c r="U108" i="18"/>
  <c r="V108" i="18"/>
  <c r="W108" i="18"/>
  <c r="U109" i="18"/>
  <c r="V109" i="18"/>
  <c r="W109" i="18"/>
  <c r="U110" i="18"/>
  <c r="V110" i="18"/>
  <c r="W110" i="18"/>
  <c r="U111" i="18"/>
  <c r="V111" i="18"/>
  <c r="W111" i="18"/>
  <c r="U112" i="18"/>
  <c r="V112" i="18"/>
  <c r="W112" i="18"/>
  <c r="U113" i="18"/>
  <c r="V113" i="18"/>
  <c r="W113" i="18"/>
  <c r="U114" i="18"/>
  <c r="V114" i="18"/>
  <c r="W114" i="18"/>
  <c r="U115" i="18"/>
  <c r="V115" i="18"/>
  <c r="W115" i="18"/>
  <c r="U116" i="18"/>
  <c r="V116" i="18"/>
  <c r="W116" i="18"/>
  <c r="U117" i="18"/>
  <c r="V117" i="18"/>
  <c r="W117" i="18"/>
  <c r="U118" i="18"/>
  <c r="V118" i="18"/>
  <c r="W118" i="18"/>
  <c r="U119" i="18"/>
  <c r="V119" i="18"/>
  <c r="W119" i="18"/>
  <c r="U120" i="18"/>
  <c r="V120" i="18"/>
  <c r="W120" i="18"/>
  <c r="U121" i="18"/>
  <c r="V121" i="18"/>
  <c r="W121" i="18"/>
  <c r="U122" i="18"/>
  <c r="V122" i="18"/>
  <c r="W122" i="18"/>
  <c r="U123" i="18"/>
  <c r="V123" i="18"/>
  <c r="W123" i="18"/>
  <c r="U124" i="18"/>
  <c r="V124" i="18"/>
  <c r="W124" i="18"/>
  <c r="U125" i="18"/>
  <c r="V125" i="18"/>
  <c r="W125" i="18"/>
  <c r="U126" i="18"/>
  <c r="V126" i="18"/>
  <c r="W126" i="18"/>
  <c r="U127" i="18"/>
  <c r="V127" i="18"/>
  <c r="W127" i="18"/>
  <c r="U128" i="18"/>
  <c r="V128" i="18"/>
  <c r="W128" i="18"/>
  <c r="U129" i="18"/>
  <c r="V129" i="18"/>
  <c r="W129" i="18"/>
  <c r="U130" i="18"/>
  <c r="V130" i="18"/>
  <c r="W130" i="18"/>
  <c r="U131" i="18"/>
  <c r="V131" i="18"/>
  <c r="W131" i="18"/>
  <c r="U132" i="18"/>
  <c r="V132" i="18"/>
  <c r="W132" i="18"/>
  <c r="U133" i="18"/>
  <c r="V133" i="18"/>
  <c r="W133" i="18"/>
  <c r="U134" i="18"/>
  <c r="V134" i="18"/>
  <c r="W134" i="18"/>
  <c r="U135" i="18"/>
  <c r="V135" i="18"/>
  <c r="W135" i="18"/>
  <c r="U136" i="18"/>
  <c r="V136" i="18"/>
  <c r="W136" i="18"/>
  <c r="U137" i="18"/>
  <c r="V137" i="18"/>
  <c r="W137" i="18"/>
  <c r="U138" i="18"/>
  <c r="V138" i="18"/>
  <c r="W138" i="18"/>
  <c r="U139" i="18"/>
  <c r="V139" i="18"/>
  <c r="W139" i="18"/>
  <c r="U140" i="18"/>
  <c r="V140" i="18"/>
  <c r="W140" i="18"/>
  <c r="U141" i="18"/>
  <c r="V141" i="18"/>
  <c r="W141" i="18"/>
  <c r="U142" i="18"/>
  <c r="V142" i="18"/>
  <c r="W142" i="18"/>
  <c r="U143" i="18"/>
  <c r="V143" i="18"/>
  <c r="W143" i="18"/>
  <c r="U144" i="18"/>
  <c r="V144" i="18"/>
  <c r="W144" i="18"/>
  <c r="U145" i="18"/>
  <c r="V145" i="18"/>
  <c r="W145" i="18"/>
  <c r="U146" i="18"/>
  <c r="V146" i="18"/>
  <c r="W146" i="18"/>
  <c r="U147" i="18"/>
  <c r="V147" i="18"/>
  <c r="W147" i="18"/>
  <c r="U148" i="18"/>
  <c r="V148" i="18"/>
  <c r="W148" i="18"/>
  <c r="U149" i="18"/>
  <c r="V149" i="18"/>
  <c r="W149" i="18"/>
  <c r="U150" i="18"/>
  <c r="V150" i="18"/>
  <c r="W150" i="18"/>
  <c r="U151" i="18"/>
  <c r="V151" i="18"/>
  <c r="W151" i="18"/>
  <c r="U152" i="18"/>
  <c r="V152" i="18"/>
  <c r="W152" i="18"/>
  <c r="U153" i="18"/>
  <c r="V153" i="18"/>
  <c r="W153" i="18"/>
  <c r="U154" i="18"/>
  <c r="V154" i="18"/>
  <c r="W154" i="18"/>
  <c r="U155" i="18"/>
  <c r="V155" i="18"/>
  <c r="W155" i="18"/>
  <c r="U156" i="18"/>
  <c r="V156" i="18"/>
  <c r="W156" i="18"/>
  <c r="U157" i="18"/>
  <c r="V157" i="18"/>
  <c r="W157" i="18"/>
  <c r="U158" i="18"/>
  <c r="V158" i="18"/>
  <c r="W158" i="18"/>
  <c r="U159" i="18"/>
  <c r="V159" i="18"/>
  <c r="W159" i="18"/>
  <c r="U160" i="18"/>
  <c r="V160" i="18"/>
  <c r="W160" i="18"/>
  <c r="U161" i="18"/>
  <c r="V161" i="18"/>
  <c r="W161" i="18"/>
  <c r="U162" i="18"/>
  <c r="V162" i="18"/>
  <c r="W162" i="18"/>
  <c r="U163" i="18"/>
  <c r="V163" i="18"/>
  <c r="W163" i="18"/>
  <c r="U164" i="18"/>
  <c r="V164" i="18"/>
  <c r="W164" i="18"/>
  <c r="U165" i="18"/>
  <c r="V165" i="18"/>
  <c r="W165" i="18"/>
  <c r="U166" i="18"/>
  <c r="V166" i="18"/>
  <c r="W166" i="18"/>
  <c r="U167" i="18"/>
  <c r="V167" i="18"/>
  <c r="W167" i="18"/>
  <c r="U168" i="18"/>
  <c r="V168" i="18"/>
  <c r="W168" i="18"/>
  <c r="U169" i="18"/>
  <c r="V169" i="18"/>
  <c r="W169" i="18"/>
  <c r="U170" i="18"/>
  <c r="V170" i="18"/>
  <c r="W170" i="18"/>
  <c r="U171" i="18"/>
  <c r="V171" i="18"/>
  <c r="W171" i="18"/>
  <c r="U172" i="18"/>
  <c r="V172" i="18"/>
  <c r="W172" i="18"/>
  <c r="U173" i="18"/>
  <c r="V173" i="18"/>
  <c r="W173" i="18"/>
  <c r="U174" i="18"/>
  <c r="V174" i="18"/>
  <c r="W174" i="18"/>
  <c r="U175" i="18"/>
  <c r="V175" i="18"/>
  <c r="W175" i="18"/>
  <c r="U176" i="18"/>
  <c r="V176" i="18"/>
  <c r="W176" i="18"/>
  <c r="U177" i="18"/>
  <c r="V177" i="18"/>
  <c r="W177" i="18"/>
  <c r="U178" i="18"/>
  <c r="V178" i="18"/>
  <c r="W178" i="18"/>
  <c r="U179" i="18"/>
  <c r="V179" i="18"/>
  <c r="W179" i="18"/>
  <c r="U180" i="18"/>
  <c r="V180" i="18"/>
  <c r="W180" i="18"/>
  <c r="U181" i="18"/>
  <c r="V181" i="18"/>
  <c r="W181" i="18"/>
  <c r="U182" i="18"/>
  <c r="V182" i="18"/>
  <c r="W182" i="18"/>
  <c r="U183" i="18"/>
  <c r="V183" i="18"/>
  <c r="W183" i="18"/>
  <c r="U184" i="18"/>
  <c r="V184" i="18"/>
  <c r="W184" i="18"/>
  <c r="U185" i="18"/>
  <c r="V185" i="18"/>
  <c r="W185" i="18"/>
  <c r="U186" i="18"/>
  <c r="V186" i="18"/>
  <c r="W186" i="18"/>
  <c r="U187" i="18"/>
  <c r="V187" i="18"/>
  <c r="W187" i="18"/>
  <c r="U188" i="18"/>
  <c r="V188" i="18"/>
  <c r="W188" i="18"/>
  <c r="U189" i="18"/>
  <c r="V189" i="18"/>
  <c r="W189" i="18"/>
  <c r="U190" i="18"/>
  <c r="V190" i="18"/>
  <c r="W190" i="18"/>
  <c r="U191" i="18"/>
  <c r="V191" i="18"/>
  <c r="W191" i="18"/>
  <c r="U192" i="18"/>
  <c r="V192" i="18"/>
  <c r="W192" i="18"/>
  <c r="U193" i="18"/>
  <c r="V193" i="18"/>
  <c r="W193" i="18"/>
  <c r="U194" i="18"/>
  <c r="V194" i="18"/>
  <c r="W194" i="18"/>
  <c r="U195" i="18"/>
  <c r="V195" i="18"/>
  <c r="W195" i="18"/>
  <c r="U196" i="18"/>
  <c r="V196" i="18"/>
  <c r="W196" i="18"/>
  <c r="U197" i="18"/>
  <c r="V197" i="18"/>
  <c r="W197" i="18"/>
  <c r="U198" i="18"/>
  <c r="V198" i="18"/>
  <c r="W198" i="18"/>
  <c r="U199" i="18"/>
  <c r="V199" i="18"/>
  <c r="W199" i="18"/>
  <c r="U200" i="18"/>
  <c r="V200" i="18"/>
  <c r="W200" i="18"/>
  <c r="U201" i="18"/>
  <c r="V201" i="18"/>
  <c r="W201" i="18"/>
  <c r="U202" i="18"/>
  <c r="V202" i="18"/>
  <c r="W202" i="18"/>
  <c r="U203" i="18"/>
  <c r="V203" i="18"/>
  <c r="W203" i="18"/>
  <c r="U204" i="18"/>
  <c r="V204" i="18"/>
  <c r="W204" i="18"/>
  <c r="U205" i="18"/>
  <c r="V205" i="18"/>
  <c r="W205" i="18"/>
  <c r="U206" i="18"/>
  <c r="V206" i="18"/>
  <c r="W206" i="18"/>
  <c r="U207" i="18"/>
  <c r="V207" i="18"/>
  <c r="W207" i="18"/>
  <c r="U208" i="18"/>
  <c r="V208" i="18"/>
  <c r="W208" i="18"/>
  <c r="U209" i="18"/>
  <c r="V209" i="18"/>
  <c r="W209" i="18"/>
  <c r="U210" i="18"/>
  <c r="V210" i="18"/>
  <c r="W210" i="18"/>
  <c r="U211" i="18"/>
  <c r="V211" i="18"/>
  <c r="W211" i="18"/>
  <c r="U212" i="18"/>
  <c r="V212" i="18"/>
  <c r="W212" i="18"/>
  <c r="U213" i="18"/>
  <c r="V213" i="18"/>
  <c r="W213" i="18"/>
  <c r="U214" i="18"/>
  <c r="V214" i="18"/>
  <c r="W214" i="18"/>
  <c r="U215" i="18"/>
  <c r="V215" i="18"/>
  <c r="W215" i="18"/>
  <c r="U216" i="18"/>
  <c r="V216" i="18"/>
  <c r="W216" i="18"/>
  <c r="U217" i="18"/>
  <c r="V217" i="18"/>
  <c r="W217" i="18"/>
  <c r="U218" i="18"/>
  <c r="V218" i="18"/>
  <c r="W218" i="18"/>
  <c r="U219" i="18"/>
  <c r="V219" i="18"/>
  <c r="W219" i="18"/>
  <c r="U220" i="18"/>
  <c r="V220" i="18"/>
  <c r="W220" i="18"/>
  <c r="U221" i="18"/>
  <c r="V221" i="18"/>
  <c r="W221" i="18"/>
  <c r="U222" i="18"/>
  <c r="V222" i="18"/>
  <c r="W222" i="18"/>
  <c r="U223" i="18"/>
  <c r="V223" i="18"/>
  <c r="W223" i="18"/>
  <c r="U224" i="18"/>
  <c r="V224" i="18"/>
  <c r="W224" i="18"/>
  <c r="U225" i="18"/>
  <c r="V225" i="18"/>
  <c r="W225" i="18"/>
  <c r="U226" i="18"/>
  <c r="V226" i="18"/>
  <c r="W226" i="18"/>
  <c r="U227" i="18"/>
  <c r="V227" i="18"/>
  <c r="W227" i="18"/>
  <c r="U228" i="18"/>
  <c r="V228" i="18"/>
  <c r="W228" i="18"/>
  <c r="U229" i="18"/>
  <c r="V229" i="18"/>
  <c r="W229" i="18"/>
  <c r="U230" i="18"/>
  <c r="V230" i="18"/>
  <c r="W230" i="18"/>
  <c r="U231" i="18"/>
  <c r="V231" i="18"/>
  <c r="W231" i="18"/>
  <c r="U232" i="18"/>
  <c r="V232" i="18"/>
  <c r="W232" i="18"/>
  <c r="U233" i="18"/>
  <c r="V233" i="18"/>
  <c r="W233" i="18"/>
  <c r="U234" i="18"/>
  <c r="V234" i="18"/>
  <c r="W234" i="18"/>
  <c r="U235" i="18"/>
  <c r="V235" i="18"/>
  <c r="W235" i="18"/>
  <c r="U236" i="18"/>
  <c r="V236" i="18"/>
  <c r="W236" i="18"/>
  <c r="U237" i="18"/>
  <c r="V237" i="18"/>
  <c r="W237" i="18"/>
  <c r="U238" i="18"/>
  <c r="V238" i="18"/>
  <c r="W238" i="18"/>
  <c r="U239" i="18"/>
  <c r="V239" i="18"/>
  <c r="W239" i="18"/>
  <c r="U240" i="18"/>
  <c r="V240" i="18"/>
  <c r="W240" i="18"/>
  <c r="U241" i="18"/>
  <c r="V241" i="18"/>
  <c r="W241" i="18"/>
  <c r="U242" i="18"/>
  <c r="V242" i="18"/>
  <c r="W242" i="18"/>
  <c r="U243" i="18"/>
  <c r="V243" i="18"/>
  <c r="W243" i="18"/>
  <c r="U244" i="18"/>
  <c r="V244" i="18"/>
  <c r="W244" i="18"/>
  <c r="U245" i="18"/>
  <c r="V245" i="18"/>
  <c r="W245" i="18"/>
  <c r="U246" i="18"/>
  <c r="V246" i="18"/>
  <c r="W246" i="18"/>
  <c r="U247" i="18"/>
  <c r="V247" i="18"/>
  <c r="W247" i="18"/>
  <c r="U248" i="18"/>
  <c r="V248" i="18"/>
  <c r="W248" i="18"/>
  <c r="U249" i="18"/>
  <c r="V249" i="18"/>
  <c r="W249" i="18"/>
  <c r="U250" i="18"/>
  <c r="V250" i="18"/>
  <c r="W250" i="18"/>
  <c r="U251" i="18"/>
  <c r="V251" i="18"/>
  <c r="W251" i="18"/>
  <c r="U252" i="18"/>
  <c r="V252" i="18"/>
  <c r="W252" i="18"/>
  <c r="U253" i="18"/>
  <c r="V253" i="18"/>
  <c r="W253" i="18"/>
  <c r="U254" i="18"/>
  <c r="V254" i="18"/>
  <c r="W254" i="18"/>
  <c r="U255" i="18"/>
  <c r="V255" i="18"/>
  <c r="W255" i="18"/>
  <c r="U256" i="18"/>
  <c r="V256" i="18"/>
  <c r="W256" i="18"/>
  <c r="U257" i="18"/>
  <c r="V257" i="18"/>
  <c r="W257" i="18"/>
  <c r="U258" i="18"/>
  <c r="V258" i="18"/>
  <c r="W258" i="18"/>
  <c r="U259" i="18"/>
  <c r="V259" i="18"/>
  <c r="W259" i="18"/>
  <c r="U260" i="18"/>
  <c r="V260" i="18"/>
  <c r="W260" i="18"/>
  <c r="U261" i="18"/>
  <c r="V261" i="18"/>
  <c r="W261" i="18"/>
  <c r="U262" i="18"/>
  <c r="V262" i="18"/>
  <c r="W262" i="18"/>
  <c r="U263" i="18"/>
  <c r="V263" i="18"/>
  <c r="W263" i="18"/>
  <c r="U264" i="18"/>
  <c r="V264" i="18"/>
  <c r="W264" i="18"/>
  <c r="U265" i="18"/>
  <c r="V265" i="18"/>
  <c r="W265" i="18"/>
  <c r="U266" i="18"/>
  <c r="V266" i="18"/>
  <c r="W266" i="18"/>
  <c r="U267" i="18"/>
  <c r="V267" i="18"/>
  <c r="W267" i="18"/>
  <c r="U268" i="18"/>
  <c r="V268" i="18"/>
  <c r="W268" i="18"/>
  <c r="U269" i="18"/>
  <c r="V269" i="18"/>
  <c r="W269" i="18"/>
  <c r="U270" i="18"/>
  <c r="V270" i="18"/>
  <c r="W270" i="18"/>
  <c r="U271" i="18"/>
  <c r="V271" i="18"/>
  <c r="W271" i="18"/>
  <c r="U272" i="18"/>
  <c r="V272" i="18"/>
  <c r="W272" i="18"/>
  <c r="U273" i="18"/>
  <c r="V273" i="18"/>
  <c r="W273" i="18"/>
  <c r="U274" i="18"/>
  <c r="V274" i="18"/>
  <c r="W274" i="18"/>
  <c r="U275" i="18"/>
  <c r="V275" i="18"/>
  <c r="W275" i="18"/>
  <c r="U276" i="18"/>
  <c r="V276" i="18"/>
  <c r="W276" i="18"/>
  <c r="U277" i="18"/>
  <c r="V277" i="18"/>
  <c r="W277" i="18"/>
  <c r="U278" i="18"/>
  <c r="V278" i="18"/>
  <c r="W278" i="18"/>
  <c r="U279" i="18"/>
  <c r="V279" i="18"/>
  <c r="W279" i="18"/>
  <c r="U280" i="18"/>
  <c r="V280" i="18"/>
  <c r="W280" i="18"/>
  <c r="U281" i="18"/>
  <c r="V281" i="18"/>
  <c r="W281" i="18"/>
  <c r="U282" i="18"/>
  <c r="V282" i="18"/>
  <c r="W282" i="18"/>
  <c r="U283" i="18"/>
  <c r="V283" i="18"/>
  <c r="W283" i="18"/>
  <c r="U284" i="18"/>
  <c r="V284" i="18"/>
  <c r="W284" i="18"/>
  <c r="U285" i="18"/>
  <c r="V285" i="18"/>
  <c r="W285" i="18"/>
  <c r="U286" i="18"/>
  <c r="V286" i="18"/>
  <c r="W286" i="18"/>
  <c r="U287" i="18"/>
  <c r="V287" i="18"/>
  <c r="W287" i="18"/>
  <c r="U288" i="18"/>
  <c r="V288" i="18"/>
  <c r="W288" i="18"/>
  <c r="U289" i="18"/>
  <c r="V289" i="18"/>
  <c r="W289" i="18"/>
  <c r="U290" i="18"/>
  <c r="V290" i="18"/>
  <c r="W290" i="18"/>
  <c r="U291" i="18"/>
  <c r="V291" i="18"/>
  <c r="W291" i="18"/>
  <c r="U292" i="18"/>
  <c r="V292" i="18"/>
  <c r="W292" i="18"/>
  <c r="U293" i="18"/>
  <c r="V293" i="18"/>
  <c r="W293" i="18"/>
  <c r="U294" i="18"/>
  <c r="V294" i="18"/>
  <c r="W294" i="18"/>
  <c r="U295" i="18"/>
  <c r="V295" i="18"/>
  <c r="W295" i="18"/>
  <c r="U296" i="18"/>
  <c r="V296" i="18"/>
  <c r="W296" i="18"/>
  <c r="U297" i="18"/>
  <c r="V297" i="18"/>
  <c r="W297" i="18"/>
  <c r="U298" i="18"/>
  <c r="V298" i="18"/>
  <c r="W298" i="18"/>
  <c r="U299" i="18"/>
  <c r="V299" i="18"/>
  <c r="W299" i="18"/>
  <c r="U300" i="18"/>
  <c r="V300" i="18"/>
  <c r="W300" i="18"/>
  <c r="U301" i="18"/>
  <c r="V301" i="18"/>
  <c r="W301" i="18"/>
  <c r="U302" i="18"/>
  <c r="V302" i="18"/>
  <c r="W302" i="18"/>
  <c r="U303" i="18"/>
  <c r="V303" i="18"/>
  <c r="W303" i="18"/>
  <c r="U304" i="18"/>
  <c r="V304" i="18"/>
  <c r="W304" i="18"/>
  <c r="U305" i="18"/>
  <c r="V305" i="18"/>
  <c r="W305" i="18"/>
  <c r="U306" i="18"/>
  <c r="V306" i="18"/>
  <c r="W306" i="18"/>
  <c r="U307" i="18"/>
  <c r="V307" i="18"/>
  <c r="W307" i="18"/>
  <c r="U308" i="18"/>
  <c r="V308" i="18"/>
  <c r="W308" i="18"/>
  <c r="U309" i="18"/>
  <c r="V309" i="18"/>
  <c r="W309" i="18"/>
  <c r="U310" i="18"/>
  <c r="V310" i="18"/>
  <c r="W310" i="18"/>
  <c r="U311" i="18"/>
  <c r="V311" i="18"/>
  <c r="W311" i="18"/>
  <c r="U312" i="18"/>
  <c r="V312" i="18"/>
  <c r="W312" i="18"/>
  <c r="U313" i="18"/>
  <c r="V313" i="18"/>
  <c r="W313" i="18"/>
  <c r="U314" i="18"/>
  <c r="V314" i="18"/>
  <c r="W314" i="18"/>
  <c r="U315" i="18"/>
  <c r="V315" i="18"/>
  <c r="W315" i="18"/>
  <c r="U316" i="18"/>
  <c r="V316" i="18"/>
  <c r="W316" i="18"/>
  <c r="U317" i="18"/>
  <c r="V317" i="18"/>
  <c r="W317" i="18"/>
  <c r="U318" i="18"/>
  <c r="V318" i="18"/>
  <c r="W318" i="18"/>
  <c r="U319" i="18"/>
  <c r="V319" i="18"/>
  <c r="W319" i="18"/>
  <c r="U320" i="18"/>
  <c r="V320" i="18"/>
  <c r="W320" i="18"/>
  <c r="U321" i="18"/>
  <c r="V321" i="18"/>
  <c r="W321" i="18"/>
  <c r="U322" i="18"/>
  <c r="V322" i="18"/>
  <c r="W322" i="18"/>
  <c r="U323" i="18"/>
  <c r="V323" i="18"/>
  <c r="W323" i="18"/>
  <c r="U324" i="18"/>
  <c r="V324" i="18"/>
  <c r="W324" i="18"/>
  <c r="U325" i="18"/>
  <c r="V325" i="18"/>
  <c r="W325" i="18"/>
  <c r="U326" i="18"/>
  <c r="V326" i="18"/>
  <c r="W326" i="18"/>
  <c r="U327" i="18"/>
  <c r="V327" i="18"/>
  <c r="W327" i="18"/>
  <c r="U328" i="18"/>
  <c r="V328" i="18"/>
  <c r="W328" i="18"/>
  <c r="U329" i="18"/>
  <c r="V329" i="18"/>
  <c r="W329" i="18"/>
  <c r="U330" i="18"/>
  <c r="V330" i="18"/>
  <c r="W330" i="18"/>
  <c r="U331" i="18"/>
  <c r="V331" i="18"/>
  <c r="W331" i="18"/>
  <c r="U332" i="18"/>
  <c r="V332" i="18"/>
  <c r="W332" i="18"/>
  <c r="U333" i="18"/>
  <c r="V333" i="18"/>
  <c r="W333" i="18"/>
  <c r="U334" i="18"/>
  <c r="V334" i="18"/>
  <c r="W334" i="18"/>
  <c r="U335" i="18"/>
  <c r="V335" i="18"/>
  <c r="W335" i="18"/>
  <c r="U336" i="18"/>
  <c r="V336" i="18"/>
  <c r="W336" i="18"/>
  <c r="U337" i="18"/>
  <c r="V337" i="18"/>
  <c r="W337" i="18"/>
  <c r="U338" i="18"/>
  <c r="V338" i="18"/>
  <c r="W338" i="18"/>
  <c r="U339" i="18"/>
  <c r="V339" i="18"/>
  <c r="W339" i="18"/>
  <c r="U340" i="18"/>
  <c r="V340" i="18"/>
  <c r="W340" i="18"/>
  <c r="U341" i="18"/>
  <c r="V341" i="18"/>
  <c r="W341" i="18"/>
  <c r="U342" i="18"/>
  <c r="V342" i="18"/>
  <c r="W342" i="18"/>
  <c r="U343" i="18"/>
  <c r="V343" i="18"/>
  <c r="W343" i="18"/>
  <c r="U344" i="18"/>
  <c r="V344" i="18"/>
  <c r="W344" i="18"/>
  <c r="U345" i="18"/>
  <c r="V345" i="18"/>
  <c r="W345" i="18"/>
  <c r="U346" i="18"/>
  <c r="V346" i="18"/>
  <c r="W346" i="18"/>
  <c r="U347" i="18"/>
  <c r="V347" i="18"/>
  <c r="W347" i="18"/>
  <c r="U348" i="18"/>
  <c r="V348" i="18"/>
  <c r="W348" i="18"/>
  <c r="U349" i="18"/>
  <c r="V349" i="18"/>
  <c r="W349" i="18"/>
  <c r="U350" i="18"/>
  <c r="V350" i="18"/>
  <c r="W350" i="18"/>
  <c r="U351" i="18"/>
  <c r="V351" i="18"/>
  <c r="W351" i="18"/>
  <c r="U352" i="18"/>
  <c r="V352" i="18"/>
  <c r="W352" i="18"/>
  <c r="U353" i="18"/>
  <c r="V353" i="18"/>
  <c r="W353" i="18"/>
  <c r="U354" i="18"/>
  <c r="V354" i="18"/>
  <c r="W354" i="18"/>
  <c r="U355" i="18"/>
  <c r="V355" i="18"/>
  <c r="W355" i="18"/>
  <c r="U356" i="18"/>
  <c r="V356" i="18"/>
  <c r="W356" i="18"/>
  <c r="U357" i="18"/>
  <c r="V357" i="18"/>
  <c r="W357" i="18"/>
  <c r="U358" i="18"/>
  <c r="V358" i="18"/>
  <c r="W358" i="18"/>
  <c r="U359" i="18"/>
  <c r="V359" i="18"/>
  <c r="W359" i="18"/>
  <c r="U360" i="18"/>
  <c r="V360" i="18"/>
  <c r="W360" i="18"/>
  <c r="U361" i="18"/>
  <c r="V361" i="18"/>
  <c r="W361" i="18"/>
  <c r="U362" i="18"/>
  <c r="V362" i="18"/>
  <c r="W362" i="18"/>
  <c r="U363" i="18"/>
  <c r="V363" i="18"/>
  <c r="W363" i="18"/>
  <c r="U364" i="18"/>
  <c r="V364" i="18"/>
  <c r="W364" i="18"/>
  <c r="U365" i="18"/>
  <c r="V365" i="18"/>
  <c r="W365" i="18"/>
  <c r="U366" i="18"/>
  <c r="V366" i="18"/>
  <c r="W366" i="18"/>
  <c r="U367" i="18"/>
  <c r="V367" i="18"/>
  <c r="W367" i="18"/>
  <c r="U368" i="18"/>
  <c r="V368" i="18"/>
  <c r="W368" i="18"/>
  <c r="U369" i="18"/>
  <c r="V369" i="18"/>
  <c r="W369" i="18"/>
  <c r="U370" i="18"/>
  <c r="V370" i="18"/>
  <c r="W370" i="18"/>
  <c r="U371" i="18"/>
  <c r="V371" i="18"/>
  <c r="W371" i="18"/>
  <c r="U372" i="18"/>
  <c r="V372" i="18"/>
  <c r="W372" i="18"/>
  <c r="U373" i="18"/>
  <c r="V373" i="18"/>
  <c r="W373" i="18"/>
  <c r="U374" i="18"/>
  <c r="V374" i="18"/>
  <c r="W374" i="18"/>
  <c r="U375" i="18"/>
  <c r="V375" i="18"/>
  <c r="W375" i="18"/>
  <c r="U376" i="18"/>
  <c r="V376" i="18"/>
  <c r="W376" i="18"/>
  <c r="U377" i="18"/>
  <c r="V377" i="18"/>
  <c r="W377" i="18"/>
  <c r="U378" i="18"/>
  <c r="V378" i="18"/>
  <c r="W378" i="18"/>
  <c r="U379" i="18"/>
  <c r="V379" i="18"/>
  <c r="W379" i="18"/>
  <c r="U380" i="18"/>
  <c r="V380" i="18"/>
  <c r="W380" i="18"/>
  <c r="U381" i="18"/>
  <c r="V381" i="18"/>
  <c r="W381" i="18"/>
  <c r="U382" i="18"/>
  <c r="V382" i="18"/>
  <c r="W382" i="18"/>
  <c r="U383" i="18"/>
  <c r="V383" i="18"/>
  <c r="W383" i="18"/>
  <c r="U384" i="18"/>
  <c r="V384" i="18"/>
  <c r="W384" i="18"/>
  <c r="U385" i="18"/>
  <c r="V385" i="18"/>
  <c r="W385" i="18"/>
  <c r="U386" i="18"/>
  <c r="V386" i="18"/>
  <c r="W386" i="18"/>
  <c r="U387" i="18"/>
  <c r="V387" i="18"/>
  <c r="W387" i="18"/>
  <c r="U388" i="18"/>
  <c r="V388" i="18"/>
  <c r="W388" i="18"/>
  <c r="U389" i="18"/>
  <c r="V389" i="18"/>
  <c r="W389" i="18"/>
  <c r="U390" i="18"/>
  <c r="V390" i="18"/>
  <c r="W390" i="18"/>
  <c r="U391" i="18"/>
  <c r="V391" i="18"/>
  <c r="W391" i="18"/>
  <c r="U392" i="18"/>
  <c r="V392" i="18"/>
  <c r="W392" i="18"/>
  <c r="U393" i="18"/>
  <c r="V393" i="18"/>
  <c r="W393" i="18"/>
  <c r="U394" i="18"/>
  <c r="V394" i="18"/>
  <c r="W394" i="18"/>
  <c r="U395" i="18"/>
  <c r="V395" i="18"/>
  <c r="W395" i="18"/>
  <c r="U396" i="18"/>
  <c r="V396" i="18"/>
  <c r="W396" i="18"/>
  <c r="U397" i="18"/>
  <c r="V397" i="18"/>
  <c r="W397" i="18"/>
  <c r="U398" i="18"/>
  <c r="V398" i="18"/>
  <c r="W398" i="18"/>
  <c r="U399" i="18"/>
  <c r="V399" i="18"/>
  <c r="W399" i="18"/>
  <c r="U400" i="18"/>
  <c r="V400" i="18"/>
  <c r="W400" i="18"/>
  <c r="U401" i="18"/>
  <c r="V401" i="18"/>
  <c r="W401" i="18"/>
  <c r="U402" i="18"/>
  <c r="V402" i="18"/>
  <c r="W402" i="18"/>
  <c r="U403" i="18"/>
  <c r="V403" i="18"/>
  <c r="W403" i="18"/>
  <c r="U404" i="18"/>
  <c r="V404" i="18"/>
  <c r="W404" i="18"/>
  <c r="U405" i="18"/>
  <c r="V405" i="18"/>
  <c r="W405" i="18"/>
  <c r="U406" i="18"/>
  <c r="V406" i="18"/>
  <c r="W406" i="18"/>
  <c r="U407" i="18"/>
  <c r="V407" i="18"/>
  <c r="W407" i="18"/>
  <c r="U408" i="18"/>
  <c r="V408" i="18"/>
  <c r="W408" i="18"/>
  <c r="U409" i="18"/>
  <c r="V409" i="18"/>
  <c r="W409" i="18"/>
  <c r="U410" i="18"/>
  <c r="V410" i="18"/>
  <c r="W410" i="18"/>
  <c r="U411" i="18"/>
  <c r="V411" i="18"/>
  <c r="W411" i="18"/>
  <c r="U412" i="18"/>
  <c r="V412" i="18"/>
  <c r="W412" i="18"/>
  <c r="U413" i="18"/>
  <c r="V413" i="18"/>
  <c r="W413" i="18"/>
  <c r="U414" i="18"/>
  <c r="V414" i="18"/>
  <c r="W414" i="18"/>
  <c r="U415" i="18"/>
  <c r="V415" i="18"/>
  <c r="W415" i="18"/>
  <c r="U416" i="18"/>
  <c r="V416" i="18"/>
  <c r="W416" i="18"/>
  <c r="U417" i="18"/>
  <c r="V417" i="18"/>
  <c r="W417" i="18"/>
  <c r="U418" i="18"/>
  <c r="V418" i="18"/>
  <c r="W418" i="18"/>
  <c r="U419" i="18"/>
  <c r="V419" i="18"/>
  <c r="W419" i="18"/>
  <c r="U420" i="18"/>
  <c r="V420" i="18"/>
  <c r="W420" i="18"/>
  <c r="U421" i="18"/>
  <c r="V421" i="18"/>
  <c r="W421" i="18"/>
  <c r="U422" i="18"/>
  <c r="V422" i="18"/>
  <c r="W422" i="18"/>
  <c r="U423" i="18"/>
  <c r="V423" i="18"/>
  <c r="W423" i="18"/>
  <c r="U424" i="18"/>
  <c r="V424" i="18"/>
  <c r="W424" i="18"/>
  <c r="U425" i="18"/>
  <c r="V425" i="18"/>
  <c r="W425" i="18"/>
  <c r="U426" i="18"/>
  <c r="V426" i="18"/>
  <c r="W426" i="18"/>
  <c r="U427" i="18"/>
  <c r="V427" i="18"/>
  <c r="W427" i="18"/>
  <c r="U428" i="18"/>
  <c r="V428" i="18"/>
  <c r="W428" i="18"/>
  <c r="U429" i="18"/>
  <c r="V429" i="18"/>
  <c r="W429" i="18"/>
  <c r="U430" i="18"/>
  <c r="V430" i="18"/>
  <c r="W430" i="18"/>
  <c r="U431" i="18"/>
  <c r="V431" i="18"/>
  <c r="W431" i="18"/>
  <c r="U432" i="18"/>
  <c r="V432" i="18"/>
  <c r="W432" i="18"/>
  <c r="U433" i="18"/>
  <c r="V433" i="18"/>
  <c r="W433" i="18"/>
  <c r="U434" i="18"/>
  <c r="V434" i="18"/>
  <c r="W434" i="18"/>
  <c r="U435" i="18"/>
  <c r="V435" i="18"/>
  <c r="W435" i="18"/>
  <c r="U436" i="18"/>
  <c r="V436" i="18"/>
  <c r="W436" i="18"/>
  <c r="U437" i="18"/>
  <c r="V437" i="18"/>
  <c r="W437" i="18"/>
  <c r="U438" i="18"/>
  <c r="V438" i="18"/>
  <c r="W438" i="18"/>
  <c r="U439" i="18"/>
  <c r="V439" i="18"/>
  <c r="W439" i="18"/>
  <c r="U440" i="18"/>
  <c r="V440" i="18"/>
  <c r="W440" i="18"/>
  <c r="U441" i="18"/>
  <c r="V441" i="18"/>
  <c r="W441" i="18"/>
  <c r="U442" i="18"/>
  <c r="V442" i="18"/>
  <c r="W442" i="18"/>
  <c r="U443" i="18"/>
  <c r="V443" i="18"/>
  <c r="W443" i="18"/>
  <c r="U444" i="18"/>
  <c r="V444" i="18"/>
  <c r="W444" i="18"/>
  <c r="U445" i="18"/>
  <c r="V445" i="18"/>
  <c r="W445" i="18"/>
  <c r="U446" i="18"/>
  <c r="V446" i="18"/>
  <c r="W446" i="18"/>
  <c r="U447" i="18"/>
  <c r="V447" i="18"/>
  <c r="W447" i="18"/>
  <c r="U448" i="18"/>
  <c r="V448" i="18"/>
  <c r="W448" i="18"/>
  <c r="U449" i="18"/>
  <c r="V449" i="18"/>
  <c r="W449" i="18"/>
  <c r="U450" i="18"/>
  <c r="V450" i="18"/>
  <c r="W450" i="18"/>
  <c r="U451" i="18"/>
  <c r="V451" i="18"/>
  <c r="W451" i="18"/>
  <c r="U452" i="18"/>
  <c r="V452" i="18"/>
  <c r="W452" i="18"/>
  <c r="U453" i="18"/>
  <c r="V453" i="18"/>
  <c r="W453" i="18"/>
  <c r="U454" i="18"/>
  <c r="V454" i="18"/>
  <c r="W454" i="18"/>
  <c r="U455" i="18"/>
  <c r="V455" i="18"/>
  <c r="W455" i="18"/>
  <c r="U456" i="18"/>
  <c r="V456" i="18"/>
  <c r="W456" i="18"/>
  <c r="U457" i="18"/>
  <c r="V457" i="18"/>
  <c r="W457" i="18"/>
  <c r="U458" i="18"/>
  <c r="V458" i="18"/>
  <c r="W458" i="18"/>
  <c r="U459" i="18"/>
  <c r="V459" i="18"/>
  <c r="W459" i="18"/>
  <c r="U460" i="18"/>
  <c r="V460" i="18"/>
  <c r="W460" i="18"/>
  <c r="U461" i="18"/>
  <c r="V461" i="18"/>
  <c r="W461" i="18"/>
  <c r="U462" i="18"/>
  <c r="V462" i="18"/>
  <c r="W462" i="18"/>
  <c r="U463" i="18"/>
  <c r="V463" i="18"/>
  <c r="W463" i="18"/>
  <c r="U464" i="18"/>
  <c r="V464" i="18"/>
  <c r="W464" i="18"/>
  <c r="U465" i="18"/>
  <c r="V465" i="18"/>
  <c r="W465" i="18"/>
  <c r="U466" i="18"/>
  <c r="V466" i="18"/>
  <c r="W466" i="18"/>
  <c r="U467" i="18"/>
  <c r="V467" i="18"/>
  <c r="W467" i="18"/>
  <c r="U468" i="18"/>
  <c r="V468" i="18"/>
  <c r="W468" i="18"/>
  <c r="U469" i="18"/>
  <c r="V469" i="18"/>
  <c r="W469" i="18"/>
  <c r="U470" i="18"/>
  <c r="V470" i="18"/>
  <c r="W470" i="18"/>
  <c r="U471" i="18"/>
  <c r="V471" i="18"/>
  <c r="W471" i="18"/>
  <c r="U472" i="18"/>
  <c r="V472" i="18"/>
  <c r="W472" i="18"/>
  <c r="U473" i="18"/>
  <c r="V473" i="18"/>
  <c r="W473" i="18"/>
  <c r="U474" i="18"/>
  <c r="V474" i="18"/>
  <c r="W474" i="18"/>
  <c r="U475" i="18"/>
  <c r="V475" i="18"/>
  <c r="W475" i="18"/>
  <c r="U476" i="18"/>
  <c r="V476" i="18"/>
  <c r="W476" i="18"/>
  <c r="U477" i="18"/>
  <c r="V477" i="18"/>
  <c r="W477" i="18"/>
  <c r="U478" i="18"/>
  <c r="V478" i="18"/>
  <c r="W478" i="18"/>
  <c r="U479" i="18"/>
  <c r="V479" i="18"/>
  <c r="W479" i="18"/>
  <c r="U480" i="18"/>
  <c r="V480" i="18"/>
  <c r="W480" i="18"/>
  <c r="U481" i="18"/>
  <c r="V481" i="18"/>
  <c r="W481" i="18"/>
  <c r="U482" i="18"/>
  <c r="V482" i="18"/>
  <c r="W482" i="18"/>
  <c r="U483" i="18"/>
  <c r="V483" i="18"/>
  <c r="W483" i="18"/>
  <c r="U484" i="18"/>
  <c r="V484" i="18"/>
  <c r="W484" i="18"/>
  <c r="U485" i="18"/>
  <c r="V485" i="18"/>
  <c r="W485" i="18"/>
  <c r="U486" i="18"/>
  <c r="V486" i="18"/>
  <c r="W486" i="18"/>
  <c r="U487" i="18"/>
  <c r="V487" i="18"/>
  <c r="W487" i="18"/>
  <c r="U488" i="18"/>
  <c r="V488" i="18"/>
  <c r="W488" i="18"/>
  <c r="U489" i="18"/>
  <c r="V489" i="18"/>
  <c r="W489" i="18"/>
  <c r="U490" i="18"/>
  <c r="V490" i="18"/>
  <c r="W490" i="18"/>
  <c r="U491" i="18"/>
  <c r="V491" i="18"/>
  <c r="W491" i="18"/>
  <c r="U492" i="18"/>
  <c r="V492" i="18"/>
  <c r="W492" i="18"/>
  <c r="U493" i="18"/>
  <c r="V493" i="18"/>
  <c r="W493" i="18"/>
  <c r="U494" i="18"/>
  <c r="V494" i="18"/>
  <c r="W494" i="18"/>
  <c r="U495" i="18"/>
  <c r="V495" i="18"/>
  <c r="W495" i="18"/>
  <c r="U496" i="18"/>
  <c r="V496" i="18"/>
  <c r="W496" i="18"/>
  <c r="U497" i="18"/>
  <c r="V497" i="18"/>
  <c r="W497" i="18"/>
  <c r="U498" i="18"/>
  <c r="V498" i="18"/>
  <c r="W498" i="18"/>
  <c r="U499" i="18"/>
  <c r="V499" i="18"/>
  <c r="W499" i="18"/>
  <c r="U500" i="18"/>
  <c r="V500" i="18"/>
  <c r="W500" i="18"/>
  <c r="U501" i="18"/>
  <c r="V501" i="18"/>
  <c r="W501" i="18"/>
  <c r="U502" i="18"/>
  <c r="V502" i="18"/>
  <c r="W502" i="18"/>
  <c r="U503" i="18"/>
  <c r="V503" i="18"/>
  <c r="W503" i="18"/>
  <c r="U504" i="18"/>
  <c r="V504" i="18"/>
  <c r="W504" i="18"/>
  <c r="U505" i="18"/>
  <c r="V505" i="18"/>
  <c r="W505" i="18"/>
  <c r="U506" i="18"/>
  <c r="V506" i="18"/>
  <c r="W506" i="18"/>
  <c r="U507" i="18"/>
  <c r="V507" i="18"/>
  <c r="W507" i="18"/>
  <c r="U508" i="18"/>
  <c r="V508" i="18"/>
  <c r="W508" i="18"/>
  <c r="U509" i="18"/>
  <c r="V509" i="18"/>
  <c r="W509" i="18"/>
  <c r="U510" i="18"/>
  <c r="V510" i="18"/>
  <c r="W510" i="18"/>
  <c r="U511" i="18"/>
  <c r="V511" i="18"/>
  <c r="W511" i="18"/>
  <c r="U512" i="18"/>
  <c r="V512" i="18"/>
  <c r="W512" i="18"/>
  <c r="U513" i="18"/>
  <c r="V513" i="18"/>
  <c r="W513" i="18"/>
  <c r="U514" i="18"/>
  <c r="V514" i="18"/>
  <c r="W514" i="18"/>
  <c r="U515" i="18"/>
  <c r="V515" i="18"/>
  <c r="W515" i="18"/>
  <c r="U516" i="18"/>
  <c r="V516" i="18"/>
  <c r="W516" i="18"/>
  <c r="U517" i="18"/>
  <c r="V517" i="18"/>
  <c r="W517" i="18"/>
  <c r="U518" i="18"/>
  <c r="V518" i="18"/>
  <c r="W518" i="18"/>
  <c r="U519" i="18"/>
  <c r="V519" i="18"/>
  <c r="W519" i="18"/>
  <c r="U520" i="18"/>
  <c r="V520" i="18"/>
  <c r="W520" i="18"/>
  <c r="U521" i="18"/>
  <c r="V521" i="18"/>
  <c r="W521" i="18"/>
  <c r="U522" i="18"/>
  <c r="V522" i="18"/>
  <c r="W522" i="18"/>
  <c r="U523" i="18"/>
  <c r="V523" i="18"/>
  <c r="W523" i="18"/>
  <c r="U524" i="18"/>
  <c r="V524" i="18"/>
  <c r="W524" i="18"/>
  <c r="U525" i="18"/>
  <c r="V525" i="18"/>
  <c r="W525" i="18"/>
  <c r="U526" i="18"/>
  <c r="V526" i="18"/>
  <c r="W526" i="18"/>
  <c r="U527" i="18"/>
  <c r="V527" i="18"/>
  <c r="W527" i="18"/>
  <c r="U528" i="18"/>
  <c r="V528" i="18"/>
  <c r="W528" i="18"/>
  <c r="U529" i="18"/>
  <c r="V529" i="18"/>
  <c r="W529" i="18"/>
  <c r="U530" i="18"/>
  <c r="V530" i="18"/>
  <c r="W530" i="18"/>
  <c r="U531" i="18"/>
  <c r="V531" i="18"/>
  <c r="W531" i="18"/>
  <c r="U532" i="18"/>
  <c r="V532" i="18"/>
  <c r="W532" i="18"/>
  <c r="U533" i="18"/>
  <c r="V533" i="18"/>
  <c r="W533" i="18"/>
  <c r="U534" i="18"/>
  <c r="V534" i="18"/>
  <c r="W534" i="18"/>
  <c r="U535" i="18"/>
  <c r="V535" i="18"/>
  <c r="W535" i="18"/>
  <c r="U536" i="18"/>
  <c r="V536" i="18"/>
  <c r="W536" i="18"/>
  <c r="U537" i="18"/>
  <c r="V537" i="18"/>
  <c r="W537" i="18"/>
  <c r="U538" i="18"/>
  <c r="V538" i="18"/>
  <c r="W538" i="18"/>
  <c r="U539" i="18"/>
  <c r="V539" i="18"/>
  <c r="W539" i="18"/>
  <c r="U540" i="18"/>
  <c r="V540" i="18"/>
  <c r="W540" i="18"/>
  <c r="U541" i="18"/>
  <c r="V541" i="18"/>
  <c r="W541" i="18"/>
  <c r="U542" i="18"/>
  <c r="V542" i="18"/>
  <c r="W542" i="18"/>
  <c r="U543" i="18"/>
  <c r="V543" i="18"/>
  <c r="W543" i="18"/>
  <c r="U544" i="18"/>
  <c r="V544" i="18"/>
  <c r="W544" i="18"/>
  <c r="U545" i="18"/>
  <c r="V545" i="18"/>
  <c r="W545" i="18"/>
  <c r="U546" i="18"/>
  <c r="V546" i="18"/>
  <c r="W546" i="18"/>
  <c r="U547" i="18"/>
  <c r="V547" i="18"/>
  <c r="W547" i="18"/>
  <c r="U548" i="18"/>
  <c r="V548" i="18"/>
  <c r="W548" i="18"/>
  <c r="U549" i="18"/>
  <c r="V549" i="18"/>
  <c r="W549" i="18"/>
  <c r="U550" i="18"/>
  <c r="V550" i="18"/>
  <c r="W550" i="18"/>
  <c r="U551" i="18"/>
  <c r="V551" i="18"/>
  <c r="W551" i="18"/>
  <c r="U552" i="18"/>
  <c r="V552" i="18"/>
  <c r="W552" i="18"/>
  <c r="U553" i="18"/>
  <c r="V553" i="18"/>
  <c r="W553" i="18"/>
  <c r="U554" i="18"/>
  <c r="V554" i="18"/>
  <c r="W554" i="18"/>
  <c r="U555" i="18"/>
  <c r="V555" i="18"/>
  <c r="W555" i="18"/>
  <c r="U556" i="18"/>
  <c r="V556" i="18"/>
  <c r="W556" i="18"/>
  <c r="U557" i="18"/>
  <c r="V557" i="18"/>
  <c r="W557" i="18"/>
  <c r="U558" i="18"/>
  <c r="V558" i="18"/>
  <c r="W558" i="18"/>
  <c r="U559" i="18"/>
  <c r="V559" i="18"/>
  <c r="W559" i="18"/>
  <c r="U560" i="18"/>
  <c r="V560" i="18"/>
  <c r="W560" i="18"/>
  <c r="U561" i="18"/>
  <c r="V561" i="18"/>
  <c r="W561" i="18"/>
  <c r="U562" i="18"/>
  <c r="V562" i="18"/>
  <c r="W562" i="18"/>
  <c r="U563" i="18"/>
  <c r="V563" i="18"/>
  <c r="W563" i="18"/>
  <c r="U564" i="18"/>
  <c r="V564" i="18"/>
  <c r="W564" i="18"/>
  <c r="U565" i="18"/>
  <c r="V565" i="18"/>
  <c r="W565" i="18"/>
  <c r="U566" i="18"/>
  <c r="V566" i="18"/>
  <c r="W566" i="18"/>
  <c r="U567" i="18"/>
  <c r="V567" i="18"/>
  <c r="W567" i="18"/>
  <c r="U568" i="18"/>
  <c r="V568" i="18"/>
  <c r="W568" i="18"/>
  <c r="U569" i="18"/>
  <c r="V569" i="18"/>
  <c r="W569" i="18"/>
  <c r="U570" i="18"/>
  <c r="V570" i="18"/>
  <c r="W570" i="18"/>
  <c r="U571" i="18"/>
  <c r="V571" i="18"/>
  <c r="W571" i="18"/>
  <c r="U572" i="18"/>
  <c r="V572" i="18"/>
  <c r="W572" i="18"/>
  <c r="U573" i="18"/>
  <c r="V573" i="18"/>
  <c r="W573" i="18"/>
  <c r="U574" i="18"/>
  <c r="V574" i="18"/>
  <c r="W574" i="18"/>
  <c r="U575" i="18"/>
  <c r="V575" i="18"/>
  <c r="W575" i="18"/>
  <c r="U576" i="18"/>
  <c r="V576" i="18"/>
  <c r="W576" i="18"/>
  <c r="U577" i="18"/>
  <c r="V577" i="18"/>
  <c r="W577" i="18"/>
  <c r="U578" i="18"/>
  <c r="V578" i="18"/>
  <c r="W578" i="18"/>
  <c r="U579" i="18"/>
  <c r="V579" i="18"/>
  <c r="W579" i="18"/>
  <c r="U580" i="18"/>
  <c r="V580" i="18"/>
  <c r="W580" i="18"/>
  <c r="U581" i="18"/>
  <c r="V581" i="18"/>
  <c r="W581" i="18"/>
  <c r="U582" i="18"/>
  <c r="V582" i="18"/>
  <c r="W582" i="18"/>
  <c r="U583" i="18"/>
  <c r="V583" i="18"/>
  <c r="W583" i="18"/>
  <c r="U584" i="18"/>
  <c r="V584" i="18"/>
  <c r="W584" i="18"/>
  <c r="U585" i="18"/>
  <c r="V585" i="18"/>
  <c r="W585" i="18"/>
  <c r="U586" i="18"/>
  <c r="V586" i="18"/>
  <c r="W586" i="18"/>
  <c r="U587" i="18"/>
  <c r="V587" i="18"/>
  <c r="W587" i="18"/>
  <c r="U588" i="18"/>
  <c r="V588" i="18"/>
  <c r="W588" i="18"/>
  <c r="U589" i="18"/>
  <c r="V589" i="18"/>
  <c r="W589" i="18"/>
  <c r="U590" i="18"/>
  <c r="V590" i="18"/>
  <c r="W590" i="18"/>
  <c r="U591" i="18"/>
  <c r="V591" i="18"/>
  <c r="W591" i="18"/>
  <c r="U592" i="18"/>
  <c r="V592" i="18"/>
  <c r="W592" i="18"/>
  <c r="U593" i="18"/>
  <c r="V593" i="18"/>
  <c r="W593" i="18"/>
  <c r="U594" i="18"/>
  <c r="V594" i="18"/>
  <c r="W594" i="18"/>
  <c r="U595" i="18"/>
  <c r="V595" i="18"/>
  <c r="W595" i="18"/>
  <c r="U596" i="18"/>
  <c r="V596" i="18"/>
  <c r="W596" i="18"/>
  <c r="U597" i="18"/>
  <c r="V597" i="18"/>
  <c r="W597" i="18"/>
  <c r="U598" i="18"/>
  <c r="V598" i="18"/>
  <c r="W598" i="18"/>
  <c r="U599" i="18"/>
  <c r="V599" i="18"/>
  <c r="W599" i="18"/>
  <c r="U600" i="18"/>
  <c r="V600" i="18"/>
  <c r="W600" i="18"/>
  <c r="U601" i="18"/>
  <c r="V601" i="18"/>
  <c r="W601" i="18"/>
  <c r="U602" i="18"/>
  <c r="V602" i="18"/>
  <c r="W602" i="18"/>
  <c r="U603" i="18"/>
  <c r="V603" i="18"/>
  <c r="W603" i="18"/>
  <c r="U604" i="18"/>
  <c r="V604" i="18"/>
  <c r="W604" i="18"/>
  <c r="U605" i="18"/>
  <c r="V605" i="18"/>
  <c r="W605" i="18"/>
  <c r="U606" i="18"/>
  <c r="V606" i="18"/>
  <c r="W606" i="18"/>
  <c r="U607" i="18"/>
  <c r="V607" i="18"/>
  <c r="W607" i="18"/>
  <c r="U608" i="18"/>
  <c r="V608" i="18"/>
  <c r="W608" i="18"/>
  <c r="U609" i="18"/>
  <c r="V609" i="18"/>
  <c r="W609" i="18"/>
  <c r="U610" i="18"/>
  <c r="V610" i="18"/>
  <c r="W610" i="18"/>
  <c r="U611" i="18"/>
  <c r="V611" i="18"/>
  <c r="W611" i="18"/>
  <c r="U612" i="18"/>
  <c r="V612" i="18"/>
  <c r="W612" i="18"/>
  <c r="U613" i="18"/>
  <c r="V613" i="18"/>
  <c r="W613" i="18"/>
  <c r="U614" i="18"/>
  <c r="V614" i="18"/>
  <c r="W614" i="18"/>
  <c r="U615" i="18"/>
  <c r="V615" i="18"/>
  <c r="W615" i="18"/>
  <c r="U616" i="18"/>
  <c r="V616" i="18"/>
  <c r="W616" i="18"/>
  <c r="U617" i="18"/>
  <c r="V617" i="18"/>
  <c r="W617" i="18"/>
  <c r="U618" i="18"/>
  <c r="V618" i="18"/>
  <c r="W618" i="18"/>
  <c r="U619" i="18"/>
  <c r="V619" i="18"/>
  <c r="W619" i="18"/>
  <c r="U620" i="18"/>
  <c r="V620" i="18"/>
  <c r="W620" i="18"/>
  <c r="U621" i="18"/>
  <c r="V621" i="18"/>
  <c r="W621" i="18"/>
  <c r="U622" i="18"/>
  <c r="V622" i="18"/>
  <c r="W622" i="18"/>
  <c r="U623" i="18"/>
  <c r="V623" i="18"/>
  <c r="W623" i="18"/>
  <c r="U624" i="18"/>
  <c r="V624" i="18"/>
  <c r="W624" i="18"/>
  <c r="U625" i="18"/>
  <c r="V625" i="18"/>
  <c r="W625" i="18"/>
  <c r="U626" i="18"/>
  <c r="V626" i="18"/>
  <c r="W626" i="18"/>
  <c r="U627" i="18"/>
  <c r="V627" i="18"/>
  <c r="W627" i="18"/>
  <c r="U628" i="18"/>
  <c r="V628" i="18"/>
  <c r="W628" i="18"/>
  <c r="U629" i="18"/>
  <c r="V629" i="18"/>
  <c r="W629" i="18"/>
  <c r="U630" i="18"/>
  <c r="V630" i="18"/>
  <c r="W630" i="18"/>
  <c r="U631" i="18"/>
  <c r="V631" i="18"/>
  <c r="W631" i="18"/>
  <c r="U632" i="18"/>
  <c r="V632" i="18"/>
  <c r="W632" i="18"/>
  <c r="U633" i="18"/>
  <c r="V633" i="18"/>
  <c r="W633" i="18"/>
  <c r="U634" i="18"/>
  <c r="V634" i="18"/>
  <c r="W634" i="18"/>
  <c r="U635" i="18"/>
  <c r="V635" i="18"/>
  <c r="W635" i="18"/>
  <c r="U636" i="18"/>
  <c r="V636" i="18"/>
  <c r="W636" i="18"/>
  <c r="U637" i="18"/>
  <c r="V637" i="18"/>
  <c r="W637" i="18"/>
  <c r="U638" i="18"/>
  <c r="V638" i="18"/>
  <c r="W638" i="18"/>
  <c r="U639" i="18"/>
  <c r="V639" i="18"/>
  <c r="W639" i="18"/>
  <c r="U640" i="18"/>
  <c r="V640" i="18"/>
  <c r="W640" i="18"/>
  <c r="U641" i="18"/>
  <c r="V641" i="18"/>
  <c r="W641" i="18"/>
  <c r="U642" i="18"/>
  <c r="V642" i="18"/>
  <c r="W642" i="18"/>
  <c r="U643" i="18"/>
  <c r="V643" i="18"/>
  <c r="W643" i="18"/>
  <c r="U644" i="18"/>
  <c r="V644" i="18"/>
  <c r="W644" i="18"/>
  <c r="U645" i="18"/>
  <c r="V645" i="18"/>
  <c r="W645" i="18"/>
  <c r="U646" i="18"/>
  <c r="V646" i="18"/>
  <c r="W646" i="18"/>
  <c r="U647" i="18"/>
  <c r="V647" i="18"/>
  <c r="W647" i="18"/>
  <c r="U648" i="18"/>
  <c r="V648" i="18"/>
  <c r="W648" i="18"/>
  <c r="U649" i="18"/>
  <c r="V649" i="18"/>
  <c r="W649" i="18"/>
  <c r="U650" i="18"/>
  <c r="V650" i="18"/>
  <c r="W650" i="18"/>
  <c r="U651" i="18"/>
  <c r="V651" i="18"/>
  <c r="W651" i="18"/>
  <c r="U652" i="18"/>
  <c r="V652" i="18"/>
  <c r="W652" i="18"/>
  <c r="U653" i="18"/>
  <c r="V653" i="18"/>
  <c r="W653" i="18"/>
  <c r="U654" i="18"/>
  <c r="V654" i="18"/>
  <c r="W654" i="18"/>
  <c r="U655" i="18"/>
  <c r="V655" i="18"/>
  <c r="W655" i="18"/>
  <c r="U656" i="18"/>
  <c r="V656" i="18"/>
  <c r="W656" i="18"/>
  <c r="U657" i="18"/>
  <c r="V657" i="18"/>
  <c r="W657" i="18"/>
  <c r="U658" i="18"/>
  <c r="V658" i="18"/>
  <c r="W658" i="18"/>
  <c r="U659" i="18"/>
  <c r="V659" i="18"/>
  <c r="W659" i="18"/>
  <c r="U660" i="18"/>
  <c r="V660" i="18"/>
  <c r="W660" i="18"/>
  <c r="U661" i="18"/>
  <c r="V661" i="18"/>
  <c r="W661" i="18"/>
  <c r="U662" i="18"/>
  <c r="V662" i="18"/>
  <c r="W662" i="18"/>
  <c r="U663" i="18"/>
  <c r="V663" i="18"/>
  <c r="W663" i="18"/>
  <c r="U664" i="18"/>
  <c r="V664" i="18"/>
  <c r="W664" i="18"/>
  <c r="U665" i="18"/>
  <c r="V665" i="18"/>
  <c r="W665" i="18"/>
  <c r="U666" i="18"/>
  <c r="V666" i="18"/>
  <c r="W666" i="18"/>
  <c r="U667" i="18"/>
  <c r="V667" i="18"/>
  <c r="W667" i="18"/>
  <c r="U668" i="18"/>
  <c r="V668" i="18"/>
  <c r="W668" i="18"/>
  <c r="U669" i="18"/>
  <c r="V669" i="18"/>
  <c r="W669" i="18"/>
  <c r="U670" i="18"/>
  <c r="V670" i="18"/>
  <c r="W670" i="18"/>
  <c r="U671" i="18"/>
  <c r="V671" i="18"/>
  <c r="W671" i="18"/>
  <c r="U672" i="18"/>
  <c r="V672" i="18"/>
  <c r="W672" i="18"/>
  <c r="U673" i="18"/>
  <c r="V673" i="18"/>
  <c r="W673" i="18"/>
  <c r="U674" i="18"/>
  <c r="V674" i="18"/>
  <c r="W674" i="18"/>
  <c r="U675" i="18"/>
  <c r="V675" i="18"/>
  <c r="W675" i="18"/>
  <c r="U676" i="18"/>
  <c r="V676" i="18"/>
  <c r="W676" i="18"/>
  <c r="U677" i="18"/>
  <c r="V677" i="18"/>
  <c r="W677" i="18"/>
  <c r="U678" i="18"/>
  <c r="V678" i="18"/>
  <c r="W678" i="18"/>
  <c r="U679" i="18"/>
  <c r="V679" i="18"/>
  <c r="W679" i="18"/>
  <c r="U680" i="18"/>
  <c r="V680" i="18"/>
  <c r="W680" i="18"/>
  <c r="U681" i="18"/>
  <c r="V681" i="18"/>
  <c r="W681" i="18"/>
  <c r="U682" i="18"/>
  <c r="V682" i="18"/>
  <c r="W682" i="18"/>
  <c r="U683" i="18"/>
  <c r="V683" i="18"/>
  <c r="W683" i="18"/>
  <c r="U684" i="18"/>
  <c r="V684" i="18"/>
  <c r="W684" i="18"/>
  <c r="U685" i="18"/>
  <c r="V685" i="18"/>
  <c r="W685" i="18"/>
  <c r="U686" i="18"/>
  <c r="V686" i="18"/>
  <c r="W686" i="18"/>
  <c r="U687" i="18"/>
  <c r="V687" i="18"/>
  <c r="W687" i="18"/>
  <c r="U688" i="18"/>
  <c r="V688" i="18"/>
  <c r="W688" i="18"/>
  <c r="U689" i="18"/>
  <c r="V689" i="18"/>
  <c r="W689" i="18"/>
  <c r="U690" i="18"/>
  <c r="V690" i="18"/>
  <c r="W690" i="18"/>
  <c r="U691" i="18"/>
  <c r="V691" i="18"/>
  <c r="W691" i="18"/>
  <c r="U692" i="18"/>
  <c r="V692" i="18"/>
  <c r="W692" i="18"/>
  <c r="U693" i="18"/>
  <c r="V693" i="18"/>
  <c r="W693" i="18"/>
  <c r="U694" i="18"/>
  <c r="V694" i="18"/>
  <c r="W694" i="18"/>
  <c r="U695" i="18"/>
  <c r="V695" i="18"/>
  <c r="W695" i="18"/>
  <c r="U696" i="18"/>
  <c r="V696" i="18"/>
  <c r="W696" i="18"/>
  <c r="U697" i="18"/>
  <c r="V697" i="18"/>
  <c r="W697" i="18"/>
  <c r="U698" i="18"/>
  <c r="V698" i="18"/>
  <c r="W698" i="18"/>
  <c r="U699" i="18"/>
  <c r="V699" i="18"/>
  <c r="W699" i="18"/>
  <c r="U700" i="18"/>
  <c r="V700" i="18"/>
  <c r="W700" i="18"/>
  <c r="U701" i="18"/>
  <c r="V701" i="18"/>
  <c r="W701" i="18"/>
  <c r="U702" i="18"/>
  <c r="V702" i="18"/>
  <c r="W702" i="18"/>
  <c r="U703" i="18"/>
  <c r="V703" i="18"/>
  <c r="W703" i="18"/>
  <c r="U704" i="18"/>
  <c r="V704" i="18"/>
  <c r="W704" i="18"/>
  <c r="U705" i="18"/>
  <c r="V705" i="18"/>
  <c r="W705" i="18"/>
  <c r="U706" i="18"/>
  <c r="V706" i="18"/>
  <c r="W706" i="18"/>
  <c r="U707" i="18"/>
  <c r="V707" i="18"/>
  <c r="W707" i="18"/>
  <c r="U708" i="18"/>
  <c r="V708" i="18"/>
  <c r="W708" i="18"/>
  <c r="U709" i="18"/>
  <c r="V709" i="18"/>
  <c r="W709" i="18"/>
  <c r="U710" i="18"/>
  <c r="V710" i="18"/>
  <c r="W710" i="18"/>
  <c r="U711" i="18"/>
  <c r="V711" i="18"/>
  <c r="W711" i="18"/>
  <c r="U712" i="18"/>
  <c r="V712" i="18"/>
  <c r="W712" i="18"/>
  <c r="U713" i="18"/>
  <c r="V713" i="18"/>
  <c r="W713" i="18"/>
  <c r="U714" i="18"/>
  <c r="V714" i="18"/>
  <c r="W714" i="18"/>
  <c r="U715" i="18"/>
  <c r="V715" i="18"/>
  <c r="W715" i="18"/>
  <c r="U716" i="18"/>
  <c r="V716" i="18"/>
  <c r="W716" i="18"/>
  <c r="U717" i="18"/>
  <c r="V717" i="18"/>
  <c r="W717" i="18"/>
  <c r="U718" i="18"/>
  <c r="V718" i="18"/>
  <c r="W718" i="18"/>
  <c r="U719" i="18"/>
  <c r="V719" i="18"/>
  <c r="W719" i="18"/>
  <c r="U720" i="18"/>
  <c r="V720" i="18"/>
  <c r="W720" i="18"/>
  <c r="U721" i="18"/>
  <c r="V721" i="18"/>
  <c r="W721" i="18"/>
  <c r="U722" i="18"/>
  <c r="V722" i="18"/>
  <c r="W722" i="18"/>
  <c r="U723" i="18"/>
  <c r="V723" i="18"/>
  <c r="W723" i="18"/>
  <c r="U724" i="18"/>
  <c r="V724" i="18"/>
  <c r="W724" i="18"/>
  <c r="U725" i="18"/>
  <c r="V725" i="18"/>
  <c r="W725" i="18"/>
  <c r="U726" i="18"/>
  <c r="V726" i="18"/>
  <c r="W726" i="18"/>
  <c r="U727" i="18"/>
  <c r="V727" i="18"/>
  <c r="W727" i="18"/>
  <c r="U728" i="18"/>
  <c r="V728" i="18"/>
  <c r="W728" i="18"/>
  <c r="U729" i="18"/>
  <c r="V729" i="18"/>
  <c r="W729" i="18"/>
  <c r="U730" i="18"/>
  <c r="V730" i="18"/>
  <c r="W730" i="18"/>
  <c r="U731" i="18"/>
  <c r="V731" i="18"/>
  <c r="W731" i="18"/>
  <c r="U732" i="18"/>
  <c r="V732" i="18"/>
  <c r="W732" i="18"/>
  <c r="U733" i="18"/>
  <c r="V733" i="18"/>
  <c r="W733" i="18"/>
  <c r="U734" i="18"/>
  <c r="V734" i="18"/>
  <c r="W734" i="18"/>
  <c r="U735" i="18"/>
  <c r="V735" i="18"/>
  <c r="W735" i="18"/>
  <c r="U736" i="18"/>
  <c r="V736" i="18"/>
  <c r="W736" i="18"/>
  <c r="U737" i="18"/>
  <c r="V737" i="18"/>
  <c r="W737" i="18"/>
  <c r="U738" i="18"/>
  <c r="V738" i="18"/>
  <c r="W738" i="18"/>
  <c r="U739" i="18"/>
  <c r="V739" i="18"/>
  <c r="W739" i="18"/>
  <c r="U740" i="18"/>
  <c r="V740" i="18"/>
  <c r="W740" i="18"/>
  <c r="U741" i="18"/>
  <c r="V741" i="18"/>
  <c r="W741" i="18"/>
  <c r="U742" i="18"/>
  <c r="V742" i="18"/>
  <c r="W742" i="18"/>
  <c r="U743" i="18"/>
  <c r="V743" i="18"/>
  <c r="W743" i="18"/>
  <c r="U744" i="18"/>
  <c r="V744" i="18"/>
  <c r="W744" i="18"/>
  <c r="U745" i="18"/>
  <c r="V745" i="18"/>
  <c r="W745" i="18"/>
  <c r="U746" i="18"/>
  <c r="V746" i="18"/>
  <c r="W746" i="18"/>
  <c r="U747" i="18"/>
  <c r="V747" i="18"/>
  <c r="W747" i="18"/>
  <c r="U748" i="18"/>
  <c r="V748" i="18"/>
  <c r="W748" i="18"/>
  <c r="U749" i="18"/>
  <c r="V749" i="18"/>
  <c r="W749" i="18"/>
  <c r="U750" i="18"/>
  <c r="V750" i="18"/>
  <c r="W750" i="18"/>
  <c r="U751" i="18"/>
  <c r="V751" i="18"/>
  <c r="W751" i="18"/>
  <c r="U752" i="18"/>
  <c r="V752" i="18"/>
  <c r="W752" i="18"/>
  <c r="U753" i="18"/>
  <c r="V753" i="18"/>
  <c r="W753" i="18"/>
  <c r="U754" i="18"/>
  <c r="V754" i="18"/>
  <c r="W754" i="18"/>
  <c r="U755" i="18"/>
  <c r="V755" i="18"/>
  <c r="W755" i="18"/>
  <c r="U756" i="18"/>
  <c r="V756" i="18"/>
  <c r="W756" i="18"/>
  <c r="U757" i="18"/>
  <c r="V757" i="18"/>
  <c r="W757" i="18"/>
  <c r="U758" i="18"/>
  <c r="V758" i="18"/>
  <c r="W758" i="18"/>
  <c r="U759" i="18"/>
  <c r="V759" i="18"/>
  <c r="W759" i="18"/>
  <c r="U760" i="18"/>
  <c r="V760" i="18"/>
  <c r="W760" i="18"/>
  <c r="U761" i="18"/>
  <c r="V761" i="18"/>
  <c r="W761" i="18"/>
  <c r="U762" i="18"/>
  <c r="V762" i="18"/>
  <c r="W762" i="18"/>
  <c r="U763" i="18"/>
  <c r="V763" i="18"/>
  <c r="W763" i="18"/>
  <c r="U764" i="18"/>
  <c r="V764" i="18"/>
  <c r="W764" i="18"/>
  <c r="U765" i="18"/>
  <c r="V765" i="18"/>
  <c r="W765" i="18"/>
  <c r="U766" i="18"/>
  <c r="V766" i="18"/>
  <c r="W766" i="18"/>
  <c r="U767" i="18"/>
  <c r="V767" i="18"/>
  <c r="W767" i="18"/>
  <c r="U768" i="18"/>
  <c r="V768" i="18"/>
  <c r="W768" i="18"/>
  <c r="U769" i="18"/>
  <c r="V769" i="18"/>
  <c r="W769" i="18"/>
  <c r="U770" i="18"/>
  <c r="V770" i="18"/>
  <c r="W770" i="18"/>
  <c r="U771" i="18"/>
  <c r="V771" i="18"/>
  <c r="W771" i="18"/>
  <c r="U772" i="18"/>
  <c r="V772" i="18"/>
  <c r="W772" i="18"/>
  <c r="U773" i="18"/>
  <c r="V773" i="18"/>
  <c r="W773" i="18"/>
  <c r="U774" i="18"/>
  <c r="V774" i="18"/>
  <c r="W774" i="18"/>
  <c r="U775" i="18"/>
  <c r="V775" i="18"/>
  <c r="W775" i="18"/>
  <c r="U776" i="18"/>
  <c r="V776" i="18"/>
  <c r="W776" i="18"/>
  <c r="U777" i="18"/>
  <c r="V777" i="18"/>
  <c r="W777" i="18"/>
  <c r="U778" i="18"/>
  <c r="V778" i="18"/>
  <c r="W778" i="18"/>
  <c r="U779" i="18"/>
  <c r="V779" i="18"/>
  <c r="W779" i="18"/>
  <c r="U780" i="18"/>
  <c r="V780" i="18"/>
  <c r="W780" i="18"/>
  <c r="U781" i="18"/>
  <c r="V781" i="18"/>
  <c r="W781" i="18"/>
  <c r="U782" i="18"/>
  <c r="V782" i="18"/>
  <c r="W782" i="18"/>
  <c r="U783" i="18"/>
  <c r="V783" i="18"/>
  <c r="W783" i="18"/>
  <c r="U784" i="18"/>
  <c r="V784" i="18"/>
  <c r="W784" i="18"/>
  <c r="U785" i="18"/>
  <c r="V785" i="18"/>
  <c r="W785" i="18"/>
  <c r="U786" i="18"/>
  <c r="V786" i="18"/>
  <c r="W786" i="18"/>
  <c r="U787" i="18"/>
  <c r="V787" i="18"/>
  <c r="W787" i="18"/>
  <c r="U788" i="18"/>
  <c r="V788" i="18"/>
  <c r="W788" i="18"/>
  <c r="U789" i="18"/>
  <c r="V789" i="18"/>
  <c r="W789" i="18"/>
  <c r="U790" i="18"/>
  <c r="V790" i="18"/>
  <c r="W790" i="18"/>
  <c r="U791" i="18"/>
  <c r="V791" i="18"/>
  <c r="W791" i="18"/>
  <c r="U792" i="18"/>
  <c r="V792" i="18"/>
  <c r="W792" i="18"/>
  <c r="U793" i="18"/>
  <c r="V793" i="18"/>
  <c r="W793" i="18"/>
  <c r="U794" i="18"/>
  <c r="V794" i="18"/>
  <c r="W794" i="18"/>
  <c r="U795" i="18"/>
  <c r="V795" i="18"/>
  <c r="W795" i="18"/>
  <c r="U796" i="18"/>
  <c r="V796" i="18"/>
  <c r="W796" i="18"/>
  <c r="U797" i="18"/>
  <c r="V797" i="18"/>
  <c r="W797" i="18"/>
  <c r="U798" i="18"/>
  <c r="V798" i="18"/>
  <c r="W798" i="18"/>
  <c r="U799" i="18"/>
  <c r="V799" i="18"/>
  <c r="W799" i="18"/>
  <c r="U800" i="18"/>
  <c r="V800" i="18"/>
  <c r="W800" i="18"/>
  <c r="U801" i="18"/>
  <c r="V801" i="18"/>
  <c r="W801" i="18"/>
  <c r="U802" i="18"/>
  <c r="V802" i="18"/>
  <c r="W802" i="18"/>
  <c r="U803" i="18"/>
  <c r="V803" i="18"/>
  <c r="W803" i="18"/>
  <c r="U804" i="18"/>
  <c r="V804" i="18"/>
  <c r="W804" i="18"/>
  <c r="U805" i="18"/>
  <c r="V805" i="18"/>
  <c r="W805" i="18"/>
  <c r="U806" i="18"/>
  <c r="V806" i="18"/>
  <c r="W806" i="18"/>
  <c r="U807" i="18"/>
  <c r="V807" i="18"/>
  <c r="W807" i="18"/>
  <c r="U808" i="18"/>
  <c r="V808" i="18"/>
  <c r="W808" i="18"/>
  <c r="U809" i="18"/>
  <c r="V809" i="18"/>
  <c r="W809" i="18"/>
  <c r="U810" i="18"/>
  <c r="V810" i="18"/>
  <c r="W810" i="18"/>
  <c r="U811" i="18"/>
  <c r="V811" i="18"/>
  <c r="W811" i="18"/>
  <c r="U812" i="18"/>
  <c r="V812" i="18"/>
  <c r="W812" i="18"/>
  <c r="U813" i="18"/>
  <c r="V813" i="18"/>
  <c r="W813" i="18"/>
  <c r="U814" i="18"/>
  <c r="V814" i="18"/>
  <c r="W814" i="18"/>
  <c r="U815" i="18"/>
  <c r="V815" i="18"/>
  <c r="W815" i="18"/>
  <c r="U816" i="18"/>
  <c r="V816" i="18"/>
  <c r="W816" i="18"/>
  <c r="U817" i="18"/>
  <c r="V817" i="18"/>
  <c r="W817" i="18"/>
  <c r="W3" i="18"/>
  <c r="V3" i="18"/>
  <c r="U3" i="18"/>
  <c r="T4" i="18"/>
  <c r="T5" i="18"/>
  <c r="T6" i="18"/>
  <c r="T7" i="18"/>
  <c r="T8" i="18"/>
  <c r="T9" i="18"/>
  <c r="T10" i="18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36" i="18"/>
  <c r="T37" i="18"/>
  <c r="T38" i="18"/>
  <c r="T39" i="18"/>
  <c r="T40" i="18"/>
  <c r="T41" i="18"/>
  <c r="T42" i="18"/>
  <c r="T43" i="18"/>
  <c r="T44" i="18"/>
  <c r="T45" i="18"/>
  <c r="T46" i="18"/>
  <c r="T47" i="18"/>
  <c r="T48" i="18"/>
  <c r="T49" i="18"/>
  <c r="T50" i="18"/>
  <c r="T51" i="18"/>
  <c r="T52" i="18"/>
  <c r="T53" i="18"/>
  <c r="T54" i="18"/>
  <c r="T55" i="18"/>
  <c r="T56" i="18"/>
  <c r="T57" i="18"/>
  <c r="T58" i="18"/>
  <c r="T59" i="18"/>
  <c r="T60" i="18"/>
  <c r="T61" i="18"/>
  <c r="T62" i="18"/>
  <c r="T63" i="18"/>
  <c r="T64" i="18"/>
  <c r="T65" i="18"/>
  <c r="T66" i="18"/>
  <c r="T67" i="18"/>
  <c r="T68" i="18"/>
  <c r="T69" i="18"/>
  <c r="T70" i="18"/>
  <c r="T71" i="18"/>
  <c r="T72" i="18"/>
  <c r="T73" i="18"/>
  <c r="T74" i="18"/>
  <c r="T75" i="18"/>
  <c r="T76" i="18"/>
  <c r="T77" i="18"/>
  <c r="T78" i="18"/>
  <c r="T79" i="18"/>
  <c r="T80" i="18"/>
  <c r="T81" i="18"/>
  <c r="T82" i="18"/>
  <c r="T83" i="18"/>
  <c r="T84" i="18"/>
  <c r="T85" i="18"/>
  <c r="T86" i="18"/>
  <c r="T87" i="18"/>
  <c r="T88" i="18"/>
  <c r="T89" i="18"/>
  <c r="T90" i="18"/>
  <c r="T91" i="18"/>
  <c r="T92" i="18"/>
  <c r="T93" i="18"/>
  <c r="T94" i="18"/>
  <c r="T95" i="18"/>
  <c r="T96" i="18"/>
  <c r="T97" i="18"/>
  <c r="T98" i="18"/>
  <c r="T99" i="18"/>
  <c r="T100" i="18"/>
  <c r="T101" i="18"/>
  <c r="T102" i="18"/>
  <c r="T103" i="18"/>
  <c r="T104" i="18"/>
  <c r="T105" i="18"/>
  <c r="T106" i="18"/>
  <c r="T107" i="18"/>
  <c r="T108" i="18"/>
  <c r="T109" i="18"/>
  <c r="T110" i="18"/>
  <c r="T111" i="18"/>
  <c r="T112" i="18"/>
  <c r="T113" i="18"/>
  <c r="T114" i="18"/>
  <c r="T115" i="18"/>
  <c r="T116" i="18"/>
  <c r="T117" i="18"/>
  <c r="T118" i="18"/>
  <c r="T119" i="18"/>
  <c r="T120" i="18"/>
  <c r="T121" i="18"/>
  <c r="T122" i="18"/>
  <c r="T123" i="18"/>
  <c r="T124" i="18"/>
  <c r="T125" i="18"/>
  <c r="T126" i="18"/>
  <c r="T127" i="18"/>
  <c r="T128" i="18"/>
  <c r="T129" i="18"/>
  <c r="T130" i="18"/>
  <c r="T131" i="18"/>
  <c r="T132" i="18"/>
  <c r="T133" i="18"/>
  <c r="T134" i="18"/>
  <c r="T135" i="18"/>
  <c r="T136" i="18"/>
  <c r="T137" i="18"/>
  <c r="T138" i="18"/>
  <c r="T139" i="18"/>
  <c r="T140" i="18"/>
  <c r="T141" i="18"/>
  <c r="T142" i="18"/>
  <c r="T143" i="18"/>
  <c r="T144" i="18"/>
  <c r="T145" i="18"/>
  <c r="T146" i="18"/>
  <c r="T147" i="18"/>
  <c r="T148" i="18"/>
  <c r="T149" i="18"/>
  <c r="T150" i="18"/>
  <c r="T151" i="18"/>
  <c r="T152" i="18"/>
  <c r="T153" i="18"/>
  <c r="T154" i="18"/>
  <c r="T155" i="18"/>
  <c r="T156" i="18"/>
  <c r="T157" i="18"/>
  <c r="T158" i="18"/>
  <c r="T159" i="18"/>
  <c r="T160" i="18"/>
  <c r="T161" i="18"/>
  <c r="T162" i="18"/>
  <c r="T163" i="18"/>
  <c r="T164" i="18"/>
  <c r="T165" i="18"/>
  <c r="T166" i="18"/>
  <c r="T167" i="18"/>
  <c r="T168" i="18"/>
  <c r="T169" i="18"/>
  <c r="T170" i="18"/>
  <c r="T171" i="18"/>
  <c r="T172" i="18"/>
  <c r="T173" i="18"/>
  <c r="T174" i="18"/>
  <c r="T175" i="18"/>
  <c r="T176" i="18"/>
  <c r="T177" i="18"/>
  <c r="T178" i="18"/>
  <c r="T179" i="18"/>
  <c r="T180" i="18"/>
  <c r="T181" i="18"/>
  <c r="T182" i="18"/>
  <c r="T183" i="18"/>
  <c r="T184" i="18"/>
  <c r="T185" i="18"/>
  <c r="T186" i="18"/>
  <c r="T187" i="18"/>
  <c r="T188" i="18"/>
  <c r="T189" i="18"/>
  <c r="T190" i="18"/>
  <c r="T191" i="18"/>
  <c r="T192" i="18"/>
  <c r="T193" i="18"/>
  <c r="T194" i="18"/>
  <c r="T195" i="18"/>
  <c r="T196" i="18"/>
  <c r="T197" i="18"/>
  <c r="T198" i="18"/>
  <c r="T199" i="18"/>
  <c r="T200" i="18"/>
  <c r="T201" i="18"/>
  <c r="T202" i="18"/>
  <c r="T203" i="18"/>
  <c r="T204" i="18"/>
  <c r="T205" i="18"/>
  <c r="T206" i="18"/>
  <c r="T207" i="18"/>
  <c r="T208" i="18"/>
  <c r="T209" i="18"/>
  <c r="T210" i="18"/>
  <c r="T211" i="18"/>
  <c r="T212" i="18"/>
  <c r="T213" i="18"/>
  <c r="T214" i="18"/>
  <c r="T215" i="18"/>
  <c r="T216" i="18"/>
  <c r="T217" i="18"/>
  <c r="T218" i="18"/>
  <c r="T219" i="18"/>
  <c r="T220" i="18"/>
  <c r="T221" i="18"/>
  <c r="T222" i="18"/>
  <c r="T223" i="18"/>
  <c r="T224" i="18"/>
  <c r="T225" i="18"/>
  <c r="T226" i="18"/>
  <c r="T227" i="18"/>
  <c r="T228" i="18"/>
  <c r="T229" i="18"/>
  <c r="T230" i="18"/>
  <c r="T231" i="18"/>
  <c r="T232" i="18"/>
  <c r="T233" i="18"/>
  <c r="T234" i="18"/>
  <c r="T235" i="18"/>
  <c r="T236" i="18"/>
  <c r="T237" i="18"/>
  <c r="T238" i="18"/>
  <c r="T239" i="18"/>
  <c r="T240" i="18"/>
  <c r="T241" i="18"/>
  <c r="T242" i="18"/>
  <c r="T243" i="18"/>
  <c r="T244" i="18"/>
  <c r="T245" i="18"/>
  <c r="T246" i="18"/>
  <c r="T247" i="18"/>
  <c r="T248" i="18"/>
  <c r="T249" i="18"/>
  <c r="T250" i="18"/>
  <c r="T251" i="18"/>
  <c r="T252" i="18"/>
  <c r="T253" i="18"/>
  <c r="T254" i="18"/>
  <c r="T255" i="18"/>
  <c r="T256" i="18"/>
  <c r="T257" i="18"/>
  <c r="T258" i="18"/>
  <c r="T259" i="18"/>
  <c r="T260" i="18"/>
  <c r="T261" i="18"/>
  <c r="T262" i="18"/>
  <c r="T263" i="18"/>
  <c r="T264" i="18"/>
  <c r="T265" i="18"/>
  <c r="T266" i="18"/>
  <c r="T267" i="18"/>
  <c r="T268" i="18"/>
  <c r="T269" i="18"/>
  <c r="T270" i="18"/>
  <c r="T271" i="18"/>
  <c r="T272" i="18"/>
  <c r="T273" i="18"/>
  <c r="T274" i="18"/>
  <c r="T275" i="18"/>
  <c r="T276" i="18"/>
  <c r="T277" i="18"/>
  <c r="T278" i="18"/>
  <c r="T279" i="18"/>
  <c r="T280" i="18"/>
  <c r="T281" i="18"/>
  <c r="T282" i="18"/>
  <c r="T283" i="18"/>
  <c r="T284" i="18"/>
  <c r="T285" i="18"/>
  <c r="T286" i="18"/>
  <c r="T287" i="18"/>
  <c r="T288" i="18"/>
  <c r="T289" i="18"/>
  <c r="T290" i="18"/>
  <c r="T291" i="18"/>
  <c r="T292" i="18"/>
  <c r="T293" i="18"/>
  <c r="T294" i="18"/>
  <c r="T295" i="18"/>
  <c r="T296" i="18"/>
  <c r="T297" i="18"/>
  <c r="T298" i="18"/>
  <c r="T299" i="18"/>
  <c r="T300" i="18"/>
  <c r="T301" i="18"/>
  <c r="T302" i="18"/>
  <c r="T303" i="18"/>
  <c r="T304" i="18"/>
  <c r="T305" i="18"/>
  <c r="T306" i="18"/>
  <c r="T307" i="18"/>
  <c r="T308" i="18"/>
  <c r="T309" i="18"/>
  <c r="T310" i="18"/>
  <c r="T311" i="18"/>
  <c r="T312" i="18"/>
  <c r="T313" i="18"/>
  <c r="T314" i="18"/>
  <c r="T315" i="18"/>
  <c r="T316" i="18"/>
  <c r="T317" i="18"/>
  <c r="T318" i="18"/>
  <c r="T319" i="18"/>
  <c r="T320" i="18"/>
  <c r="T321" i="18"/>
  <c r="T322" i="18"/>
  <c r="T323" i="18"/>
  <c r="T324" i="18"/>
  <c r="T325" i="18"/>
  <c r="T326" i="18"/>
  <c r="T327" i="18"/>
  <c r="T328" i="18"/>
  <c r="T329" i="18"/>
  <c r="T330" i="18"/>
  <c r="T331" i="18"/>
  <c r="T332" i="18"/>
  <c r="T333" i="18"/>
  <c r="T334" i="18"/>
  <c r="T335" i="18"/>
  <c r="T336" i="18"/>
  <c r="T337" i="18"/>
  <c r="T338" i="18"/>
  <c r="T339" i="18"/>
  <c r="T340" i="18"/>
  <c r="T341" i="18"/>
  <c r="T342" i="18"/>
  <c r="T343" i="18"/>
  <c r="T344" i="18"/>
  <c r="T345" i="18"/>
  <c r="T346" i="18"/>
  <c r="T347" i="18"/>
  <c r="T348" i="18"/>
  <c r="T349" i="18"/>
  <c r="T350" i="18"/>
  <c r="T351" i="18"/>
  <c r="T352" i="18"/>
  <c r="T353" i="18"/>
  <c r="T354" i="18"/>
  <c r="T355" i="18"/>
  <c r="T356" i="18"/>
  <c r="T357" i="18"/>
  <c r="T358" i="18"/>
  <c r="T359" i="18"/>
  <c r="T360" i="18"/>
  <c r="T361" i="18"/>
  <c r="T362" i="18"/>
  <c r="T363" i="18"/>
  <c r="T364" i="18"/>
  <c r="T365" i="18"/>
  <c r="T366" i="18"/>
  <c r="T367" i="18"/>
  <c r="T368" i="18"/>
  <c r="T369" i="18"/>
  <c r="T370" i="18"/>
  <c r="T371" i="18"/>
  <c r="T372" i="18"/>
  <c r="T373" i="18"/>
  <c r="T374" i="18"/>
  <c r="T375" i="18"/>
  <c r="T376" i="18"/>
  <c r="T377" i="18"/>
  <c r="T378" i="18"/>
  <c r="T379" i="18"/>
  <c r="T380" i="18"/>
  <c r="T381" i="18"/>
  <c r="T382" i="18"/>
  <c r="T383" i="18"/>
  <c r="T384" i="18"/>
  <c r="T385" i="18"/>
  <c r="T386" i="18"/>
  <c r="T387" i="18"/>
  <c r="T388" i="18"/>
  <c r="T389" i="18"/>
  <c r="T390" i="18"/>
  <c r="T391" i="18"/>
  <c r="T392" i="18"/>
  <c r="T393" i="18"/>
  <c r="T394" i="18"/>
  <c r="T395" i="18"/>
  <c r="T396" i="18"/>
  <c r="T397" i="18"/>
  <c r="T398" i="18"/>
  <c r="T399" i="18"/>
  <c r="T400" i="18"/>
  <c r="T401" i="18"/>
  <c r="T402" i="18"/>
  <c r="T403" i="18"/>
  <c r="T404" i="18"/>
  <c r="T405" i="18"/>
  <c r="T406" i="18"/>
  <c r="T407" i="18"/>
  <c r="T408" i="18"/>
  <c r="T409" i="18"/>
  <c r="T410" i="18"/>
  <c r="T411" i="18"/>
  <c r="T412" i="18"/>
  <c r="T413" i="18"/>
  <c r="T414" i="18"/>
  <c r="T415" i="18"/>
  <c r="T416" i="18"/>
  <c r="T417" i="18"/>
  <c r="T418" i="18"/>
  <c r="T419" i="18"/>
  <c r="T420" i="18"/>
  <c r="T421" i="18"/>
  <c r="T422" i="18"/>
  <c r="T423" i="18"/>
  <c r="T424" i="18"/>
  <c r="T425" i="18"/>
  <c r="T426" i="18"/>
  <c r="T427" i="18"/>
  <c r="T428" i="18"/>
  <c r="T429" i="18"/>
  <c r="T430" i="18"/>
  <c r="T431" i="18"/>
  <c r="T432" i="18"/>
  <c r="T433" i="18"/>
  <c r="T434" i="18"/>
  <c r="T435" i="18"/>
  <c r="T436" i="18"/>
  <c r="T437" i="18"/>
  <c r="T438" i="18"/>
  <c r="T439" i="18"/>
  <c r="T440" i="18"/>
  <c r="T441" i="18"/>
  <c r="T442" i="18"/>
  <c r="T443" i="18"/>
  <c r="T444" i="18"/>
  <c r="T445" i="18"/>
  <c r="T446" i="18"/>
  <c r="T447" i="18"/>
  <c r="T448" i="18"/>
  <c r="T449" i="18"/>
  <c r="T450" i="18"/>
  <c r="T451" i="18"/>
  <c r="T452" i="18"/>
  <c r="T453" i="18"/>
  <c r="T454" i="18"/>
  <c r="T455" i="18"/>
  <c r="T456" i="18"/>
  <c r="T457" i="18"/>
  <c r="T458" i="18"/>
  <c r="T459" i="18"/>
  <c r="T460" i="18"/>
  <c r="T461" i="18"/>
  <c r="T462" i="18"/>
  <c r="T463" i="18"/>
  <c r="T464" i="18"/>
  <c r="T465" i="18"/>
  <c r="T466" i="18"/>
  <c r="T467" i="18"/>
  <c r="T468" i="18"/>
  <c r="T469" i="18"/>
  <c r="T470" i="18"/>
  <c r="T471" i="18"/>
  <c r="T472" i="18"/>
  <c r="T473" i="18"/>
  <c r="T474" i="18"/>
  <c r="T475" i="18"/>
  <c r="T476" i="18"/>
  <c r="T477" i="18"/>
  <c r="T478" i="18"/>
  <c r="T479" i="18"/>
  <c r="T480" i="18"/>
  <c r="T481" i="18"/>
  <c r="T482" i="18"/>
  <c r="T483" i="18"/>
  <c r="T484" i="18"/>
  <c r="T485" i="18"/>
  <c r="T486" i="18"/>
  <c r="T487" i="18"/>
  <c r="T488" i="18"/>
  <c r="T489" i="18"/>
  <c r="T490" i="18"/>
  <c r="T491" i="18"/>
  <c r="T492" i="18"/>
  <c r="T493" i="18"/>
  <c r="T494" i="18"/>
  <c r="T495" i="18"/>
  <c r="T496" i="18"/>
  <c r="T497" i="18"/>
  <c r="T498" i="18"/>
  <c r="T499" i="18"/>
  <c r="T500" i="18"/>
  <c r="T501" i="18"/>
  <c r="T502" i="18"/>
  <c r="T503" i="18"/>
  <c r="T504" i="18"/>
  <c r="T505" i="18"/>
  <c r="T506" i="18"/>
  <c r="T507" i="18"/>
  <c r="T508" i="18"/>
  <c r="T509" i="18"/>
  <c r="T510" i="18"/>
  <c r="T511" i="18"/>
  <c r="T512" i="18"/>
  <c r="T513" i="18"/>
  <c r="T514" i="18"/>
  <c r="T515" i="18"/>
  <c r="T516" i="18"/>
  <c r="T517" i="18"/>
  <c r="T518" i="18"/>
  <c r="T519" i="18"/>
  <c r="T520" i="18"/>
  <c r="T521" i="18"/>
  <c r="T522" i="18"/>
  <c r="T523" i="18"/>
  <c r="T524" i="18"/>
  <c r="T525" i="18"/>
  <c r="T526" i="18"/>
  <c r="T527" i="18"/>
  <c r="T528" i="18"/>
  <c r="T529" i="18"/>
  <c r="T530" i="18"/>
  <c r="T531" i="18"/>
  <c r="T532" i="18"/>
  <c r="T533" i="18"/>
  <c r="T534" i="18"/>
  <c r="T535" i="18"/>
  <c r="T536" i="18"/>
  <c r="T537" i="18"/>
  <c r="T538" i="18"/>
  <c r="T539" i="18"/>
  <c r="T540" i="18"/>
  <c r="T541" i="18"/>
  <c r="T542" i="18"/>
  <c r="T543" i="18"/>
  <c r="T544" i="18"/>
  <c r="T545" i="18"/>
  <c r="T546" i="18"/>
  <c r="T547" i="18"/>
  <c r="T548" i="18"/>
  <c r="T549" i="18"/>
  <c r="T550" i="18"/>
  <c r="T551" i="18"/>
  <c r="T552" i="18"/>
  <c r="T553" i="18"/>
  <c r="T554" i="18"/>
  <c r="T555" i="18"/>
  <c r="T556" i="18"/>
  <c r="T557" i="18"/>
  <c r="T558" i="18"/>
  <c r="T559" i="18"/>
  <c r="T560" i="18"/>
  <c r="T561" i="18"/>
  <c r="T562" i="18"/>
  <c r="T563" i="18"/>
  <c r="T564" i="18"/>
  <c r="T565" i="18"/>
  <c r="T566" i="18"/>
  <c r="T567" i="18"/>
  <c r="T568" i="18"/>
  <c r="T569" i="18"/>
  <c r="T570" i="18"/>
  <c r="T571" i="18"/>
  <c r="T572" i="18"/>
  <c r="T573" i="18"/>
  <c r="T574" i="18"/>
  <c r="T575" i="18"/>
  <c r="T576" i="18"/>
  <c r="T577" i="18"/>
  <c r="T578" i="18"/>
  <c r="T579" i="18"/>
  <c r="T580" i="18"/>
  <c r="T581" i="18"/>
  <c r="T582" i="18"/>
  <c r="T583" i="18"/>
  <c r="T584" i="18"/>
  <c r="T585" i="18"/>
  <c r="T586" i="18"/>
  <c r="T587" i="18"/>
  <c r="T588" i="18"/>
  <c r="T589" i="18"/>
  <c r="T590" i="18"/>
  <c r="T591" i="18"/>
  <c r="T592" i="18"/>
  <c r="T593" i="18"/>
  <c r="T594" i="18"/>
  <c r="T595" i="18"/>
  <c r="T596" i="18"/>
  <c r="T597" i="18"/>
  <c r="T598" i="18"/>
  <c r="T599" i="18"/>
  <c r="T600" i="18"/>
  <c r="T601" i="18"/>
  <c r="T602" i="18"/>
  <c r="T603" i="18"/>
  <c r="T604" i="18"/>
  <c r="T605" i="18"/>
  <c r="T606" i="18"/>
  <c r="T607" i="18"/>
  <c r="T608" i="18"/>
  <c r="T609" i="18"/>
  <c r="T610" i="18"/>
  <c r="T611" i="18"/>
  <c r="T612" i="18"/>
  <c r="T613" i="18"/>
  <c r="T614" i="18"/>
  <c r="T615" i="18"/>
  <c r="T616" i="18"/>
  <c r="T617" i="18"/>
  <c r="T618" i="18"/>
  <c r="T619" i="18"/>
  <c r="T620" i="18"/>
  <c r="T621" i="18"/>
  <c r="T622" i="18"/>
  <c r="T623" i="18"/>
  <c r="T624" i="18"/>
  <c r="T625" i="18"/>
  <c r="T626" i="18"/>
  <c r="T627" i="18"/>
  <c r="T628" i="18"/>
  <c r="T629" i="18"/>
  <c r="T630" i="18"/>
  <c r="T631" i="18"/>
  <c r="T632" i="18"/>
  <c r="T633" i="18"/>
  <c r="T634" i="18"/>
  <c r="T635" i="18"/>
  <c r="T636" i="18"/>
  <c r="T637" i="18"/>
  <c r="T638" i="18"/>
  <c r="T639" i="18"/>
  <c r="T640" i="18"/>
  <c r="T641" i="18"/>
  <c r="T642" i="18"/>
  <c r="T643" i="18"/>
  <c r="T644" i="18"/>
  <c r="T645" i="18"/>
  <c r="T646" i="18"/>
  <c r="T647" i="18"/>
  <c r="T648" i="18"/>
  <c r="T649" i="18"/>
  <c r="T650" i="18"/>
  <c r="T651" i="18"/>
  <c r="T652" i="18"/>
  <c r="T653" i="18"/>
  <c r="T654" i="18"/>
  <c r="T655" i="18"/>
  <c r="T656" i="18"/>
  <c r="T657" i="18"/>
  <c r="T658" i="18"/>
  <c r="T659" i="18"/>
  <c r="T660" i="18"/>
  <c r="T661" i="18"/>
  <c r="T662" i="18"/>
  <c r="T663" i="18"/>
  <c r="T664" i="18"/>
  <c r="T665" i="18"/>
  <c r="T666" i="18"/>
  <c r="T667" i="18"/>
  <c r="T668" i="18"/>
  <c r="T669" i="18"/>
  <c r="T670" i="18"/>
  <c r="T671" i="18"/>
  <c r="T672" i="18"/>
  <c r="T673" i="18"/>
  <c r="T674" i="18"/>
  <c r="T675" i="18"/>
  <c r="T676" i="18"/>
  <c r="T677" i="18"/>
  <c r="T678" i="18"/>
  <c r="T679" i="18"/>
  <c r="T680" i="18"/>
  <c r="T681" i="18"/>
  <c r="T682" i="18"/>
  <c r="T683" i="18"/>
  <c r="T684" i="18"/>
  <c r="T685" i="18"/>
  <c r="T686" i="18"/>
  <c r="T687" i="18"/>
  <c r="T688" i="18"/>
  <c r="T689" i="18"/>
  <c r="T690" i="18"/>
  <c r="T691" i="18"/>
  <c r="T692" i="18"/>
  <c r="T693" i="18"/>
  <c r="T694" i="18"/>
  <c r="T695" i="18"/>
  <c r="T696" i="18"/>
  <c r="T697" i="18"/>
  <c r="T698" i="18"/>
  <c r="T699" i="18"/>
  <c r="T700" i="18"/>
  <c r="T701" i="18"/>
  <c r="T702" i="18"/>
  <c r="T703" i="18"/>
  <c r="T704" i="18"/>
  <c r="T705" i="18"/>
  <c r="T706" i="18"/>
  <c r="T707" i="18"/>
  <c r="T708" i="18"/>
  <c r="T709" i="18"/>
  <c r="T710" i="18"/>
  <c r="T711" i="18"/>
  <c r="T712" i="18"/>
  <c r="T713" i="18"/>
  <c r="T714" i="18"/>
  <c r="T715" i="18"/>
  <c r="T716" i="18"/>
  <c r="T717" i="18"/>
  <c r="T718" i="18"/>
  <c r="T719" i="18"/>
  <c r="T720" i="18"/>
  <c r="T721" i="18"/>
  <c r="T722" i="18"/>
  <c r="T723" i="18"/>
  <c r="T724" i="18"/>
  <c r="T725" i="18"/>
  <c r="T726" i="18"/>
  <c r="T727" i="18"/>
  <c r="T728" i="18"/>
  <c r="T729" i="18"/>
  <c r="T730" i="18"/>
  <c r="T731" i="18"/>
  <c r="T732" i="18"/>
  <c r="T733" i="18"/>
  <c r="T734" i="18"/>
  <c r="T735" i="18"/>
  <c r="T736" i="18"/>
  <c r="T737" i="18"/>
  <c r="T738" i="18"/>
  <c r="T739" i="18"/>
  <c r="T740" i="18"/>
  <c r="T741" i="18"/>
  <c r="T742" i="18"/>
  <c r="T743" i="18"/>
  <c r="T744" i="18"/>
  <c r="T745" i="18"/>
  <c r="T746" i="18"/>
  <c r="T747" i="18"/>
  <c r="T748" i="18"/>
  <c r="T749" i="18"/>
  <c r="T750" i="18"/>
  <c r="T751" i="18"/>
  <c r="T752" i="18"/>
  <c r="T753" i="18"/>
  <c r="T754" i="18"/>
  <c r="T755" i="18"/>
  <c r="T756" i="18"/>
  <c r="T757" i="18"/>
  <c r="T758" i="18"/>
  <c r="T759" i="18"/>
  <c r="T760" i="18"/>
  <c r="T761" i="18"/>
  <c r="T762" i="18"/>
  <c r="T763" i="18"/>
  <c r="T764" i="18"/>
  <c r="T765" i="18"/>
  <c r="T766" i="18"/>
  <c r="T767" i="18"/>
  <c r="T768" i="18"/>
  <c r="T769" i="18"/>
  <c r="T770" i="18"/>
  <c r="T771" i="18"/>
  <c r="T772" i="18"/>
  <c r="T773" i="18"/>
  <c r="T774" i="18"/>
  <c r="T775" i="18"/>
  <c r="T776" i="18"/>
  <c r="T777" i="18"/>
  <c r="T778" i="18"/>
  <c r="T779" i="18"/>
  <c r="T780" i="18"/>
  <c r="T781" i="18"/>
  <c r="T782" i="18"/>
  <c r="T783" i="18"/>
  <c r="T784" i="18"/>
  <c r="T785" i="18"/>
  <c r="T786" i="18"/>
  <c r="T787" i="18"/>
  <c r="T788" i="18"/>
  <c r="T789" i="18"/>
  <c r="T790" i="18"/>
  <c r="T791" i="18"/>
  <c r="T792" i="18"/>
  <c r="T793" i="18"/>
  <c r="T794" i="18"/>
  <c r="T795" i="18"/>
  <c r="T796" i="18"/>
  <c r="T797" i="18"/>
  <c r="T798" i="18"/>
  <c r="T799" i="18"/>
  <c r="T800" i="18"/>
  <c r="T801" i="18"/>
  <c r="T802" i="18"/>
  <c r="T803" i="18"/>
  <c r="T804" i="18"/>
  <c r="T805" i="18"/>
  <c r="T806" i="18"/>
  <c r="T807" i="18"/>
  <c r="T808" i="18"/>
  <c r="T809" i="18"/>
  <c r="T810" i="18"/>
  <c r="T811" i="18"/>
  <c r="T812" i="18"/>
  <c r="T813" i="18"/>
  <c r="T814" i="18"/>
  <c r="T815" i="18"/>
  <c r="T816" i="18"/>
  <c r="T817" i="18"/>
  <c r="T3" i="18"/>
  <c r="G12" i="19"/>
  <c r="L11" i="19"/>
  <c r="K11" i="19"/>
  <c r="J11" i="19"/>
  <c r="I11" i="19"/>
  <c r="H11" i="19"/>
  <c r="G11" i="19"/>
  <c r="L10" i="19"/>
  <c r="K10" i="19"/>
  <c r="J10" i="19"/>
  <c r="I10" i="19"/>
  <c r="H10" i="19"/>
  <c r="G10" i="19"/>
  <c r="H7" i="19"/>
  <c r="G7" i="19"/>
  <c r="L6" i="19"/>
  <c r="K6" i="19"/>
  <c r="J6" i="19"/>
  <c r="I6" i="19"/>
  <c r="H6" i="19"/>
  <c r="G6" i="19"/>
  <c r="L5" i="19"/>
  <c r="K5" i="19"/>
  <c r="J5" i="19"/>
  <c r="I5" i="19"/>
  <c r="H5" i="19"/>
  <c r="G5" i="19"/>
  <c r="D5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6" i="19"/>
  <c r="C11" i="19"/>
  <c r="C12" i="19"/>
  <c r="C13" i="19" s="1"/>
  <c r="C14" i="19" s="1"/>
  <c r="C15" i="19" s="1"/>
  <c r="C16" i="19" s="1"/>
  <c r="C17" i="19" s="1"/>
  <c r="C18" i="19" s="1"/>
  <c r="C10" i="19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6" i="18"/>
  <c r="H207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0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5" i="18"/>
  <c r="H326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5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3" i="18"/>
  <c r="M4" i="18"/>
  <c r="N4" i="18"/>
  <c r="M5" i="18"/>
  <c r="N5" i="18"/>
  <c r="M6" i="18"/>
  <c r="N6" i="18"/>
  <c r="M7" i="18"/>
  <c r="N7" i="18"/>
  <c r="M8" i="18"/>
  <c r="N8" i="18"/>
  <c r="M9" i="18"/>
  <c r="N9" i="18"/>
  <c r="M10" i="18"/>
  <c r="N10" i="18"/>
  <c r="M11" i="18"/>
  <c r="N11" i="18"/>
  <c r="M12" i="18"/>
  <c r="N12" i="18"/>
  <c r="M13" i="18"/>
  <c r="N13" i="18"/>
  <c r="M14" i="18"/>
  <c r="N14" i="18"/>
  <c r="M15" i="18"/>
  <c r="N15" i="18"/>
  <c r="M16" i="18"/>
  <c r="N16" i="18"/>
  <c r="M17" i="18"/>
  <c r="N17" i="18"/>
  <c r="M18" i="18"/>
  <c r="N18" i="18"/>
  <c r="M19" i="18"/>
  <c r="N19" i="18"/>
  <c r="M20" i="18"/>
  <c r="N20" i="18"/>
  <c r="M21" i="18"/>
  <c r="N21" i="18"/>
  <c r="M22" i="18"/>
  <c r="N22" i="18"/>
  <c r="M23" i="18"/>
  <c r="N23" i="18"/>
  <c r="M24" i="18"/>
  <c r="N24" i="18"/>
  <c r="M25" i="18"/>
  <c r="N25" i="18"/>
  <c r="M26" i="18"/>
  <c r="N26" i="18"/>
  <c r="M27" i="18"/>
  <c r="N27" i="18"/>
  <c r="M28" i="18"/>
  <c r="N28" i="18"/>
  <c r="M29" i="18"/>
  <c r="N29" i="18"/>
  <c r="M30" i="18"/>
  <c r="N30" i="18"/>
  <c r="M31" i="18"/>
  <c r="N31" i="18"/>
  <c r="M32" i="18"/>
  <c r="N32" i="18"/>
  <c r="M33" i="18"/>
  <c r="N33" i="18"/>
  <c r="M34" i="18"/>
  <c r="N34" i="18"/>
  <c r="M35" i="18"/>
  <c r="N35" i="18"/>
  <c r="M36" i="18"/>
  <c r="N36" i="18"/>
  <c r="M37" i="18"/>
  <c r="N37" i="18"/>
  <c r="M38" i="18"/>
  <c r="N38" i="18"/>
  <c r="M39" i="18"/>
  <c r="N39" i="18"/>
  <c r="M40" i="18"/>
  <c r="N40" i="18"/>
  <c r="M41" i="18"/>
  <c r="N41" i="18"/>
  <c r="M42" i="18"/>
  <c r="N42" i="18"/>
  <c r="M43" i="18"/>
  <c r="N43" i="18"/>
  <c r="M44" i="18"/>
  <c r="N44" i="18"/>
  <c r="M45" i="18"/>
  <c r="N45" i="18"/>
  <c r="M46" i="18"/>
  <c r="N46" i="18"/>
  <c r="M47" i="18"/>
  <c r="N47" i="18"/>
  <c r="M48" i="18"/>
  <c r="N48" i="18"/>
  <c r="M49" i="18"/>
  <c r="N49" i="18"/>
  <c r="M50" i="18"/>
  <c r="N50" i="18"/>
  <c r="M51" i="18"/>
  <c r="N51" i="18"/>
  <c r="M52" i="18"/>
  <c r="N52" i="18"/>
  <c r="M53" i="18"/>
  <c r="N53" i="18"/>
  <c r="M54" i="18"/>
  <c r="N54" i="18"/>
  <c r="M55" i="18"/>
  <c r="N55" i="18"/>
  <c r="M56" i="18"/>
  <c r="N56" i="18"/>
  <c r="M57" i="18"/>
  <c r="N57" i="18"/>
  <c r="M58" i="18"/>
  <c r="N58" i="18"/>
  <c r="M59" i="18"/>
  <c r="N59" i="18"/>
  <c r="M60" i="18"/>
  <c r="N60" i="18"/>
  <c r="M61" i="18"/>
  <c r="N61" i="18"/>
  <c r="M62" i="18"/>
  <c r="N62" i="18"/>
  <c r="M63" i="18"/>
  <c r="N63" i="18"/>
  <c r="M64" i="18"/>
  <c r="N64" i="18"/>
  <c r="M65" i="18"/>
  <c r="N65" i="18"/>
  <c r="M66" i="18"/>
  <c r="N66" i="18"/>
  <c r="M67" i="18"/>
  <c r="N67" i="18"/>
  <c r="M68" i="18"/>
  <c r="N68" i="18"/>
  <c r="M69" i="18"/>
  <c r="N69" i="18"/>
  <c r="M70" i="18"/>
  <c r="N70" i="18"/>
  <c r="M71" i="18"/>
  <c r="N71" i="18"/>
  <c r="M72" i="18"/>
  <c r="N72" i="18"/>
  <c r="M73" i="18"/>
  <c r="N73" i="18"/>
  <c r="M74" i="18"/>
  <c r="N74" i="18"/>
  <c r="M75" i="18"/>
  <c r="N75" i="18"/>
  <c r="M76" i="18"/>
  <c r="N76" i="18"/>
  <c r="M77" i="18"/>
  <c r="N77" i="18"/>
  <c r="M78" i="18"/>
  <c r="N78" i="18"/>
  <c r="M79" i="18"/>
  <c r="N79" i="18"/>
  <c r="M80" i="18"/>
  <c r="N80" i="18"/>
  <c r="M81" i="18"/>
  <c r="N81" i="18"/>
  <c r="M82" i="18"/>
  <c r="N82" i="18"/>
  <c r="M83" i="18"/>
  <c r="N83" i="18"/>
  <c r="M84" i="18"/>
  <c r="N84" i="18"/>
  <c r="M85" i="18"/>
  <c r="N85" i="18"/>
  <c r="M86" i="18"/>
  <c r="N86" i="18"/>
  <c r="M87" i="18"/>
  <c r="N87" i="18"/>
  <c r="M88" i="18"/>
  <c r="N88" i="18"/>
  <c r="M89" i="18"/>
  <c r="N89" i="18"/>
  <c r="M90" i="18"/>
  <c r="N90" i="18"/>
  <c r="M91" i="18"/>
  <c r="N91" i="18"/>
  <c r="M92" i="18"/>
  <c r="N92" i="18"/>
  <c r="M93" i="18"/>
  <c r="N93" i="18"/>
  <c r="M94" i="18"/>
  <c r="N94" i="18"/>
  <c r="M95" i="18"/>
  <c r="N95" i="18"/>
  <c r="M96" i="18"/>
  <c r="N96" i="18"/>
  <c r="M97" i="18"/>
  <c r="N97" i="18"/>
  <c r="M98" i="18"/>
  <c r="N98" i="18"/>
  <c r="M99" i="18"/>
  <c r="N99" i="18"/>
  <c r="M100" i="18"/>
  <c r="N100" i="18"/>
  <c r="M101" i="18"/>
  <c r="N101" i="18"/>
  <c r="M102" i="18"/>
  <c r="N102" i="18"/>
  <c r="M103" i="18"/>
  <c r="N103" i="18"/>
  <c r="M104" i="18"/>
  <c r="N104" i="18"/>
  <c r="M105" i="18"/>
  <c r="N105" i="18"/>
  <c r="M106" i="18"/>
  <c r="N106" i="18"/>
  <c r="M107" i="18"/>
  <c r="N107" i="18"/>
  <c r="M108" i="18"/>
  <c r="N108" i="18"/>
  <c r="M109" i="18"/>
  <c r="N109" i="18"/>
  <c r="M110" i="18"/>
  <c r="N110" i="18"/>
  <c r="M111" i="18"/>
  <c r="N111" i="18"/>
  <c r="M112" i="18"/>
  <c r="N112" i="18"/>
  <c r="M113" i="18"/>
  <c r="N113" i="18"/>
  <c r="M114" i="18"/>
  <c r="N114" i="18"/>
  <c r="M115" i="18"/>
  <c r="N115" i="18"/>
  <c r="M116" i="18"/>
  <c r="N116" i="18"/>
  <c r="M117" i="18"/>
  <c r="N117" i="18"/>
  <c r="M118" i="18"/>
  <c r="N118" i="18"/>
  <c r="M119" i="18"/>
  <c r="N119" i="18"/>
  <c r="M120" i="18"/>
  <c r="N120" i="18"/>
  <c r="M121" i="18"/>
  <c r="N121" i="18"/>
  <c r="M122" i="18"/>
  <c r="N122" i="18"/>
  <c r="M123" i="18"/>
  <c r="N123" i="18"/>
  <c r="M124" i="18"/>
  <c r="N124" i="18"/>
  <c r="M125" i="18"/>
  <c r="N125" i="18"/>
  <c r="M126" i="18"/>
  <c r="N126" i="18"/>
  <c r="M127" i="18"/>
  <c r="N127" i="18"/>
  <c r="M128" i="18"/>
  <c r="N128" i="18"/>
  <c r="M129" i="18"/>
  <c r="N129" i="18"/>
  <c r="M130" i="18"/>
  <c r="N130" i="18"/>
  <c r="M131" i="18"/>
  <c r="N131" i="18"/>
  <c r="M132" i="18"/>
  <c r="N132" i="18"/>
  <c r="M133" i="18"/>
  <c r="N133" i="18"/>
  <c r="M134" i="18"/>
  <c r="N134" i="18"/>
  <c r="M135" i="18"/>
  <c r="N135" i="18"/>
  <c r="M136" i="18"/>
  <c r="N136" i="18"/>
  <c r="M137" i="18"/>
  <c r="N137" i="18"/>
  <c r="M138" i="18"/>
  <c r="N138" i="18"/>
  <c r="M139" i="18"/>
  <c r="N139" i="18"/>
  <c r="M140" i="18"/>
  <c r="N140" i="18"/>
  <c r="M141" i="18"/>
  <c r="N141" i="18"/>
  <c r="M142" i="18"/>
  <c r="N142" i="18"/>
  <c r="M143" i="18"/>
  <c r="N143" i="18"/>
  <c r="M144" i="18"/>
  <c r="N144" i="18"/>
  <c r="M145" i="18"/>
  <c r="N145" i="18"/>
  <c r="M146" i="18"/>
  <c r="N146" i="18"/>
  <c r="M147" i="18"/>
  <c r="N147" i="18"/>
  <c r="M148" i="18"/>
  <c r="N148" i="18"/>
  <c r="M149" i="18"/>
  <c r="N149" i="18"/>
  <c r="M150" i="18"/>
  <c r="N150" i="18"/>
  <c r="M151" i="18"/>
  <c r="N151" i="18"/>
  <c r="M152" i="18"/>
  <c r="N152" i="18"/>
  <c r="M153" i="18"/>
  <c r="N153" i="18"/>
  <c r="M154" i="18"/>
  <c r="N154" i="18"/>
  <c r="M155" i="18"/>
  <c r="N155" i="18"/>
  <c r="M156" i="18"/>
  <c r="N156" i="18"/>
  <c r="M157" i="18"/>
  <c r="N157" i="18"/>
  <c r="M158" i="18"/>
  <c r="N158" i="18"/>
  <c r="M159" i="18"/>
  <c r="N159" i="18"/>
  <c r="M160" i="18"/>
  <c r="N160" i="18"/>
  <c r="M161" i="18"/>
  <c r="N161" i="18"/>
  <c r="M162" i="18"/>
  <c r="N162" i="18"/>
  <c r="M163" i="18"/>
  <c r="N163" i="18"/>
  <c r="M164" i="18"/>
  <c r="N164" i="18"/>
  <c r="M165" i="18"/>
  <c r="N165" i="18"/>
  <c r="M166" i="18"/>
  <c r="N166" i="18"/>
  <c r="M167" i="18"/>
  <c r="N167" i="18"/>
  <c r="M168" i="18"/>
  <c r="N168" i="18"/>
  <c r="M169" i="18"/>
  <c r="N169" i="18"/>
  <c r="M170" i="18"/>
  <c r="N170" i="18"/>
  <c r="M171" i="18"/>
  <c r="N171" i="18"/>
  <c r="M172" i="18"/>
  <c r="N172" i="18"/>
  <c r="M173" i="18"/>
  <c r="N173" i="18"/>
  <c r="M174" i="18"/>
  <c r="N174" i="18"/>
  <c r="M175" i="18"/>
  <c r="N175" i="18"/>
  <c r="M176" i="18"/>
  <c r="N176" i="18"/>
  <c r="M177" i="18"/>
  <c r="N177" i="18"/>
  <c r="M178" i="18"/>
  <c r="N178" i="18"/>
  <c r="M179" i="18"/>
  <c r="N179" i="18"/>
  <c r="M180" i="18"/>
  <c r="N180" i="18"/>
  <c r="M181" i="18"/>
  <c r="N181" i="18"/>
  <c r="M182" i="18"/>
  <c r="N182" i="18"/>
  <c r="M183" i="18"/>
  <c r="N183" i="18"/>
  <c r="M184" i="18"/>
  <c r="N184" i="18"/>
  <c r="M185" i="18"/>
  <c r="N185" i="18"/>
  <c r="M186" i="18"/>
  <c r="N186" i="18"/>
  <c r="M187" i="18"/>
  <c r="N187" i="18"/>
  <c r="M188" i="18"/>
  <c r="N188" i="18"/>
  <c r="M189" i="18"/>
  <c r="N189" i="18"/>
  <c r="M190" i="18"/>
  <c r="N190" i="18"/>
  <c r="M191" i="18"/>
  <c r="N191" i="18"/>
  <c r="M192" i="18"/>
  <c r="N192" i="18"/>
  <c r="M193" i="18"/>
  <c r="N193" i="18"/>
  <c r="M194" i="18"/>
  <c r="N194" i="18"/>
  <c r="M195" i="18"/>
  <c r="N195" i="18"/>
  <c r="M196" i="18"/>
  <c r="N196" i="18"/>
  <c r="M197" i="18"/>
  <c r="N197" i="18"/>
  <c r="M198" i="18"/>
  <c r="N198" i="18"/>
  <c r="M199" i="18"/>
  <c r="N199" i="18"/>
  <c r="M200" i="18"/>
  <c r="N200" i="18"/>
  <c r="M201" i="18"/>
  <c r="N201" i="18"/>
  <c r="M202" i="18"/>
  <c r="N202" i="18"/>
  <c r="M203" i="18"/>
  <c r="N203" i="18"/>
  <c r="M204" i="18"/>
  <c r="N204" i="18"/>
  <c r="M205" i="18"/>
  <c r="N205" i="18"/>
  <c r="M206" i="18"/>
  <c r="N206" i="18"/>
  <c r="M207" i="18"/>
  <c r="N207" i="18"/>
  <c r="M208" i="18"/>
  <c r="N208" i="18"/>
  <c r="M209" i="18"/>
  <c r="N209" i="18"/>
  <c r="M210" i="18"/>
  <c r="N210" i="18"/>
  <c r="M211" i="18"/>
  <c r="N211" i="18"/>
  <c r="M212" i="18"/>
  <c r="N212" i="18"/>
  <c r="M213" i="18"/>
  <c r="N213" i="18"/>
  <c r="M214" i="18"/>
  <c r="N214" i="18"/>
  <c r="M215" i="18"/>
  <c r="N215" i="18"/>
  <c r="M216" i="18"/>
  <c r="N216" i="18"/>
  <c r="M217" i="18"/>
  <c r="N217" i="18"/>
  <c r="M218" i="18"/>
  <c r="N218" i="18"/>
  <c r="M219" i="18"/>
  <c r="N219" i="18"/>
  <c r="M220" i="18"/>
  <c r="N220" i="18"/>
  <c r="M221" i="18"/>
  <c r="N221" i="18"/>
  <c r="M222" i="18"/>
  <c r="N222" i="18"/>
  <c r="M223" i="18"/>
  <c r="N223" i="18"/>
  <c r="M224" i="18"/>
  <c r="N224" i="18"/>
  <c r="M225" i="18"/>
  <c r="N225" i="18"/>
  <c r="M226" i="18"/>
  <c r="N226" i="18"/>
  <c r="M227" i="18"/>
  <c r="N227" i="18"/>
  <c r="M228" i="18"/>
  <c r="N228" i="18"/>
  <c r="M229" i="18"/>
  <c r="N229" i="18"/>
  <c r="M230" i="18"/>
  <c r="N230" i="18"/>
  <c r="M231" i="18"/>
  <c r="N231" i="18"/>
  <c r="M232" i="18"/>
  <c r="N232" i="18"/>
  <c r="M233" i="18"/>
  <c r="N233" i="18"/>
  <c r="M234" i="18"/>
  <c r="N234" i="18"/>
  <c r="M235" i="18"/>
  <c r="N235" i="18"/>
  <c r="M236" i="18"/>
  <c r="N236" i="18"/>
  <c r="M237" i="18"/>
  <c r="N237" i="18"/>
  <c r="M238" i="18"/>
  <c r="N238" i="18"/>
  <c r="M239" i="18"/>
  <c r="N239" i="18"/>
  <c r="M240" i="18"/>
  <c r="N240" i="18"/>
  <c r="M241" i="18"/>
  <c r="N241" i="18"/>
  <c r="M242" i="18"/>
  <c r="N242" i="18"/>
  <c r="M243" i="18"/>
  <c r="N243" i="18"/>
  <c r="M244" i="18"/>
  <c r="N244" i="18"/>
  <c r="M245" i="18"/>
  <c r="N245" i="18"/>
  <c r="M246" i="18"/>
  <c r="N246" i="18"/>
  <c r="M247" i="18"/>
  <c r="N247" i="18"/>
  <c r="M248" i="18"/>
  <c r="N248" i="18"/>
  <c r="M249" i="18"/>
  <c r="N249" i="18"/>
  <c r="M250" i="18"/>
  <c r="N250" i="18"/>
  <c r="M251" i="18"/>
  <c r="N251" i="18"/>
  <c r="M252" i="18"/>
  <c r="N252" i="18"/>
  <c r="M253" i="18"/>
  <c r="N253" i="18"/>
  <c r="M254" i="18"/>
  <c r="N254" i="18"/>
  <c r="M255" i="18"/>
  <c r="N255" i="18"/>
  <c r="M256" i="18"/>
  <c r="N256" i="18"/>
  <c r="M257" i="18"/>
  <c r="N257" i="18"/>
  <c r="M258" i="18"/>
  <c r="N258" i="18"/>
  <c r="M259" i="18"/>
  <c r="N259" i="18"/>
  <c r="M260" i="18"/>
  <c r="N260" i="18"/>
  <c r="M261" i="18"/>
  <c r="N261" i="18"/>
  <c r="M262" i="18"/>
  <c r="N262" i="18"/>
  <c r="M263" i="18"/>
  <c r="N263" i="18"/>
  <c r="M264" i="18"/>
  <c r="N264" i="18"/>
  <c r="M265" i="18"/>
  <c r="N265" i="18"/>
  <c r="M266" i="18"/>
  <c r="N266" i="18"/>
  <c r="M267" i="18"/>
  <c r="N267" i="18"/>
  <c r="M268" i="18"/>
  <c r="N268" i="18"/>
  <c r="M269" i="18"/>
  <c r="N269" i="18"/>
  <c r="M270" i="18"/>
  <c r="N270" i="18"/>
  <c r="M271" i="18"/>
  <c r="N271" i="18"/>
  <c r="M272" i="18"/>
  <c r="N272" i="18"/>
  <c r="M273" i="18"/>
  <c r="N273" i="18"/>
  <c r="M274" i="18"/>
  <c r="N274" i="18"/>
  <c r="M275" i="18"/>
  <c r="N275" i="18"/>
  <c r="M276" i="18"/>
  <c r="N276" i="18"/>
  <c r="M277" i="18"/>
  <c r="N277" i="18"/>
  <c r="M278" i="18"/>
  <c r="N278" i="18"/>
  <c r="M279" i="18"/>
  <c r="N279" i="18"/>
  <c r="M280" i="18"/>
  <c r="N280" i="18"/>
  <c r="M281" i="18"/>
  <c r="N281" i="18"/>
  <c r="M282" i="18"/>
  <c r="N282" i="18"/>
  <c r="M283" i="18"/>
  <c r="N283" i="18"/>
  <c r="M284" i="18"/>
  <c r="N284" i="18"/>
  <c r="M285" i="18"/>
  <c r="N285" i="18"/>
  <c r="M286" i="18"/>
  <c r="N286" i="18"/>
  <c r="M287" i="18"/>
  <c r="N287" i="18"/>
  <c r="M288" i="18"/>
  <c r="N288" i="18"/>
  <c r="M289" i="18"/>
  <c r="N289" i="18"/>
  <c r="M290" i="18"/>
  <c r="N290" i="18"/>
  <c r="M291" i="18"/>
  <c r="N291" i="18"/>
  <c r="M292" i="18"/>
  <c r="N292" i="18"/>
  <c r="M293" i="18"/>
  <c r="N293" i="18"/>
  <c r="M294" i="18"/>
  <c r="N294" i="18"/>
  <c r="M295" i="18"/>
  <c r="N295" i="18"/>
  <c r="M296" i="18"/>
  <c r="N296" i="18"/>
  <c r="M297" i="18"/>
  <c r="N297" i="18"/>
  <c r="M298" i="18"/>
  <c r="N298" i="18"/>
  <c r="M299" i="18"/>
  <c r="N299" i="18"/>
  <c r="M300" i="18"/>
  <c r="N300" i="18"/>
  <c r="M301" i="18"/>
  <c r="N301" i="18"/>
  <c r="M302" i="18"/>
  <c r="N302" i="18"/>
  <c r="M303" i="18"/>
  <c r="N303" i="18"/>
  <c r="M304" i="18"/>
  <c r="N304" i="18"/>
  <c r="M305" i="18"/>
  <c r="N305" i="18"/>
  <c r="M306" i="18"/>
  <c r="N306" i="18"/>
  <c r="M307" i="18"/>
  <c r="N307" i="18"/>
  <c r="M308" i="18"/>
  <c r="N308" i="18"/>
  <c r="M309" i="18"/>
  <c r="N309" i="18"/>
  <c r="M310" i="18"/>
  <c r="N310" i="18"/>
  <c r="M311" i="18"/>
  <c r="N311" i="18"/>
  <c r="M312" i="18"/>
  <c r="N312" i="18"/>
  <c r="M313" i="18"/>
  <c r="N313" i="18"/>
  <c r="M314" i="18"/>
  <c r="N314" i="18"/>
  <c r="M315" i="18"/>
  <c r="N315" i="18"/>
  <c r="M316" i="18"/>
  <c r="N316" i="18"/>
  <c r="M317" i="18"/>
  <c r="N317" i="18"/>
  <c r="M318" i="18"/>
  <c r="N318" i="18"/>
  <c r="M319" i="18"/>
  <c r="N319" i="18"/>
  <c r="M320" i="18"/>
  <c r="N320" i="18"/>
  <c r="M321" i="18"/>
  <c r="N321" i="18"/>
  <c r="M322" i="18"/>
  <c r="N322" i="18"/>
  <c r="M323" i="18"/>
  <c r="N323" i="18"/>
  <c r="M324" i="18"/>
  <c r="N324" i="18"/>
  <c r="M325" i="18"/>
  <c r="N325" i="18"/>
  <c r="M326" i="18"/>
  <c r="N326" i="18"/>
  <c r="M327" i="18"/>
  <c r="N327" i="18"/>
  <c r="M328" i="18"/>
  <c r="N328" i="18"/>
  <c r="M329" i="18"/>
  <c r="N329" i="18"/>
  <c r="M330" i="18"/>
  <c r="N330" i="18"/>
  <c r="M331" i="18"/>
  <c r="N331" i="18"/>
  <c r="M332" i="18"/>
  <c r="N332" i="18"/>
  <c r="M333" i="18"/>
  <c r="N333" i="18"/>
  <c r="M334" i="18"/>
  <c r="N334" i="18"/>
  <c r="M335" i="18"/>
  <c r="N335" i="18"/>
  <c r="M336" i="18"/>
  <c r="N336" i="18"/>
  <c r="M337" i="18"/>
  <c r="N337" i="18"/>
  <c r="M338" i="18"/>
  <c r="N338" i="18"/>
  <c r="M339" i="18"/>
  <c r="N339" i="18"/>
  <c r="M340" i="18"/>
  <c r="N340" i="18"/>
  <c r="M341" i="18"/>
  <c r="N341" i="18"/>
  <c r="M342" i="18"/>
  <c r="N342" i="18"/>
  <c r="M343" i="18"/>
  <c r="N343" i="18"/>
  <c r="M344" i="18"/>
  <c r="N344" i="18"/>
  <c r="M345" i="18"/>
  <c r="N345" i="18"/>
  <c r="M346" i="18"/>
  <c r="N346" i="18"/>
  <c r="M347" i="18"/>
  <c r="N347" i="18"/>
  <c r="M348" i="18"/>
  <c r="N348" i="18"/>
  <c r="M349" i="18"/>
  <c r="N349" i="18"/>
  <c r="M350" i="18"/>
  <c r="N350" i="18"/>
  <c r="M351" i="18"/>
  <c r="N351" i="18"/>
  <c r="M352" i="18"/>
  <c r="N352" i="18"/>
  <c r="M353" i="18"/>
  <c r="N353" i="18"/>
  <c r="M354" i="18"/>
  <c r="N354" i="18"/>
  <c r="M355" i="18"/>
  <c r="N355" i="18"/>
  <c r="M356" i="18"/>
  <c r="N356" i="18"/>
  <c r="M357" i="18"/>
  <c r="N357" i="18"/>
  <c r="M358" i="18"/>
  <c r="N358" i="18"/>
  <c r="M359" i="18"/>
  <c r="N359" i="18"/>
  <c r="M360" i="18"/>
  <c r="N360" i="18"/>
  <c r="M361" i="18"/>
  <c r="N361" i="18"/>
  <c r="M362" i="18"/>
  <c r="N362" i="18"/>
  <c r="M363" i="18"/>
  <c r="N363" i="18"/>
  <c r="M364" i="18"/>
  <c r="N364" i="18"/>
  <c r="M365" i="18"/>
  <c r="N365" i="18"/>
  <c r="M366" i="18"/>
  <c r="N366" i="18"/>
  <c r="M367" i="18"/>
  <c r="N367" i="18"/>
  <c r="M368" i="18"/>
  <c r="N368" i="18"/>
  <c r="M369" i="18"/>
  <c r="N369" i="18"/>
  <c r="M370" i="18"/>
  <c r="N370" i="18"/>
  <c r="M371" i="18"/>
  <c r="N371" i="18"/>
  <c r="M372" i="18"/>
  <c r="N372" i="18"/>
  <c r="M373" i="18"/>
  <c r="N373" i="18"/>
  <c r="M374" i="18"/>
  <c r="N374" i="18"/>
  <c r="M375" i="18"/>
  <c r="N375" i="18"/>
  <c r="M376" i="18"/>
  <c r="N376" i="18"/>
  <c r="M377" i="18"/>
  <c r="N377" i="18"/>
  <c r="M378" i="18"/>
  <c r="N378" i="18"/>
  <c r="M379" i="18"/>
  <c r="N379" i="18"/>
  <c r="M380" i="18"/>
  <c r="N380" i="18"/>
  <c r="M381" i="18"/>
  <c r="N381" i="18"/>
  <c r="M382" i="18"/>
  <c r="N382" i="18"/>
  <c r="M383" i="18"/>
  <c r="N383" i="18"/>
  <c r="M384" i="18"/>
  <c r="N384" i="18"/>
  <c r="M385" i="18"/>
  <c r="N385" i="18"/>
  <c r="M386" i="18"/>
  <c r="N386" i="18"/>
  <c r="M387" i="18"/>
  <c r="N387" i="18"/>
  <c r="M388" i="18"/>
  <c r="N388" i="18"/>
  <c r="M389" i="18"/>
  <c r="N389" i="18"/>
  <c r="M390" i="18"/>
  <c r="N390" i="18"/>
  <c r="M391" i="18"/>
  <c r="N391" i="18"/>
  <c r="M392" i="18"/>
  <c r="N392" i="18"/>
  <c r="M393" i="18"/>
  <c r="N393" i="18"/>
  <c r="M394" i="18"/>
  <c r="N394" i="18"/>
  <c r="M395" i="18"/>
  <c r="N395" i="18"/>
  <c r="M396" i="18"/>
  <c r="N396" i="18"/>
  <c r="M397" i="18"/>
  <c r="N397" i="18"/>
  <c r="M398" i="18"/>
  <c r="N398" i="18"/>
  <c r="M399" i="18"/>
  <c r="N399" i="18"/>
  <c r="M400" i="18"/>
  <c r="N400" i="18"/>
  <c r="M401" i="18"/>
  <c r="N401" i="18"/>
  <c r="M402" i="18"/>
  <c r="N402" i="18"/>
  <c r="M403" i="18"/>
  <c r="N403" i="18"/>
  <c r="M404" i="18"/>
  <c r="N404" i="18"/>
  <c r="M405" i="18"/>
  <c r="N405" i="18"/>
  <c r="M406" i="18"/>
  <c r="N406" i="18"/>
  <c r="M407" i="18"/>
  <c r="N407" i="18"/>
  <c r="M408" i="18"/>
  <c r="N408" i="18"/>
  <c r="M409" i="18"/>
  <c r="N409" i="18"/>
  <c r="M410" i="18"/>
  <c r="N410" i="18"/>
  <c r="N3" i="18"/>
  <c r="M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E15" i="18"/>
  <c r="F15" i="18"/>
  <c r="E16" i="18"/>
  <c r="F16" i="18"/>
  <c r="E17" i="18"/>
  <c r="F17" i="18"/>
  <c r="E18" i="18"/>
  <c r="F18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E31" i="18"/>
  <c r="F31" i="18"/>
  <c r="E32" i="18"/>
  <c r="F32" i="18"/>
  <c r="E33" i="18"/>
  <c r="F33" i="18"/>
  <c r="E34" i="18"/>
  <c r="F34" i="18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E47" i="18"/>
  <c r="F47" i="18"/>
  <c r="E48" i="18"/>
  <c r="F48" i="18"/>
  <c r="E49" i="18"/>
  <c r="F49" i="18"/>
  <c r="E50" i="18"/>
  <c r="F50" i="18"/>
  <c r="E51" i="18"/>
  <c r="F51" i="18"/>
  <c r="E52" i="18"/>
  <c r="F52" i="18"/>
  <c r="E53" i="18"/>
  <c r="F53" i="18"/>
  <c r="E54" i="18"/>
  <c r="F54" i="18"/>
  <c r="E55" i="18"/>
  <c r="F55" i="18"/>
  <c r="E56" i="18"/>
  <c r="F56" i="18"/>
  <c r="E57" i="18"/>
  <c r="F57" i="18"/>
  <c r="E58" i="18"/>
  <c r="F58" i="18"/>
  <c r="E59" i="18"/>
  <c r="F59" i="18"/>
  <c r="E60" i="18"/>
  <c r="F60" i="18"/>
  <c r="E61" i="18"/>
  <c r="F61" i="18"/>
  <c r="E62" i="18"/>
  <c r="F62" i="18"/>
  <c r="E63" i="18"/>
  <c r="F63" i="18"/>
  <c r="E64" i="18"/>
  <c r="F64" i="18"/>
  <c r="E65" i="18"/>
  <c r="F65" i="18"/>
  <c r="E66" i="18"/>
  <c r="F66" i="18"/>
  <c r="E67" i="18"/>
  <c r="F67" i="18"/>
  <c r="E68" i="18"/>
  <c r="F68" i="18"/>
  <c r="E69" i="18"/>
  <c r="F69" i="18"/>
  <c r="E70" i="18"/>
  <c r="F70" i="18"/>
  <c r="E71" i="18"/>
  <c r="F71" i="18"/>
  <c r="E72" i="18"/>
  <c r="F72" i="18"/>
  <c r="E73" i="18"/>
  <c r="F73" i="18"/>
  <c r="E74" i="18"/>
  <c r="F74" i="18"/>
  <c r="E75" i="18"/>
  <c r="F75" i="18"/>
  <c r="E76" i="18"/>
  <c r="F76" i="18"/>
  <c r="E77" i="18"/>
  <c r="F77" i="18"/>
  <c r="E78" i="18"/>
  <c r="F78" i="18"/>
  <c r="E79" i="18"/>
  <c r="F79" i="18"/>
  <c r="E80" i="18"/>
  <c r="F80" i="18"/>
  <c r="E81" i="18"/>
  <c r="F81" i="18"/>
  <c r="E82" i="18"/>
  <c r="F82" i="18"/>
  <c r="E83" i="18"/>
  <c r="F83" i="18"/>
  <c r="E84" i="18"/>
  <c r="F84" i="18"/>
  <c r="E85" i="18"/>
  <c r="F85" i="18"/>
  <c r="E86" i="18"/>
  <c r="F86" i="18"/>
  <c r="E87" i="18"/>
  <c r="F87" i="18"/>
  <c r="E88" i="18"/>
  <c r="F88" i="18"/>
  <c r="E89" i="18"/>
  <c r="F89" i="18"/>
  <c r="E90" i="18"/>
  <c r="F90" i="18"/>
  <c r="E91" i="18"/>
  <c r="F91" i="18"/>
  <c r="E92" i="18"/>
  <c r="F92" i="18"/>
  <c r="E93" i="18"/>
  <c r="F93" i="18"/>
  <c r="E94" i="18"/>
  <c r="F94" i="18"/>
  <c r="E95" i="18"/>
  <c r="F95" i="18"/>
  <c r="E96" i="18"/>
  <c r="F96" i="18"/>
  <c r="E97" i="18"/>
  <c r="F97" i="18"/>
  <c r="E98" i="18"/>
  <c r="F98" i="18"/>
  <c r="E99" i="18"/>
  <c r="F99" i="18"/>
  <c r="E100" i="18"/>
  <c r="F100" i="18"/>
  <c r="E101" i="18"/>
  <c r="F101" i="18"/>
  <c r="E102" i="18"/>
  <c r="F102" i="18"/>
  <c r="E103" i="18"/>
  <c r="F103" i="18"/>
  <c r="E104" i="18"/>
  <c r="F104" i="18"/>
  <c r="E105" i="18"/>
  <c r="F105" i="18"/>
  <c r="E106" i="18"/>
  <c r="F106" i="18"/>
  <c r="E107" i="18"/>
  <c r="F107" i="18"/>
  <c r="E108" i="18"/>
  <c r="F108" i="18"/>
  <c r="E109" i="18"/>
  <c r="F109" i="18"/>
  <c r="E110" i="18"/>
  <c r="F110" i="18"/>
  <c r="E111" i="18"/>
  <c r="F111" i="18"/>
  <c r="E112" i="18"/>
  <c r="F112" i="18"/>
  <c r="E113" i="18"/>
  <c r="F113" i="18"/>
  <c r="E114" i="18"/>
  <c r="F114" i="18"/>
  <c r="E115" i="18"/>
  <c r="F115" i="18"/>
  <c r="E116" i="18"/>
  <c r="F116" i="18"/>
  <c r="E117" i="18"/>
  <c r="F117" i="18"/>
  <c r="E118" i="18"/>
  <c r="F118" i="18"/>
  <c r="E119" i="18"/>
  <c r="F119" i="18"/>
  <c r="E120" i="18"/>
  <c r="F120" i="18"/>
  <c r="E121" i="18"/>
  <c r="F121" i="18"/>
  <c r="E122" i="18"/>
  <c r="F122" i="18"/>
  <c r="E123" i="18"/>
  <c r="F123" i="18"/>
  <c r="E124" i="18"/>
  <c r="F124" i="18"/>
  <c r="E125" i="18"/>
  <c r="F125" i="18"/>
  <c r="E126" i="18"/>
  <c r="F126" i="18"/>
  <c r="E127" i="18"/>
  <c r="F127" i="18"/>
  <c r="E128" i="18"/>
  <c r="F128" i="18"/>
  <c r="E129" i="18"/>
  <c r="F129" i="18"/>
  <c r="E130" i="18"/>
  <c r="F130" i="18"/>
  <c r="E131" i="18"/>
  <c r="F131" i="18"/>
  <c r="E132" i="18"/>
  <c r="F132" i="18"/>
  <c r="E133" i="18"/>
  <c r="F133" i="18"/>
  <c r="E134" i="18"/>
  <c r="F134" i="18"/>
  <c r="E135" i="18"/>
  <c r="F135" i="18"/>
  <c r="E136" i="18"/>
  <c r="F136" i="18"/>
  <c r="E137" i="18"/>
  <c r="F137" i="18"/>
  <c r="E138" i="18"/>
  <c r="F138" i="18"/>
  <c r="E139" i="18"/>
  <c r="F139" i="18"/>
  <c r="E140" i="18"/>
  <c r="F140" i="18"/>
  <c r="E141" i="18"/>
  <c r="F141" i="18"/>
  <c r="E142" i="18"/>
  <c r="F142" i="18"/>
  <c r="E143" i="18"/>
  <c r="F143" i="18"/>
  <c r="E144" i="18"/>
  <c r="F144" i="18"/>
  <c r="E145" i="18"/>
  <c r="F145" i="18"/>
  <c r="E146" i="18"/>
  <c r="F146" i="18"/>
  <c r="E147" i="18"/>
  <c r="F147" i="18"/>
  <c r="E148" i="18"/>
  <c r="F148" i="18"/>
  <c r="E149" i="18"/>
  <c r="F149" i="18"/>
  <c r="E150" i="18"/>
  <c r="F150" i="18"/>
  <c r="E151" i="18"/>
  <c r="F151" i="18"/>
  <c r="E152" i="18"/>
  <c r="F152" i="18"/>
  <c r="E153" i="18"/>
  <c r="F153" i="18"/>
  <c r="E154" i="18"/>
  <c r="F154" i="18"/>
  <c r="E155" i="18"/>
  <c r="F155" i="18"/>
  <c r="E156" i="18"/>
  <c r="F156" i="18"/>
  <c r="E157" i="18"/>
  <c r="F157" i="18"/>
  <c r="E158" i="18"/>
  <c r="F158" i="18"/>
  <c r="E159" i="18"/>
  <c r="F159" i="18"/>
  <c r="E160" i="18"/>
  <c r="F160" i="18"/>
  <c r="E161" i="18"/>
  <c r="F161" i="18"/>
  <c r="E162" i="18"/>
  <c r="F162" i="18"/>
  <c r="E163" i="18"/>
  <c r="F163" i="18"/>
  <c r="E164" i="18"/>
  <c r="F164" i="18"/>
  <c r="E165" i="18"/>
  <c r="F165" i="18"/>
  <c r="E166" i="18"/>
  <c r="F166" i="18"/>
  <c r="E167" i="18"/>
  <c r="F167" i="18"/>
  <c r="E168" i="18"/>
  <c r="F168" i="18"/>
  <c r="E169" i="18"/>
  <c r="F169" i="18"/>
  <c r="E170" i="18"/>
  <c r="F170" i="18"/>
  <c r="E171" i="18"/>
  <c r="F171" i="18"/>
  <c r="E172" i="18"/>
  <c r="F172" i="18"/>
  <c r="E173" i="18"/>
  <c r="F173" i="18"/>
  <c r="E174" i="18"/>
  <c r="F174" i="18"/>
  <c r="E175" i="18"/>
  <c r="F175" i="18"/>
  <c r="E176" i="18"/>
  <c r="F176" i="18"/>
  <c r="E177" i="18"/>
  <c r="F177" i="18"/>
  <c r="E178" i="18"/>
  <c r="F178" i="18"/>
  <c r="E179" i="18"/>
  <c r="F179" i="18"/>
  <c r="E180" i="18"/>
  <c r="F180" i="18"/>
  <c r="E181" i="18"/>
  <c r="F181" i="18"/>
  <c r="E182" i="18"/>
  <c r="F182" i="18"/>
  <c r="E183" i="18"/>
  <c r="F183" i="18"/>
  <c r="E184" i="18"/>
  <c r="F184" i="18"/>
  <c r="E185" i="18"/>
  <c r="F185" i="18"/>
  <c r="E186" i="18"/>
  <c r="F186" i="18"/>
  <c r="E187" i="18"/>
  <c r="F187" i="18"/>
  <c r="E188" i="18"/>
  <c r="F188" i="18"/>
  <c r="E189" i="18"/>
  <c r="F189" i="18"/>
  <c r="E190" i="18"/>
  <c r="F190" i="18"/>
  <c r="E191" i="18"/>
  <c r="F191" i="18"/>
  <c r="E192" i="18"/>
  <c r="F192" i="18"/>
  <c r="E193" i="18"/>
  <c r="F193" i="18"/>
  <c r="E194" i="18"/>
  <c r="F194" i="18"/>
  <c r="E195" i="18"/>
  <c r="F195" i="18"/>
  <c r="E196" i="18"/>
  <c r="F196" i="18"/>
  <c r="E197" i="18"/>
  <c r="F197" i="18"/>
  <c r="E198" i="18"/>
  <c r="F198" i="18"/>
  <c r="E199" i="18"/>
  <c r="F199" i="18"/>
  <c r="E200" i="18"/>
  <c r="F200" i="18"/>
  <c r="E201" i="18"/>
  <c r="F201" i="18"/>
  <c r="E202" i="18"/>
  <c r="F202" i="18"/>
  <c r="E203" i="18"/>
  <c r="F203" i="18"/>
  <c r="E204" i="18"/>
  <c r="F204" i="18"/>
  <c r="E205" i="18"/>
  <c r="F205" i="18"/>
  <c r="E206" i="18"/>
  <c r="F206" i="18"/>
  <c r="E207" i="18"/>
  <c r="F207" i="18"/>
  <c r="E208" i="18"/>
  <c r="F208" i="18"/>
  <c r="E209" i="18"/>
  <c r="F209" i="18"/>
  <c r="E210" i="18"/>
  <c r="F210" i="18"/>
  <c r="E211" i="18"/>
  <c r="F211" i="18"/>
  <c r="E212" i="18"/>
  <c r="F212" i="18"/>
  <c r="E213" i="18"/>
  <c r="F213" i="18"/>
  <c r="E214" i="18"/>
  <c r="F214" i="18"/>
  <c r="E215" i="18"/>
  <c r="F215" i="18"/>
  <c r="E216" i="18"/>
  <c r="F216" i="18"/>
  <c r="E217" i="18"/>
  <c r="F217" i="18"/>
  <c r="E218" i="18"/>
  <c r="F218" i="18"/>
  <c r="E219" i="18"/>
  <c r="F219" i="18"/>
  <c r="E220" i="18"/>
  <c r="F220" i="18"/>
  <c r="E221" i="18"/>
  <c r="F221" i="18"/>
  <c r="E222" i="18"/>
  <c r="F222" i="18"/>
  <c r="E223" i="18"/>
  <c r="F223" i="18"/>
  <c r="E224" i="18"/>
  <c r="F224" i="18"/>
  <c r="E225" i="18"/>
  <c r="F225" i="18"/>
  <c r="E226" i="18"/>
  <c r="F226" i="18"/>
  <c r="E227" i="18"/>
  <c r="F227" i="18"/>
  <c r="E228" i="18"/>
  <c r="F228" i="18"/>
  <c r="E229" i="18"/>
  <c r="F229" i="18"/>
  <c r="E230" i="18"/>
  <c r="F230" i="18"/>
  <c r="E231" i="18"/>
  <c r="F231" i="18"/>
  <c r="E232" i="18"/>
  <c r="F232" i="18"/>
  <c r="E233" i="18"/>
  <c r="F233" i="18"/>
  <c r="E234" i="18"/>
  <c r="F234" i="18"/>
  <c r="E235" i="18"/>
  <c r="F235" i="18"/>
  <c r="E236" i="18"/>
  <c r="F236" i="18"/>
  <c r="E237" i="18"/>
  <c r="F237" i="18"/>
  <c r="E238" i="18"/>
  <c r="F238" i="18"/>
  <c r="E239" i="18"/>
  <c r="F239" i="18"/>
  <c r="E240" i="18"/>
  <c r="F240" i="18"/>
  <c r="E241" i="18"/>
  <c r="F241" i="18"/>
  <c r="E242" i="18"/>
  <c r="F242" i="18"/>
  <c r="E243" i="18"/>
  <c r="F243" i="18"/>
  <c r="E244" i="18"/>
  <c r="F244" i="18"/>
  <c r="E245" i="18"/>
  <c r="F245" i="18"/>
  <c r="E246" i="18"/>
  <c r="F246" i="18"/>
  <c r="E247" i="18"/>
  <c r="F247" i="18"/>
  <c r="E248" i="18"/>
  <c r="F248" i="18"/>
  <c r="E249" i="18"/>
  <c r="F249" i="18"/>
  <c r="E250" i="18"/>
  <c r="F250" i="18"/>
  <c r="E251" i="18"/>
  <c r="F251" i="18"/>
  <c r="E252" i="18"/>
  <c r="F252" i="18"/>
  <c r="E253" i="18"/>
  <c r="F253" i="18"/>
  <c r="E254" i="18"/>
  <c r="F254" i="18"/>
  <c r="E255" i="18"/>
  <c r="F255" i="18"/>
  <c r="E256" i="18"/>
  <c r="F256" i="18"/>
  <c r="E257" i="18"/>
  <c r="F257" i="18"/>
  <c r="E258" i="18"/>
  <c r="F258" i="18"/>
  <c r="E259" i="18"/>
  <c r="F259" i="18"/>
  <c r="E260" i="18"/>
  <c r="F260" i="18"/>
  <c r="E261" i="18"/>
  <c r="F261" i="18"/>
  <c r="E262" i="18"/>
  <c r="F262" i="18"/>
  <c r="E263" i="18"/>
  <c r="F263" i="18"/>
  <c r="E264" i="18"/>
  <c r="F264" i="18"/>
  <c r="E265" i="18"/>
  <c r="F265" i="18"/>
  <c r="E266" i="18"/>
  <c r="F266" i="18"/>
  <c r="E267" i="18"/>
  <c r="F267" i="18"/>
  <c r="E268" i="18"/>
  <c r="F268" i="18"/>
  <c r="E269" i="18"/>
  <c r="F269" i="18"/>
  <c r="E270" i="18"/>
  <c r="F270" i="18"/>
  <c r="E271" i="18"/>
  <c r="F271" i="18"/>
  <c r="E272" i="18"/>
  <c r="F272" i="18"/>
  <c r="E273" i="18"/>
  <c r="F273" i="18"/>
  <c r="E274" i="18"/>
  <c r="F274" i="18"/>
  <c r="E275" i="18"/>
  <c r="F275" i="18"/>
  <c r="E276" i="18"/>
  <c r="F276" i="18"/>
  <c r="E277" i="18"/>
  <c r="F277" i="18"/>
  <c r="E278" i="18"/>
  <c r="F278" i="18"/>
  <c r="E279" i="18"/>
  <c r="F279" i="18"/>
  <c r="E280" i="18"/>
  <c r="F280" i="18"/>
  <c r="E281" i="18"/>
  <c r="F281" i="18"/>
  <c r="E282" i="18"/>
  <c r="F282" i="18"/>
  <c r="E283" i="18"/>
  <c r="F283" i="18"/>
  <c r="E284" i="18"/>
  <c r="F284" i="18"/>
  <c r="E285" i="18"/>
  <c r="F285" i="18"/>
  <c r="E286" i="18"/>
  <c r="F286" i="18"/>
  <c r="E287" i="18"/>
  <c r="F287" i="18"/>
  <c r="E288" i="18"/>
  <c r="F288" i="18"/>
  <c r="E289" i="18"/>
  <c r="F289" i="18"/>
  <c r="E290" i="18"/>
  <c r="F290" i="18"/>
  <c r="E291" i="18"/>
  <c r="F291" i="18"/>
  <c r="E292" i="18"/>
  <c r="F292" i="18"/>
  <c r="E293" i="18"/>
  <c r="F293" i="18"/>
  <c r="E294" i="18"/>
  <c r="F294" i="18"/>
  <c r="E295" i="18"/>
  <c r="F295" i="18"/>
  <c r="E296" i="18"/>
  <c r="F296" i="18"/>
  <c r="E297" i="18"/>
  <c r="F297" i="18"/>
  <c r="E298" i="18"/>
  <c r="F298" i="18"/>
  <c r="E299" i="18"/>
  <c r="F299" i="18"/>
  <c r="E300" i="18"/>
  <c r="F300" i="18"/>
  <c r="E301" i="18"/>
  <c r="F301" i="18"/>
  <c r="E302" i="18"/>
  <c r="F302" i="18"/>
  <c r="E303" i="18"/>
  <c r="F303" i="18"/>
  <c r="E304" i="18"/>
  <c r="F304" i="18"/>
  <c r="E305" i="18"/>
  <c r="F305" i="18"/>
  <c r="E306" i="18"/>
  <c r="F306" i="18"/>
  <c r="E307" i="18"/>
  <c r="F307" i="18"/>
  <c r="E308" i="18"/>
  <c r="F308" i="18"/>
  <c r="E309" i="18"/>
  <c r="F309" i="18"/>
  <c r="E310" i="18"/>
  <c r="F310" i="18"/>
  <c r="E311" i="18"/>
  <c r="F311" i="18"/>
  <c r="E312" i="18"/>
  <c r="F312" i="18"/>
  <c r="E313" i="18"/>
  <c r="F313" i="18"/>
  <c r="E314" i="18"/>
  <c r="F314" i="18"/>
  <c r="E315" i="18"/>
  <c r="F315" i="18"/>
  <c r="E316" i="18"/>
  <c r="F316" i="18"/>
  <c r="E317" i="18"/>
  <c r="F317" i="18"/>
  <c r="E318" i="18"/>
  <c r="F318" i="18"/>
  <c r="E319" i="18"/>
  <c r="F319" i="18"/>
  <c r="E320" i="18"/>
  <c r="F320" i="18"/>
  <c r="E321" i="18"/>
  <c r="F321" i="18"/>
  <c r="E322" i="18"/>
  <c r="F322" i="18"/>
  <c r="E323" i="18"/>
  <c r="F323" i="18"/>
  <c r="E324" i="18"/>
  <c r="F324" i="18"/>
  <c r="E325" i="18"/>
  <c r="F325" i="18"/>
  <c r="E326" i="18"/>
  <c r="F326" i="18"/>
  <c r="E327" i="18"/>
  <c r="F327" i="18"/>
  <c r="E328" i="18"/>
  <c r="F328" i="18"/>
  <c r="E329" i="18"/>
  <c r="F329" i="18"/>
  <c r="E330" i="18"/>
  <c r="F330" i="18"/>
  <c r="E331" i="18"/>
  <c r="F331" i="18"/>
  <c r="E332" i="18"/>
  <c r="F332" i="18"/>
  <c r="E333" i="18"/>
  <c r="F333" i="18"/>
  <c r="E334" i="18"/>
  <c r="F334" i="18"/>
  <c r="E335" i="18"/>
  <c r="F335" i="18"/>
  <c r="E336" i="18"/>
  <c r="F336" i="18"/>
  <c r="E337" i="18"/>
  <c r="F337" i="18"/>
  <c r="E338" i="18"/>
  <c r="F338" i="18"/>
  <c r="E339" i="18"/>
  <c r="F339" i="18"/>
  <c r="E340" i="18"/>
  <c r="F340" i="18"/>
  <c r="E341" i="18"/>
  <c r="F341" i="18"/>
  <c r="E342" i="18"/>
  <c r="F342" i="18"/>
  <c r="E343" i="18"/>
  <c r="F343" i="18"/>
  <c r="E344" i="18"/>
  <c r="F344" i="18"/>
  <c r="E345" i="18"/>
  <c r="F345" i="18"/>
  <c r="E346" i="18"/>
  <c r="F346" i="18"/>
  <c r="E347" i="18"/>
  <c r="F347" i="18"/>
  <c r="E348" i="18"/>
  <c r="F348" i="18"/>
  <c r="E349" i="18"/>
  <c r="F349" i="18"/>
  <c r="E350" i="18"/>
  <c r="F350" i="18"/>
  <c r="E351" i="18"/>
  <c r="F351" i="18"/>
  <c r="E352" i="18"/>
  <c r="F352" i="18"/>
  <c r="E353" i="18"/>
  <c r="F353" i="18"/>
  <c r="E354" i="18"/>
  <c r="F354" i="18"/>
  <c r="E355" i="18"/>
  <c r="F355" i="18"/>
  <c r="E356" i="18"/>
  <c r="F356" i="18"/>
  <c r="E357" i="18"/>
  <c r="F357" i="18"/>
  <c r="E358" i="18"/>
  <c r="F358" i="18"/>
  <c r="E359" i="18"/>
  <c r="F359" i="18"/>
  <c r="E360" i="18"/>
  <c r="F360" i="18"/>
  <c r="E361" i="18"/>
  <c r="F361" i="18"/>
  <c r="E362" i="18"/>
  <c r="F362" i="18"/>
  <c r="E363" i="18"/>
  <c r="F363" i="18"/>
  <c r="E364" i="18"/>
  <c r="F364" i="18"/>
  <c r="E365" i="18"/>
  <c r="F365" i="18"/>
  <c r="E366" i="18"/>
  <c r="F366" i="18"/>
  <c r="E367" i="18"/>
  <c r="F367" i="18"/>
  <c r="E368" i="18"/>
  <c r="F368" i="18"/>
  <c r="E369" i="18"/>
  <c r="F369" i="18"/>
  <c r="E370" i="18"/>
  <c r="F370" i="18"/>
  <c r="E371" i="18"/>
  <c r="F371" i="18"/>
  <c r="E372" i="18"/>
  <c r="F372" i="18"/>
  <c r="E373" i="18"/>
  <c r="F373" i="18"/>
  <c r="E374" i="18"/>
  <c r="F374" i="18"/>
  <c r="E375" i="18"/>
  <c r="F375" i="18"/>
  <c r="E376" i="18"/>
  <c r="F376" i="18"/>
  <c r="E377" i="18"/>
  <c r="F377" i="18"/>
  <c r="E378" i="18"/>
  <c r="F378" i="18"/>
  <c r="E379" i="18"/>
  <c r="F379" i="18"/>
  <c r="E380" i="18"/>
  <c r="F380" i="18"/>
  <c r="E381" i="18"/>
  <c r="F381" i="18"/>
  <c r="E382" i="18"/>
  <c r="F382" i="18"/>
  <c r="E383" i="18"/>
  <c r="F383" i="18"/>
  <c r="E384" i="18"/>
  <c r="F384" i="18"/>
  <c r="E385" i="18"/>
  <c r="F385" i="18"/>
  <c r="E386" i="18"/>
  <c r="F386" i="18"/>
  <c r="E387" i="18"/>
  <c r="F387" i="18"/>
  <c r="E388" i="18"/>
  <c r="F388" i="18"/>
  <c r="E389" i="18"/>
  <c r="F389" i="18"/>
  <c r="E390" i="18"/>
  <c r="F390" i="18"/>
  <c r="E391" i="18"/>
  <c r="F391" i="18"/>
  <c r="E392" i="18"/>
  <c r="F392" i="18"/>
  <c r="E393" i="18"/>
  <c r="F393" i="18"/>
  <c r="E394" i="18"/>
  <c r="F394" i="18"/>
  <c r="E395" i="18"/>
  <c r="F395" i="18"/>
  <c r="E396" i="18"/>
  <c r="F396" i="18"/>
  <c r="E397" i="18"/>
  <c r="F397" i="18"/>
  <c r="E398" i="18"/>
  <c r="F398" i="18"/>
  <c r="E399" i="18"/>
  <c r="F399" i="18"/>
  <c r="E400" i="18"/>
  <c r="F400" i="18"/>
  <c r="E401" i="18"/>
  <c r="F401" i="18"/>
  <c r="E402" i="18"/>
  <c r="F402" i="18"/>
  <c r="E403" i="18"/>
  <c r="F403" i="18"/>
  <c r="E404" i="18"/>
  <c r="F404" i="18"/>
  <c r="E405" i="18"/>
  <c r="F405" i="18"/>
  <c r="E406" i="18"/>
  <c r="F406" i="18"/>
  <c r="E407" i="18"/>
  <c r="F407" i="18"/>
  <c r="E408" i="18"/>
  <c r="F408" i="18"/>
  <c r="F3" i="18"/>
  <c r="E3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L318" i="18"/>
  <c r="L319" i="18"/>
  <c r="L320" i="18"/>
  <c r="L321" i="18"/>
  <c r="L322" i="18"/>
  <c r="L323" i="18"/>
  <c r="L324" i="18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L342" i="18"/>
  <c r="L343" i="18"/>
  <c r="L344" i="18"/>
  <c r="L345" i="18"/>
  <c r="L346" i="18"/>
  <c r="L347" i="18"/>
  <c r="L348" i="18"/>
  <c r="L349" i="18"/>
  <c r="L350" i="18"/>
  <c r="L351" i="18"/>
  <c r="L352" i="18"/>
  <c r="L353" i="18"/>
  <c r="L354" i="18"/>
  <c r="L355" i="18"/>
  <c r="L356" i="18"/>
  <c r="L357" i="18"/>
  <c r="L358" i="18"/>
  <c r="L359" i="18"/>
  <c r="L360" i="18"/>
  <c r="L361" i="18"/>
  <c r="L362" i="18"/>
  <c r="L363" i="18"/>
  <c r="L364" i="18"/>
  <c r="L365" i="18"/>
  <c r="L366" i="18"/>
  <c r="L367" i="18"/>
  <c r="L368" i="18"/>
  <c r="L369" i="18"/>
  <c r="L370" i="18"/>
  <c r="L371" i="18"/>
  <c r="L372" i="18"/>
  <c r="L373" i="18"/>
  <c r="L374" i="18"/>
  <c r="L375" i="18"/>
  <c r="L376" i="18"/>
  <c r="L377" i="18"/>
  <c r="L378" i="18"/>
  <c r="L379" i="18"/>
  <c r="L380" i="18"/>
  <c r="L381" i="18"/>
  <c r="L382" i="18"/>
  <c r="L383" i="18"/>
  <c r="L384" i="18"/>
  <c r="L385" i="18"/>
  <c r="L386" i="18"/>
  <c r="L387" i="18"/>
  <c r="L388" i="18"/>
  <c r="L389" i="18"/>
  <c r="L390" i="18"/>
  <c r="L391" i="18"/>
  <c r="L392" i="18"/>
  <c r="L393" i="18"/>
  <c r="L394" i="18"/>
  <c r="L395" i="18"/>
  <c r="L396" i="18"/>
  <c r="L397" i="18"/>
  <c r="L398" i="18"/>
  <c r="L399" i="18"/>
  <c r="L400" i="18"/>
  <c r="L401" i="18"/>
  <c r="L402" i="18"/>
  <c r="L403" i="18"/>
  <c r="L404" i="18"/>
  <c r="L405" i="18"/>
  <c r="L406" i="18"/>
  <c r="L407" i="18"/>
  <c r="L408" i="18"/>
  <c r="L409" i="18"/>
  <c r="L410" i="18"/>
  <c r="L4" i="18"/>
  <c r="L5" i="18"/>
  <c r="L6" i="18"/>
  <c r="L7" i="18"/>
  <c r="L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3" i="18"/>
</calcChain>
</file>

<file path=xl/sharedStrings.xml><?xml version="1.0" encoding="utf-8"?>
<sst xmlns="http://schemas.openxmlformats.org/spreadsheetml/2006/main" count="10924" uniqueCount="3320">
  <si>
    <t>n</t>
  </si>
  <si>
    <t>z</t>
  </si>
  <si>
    <t>halflife/s</t>
    <phoneticPr fontId="1" type="noConversion"/>
  </si>
  <si>
    <t>H</t>
  </si>
  <si>
    <t>STABLE</t>
  </si>
  <si>
    <t>H2</t>
  </si>
  <si>
    <t>He</t>
  </si>
  <si>
    <t>H3</t>
  </si>
  <si>
    <t>Li</t>
  </si>
  <si>
    <t>H5</t>
  </si>
  <si>
    <t>Be</t>
  </si>
  <si>
    <t>H6</t>
  </si>
  <si>
    <t>B</t>
  </si>
  <si>
    <t>He3</t>
  </si>
  <si>
    <t>C</t>
  </si>
  <si>
    <t>He4</t>
  </si>
  <si>
    <t>N</t>
  </si>
  <si>
    <t>He5</t>
  </si>
  <si>
    <t>O</t>
  </si>
  <si>
    <t>He6</t>
  </si>
  <si>
    <t>F</t>
  </si>
  <si>
    <t>He7</t>
  </si>
  <si>
    <t>Ne</t>
  </si>
  <si>
    <t>He8</t>
  </si>
  <si>
    <t>Na</t>
  </si>
  <si>
    <t>He10</t>
  </si>
  <si>
    <t>Mg</t>
  </si>
  <si>
    <t>Li4</t>
  </si>
  <si>
    <t>Al</t>
  </si>
  <si>
    <t>Li5</t>
  </si>
  <si>
    <t>Si</t>
  </si>
  <si>
    <t>Li6</t>
  </si>
  <si>
    <t>P</t>
  </si>
  <si>
    <t>Li7</t>
  </si>
  <si>
    <t>S</t>
  </si>
  <si>
    <t>Li8</t>
  </si>
  <si>
    <t>Cl</t>
  </si>
  <si>
    <t>Li9</t>
  </si>
  <si>
    <t>Ar</t>
  </si>
  <si>
    <t>Li11</t>
  </si>
  <si>
    <t>K</t>
  </si>
  <si>
    <t>Be6</t>
  </si>
  <si>
    <t>Ca</t>
  </si>
  <si>
    <t>Be7</t>
  </si>
  <si>
    <t>Sc</t>
  </si>
  <si>
    <t>Be8</t>
  </si>
  <si>
    <t>Ti</t>
  </si>
  <si>
    <t>Be9</t>
  </si>
  <si>
    <t>V</t>
  </si>
  <si>
    <t>Be10</t>
  </si>
  <si>
    <t>Cr</t>
  </si>
  <si>
    <t>Be11</t>
  </si>
  <si>
    <t>Mn</t>
  </si>
  <si>
    <t>Be12</t>
  </si>
  <si>
    <t>Fe</t>
  </si>
  <si>
    <t>Be13</t>
  </si>
  <si>
    <t>Co</t>
  </si>
  <si>
    <t>Be14</t>
  </si>
  <si>
    <t>Ni</t>
  </si>
  <si>
    <t>Be15</t>
  </si>
  <si>
    <t>Cu</t>
  </si>
  <si>
    <t>Be16</t>
  </si>
  <si>
    <t>Zn</t>
  </si>
  <si>
    <t>B7</t>
  </si>
  <si>
    <t>Ga</t>
  </si>
  <si>
    <t>B8</t>
  </si>
  <si>
    <t>Ge</t>
  </si>
  <si>
    <t>B9</t>
  </si>
  <si>
    <t>As</t>
  </si>
  <si>
    <t>B10</t>
  </si>
  <si>
    <t>Se</t>
  </si>
  <si>
    <t>B11</t>
  </si>
  <si>
    <t>Br</t>
  </si>
  <si>
    <t>B12</t>
  </si>
  <si>
    <t>Kr</t>
  </si>
  <si>
    <t>B13</t>
  </si>
  <si>
    <t>Rb</t>
  </si>
  <si>
    <t>B14</t>
  </si>
  <si>
    <t>Sr</t>
  </si>
  <si>
    <t>B15</t>
  </si>
  <si>
    <t>Y</t>
  </si>
  <si>
    <t>B17</t>
  </si>
  <si>
    <t>Zr</t>
  </si>
  <si>
    <t>B19</t>
  </si>
  <si>
    <t>Nb</t>
  </si>
  <si>
    <t>C8</t>
  </si>
  <si>
    <t>Mo</t>
  </si>
  <si>
    <t>C9</t>
  </si>
  <si>
    <t>Tc</t>
  </si>
  <si>
    <t>C10</t>
  </si>
  <si>
    <t>Ru</t>
  </si>
  <si>
    <t>C11</t>
  </si>
  <si>
    <t>Rh</t>
  </si>
  <si>
    <t>C12</t>
  </si>
  <si>
    <t>Pd</t>
  </si>
  <si>
    <t>C13</t>
  </si>
  <si>
    <t>Ag</t>
  </si>
  <si>
    <t>C14</t>
  </si>
  <si>
    <t>Cd</t>
  </si>
  <si>
    <t>C15</t>
  </si>
  <si>
    <t>In</t>
  </si>
  <si>
    <t>C16</t>
  </si>
  <si>
    <t>Sn</t>
  </si>
  <si>
    <t>C17</t>
  </si>
  <si>
    <t>Sb</t>
  </si>
  <si>
    <t>C18</t>
  </si>
  <si>
    <t>Te</t>
  </si>
  <si>
    <t>C19</t>
  </si>
  <si>
    <t>I</t>
  </si>
  <si>
    <t>C20</t>
  </si>
  <si>
    <t>Xe</t>
  </si>
  <si>
    <t>C22</t>
  </si>
  <si>
    <t>Cs</t>
  </si>
  <si>
    <t>N11</t>
  </si>
  <si>
    <t>Ba</t>
  </si>
  <si>
    <t>N12</t>
  </si>
  <si>
    <t>La</t>
  </si>
  <si>
    <t>N13</t>
  </si>
  <si>
    <t>Ce</t>
  </si>
  <si>
    <t>N14</t>
  </si>
  <si>
    <t>Pr</t>
  </si>
  <si>
    <t>N15</t>
  </si>
  <si>
    <t>Nd</t>
  </si>
  <si>
    <t>N16</t>
  </si>
  <si>
    <t>Pm</t>
  </si>
  <si>
    <t>N17</t>
  </si>
  <si>
    <t>Sm</t>
  </si>
  <si>
    <t>N18</t>
  </si>
  <si>
    <t>Eu</t>
  </si>
  <si>
    <t>N19</t>
  </si>
  <si>
    <t>Gd</t>
  </si>
  <si>
    <t>N20</t>
  </si>
  <si>
    <t>Tb</t>
  </si>
  <si>
    <t>N21</t>
  </si>
  <si>
    <t>Dy</t>
  </si>
  <si>
    <t>N22</t>
  </si>
  <si>
    <t>Ho</t>
  </si>
  <si>
    <t>N23</t>
  </si>
  <si>
    <t>Er</t>
  </si>
  <si>
    <t>O12</t>
  </si>
  <si>
    <t>Tm</t>
  </si>
  <si>
    <t>O13</t>
  </si>
  <si>
    <t>Yb</t>
  </si>
  <si>
    <t>O14</t>
  </si>
  <si>
    <t>Lu</t>
  </si>
  <si>
    <t>O15</t>
  </si>
  <si>
    <t>Hf</t>
  </si>
  <si>
    <t>O16</t>
  </si>
  <si>
    <t>Ta</t>
  </si>
  <si>
    <t>O17</t>
  </si>
  <si>
    <t>W</t>
  </si>
  <si>
    <t>O18</t>
  </si>
  <si>
    <t>Re</t>
  </si>
  <si>
    <t>O19</t>
  </si>
  <si>
    <t>Os</t>
  </si>
  <si>
    <t>O20</t>
  </si>
  <si>
    <t>Ir</t>
  </si>
  <si>
    <t>O21</t>
  </si>
  <si>
    <t>Pt</t>
  </si>
  <si>
    <t>O22</t>
  </si>
  <si>
    <t>Au</t>
  </si>
  <si>
    <t>O23</t>
  </si>
  <si>
    <t>Hg</t>
  </si>
  <si>
    <t>O24</t>
  </si>
  <si>
    <t>Tl</t>
  </si>
  <si>
    <t>O25</t>
  </si>
  <si>
    <t>Pb</t>
  </si>
  <si>
    <t>O26</t>
  </si>
  <si>
    <t>Bi</t>
  </si>
  <si>
    <t>F14</t>
  </si>
  <si>
    <t>Po</t>
  </si>
  <si>
    <t>F15</t>
  </si>
  <si>
    <t>At</t>
  </si>
  <si>
    <t>F16</t>
  </si>
  <si>
    <t>Rn</t>
  </si>
  <si>
    <t>F17</t>
  </si>
  <si>
    <t>Fr</t>
  </si>
  <si>
    <t>F18</t>
  </si>
  <si>
    <t>Ra</t>
  </si>
  <si>
    <t>F19</t>
  </si>
  <si>
    <t>Ac</t>
  </si>
  <si>
    <t>F20</t>
  </si>
  <si>
    <t>Th</t>
  </si>
  <si>
    <t>F21</t>
  </si>
  <si>
    <t>Pa</t>
  </si>
  <si>
    <t>F22</t>
  </si>
  <si>
    <t>U</t>
  </si>
  <si>
    <t>F23</t>
  </si>
  <si>
    <t>Np</t>
  </si>
  <si>
    <t>F24</t>
  </si>
  <si>
    <t>Pu</t>
  </si>
  <si>
    <t>F25</t>
  </si>
  <si>
    <t>Am</t>
  </si>
  <si>
    <t>F26</t>
  </si>
  <si>
    <t>Cm</t>
  </si>
  <si>
    <t>F27</t>
  </si>
  <si>
    <t>Bk</t>
  </si>
  <si>
    <t>F28</t>
  </si>
  <si>
    <t>Cf</t>
  </si>
  <si>
    <t>F29</t>
  </si>
  <si>
    <t>Es</t>
  </si>
  <si>
    <t>Ne16</t>
  </si>
  <si>
    <t>Fm</t>
  </si>
  <si>
    <t>Ne17</t>
  </si>
  <si>
    <t>Md</t>
  </si>
  <si>
    <t>Ne18</t>
  </si>
  <si>
    <t>No</t>
  </si>
  <si>
    <t>Ne19</t>
  </si>
  <si>
    <t>Lr</t>
  </si>
  <si>
    <t>Ne20</t>
  </si>
  <si>
    <t>Rf</t>
  </si>
  <si>
    <t>Ne21</t>
  </si>
  <si>
    <t>Db</t>
  </si>
  <si>
    <t>Ne22</t>
  </si>
  <si>
    <t>Sg</t>
  </si>
  <si>
    <t>Ne23</t>
  </si>
  <si>
    <t>Bh</t>
  </si>
  <si>
    <t>Ne24</t>
  </si>
  <si>
    <t>Hs</t>
  </si>
  <si>
    <t>Ne25</t>
  </si>
  <si>
    <t>Mt</t>
  </si>
  <si>
    <t>Ne26</t>
  </si>
  <si>
    <t>Ds</t>
  </si>
  <si>
    <t>Ne27</t>
  </si>
  <si>
    <t>Rg</t>
  </si>
  <si>
    <t>Ne28</t>
  </si>
  <si>
    <t>Cn</t>
  </si>
  <si>
    <t>Ne29</t>
  </si>
  <si>
    <t>Nh</t>
  </si>
  <si>
    <t>Ne30</t>
  </si>
  <si>
    <t>Fl</t>
  </si>
  <si>
    <t>Ne31</t>
  </si>
  <si>
    <t>Mc</t>
  </si>
  <si>
    <t>Ne32</t>
  </si>
  <si>
    <t>Lv</t>
  </si>
  <si>
    <t>Ne34</t>
  </si>
  <si>
    <t>Ts</t>
  </si>
  <si>
    <t>Na18</t>
  </si>
  <si>
    <t>Og</t>
  </si>
  <si>
    <t>Na20</t>
  </si>
  <si>
    <t>Na21</t>
  </si>
  <si>
    <t>Na22</t>
  </si>
  <si>
    <t>Na23</t>
  </si>
  <si>
    <t>Na24</t>
  </si>
  <si>
    <t>Na25</t>
  </si>
  <si>
    <t>Na26</t>
  </si>
  <si>
    <t>Na27</t>
  </si>
  <si>
    <t>Na28</t>
  </si>
  <si>
    <t>Na29</t>
  </si>
  <si>
    <t>Na30</t>
  </si>
  <si>
    <t>Na31</t>
  </si>
  <si>
    <t>Na32</t>
  </si>
  <si>
    <t>Na33</t>
  </si>
  <si>
    <t>Na34</t>
  </si>
  <si>
    <t>Na35</t>
  </si>
  <si>
    <t>Mg19</t>
  </si>
  <si>
    <t>Mg20</t>
  </si>
  <si>
    <t>Mg21</t>
  </si>
  <si>
    <t>Mg22</t>
  </si>
  <si>
    <t>Mg23</t>
  </si>
  <si>
    <t>Mg24</t>
  </si>
  <si>
    <t>Mg25</t>
  </si>
  <si>
    <t>Mg26</t>
  </si>
  <si>
    <t>Mg27</t>
  </si>
  <si>
    <t>Mg28</t>
  </si>
  <si>
    <t>Mg29</t>
  </si>
  <si>
    <t>Mg30</t>
  </si>
  <si>
    <t>Mg31</t>
  </si>
  <si>
    <t>Mg32</t>
  </si>
  <si>
    <t>Mg33</t>
  </si>
  <si>
    <t>Mg34</t>
  </si>
  <si>
    <t>Mg35</t>
  </si>
  <si>
    <t>Mg36</t>
  </si>
  <si>
    <t>Mg37</t>
  </si>
  <si>
    <t>Al22</t>
  </si>
  <si>
    <t>Al23</t>
  </si>
  <si>
    <t>Al24</t>
  </si>
  <si>
    <t>Al25</t>
  </si>
  <si>
    <t>Al26</t>
  </si>
  <si>
    <t>Al27</t>
  </si>
  <si>
    <t>Al28</t>
  </si>
  <si>
    <t>Al29</t>
  </si>
  <si>
    <t>Al30</t>
  </si>
  <si>
    <t>Al31</t>
  </si>
  <si>
    <t>Al32</t>
  </si>
  <si>
    <t>Al33</t>
  </si>
  <si>
    <t>Al34</t>
  </si>
  <si>
    <t>Al35</t>
  </si>
  <si>
    <t>Al36</t>
  </si>
  <si>
    <t>Al37</t>
  </si>
  <si>
    <t>Al38</t>
  </si>
  <si>
    <t>Al39</t>
  </si>
  <si>
    <t>Si22</t>
  </si>
  <si>
    <t>Si23</t>
  </si>
  <si>
    <t>Si24</t>
  </si>
  <si>
    <t>Si25</t>
  </si>
  <si>
    <t>Si26</t>
  </si>
  <si>
    <t>Si27</t>
  </si>
  <si>
    <t>Si28</t>
  </si>
  <si>
    <t>Si29</t>
  </si>
  <si>
    <t>Si30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</si>
  <si>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</si>
  <si>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</si>
  <si>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</si>
  <si>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</si>
  <si>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</si>
  <si>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</si>
  <si>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</si>
  <si>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</si>
  <si>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</si>
  <si>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</si>
  <si>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</si>
  <si>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</si>
  <si>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</si>
  <si>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</si>
  <si>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</si>
  <si>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</si>
  <si>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</si>
  <si>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</si>
  <si>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</si>
  <si>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</si>
  <si>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</si>
  <si>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</si>
  <si>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</si>
  <si>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</si>
  <si>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</si>
  <si>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</si>
  <si>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</si>
  <si>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</si>
  <si>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</si>
  <si>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</si>
  <si>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</si>
  <si>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</si>
  <si>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</si>
  <si>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</si>
  <si>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</si>
  <si>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</si>
  <si>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</si>
  <si>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</si>
  <si>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</si>
  <si>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</si>
  <si>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</si>
  <si>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</si>
  <si>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</si>
  <si>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</si>
  <si>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</si>
  <si>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</si>
  <si>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</si>
  <si>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</si>
  <si>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</si>
  <si>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</si>
  <si>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</si>
  <si>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</si>
  <si>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</si>
  <si>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S48</t>
  </si>
  <si>
    <t>Cl31</t>
  </si>
  <si>
    <t>Cl32</t>
  </si>
  <si>
    <t>Cl33</t>
  </si>
  <si>
    <t>Cl34</t>
  </si>
  <si>
    <t>Cl35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</si>
  <si>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</si>
  <si>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</si>
  <si>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</si>
  <si>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</si>
  <si>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</si>
  <si>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</si>
  <si>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</si>
  <si>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</si>
  <si>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</si>
  <si>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</si>
  <si>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Cl46</t>
  </si>
  <si>
    <t>Cl47</t>
  </si>
  <si>
    <t>Cl48</t>
  </si>
  <si>
    <t>Cl49</t>
  </si>
  <si>
    <t>Cl50</t>
  </si>
  <si>
    <t>Cl51</t>
  </si>
  <si>
    <t>Ar31</t>
  </si>
  <si>
    <t>Ar32</t>
  </si>
  <si>
    <t>Ar33</t>
  </si>
  <si>
    <t>Ar34</t>
  </si>
  <si>
    <t>Ar35</t>
  </si>
  <si>
    <t>Ar36</t>
  </si>
  <si>
    <t>Ar37</t>
  </si>
  <si>
    <t>Ar38</t>
  </si>
  <si>
    <t>Ar39</t>
  </si>
  <si>
    <t>Ar40</t>
  </si>
  <si>
    <t>Ar41</t>
  </si>
  <si>
    <t>Ar42</t>
  </si>
  <si>
    <t>Ar43</t>
  </si>
  <si>
    <t>Ar44</t>
  </si>
  <si>
    <t>Ar45</t>
  </si>
  <si>
    <t>Ar46</t>
  </si>
  <si>
    <t>Ar47</t>
  </si>
  <si>
    <t>Ar48</t>
  </si>
  <si>
    <t>Ar49</t>
  </si>
  <si>
    <t>Ar50</t>
  </si>
  <si>
    <t>Ar51</t>
  </si>
  <si>
    <t>Ar52</t>
  </si>
  <si>
    <t>Ar53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</si>
  <si>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</si>
  <si>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</si>
  <si>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</si>
  <si>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</si>
  <si>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</si>
  <si>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</si>
  <si>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</si>
  <si>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</si>
  <si>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</si>
  <si>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</si>
  <si>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</si>
  <si>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</si>
  <si>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</si>
  <si>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</si>
  <si>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</si>
  <si>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</si>
  <si>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</si>
  <si>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</si>
  <si>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</si>
  <si>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</si>
  <si>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</si>
  <si>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</si>
  <si>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Ca35</t>
  </si>
  <si>
    <t>Ca36</t>
  </si>
  <si>
    <t>Ca37</t>
  </si>
  <si>
    <t>Ca38</t>
  </si>
  <si>
    <t>Ca39</t>
  </si>
  <si>
    <t>Ca40</t>
  </si>
  <si>
    <t>Ca41</t>
  </si>
  <si>
    <t>Ca42</t>
  </si>
  <si>
    <t>Ca43</t>
  </si>
  <si>
    <t>Ca44</t>
  </si>
  <si>
    <t>Ca45</t>
  </si>
  <si>
    <t>Ca46</t>
  </si>
  <si>
    <t>Ca47</t>
  </si>
  <si>
    <t>Ca48</t>
  </si>
  <si>
    <t>Ca49</t>
  </si>
  <si>
    <t>Ca50</t>
  </si>
  <si>
    <t>Ca51</t>
  </si>
  <si>
    <t>Ca52</t>
  </si>
  <si>
    <t>Ca53</t>
  </si>
  <si>
    <t>Ca54</t>
  </si>
  <si>
    <t>Ca55</t>
  </si>
  <si>
    <t>Ca56</t>
  </si>
  <si>
    <t>Ca57</t>
  </si>
  <si>
    <t>Ca58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</si>
  <si>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</si>
  <si>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</si>
  <si>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</si>
  <si>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</si>
  <si>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</si>
  <si>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</si>
  <si>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</si>
  <si>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</si>
  <si>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</si>
  <si>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</si>
  <si>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</si>
  <si>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</si>
  <si>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</si>
  <si>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</si>
  <si>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</si>
  <si>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</si>
  <si>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</si>
  <si>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</si>
  <si>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</si>
  <si>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</si>
  <si>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</si>
  <si>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</si>
  <si>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Ti39</t>
  </si>
  <si>
    <t>Ti40</t>
  </si>
  <si>
    <t>Ti41</t>
  </si>
  <si>
    <t>Ti42</t>
  </si>
  <si>
    <t>Ti43</t>
  </si>
  <si>
    <t>Ti44</t>
  </si>
  <si>
    <t>Ti45</t>
  </si>
  <si>
    <t>Ti46</t>
  </si>
  <si>
    <t>Ti47</t>
  </si>
  <si>
    <t>Ti48</t>
  </si>
  <si>
    <t>Ti49</t>
  </si>
  <si>
    <t>Ti50</t>
  </si>
  <si>
    <t>Ti51</t>
  </si>
  <si>
    <t>Ti52</t>
  </si>
  <si>
    <t>Ti53</t>
  </si>
  <si>
    <t>Ti54</t>
  </si>
  <si>
    <t>Ti55</t>
  </si>
  <si>
    <t>Ti56</t>
  </si>
  <si>
    <t>Ti57</t>
  </si>
  <si>
    <t>Ti58</t>
  </si>
  <si>
    <t>Ti59</t>
  </si>
  <si>
    <t>Ti60</t>
  </si>
  <si>
    <t>Ti61</t>
  </si>
  <si>
    <t>Ti62</t>
  </si>
  <si>
    <t>Ti63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</si>
  <si>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</si>
  <si>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</si>
  <si>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</si>
  <si>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</si>
  <si>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</si>
  <si>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</si>
  <si>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</si>
  <si>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</si>
  <si>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</si>
  <si>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</si>
  <si>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</si>
  <si>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</si>
  <si>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</si>
  <si>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</si>
  <si>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</si>
  <si>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</si>
  <si>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</si>
  <si>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</si>
  <si>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</si>
  <si>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</si>
  <si>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</si>
  <si>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</si>
  <si>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</si>
  <si>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</si>
  <si>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Cr42</t>
  </si>
  <si>
    <t>Cr43</t>
  </si>
  <si>
    <t>Cr44</t>
  </si>
  <si>
    <t>Cr45</t>
  </si>
  <si>
    <t>Cr46</t>
  </si>
  <si>
    <t>Cr47</t>
  </si>
  <si>
    <t>Cr48</t>
  </si>
  <si>
    <t>Cr49</t>
  </si>
  <si>
    <t>Cr50</t>
  </si>
  <si>
    <t>Cr51</t>
  </si>
  <si>
    <t>Cr52</t>
  </si>
  <si>
    <t>Cr53</t>
  </si>
  <si>
    <t>Cr54</t>
  </si>
  <si>
    <t>Cr55</t>
  </si>
  <si>
    <t>Cr56</t>
  </si>
  <si>
    <t>Cr57</t>
  </si>
  <si>
    <t>Cr58</t>
  </si>
  <si>
    <t>Cr59</t>
  </si>
  <si>
    <t>Cr60</t>
  </si>
  <si>
    <t>Cr61</t>
  </si>
  <si>
    <t>Cr62</t>
  </si>
  <si>
    <t>Cr63</t>
  </si>
  <si>
    <t>Cr64</t>
  </si>
  <si>
    <t>Cr65</t>
  </si>
  <si>
    <t>Cr66</t>
  </si>
  <si>
    <t>Cr68</t>
  </si>
  <si>
    <t>Mn46</t>
  </si>
  <si>
    <t>Mn47</t>
  </si>
  <si>
    <t>Mn48</t>
  </si>
  <si>
    <t>Mn49</t>
  </si>
  <si>
    <t>Mn50</t>
  </si>
  <si>
    <t>Mn51</t>
  </si>
  <si>
    <t>Mn52</t>
  </si>
  <si>
    <t>Mn53</t>
  </si>
  <si>
    <t>Mn54</t>
  </si>
  <si>
    <t>Mn55</t>
  </si>
  <si>
    <t>Mn56</t>
  </si>
  <si>
    <t>Mn57</t>
  </si>
  <si>
    <t>Mn58</t>
  </si>
  <si>
    <t>Mn59</t>
  </si>
  <si>
    <t>Mn60</t>
  </si>
  <si>
    <t>Mn61</t>
  </si>
  <si>
    <t>Mn62</t>
  </si>
  <si>
    <t>Mn63</t>
  </si>
  <si>
    <t>Mn64</t>
  </si>
  <si>
    <t>Mn65</t>
  </si>
  <si>
    <t>Mn66</t>
  </si>
  <si>
    <t>Mn67</t>
  </si>
  <si>
    <t>Mn68</t>
  </si>
  <si>
    <t>Mn69</t>
  </si>
  <si>
    <t>Mn70</t>
  </si>
  <si>
    <t>Mn71</t>
  </si>
  <si>
    <t>Fe45</t>
  </si>
  <si>
    <t>Fe46</t>
  </si>
  <si>
    <t>Fe47</t>
  </si>
  <si>
    <t>Fe48</t>
  </si>
  <si>
    <t>Fe49</t>
  </si>
  <si>
    <t>Fe50</t>
  </si>
  <si>
    <t>Fe51</t>
  </si>
  <si>
    <t>Fe52</t>
  </si>
  <si>
    <t>Fe53</t>
  </si>
  <si>
    <t>Fe54</t>
  </si>
  <si>
    <t>Fe55</t>
  </si>
  <si>
    <t>Fe56</t>
  </si>
  <si>
    <t>Fe57</t>
  </si>
  <si>
    <t>Fe58</t>
  </si>
  <si>
    <t>Fe59</t>
  </si>
  <si>
    <t>Fe60</t>
  </si>
  <si>
    <t>Fe61</t>
  </si>
  <si>
    <t>Fe62</t>
  </si>
  <si>
    <t>Fe63</t>
  </si>
  <si>
    <t>Fe64</t>
  </si>
  <si>
    <t>Fe65</t>
  </si>
  <si>
    <t>Fe66</t>
  </si>
  <si>
    <t>Fe67</t>
  </si>
  <si>
    <t>Fe68</t>
  </si>
  <si>
    <t>Fe69</t>
  </si>
  <si>
    <t>Fe70</t>
  </si>
  <si>
    <t>Fe71</t>
  </si>
  <si>
    <t>Fe72</t>
  </si>
  <si>
    <t>Fe73</t>
  </si>
  <si>
    <t>Fe74</t>
  </si>
  <si>
    <t>Co50</t>
  </si>
  <si>
    <t>Co51</t>
  </si>
  <si>
    <t>Co52</t>
  </si>
  <si>
    <t>Co53</t>
  </si>
  <si>
    <t>Co54</t>
  </si>
  <si>
    <t>Co55</t>
  </si>
  <si>
    <t>Co56</t>
  </si>
  <si>
    <t>Co57</t>
  </si>
  <si>
    <t>Co58</t>
  </si>
  <si>
    <t>Co59</t>
  </si>
  <si>
    <t>Co60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</si>
  <si>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</si>
  <si>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</si>
  <si>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</si>
  <si>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</si>
  <si>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</si>
  <si>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</si>
  <si>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</si>
  <si>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</si>
  <si>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</si>
  <si>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</si>
  <si>
    <t>Co71</t>
  </si>
  <si>
    <t>Co72</t>
  </si>
  <si>
    <t>Co73</t>
  </si>
  <si>
    <t>Co74</t>
  </si>
  <si>
    <t>Co75</t>
  </si>
  <si>
    <t>Co76</t>
  </si>
  <si>
    <t>Co77</t>
  </si>
  <si>
    <t>Ni48</t>
  </si>
  <si>
    <t>Ni49</t>
  </si>
  <si>
    <t>Ni50</t>
  </si>
  <si>
    <t>Ni51</t>
  </si>
  <si>
    <t>Ni52</t>
  </si>
  <si>
    <t>Ni53</t>
  </si>
  <si>
    <t>Ni54</t>
  </si>
  <si>
    <t>Ni55</t>
  </si>
  <si>
    <t>Ni56</t>
  </si>
  <si>
    <t>Ni57</t>
  </si>
  <si>
    <t>Ni58</t>
  </si>
  <si>
    <t>Ni59</t>
  </si>
  <si>
    <t>Ni60</t>
  </si>
  <si>
    <t>Ni61</t>
  </si>
  <si>
    <t>Ni62</t>
  </si>
  <si>
    <t>Ni63</t>
  </si>
  <si>
    <t>Ni64</t>
  </si>
  <si>
    <t>Ni65</t>
  </si>
  <si>
    <t>Ni66</t>
  </si>
  <si>
    <t>Ni67</t>
  </si>
  <si>
    <t>Ni68</t>
  </si>
  <si>
    <t>Ni69</t>
  </si>
  <si>
    <t>Ni70</t>
  </si>
  <si>
    <t>Ni71</t>
  </si>
  <si>
    <t>Ni72</t>
  </si>
  <si>
    <t>Ni73</t>
  </si>
  <si>
    <t>Ni74</t>
  </si>
  <si>
    <t>Ni75</t>
  </si>
  <si>
    <t>Ni76</t>
  </si>
  <si>
    <t>Ni77</t>
  </si>
  <si>
    <t>Ni78</t>
  </si>
  <si>
    <t>Ni79</t>
  </si>
  <si>
    <t>Ni80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</si>
  <si>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</si>
  <si>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</si>
  <si>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</si>
  <si>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</si>
  <si>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</si>
  <si>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</si>
  <si>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</si>
  <si>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</si>
  <si>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</si>
  <si>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</si>
  <si>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</si>
  <si>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</si>
  <si>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</si>
  <si>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</si>
  <si>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</si>
  <si>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</si>
  <si>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</si>
  <si>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</si>
  <si>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</si>
  <si>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</si>
  <si>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</si>
  <si>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</si>
  <si>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</si>
  <si>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</si>
  <si>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</si>
  <si>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</si>
  <si>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</si>
  <si>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</si>
  <si>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Zn54</t>
  </si>
  <si>
    <t>Zn55</t>
  </si>
  <si>
    <t>Zn56</t>
  </si>
  <si>
    <t>Zn57</t>
  </si>
  <si>
    <t>Zn58</t>
  </si>
  <si>
    <t>Zn59</t>
  </si>
  <si>
    <t>Zn60</t>
  </si>
  <si>
    <t>Zn61</t>
  </si>
  <si>
    <t>Zn62</t>
  </si>
  <si>
    <t>Zn63</t>
  </si>
  <si>
    <t>Zn64</t>
  </si>
  <si>
    <t>Zn65</t>
  </si>
  <si>
    <t>Zn66</t>
  </si>
  <si>
    <t>Zn67</t>
  </si>
  <si>
    <t>Zn68</t>
  </si>
  <si>
    <t>Zn69</t>
  </si>
  <si>
    <t>Zn70</t>
  </si>
  <si>
    <t>Zn71</t>
  </si>
  <si>
    <t>Zn72</t>
  </si>
  <si>
    <t>Zn73</t>
  </si>
  <si>
    <t>Zn74</t>
  </si>
  <si>
    <t>Zn75</t>
  </si>
  <si>
    <t>Zn76</t>
  </si>
  <si>
    <t>Zn77</t>
  </si>
  <si>
    <t>Zn78</t>
  </si>
  <si>
    <t>Zn79</t>
  </si>
  <si>
    <t>Zn80</t>
  </si>
  <si>
    <t>Zn81</t>
  </si>
  <si>
    <t>Zn82</t>
  </si>
  <si>
    <t>Zn83</t>
  </si>
  <si>
    <t>Zn84</t>
  </si>
  <si>
    <t>Zn85</t>
  </si>
  <si>
    <t>Ga60</t>
  </si>
  <si>
    <t>Ga61</t>
  </si>
  <si>
    <t>Ga62</t>
  </si>
  <si>
    <t>Ga63</t>
  </si>
  <si>
    <t>Ga64</t>
  </si>
  <si>
    <t>Ga65</t>
  </si>
  <si>
    <t>Ga66</t>
  </si>
  <si>
    <t>Ga67</t>
  </si>
  <si>
    <t>Ga68</t>
  </si>
  <si>
    <t>Ga69</t>
  </si>
  <si>
    <t>Ga70</t>
  </si>
  <si>
    <t>Ga71</t>
  </si>
  <si>
    <t>Ga72</t>
  </si>
  <si>
    <t>Ga73</t>
  </si>
  <si>
    <t>Ga74</t>
  </si>
  <si>
    <t>Ga75</t>
  </si>
  <si>
    <t>Ga76</t>
  </si>
  <si>
    <t>Ga77</t>
  </si>
  <si>
    <t>Ga78</t>
  </si>
  <si>
    <t>Ga79</t>
  </si>
  <si>
    <t>Ga80</t>
  </si>
  <si>
    <t>Ga81</t>
  </si>
  <si>
    <t>Ga82</t>
  </si>
  <si>
    <t>Ga83</t>
  </si>
  <si>
    <t>Ga84</t>
  </si>
  <si>
    <t>Ga85</t>
  </si>
  <si>
    <t>Ga86</t>
  </si>
  <si>
    <t>Ga87</t>
  </si>
  <si>
    <t>Ge59</t>
  </si>
  <si>
    <t>Ge60</t>
  </si>
  <si>
    <t>Ge61</t>
  </si>
  <si>
    <t>Ge62</t>
  </si>
  <si>
    <t>Ge63</t>
  </si>
  <si>
    <t>Ge64</t>
  </si>
  <si>
    <t>Ge65</t>
  </si>
  <si>
    <t>Ge66</t>
  </si>
  <si>
    <t>Ge67</t>
  </si>
  <si>
    <t>Ge68</t>
  </si>
  <si>
    <t>Ge69</t>
  </si>
  <si>
    <t>Ge70</t>
  </si>
  <si>
    <t>Ge71</t>
  </si>
  <si>
    <t>Ge72</t>
  </si>
  <si>
    <t>Ge73</t>
  </si>
  <si>
    <t>Ge74</t>
  </si>
  <si>
    <t>Ge75</t>
  </si>
  <si>
    <t>Ge76</t>
  </si>
  <si>
    <t>Ge77</t>
  </si>
  <si>
    <t>Ge78</t>
  </si>
  <si>
    <t>Ge79</t>
  </si>
  <si>
    <t>Ge80</t>
  </si>
  <si>
    <t>Ge81</t>
  </si>
  <si>
    <t>Ge82</t>
  </si>
  <si>
    <t>Ge83</t>
  </si>
  <si>
    <t>Ge84</t>
  </si>
  <si>
    <t>Ge85</t>
  </si>
  <si>
    <t>Ge86</t>
  </si>
  <si>
    <t>Ge87</t>
  </si>
  <si>
    <t>Ge88</t>
  </si>
  <si>
    <t>Ge89</t>
  </si>
  <si>
    <t>Ge90</t>
  </si>
  <si>
    <t>As64</t>
  </si>
  <si>
    <t>As65</t>
  </si>
  <si>
    <t>As66</t>
  </si>
  <si>
    <t>As67</t>
  </si>
  <si>
    <t>As68</t>
  </si>
  <si>
    <t>As69</t>
  </si>
  <si>
    <t>As70</t>
  </si>
  <si>
    <t>As71</t>
  </si>
  <si>
    <t>As72</t>
  </si>
  <si>
    <t>As73</t>
  </si>
  <si>
    <t>As74</t>
  </si>
  <si>
    <t>As75</t>
  </si>
  <si>
    <t>As76</t>
  </si>
  <si>
    <t>As77</t>
  </si>
  <si>
    <t>As78</t>
  </si>
  <si>
    <t>As79</t>
  </si>
  <si>
    <t>As80</t>
  </si>
  <si>
    <t>As81</t>
  </si>
  <si>
    <t>As82</t>
  </si>
  <si>
    <t>As83</t>
  </si>
  <si>
    <t>As84</t>
  </si>
  <si>
    <t>As85</t>
  </si>
  <si>
    <t>As86</t>
  </si>
  <si>
    <t>As87</t>
  </si>
  <si>
    <t>As88</t>
  </si>
  <si>
    <t>As89</t>
  </si>
  <si>
    <t>As90</t>
  </si>
  <si>
    <t>As91</t>
  </si>
  <si>
    <t>Se64</t>
  </si>
  <si>
    <t>Se65</t>
  </si>
  <si>
    <t>Se66</t>
  </si>
  <si>
    <t>Se67</t>
  </si>
  <si>
    <t>Se68</t>
  </si>
  <si>
    <t>Se69</t>
  </si>
  <si>
    <t>Se70</t>
  </si>
  <si>
    <t>Se71</t>
  </si>
  <si>
    <t>Se72</t>
  </si>
  <si>
    <t>Se73</t>
  </si>
  <si>
    <t>Se74</t>
  </si>
  <si>
    <t>Se75</t>
  </si>
  <si>
    <t>Se76</t>
  </si>
  <si>
    <t>Se77</t>
  </si>
  <si>
    <t>Se78</t>
  </si>
  <si>
    <t>Se79</t>
  </si>
  <si>
    <t>Se80</t>
  </si>
  <si>
    <t>Se81</t>
  </si>
  <si>
    <t>Se82</t>
  </si>
  <si>
    <t>Se83</t>
  </si>
  <si>
    <t>Se84</t>
  </si>
  <si>
    <t>Se85</t>
  </si>
  <si>
    <t>Se86</t>
  </si>
  <si>
    <t>Se87</t>
  </si>
  <si>
    <t>Se88</t>
  </si>
  <si>
    <t>Se89</t>
  </si>
  <si>
    <t>Se90</t>
  </si>
  <si>
    <t>Se91</t>
  </si>
  <si>
    <t>Se94</t>
  </si>
  <si>
    <t>Se95</t>
  </si>
  <si>
    <t>Br70</t>
  </si>
  <si>
    <t>Br71</t>
  </si>
  <si>
    <t>Br72</t>
  </si>
  <si>
    <t>Br73</t>
  </si>
  <si>
    <t>Br74</t>
  </si>
  <si>
    <t>Br75</t>
  </si>
  <si>
    <t>Br76</t>
  </si>
  <si>
    <t>Br77</t>
  </si>
  <si>
    <t>Br78</t>
  </si>
  <si>
    <t>Br79</t>
  </si>
  <si>
    <t>Br80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</si>
  <si>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</si>
  <si>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</si>
  <si>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</si>
  <si>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</si>
  <si>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</si>
  <si>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</si>
  <si>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</si>
  <si>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</si>
  <si>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</si>
  <si>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</si>
  <si>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Br91</t>
  </si>
  <si>
    <t>Br92</t>
  </si>
  <si>
    <t>Br93</t>
  </si>
  <si>
    <t>Br94</t>
  </si>
  <si>
    <t>Br95</t>
  </si>
  <si>
    <t>Br96</t>
  </si>
  <si>
    <t>Br97</t>
  </si>
  <si>
    <t>Br98</t>
  </si>
  <si>
    <t>Kr69</t>
  </si>
  <si>
    <t>Kr70</t>
  </si>
  <si>
    <t>Kr71</t>
  </si>
  <si>
    <t>Kr72</t>
  </si>
  <si>
    <t>Kr73</t>
  </si>
  <si>
    <t>Kr74</t>
  </si>
  <si>
    <t>Kr75</t>
  </si>
  <si>
    <t>Kr76</t>
  </si>
  <si>
    <t>Kr77</t>
  </si>
  <si>
    <t>Kr78</t>
  </si>
  <si>
    <t>Kr79</t>
  </si>
  <si>
    <t>Kr80</t>
  </si>
  <si>
    <t>Kr81</t>
  </si>
  <si>
    <t>Kr82</t>
  </si>
  <si>
    <t>Kr83</t>
  </si>
  <si>
    <t>Kr84</t>
  </si>
  <si>
    <t>Kr85</t>
  </si>
  <si>
    <t>Kr86</t>
  </si>
  <si>
    <t>Kr87</t>
  </si>
  <si>
    <t>Kr88</t>
  </si>
  <si>
    <t>Kr89</t>
  </si>
  <si>
    <t>Kr90</t>
  </si>
  <si>
    <t>Kr91</t>
  </si>
  <si>
    <t>Kr92</t>
  </si>
  <si>
    <t>Kr93</t>
  </si>
  <si>
    <t>Kr94</t>
  </si>
  <si>
    <t>Kr95</t>
  </si>
  <si>
    <t>Kr96</t>
  </si>
  <si>
    <t>Kr97</t>
  </si>
  <si>
    <t>Kr98</t>
  </si>
  <si>
    <t>Kr99</t>
  </si>
  <si>
    <t>Kr100</t>
  </si>
  <si>
    <t>Kr101</t>
  </si>
  <si>
    <t>Rb74</t>
  </si>
  <si>
    <t>Rb75</t>
  </si>
  <si>
    <t>Rb76</t>
  </si>
  <si>
    <t>Rb77</t>
  </si>
  <si>
    <t>Rb78</t>
  </si>
  <si>
    <t>Rb79</t>
  </si>
  <si>
    <t>Rb80</t>
  </si>
  <si>
    <t>Rb81</t>
  </si>
  <si>
    <t>Rb82</t>
  </si>
  <si>
    <t>Rb83</t>
  </si>
  <si>
    <t>Rb84</t>
  </si>
  <si>
    <t>Rb85</t>
  </si>
  <si>
    <t>Rb86</t>
  </si>
  <si>
    <t>Rb87</t>
  </si>
  <si>
    <t>Rb88</t>
  </si>
  <si>
    <t>Rb89</t>
  </si>
  <si>
    <t>Rb90</t>
  </si>
  <si>
    <t>Rb91</t>
  </si>
  <si>
    <t>Rb92</t>
  </si>
  <si>
    <t>Rb93</t>
  </si>
  <si>
    <t>Rb94</t>
  </si>
  <si>
    <t>Rb95</t>
  </si>
  <si>
    <t>Rb96</t>
  </si>
  <si>
    <t>Rb97</t>
  </si>
  <si>
    <t>Rb98</t>
  </si>
  <si>
    <t>Rb99</t>
  </si>
  <si>
    <t>Rb100</t>
  </si>
  <si>
    <t>Rb101</t>
  </si>
  <si>
    <t>Rb102</t>
  </si>
  <si>
    <t>Rb103</t>
  </si>
  <si>
    <t>Sr73</t>
  </si>
  <si>
    <t>Sr74</t>
  </si>
  <si>
    <t>Sr75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</si>
  <si>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</si>
  <si>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</si>
  <si>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</si>
  <si>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</si>
  <si>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</si>
  <si>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</si>
  <si>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</si>
  <si>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</si>
  <si>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</si>
  <si>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</si>
  <si>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</si>
  <si>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</si>
  <si>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</si>
  <si>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</si>
  <si>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</si>
  <si>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</si>
  <si>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</si>
  <si>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</si>
  <si>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</si>
  <si>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</si>
  <si>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</si>
  <si>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</si>
  <si>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</si>
  <si>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</si>
  <si>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</si>
  <si>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</si>
  <si>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</si>
  <si>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</si>
  <si>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</si>
  <si>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</si>
  <si>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</si>
  <si>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</si>
  <si>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</si>
  <si>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</si>
  <si>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</si>
  <si>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</si>
  <si>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</si>
  <si>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</si>
  <si>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</si>
  <si>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</si>
  <si>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</si>
  <si>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</si>
  <si>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</si>
  <si>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</si>
  <si>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</si>
  <si>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</si>
  <si>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</si>
  <si>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</si>
  <si>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</si>
  <si>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</si>
  <si>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</si>
  <si>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</si>
  <si>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</si>
  <si>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</si>
  <si>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</si>
  <si>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</si>
  <si>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</si>
  <si>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</si>
  <si>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</si>
  <si>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</si>
  <si>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</si>
  <si>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</si>
  <si>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</si>
  <si>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</si>
  <si>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</si>
  <si>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</si>
  <si>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Zr78</t>
  </si>
  <si>
    <t>Zr79</t>
  </si>
  <si>
    <t>Zr80</t>
  </si>
  <si>
    <t>Zr81</t>
  </si>
  <si>
    <t>Zr82</t>
  </si>
  <si>
    <t>Zr83</t>
  </si>
  <si>
    <t>Zr84</t>
  </si>
  <si>
    <t>Zr85</t>
  </si>
  <si>
    <t>Zr86</t>
  </si>
  <si>
    <t>Zr87</t>
  </si>
  <si>
    <t>Zr88</t>
  </si>
  <si>
    <t>Zr89</t>
  </si>
  <si>
    <t>Zr90</t>
  </si>
  <si>
    <t>Zr91</t>
  </si>
  <si>
    <t>Zr92</t>
  </si>
  <si>
    <t>Zr93</t>
  </si>
  <si>
    <t>Zr94</t>
  </si>
  <si>
    <t>Zr95</t>
  </si>
  <si>
    <t>Zr96</t>
  </si>
  <si>
    <t>Zr97</t>
  </si>
  <si>
    <t>Zr98</t>
  </si>
  <si>
    <t>Zr99</t>
  </si>
  <si>
    <t>Zr100</t>
  </si>
  <si>
    <t>Zr101</t>
  </si>
  <si>
    <t>Zr102</t>
  </si>
  <si>
    <t>Zr103</t>
  </si>
  <si>
    <t>Zr104</t>
  </si>
  <si>
    <t>Zr105</t>
  </si>
  <si>
    <t>Zr106</t>
  </si>
  <si>
    <t>Zr107</t>
  </si>
  <si>
    <t>Zr108</t>
  </si>
  <si>
    <t>Zr109</t>
  </si>
  <si>
    <t>Zr110</t>
  </si>
  <si>
    <t>Zr111</t>
  </si>
  <si>
    <t>Zr112</t>
  </si>
  <si>
    <t>Nb82</t>
  </si>
  <si>
    <t>Nb83</t>
  </si>
  <si>
    <t>Nb84</t>
  </si>
  <si>
    <t>Nb85</t>
  </si>
  <si>
    <t>Nb86</t>
  </si>
  <si>
    <t>Nb87</t>
  </si>
  <si>
    <t>Nb88</t>
  </si>
  <si>
    <t>Nb89</t>
  </si>
  <si>
    <t>Nb90</t>
  </si>
  <si>
    <t>Nb91</t>
  </si>
  <si>
    <t>Nb92</t>
  </si>
  <si>
    <t>Nb93</t>
  </si>
  <si>
    <t>Nb94</t>
  </si>
  <si>
    <t>Nb95</t>
  </si>
  <si>
    <t>Nb96</t>
  </si>
  <si>
    <t>Nb97</t>
  </si>
  <si>
    <t>Nb98</t>
  </si>
  <si>
    <t>Nb99</t>
  </si>
  <si>
    <t>Nb100</t>
  </si>
  <si>
    <t>Nb101</t>
  </si>
  <si>
    <t>Nb102</t>
  </si>
  <si>
    <t>Nb103</t>
  </si>
  <si>
    <t>Nb104</t>
  </si>
  <si>
    <t>Nb105</t>
  </si>
  <si>
    <t>Nb106</t>
  </si>
  <si>
    <t>Nb107</t>
  </si>
  <si>
    <t>Nb108</t>
  </si>
  <si>
    <t>Nb109</t>
  </si>
  <si>
    <t>Nb110</t>
  </si>
  <si>
    <t>Nb111</t>
  </si>
  <si>
    <t>Nb112</t>
  </si>
  <si>
    <t>Nb113</t>
  </si>
  <si>
    <t>Nb114</t>
  </si>
  <si>
    <t>Nb115</t>
  </si>
  <si>
    <t>Mo81</t>
  </si>
  <si>
    <t>Mo82</t>
  </si>
  <si>
    <t>Mo83</t>
  </si>
  <si>
    <t>Mo84</t>
  </si>
  <si>
    <t>Mo85</t>
  </si>
  <si>
    <t>Mo86</t>
  </si>
  <si>
    <t>Mo87</t>
  </si>
  <si>
    <t>Mo88</t>
  </si>
  <si>
    <t>Mo89</t>
  </si>
  <si>
    <t>Mo90</t>
  </si>
  <si>
    <t>Mo91</t>
  </si>
  <si>
    <t>Mo92</t>
  </si>
  <si>
    <t>Mo93</t>
  </si>
  <si>
    <t>Mo94</t>
  </si>
  <si>
    <t>Mo95</t>
  </si>
  <si>
    <t>Mo96</t>
  </si>
  <si>
    <t>Mo97</t>
  </si>
  <si>
    <t>Mo98</t>
  </si>
  <si>
    <t>Mo99</t>
  </si>
  <si>
    <t>Mo100</t>
  </si>
  <si>
    <t>Mo101</t>
  </si>
  <si>
    <t>Mo102</t>
  </si>
  <si>
    <t>Mo103</t>
  </si>
  <si>
    <t>Mo104</t>
  </si>
  <si>
    <t>Mo105</t>
  </si>
  <si>
    <t>Mo106</t>
  </si>
  <si>
    <t>Mo107</t>
  </si>
  <si>
    <t>Mo108</t>
  </si>
  <si>
    <t>Mo109</t>
  </si>
  <si>
    <t>Mo110</t>
  </si>
  <si>
    <t>Mo111</t>
  </si>
  <si>
    <t>Mo112</t>
  </si>
  <si>
    <t>Mo113</t>
  </si>
  <si>
    <t>Mo114</t>
  </si>
  <si>
    <t>Mo115</t>
  </si>
  <si>
    <t>Mo116</t>
  </si>
  <si>
    <t>Mo117</t>
  </si>
  <si>
    <t>Mo118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</si>
  <si>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</si>
  <si>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</si>
  <si>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</si>
  <si>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</si>
  <si>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</si>
  <si>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</si>
  <si>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</si>
  <si>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</si>
  <si>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</si>
  <si>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</si>
  <si>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</si>
  <si>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</si>
  <si>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</si>
  <si>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</si>
  <si>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</si>
  <si>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</si>
  <si>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</si>
  <si>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</si>
  <si>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</si>
  <si>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</si>
  <si>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</si>
  <si>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</si>
  <si>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</si>
  <si>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</si>
  <si>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</si>
  <si>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</si>
  <si>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</si>
  <si>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</si>
  <si>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</si>
  <si>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</si>
  <si>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</si>
  <si>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</si>
  <si>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</si>
  <si>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</si>
  <si>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</si>
  <si>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</si>
  <si>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</si>
  <si>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Ru85</t>
  </si>
  <si>
    <t>Ru86</t>
  </si>
  <si>
    <t>Ru87</t>
  </si>
  <si>
    <t>Ru88</t>
  </si>
  <si>
    <t>Ru89</t>
  </si>
  <si>
    <t>Ru90</t>
  </si>
  <si>
    <t>Ru91</t>
  </si>
  <si>
    <t>Ru92</t>
  </si>
  <si>
    <t>Ru93</t>
  </si>
  <si>
    <t>Ru94</t>
  </si>
  <si>
    <t>Ru95</t>
  </si>
  <si>
    <t>Ru96</t>
  </si>
  <si>
    <t>Ru97</t>
  </si>
  <si>
    <t>Ru98</t>
  </si>
  <si>
    <t>Ru99</t>
  </si>
  <si>
    <t>Ru100</t>
  </si>
  <si>
    <t>Ru101</t>
  </si>
  <si>
    <t>Ru102</t>
  </si>
  <si>
    <t>Ru103</t>
  </si>
  <si>
    <t>Ru104</t>
  </si>
  <si>
    <t>Ru105</t>
  </si>
  <si>
    <t>Ru106</t>
  </si>
  <si>
    <t>Ru107</t>
  </si>
  <si>
    <t>Ru108</t>
  </si>
  <si>
    <t>Ru109</t>
  </si>
  <si>
    <t>Ru110</t>
  </si>
  <si>
    <t>Ru111</t>
  </si>
  <si>
    <t>Ru112</t>
  </si>
  <si>
    <t>Ru113</t>
  </si>
  <si>
    <t>Ru114</t>
  </si>
  <si>
    <t>Ru115</t>
  </si>
  <si>
    <t>Ru116</t>
  </si>
  <si>
    <t>Ru117</t>
  </si>
  <si>
    <t>Ru118</t>
  </si>
  <si>
    <t>Ru119</t>
  </si>
  <si>
    <t>Ru120</t>
  </si>
  <si>
    <t>Ru121</t>
  </si>
  <si>
    <t>Ru122</t>
  </si>
  <si>
    <t>Ru123</t>
  </si>
  <si>
    <t>Ru124</t>
  </si>
  <si>
    <t>Rh89</t>
  </si>
  <si>
    <t>Rh90</t>
  </si>
  <si>
    <t>Rh91</t>
  </si>
  <si>
    <t>Rh92</t>
  </si>
  <si>
    <t>Rh93</t>
  </si>
  <si>
    <t>Rh94</t>
  </si>
  <si>
    <t>Rh95</t>
  </si>
  <si>
    <t>Rh96</t>
  </si>
  <si>
    <t>Rh97</t>
  </si>
  <si>
    <t>Rh98</t>
  </si>
  <si>
    <t>Rh99</t>
  </si>
  <si>
    <t>Rh100</t>
  </si>
  <si>
    <t>Rh101</t>
  </si>
  <si>
    <t>Rh102</t>
  </si>
  <si>
    <t>Rh103</t>
  </si>
  <si>
    <t>Rh104</t>
  </si>
  <si>
    <t>Rh105</t>
  </si>
  <si>
    <t>Rh106</t>
  </si>
  <si>
    <t>Rh107</t>
  </si>
  <si>
    <t>Rh108</t>
  </si>
  <si>
    <t>Rh109</t>
  </si>
  <si>
    <t>Rh110</t>
  </si>
  <si>
    <t>Rh111</t>
  </si>
  <si>
    <t>Rh112</t>
  </si>
  <si>
    <t>Rh113</t>
  </si>
  <si>
    <t>Rh114</t>
  </si>
  <si>
    <t>Rh115</t>
  </si>
  <si>
    <t>Rh116</t>
  </si>
  <si>
    <t>Rh117</t>
  </si>
  <si>
    <t>Rh118</t>
  </si>
  <si>
    <t>Rh119</t>
  </si>
  <si>
    <t>Rh120</t>
  </si>
  <si>
    <t>Rh121</t>
  </si>
  <si>
    <t>Rh122</t>
  </si>
  <si>
    <t>Rh123</t>
  </si>
  <si>
    <t>Rh124</t>
  </si>
  <si>
    <t>Rh125</t>
  </si>
  <si>
    <t>Rh126</t>
  </si>
  <si>
    <t>Rh127</t>
  </si>
  <si>
    <t>Pd91</t>
  </si>
  <si>
    <t>Pd92</t>
  </si>
  <si>
    <t>Pd93</t>
  </si>
  <si>
    <t>Pd94</t>
  </si>
  <si>
    <t>Pd95</t>
  </si>
  <si>
    <t>Pd96</t>
  </si>
  <si>
    <t>Pd97</t>
  </si>
  <si>
    <t>Pd98</t>
  </si>
  <si>
    <t>Pd99</t>
  </si>
  <si>
    <t>Pd100</t>
  </si>
  <si>
    <t>Pd101</t>
  </si>
  <si>
    <t>Pd102</t>
  </si>
  <si>
    <t>Pd103</t>
  </si>
  <si>
    <t>Pd104</t>
  </si>
  <si>
    <t>Pd105</t>
  </si>
  <si>
    <t>Pd106</t>
  </si>
  <si>
    <t>Pd107</t>
  </si>
  <si>
    <t>Pd108</t>
  </si>
  <si>
    <t>Pd109</t>
  </si>
  <si>
    <t>Pd110</t>
  </si>
  <si>
    <t>Pd111</t>
  </si>
  <si>
    <t>Pd112</t>
  </si>
  <si>
    <t>Pd113</t>
  </si>
  <si>
    <t>Pd114</t>
  </si>
  <si>
    <t>Pd115</t>
  </si>
  <si>
    <t>Pd116</t>
  </si>
  <si>
    <t>Pd117</t>
  </si>
  <si>
    <t>Pd118</t>
  </si>
  <si>
    <t>Pd119</t>
  </si>
  <si>
    <t>Pd120</t>
  </si>
  <si>
    <t>Pd121</t>
  </si>
  <si>
    <t>Pd122</t>
  </si>
  <si>
    <t>Pd123</t>
  </si>
  <si>
    <t>Pd124</t>
  </si>
  <si>
    <t>Pd125</t>
  </si>
  <si>
    <t>Pd126</t>
  </si>
  <si>
    <t>Pd127</t>
  </si>
  <si>
    <t>Pd128</t>
  </si>
  <si>
    <t>Ag94</t>
  </si>
  <si>
    <t>Ag95</t>
  </si>
  <si>
    <t>Ag96</t>
  </si>
  <si>
    <t>Ag97</t>
  </si>
  <si>
    <t>Ag98</t>
  </si>
  <si>
    <t>Ag99</t>
  </si>
  <si>
    <t>Ag100</t>
  </si>
  <si>
    <t>Ag101</t>
  </si>
  <si>
    <t>Ag102</t>
  </si>
  <si>
    <t>Ag103</t>
  </si>
  <si>
    <t>Ag104</t>
  </si>
  <si>
    <t>Ag105</t>
  </si>
  <si>
    <t>Ag106</t>
  </si>
  <si>
    <t>Ag107</t>
  </si>
  <si>
    <t>Ag108</t>
  </si>
  <si>
    <t>Ag109</t>
  </si>
  <si>
    <t>Ag110</t>
  </si>
  <si>
    <t>Ag111</t>
  </si>
  <si>
    <t>Ag112</t>
  </si>
  <si>
    <t>Ag113</t>
  </si>
  <si>
    <t>Ag114</t>
  </si>
  <si>
    <t>Ag115</t>
  </si>
  <si>
    <t>Ag116</t>
  </si>
  <si>
    <t>Ag117</t>
  </si>
  <si>
    <t>Ag118</t>
  </si>
  <si>
    <t>Ag119</t>
  </si>
  <si>
    <t>Ag120</t>
  </si>
  <si>
    <t>Ag121</t>
  </si>
  <si>
    <t>Ag122</t>
  </si>
  <si>
    <t>Ag123</t>
  </si>
  <si>
    <t>Ag124</t>
  </si>
  <si>
    <t>Ag125</t>
  </si>
  <si>
    <t>Ag126</t>
  </si>
  <si>
    <t>Ag127</t>
  </si>
  <si>
    <t>Ag128</t>
  </si>
  <si>
    <t>Ag129</t>
  </si>
  <si>
    <t>Ag130</t>
  </si>
  <si>
    <t>Ag131</t>
  </si>
  <si>
    <t>Ag132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</si>
  <si>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</si>
  <si>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</si>
  <si>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</si>
  <si>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</si>
  <si>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</si>
  <si>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</si>
  <si>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</si>
  <si>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</si>
  <si>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</si>
  <si>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</si>
  <si>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</si>
  <si>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</si>
  <si>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Cd108</t>
  </si>
  <si>
    <t>Cd109</t>
  </si>
  <si>
    <t>Cd110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</si>
  <si>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</si>
  <si>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</si>
  <si>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</si>
  <si>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</si>
  <si>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</si>
  <si>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</si>
  <si>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</si>
  <si>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</si>
  <si>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</si>
  <si>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</si>
  <si>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</si>
  <si>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</si>
  <si>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</si>
  <si>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</si>
  <si>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</si>
  <si>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</si>
  <si>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</si>
  <si>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</si>
  <si>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</si>
  <si>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</si>
  <si>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</si>
  <si>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</si>
  <si>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</si>
  <si>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</si>
  <si>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In98</t>
  </si>
  <si>
    <t>In99</t>
  </si>
  <si>
    <t>In100</t>
  </si>
  <si>
    <t>In101</t>
  </si>
  <si>
    <t>In102</t>
  </si>
  <si>
    <t>In103</t>
  </si>
  <si>
    <t>In104</t>
  </si>
  <si>
    <t>In105</t>
  </si>
  <si>
    <t>In106</t>
  </si>
  <si>
    <t>In107</t>
  </si>
  <si>
    <t>In108</t>
  </si>
  <si>
    <t>In109</t>
  </si>
  <si>
    <t>In110</t>
  </si>
  <si>
    <t>In111</t>
  </si>
  <si>
    <t>In112</t>
  </si>
  <si>
    <t>In113</t>
  </si>
  <si>
    <t>In114</t>
  </si>
  <si>
    <t>In115</t>
  </si>
  <si>
    <t>In116</t>
  </si>
  <si>
    <t>In117</t>
  </si>
  <si>
    <t>In118</t>
  </si>
  <si>
    <t>In119</t>
  </si>
  <si>
    <t>In120</t>
  </si>
  <si>
    <t>In121</t>
  </si>
  <si>
    <t>In122</t>
  </si>
  <si>
    <t>In123</t>
  </si>
  <si>
    <t>In124</t>
  </si>
  <si>
    <t>In125</t>
  </si>
  <si>
    <t>In126</t>
  </si>
  <si>
    <t>In127</t>
  </si>
  <si>
    <t>In128</t>
  </si>
  <si>
    <t>In129</t>
  </si>
  <si>
    <t>In130</t>
  </si>
  <si>
    <t>In131</t>
  </si>
  <si>
    <t>In132</t>
  </si>
  <si>
    <t>In133</t>
  </si>
  <si>
    <t>In134</t>
  </si>
  <si>
    <t>In135</t>
  </si>
  <si>
    <t>In136</t>
  </si>
  <si>
    <t>In137</t>
  </si>
  <si>
    <t>Sn100</t>
  </si>
  <si>
    <t>Sn101</t>
  </si>
  <si>
    <t>Sn102</t>
  </si>
  <si>
    <t>Sn103</t>
  </si>
  <si>
    <t>Sn104</t>
  </si>
  <si>
    <t>Sn105</t>
  </si>
  <si>
    <t>Sn106</t>
  </si>
  <si>
    <t>Sn107</t>
  </si>
  <si>
    <t>Sn108</t>
  </si>
  <si>
    <t>Sn109</t>
  </si>
  <si>
    <t>Sn110</t>
  </si>
  <si>
    <t>Sn111</t>
  </si>
  <si>
    <t>Sn113</t>
  </si>
  <si>
    <t>Sn114</t>
  </si>
  <si>
    <t>Sn115</t>
  </si>
  <si>
    <t>Sn116</t>
  </si>
  <si>
    <t>Sn117</t>
  </si>
  <si>
    <t>Sn118</t>
  </si>
  <si>
    <t>Sn119</t>
  </si>
  <si>
    <t>Sn120</t>
  </si>
  <si>
    <t>Sn121</t>
  </si>
  <si>
    <t>Sn122</t>
  </si>
  <si>
    <t>Sn123</t>
  </si>
  <si>
    <t>Sn124</t>
  </si>
  <si>
    <t>Sn125</t>
  </si>
  <si>
    <t>Sn126</t>
  </si>
  <si>
    <t>Sn127</t>
  </si>
  <si>
    <t>Sn128</t>
  </si>
  <si>
    <t>Sn129</t>
  </si>
  <si>
    <t>Sn130</t>
  </si>
  <si>
    <t>Sn131</t>
  </si>
  <si>
    <t>Sn132</t>
  </si>
  <si>
    <t>Sn133</t>
  </si>
  <si>
    <t>Sn134</t>
  </si>
  <si>
    <t>Sn135</t>
  </si>
  <si>
    <t>Sn136</t>
  </si>
  <si>
    <t>Sn137</t>
  </si>
  <si>
    <t>Sn138</t>
  </si>
  <si>
    <t>Sn139</t>
  </si>
  <si>
    <t>Sb103</t>
  </si>
  <si>
    <t>Sb104</t>
  </si>
  <si>
    <t>Sb105</t>
  </si>
  <si>
    <t>Sb106</t>
  </si>
  <si>
    <t>Sb107</t>
  </si>
  <si>
    <t>Sb108</t>
  </si>
  <si>
    <t>Sb109</t>
  </si>
  <si>
    <t>Sb110</t>
  </si>
  <si>
    <t>Sb111</t>
  </si>
  <si>
    <t>Sb112</t>
  </si>
  <si>
    <t>Sb113</t>
  </si>
  <si>
    <t>Sb114</t>
  </si>
  <si>
    <t>Sb115</t>
  </si>
  <si>
    <t>Sb116</t>
  </si>
  <si>
    <t>Sb117</t>
  </si>
  <si>
    <t>Sb118</t>
  </si>
  <si>
    <t>Sb119</t>
  </si>
  <si>
    <t>Sb120</t>
  </si>
  <si>
    <t>Sb121</t>
  </si>
  <si>
    <t>Sb122</t>
  </si>
  <si>
    <t>Sb123</t>
  </si>
  <si>
    <t>Sb124</t>
  </si>
  <si>
    <t>Sb125</t>
  </si>
  <si>
    <t>Sb126</t>
  </si>
  <si>
    <t>Sb127</t>
  </si>
  <si>
    <t>Sb128</t>
  </si>
  <si>
    <t>Sb129</t>
  </si>
  <si>
    <t>Sb130</t>
  </si>
  <si>
    <t>Sb131</t>
  </si>
  <si>
    <t>Sb132</t>
  </si>
  <si>
    <t>Sb133</t>
  </si>
  <si>
    <t>Sb134</t>
  </si>
  <si>
    <t>Sb135</t>
  </si>
  <si>
    <t>Sb136</t>
  </si>
  <si>
    <t>Sb137</t>
  </si>
  <si>
    <t>Sb138</t>
  </si>
  <si>
    <t>Sb139</t>
  </si>
  <si>
    <t>Sb140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</si>
  <si>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</si>
  <si>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</si>
  <si>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</si>
  <si>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</si>
  <si>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</si>
  <si>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</si>
  <si>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</si>
  <si>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</si>
  <si>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</si>
  <si>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</si>
  <si>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</si>
  <si>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</si>
  <si>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</si>
  <si>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</si>
  <si>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</si>
  <si>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</si>
  <si>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</si>
  <si>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</si>
  <si>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</si>
  <si>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</si>
  <si>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</si>
  <si>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</si>
  <si>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</si>
  <si>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</si>
  <si>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</si>
  <si>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</si>
  <si>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</si>
  <si>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</si>
  <si>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</si>
  <si>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</si>
  <si>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</si>
  <si>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</si>
  <si>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</si>
  <si>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</si>
  <si>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</si>
  <si>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</si>
  <si>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</si>
  <si>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Te143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</si>
  <si>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</si>
  <si>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</si>
  <si>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</si>
  <si>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</si>
  <si>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</si>
  <si>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</si>
  <si>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</si>
  <si>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</si>
  <si>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</si>
  <si>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</si>
  <si>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</si>
  <si>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</si>
  <si>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</si>
  <si>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</si>
  <si>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</si>
  <si>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</si>
  <si>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</si>
  <si>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</si>
  <si>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</si>
  <si>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</si>
  <si>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</si>
  <si>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</si>
  <si>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</si>
  <si>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</si>
  <si>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</si>
  <si>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</si>
  <si>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</si>
  <si>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</si>
  <si>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</si>
  <si>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</si>
  <si>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</si>
  <si>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</si>
  <si>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</si>
  <si>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</si>
  <si>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</si>
  <si>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</si>
  <si>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</si>
  <si>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</si>
  <si>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Xe109</t>
  </si>
  <si>
    <t>Xe110</t>
  </si>
  <si>
    <t>Xe111</t>
  </si>
  <si>
    <t>Xe112</t>
  </si>
  <si>
    <t>Xe113</t>
  </si>
  <si>
    <t>Xe114</t>
  </si>
  <si>
    <t>Xe115</t>
  </si>
  <si>
    <t>Xe116</t>
  </si>
  <si>
    <t>Xe117</t>
  </si>
  <si>
    <t>Xe118</t>
  </si>
  <si>
    <t>Xe119</t>
  </si>
  <si>
    <t>Xe120</t>
  </si>
  <si>
    <t>Xe121</t>
  </si>
  <si>
    <t>Xe122</t>
  </si>
  <si>
    <t>Xe123</t>
  </si>
  <si>
    <t>Xe124</t>
  </si>
  <si>
    <t>Xe125</t>
  </si>
  <si>
    <t>Xe126</t>
  </si>
  <si>
    <t>Xe127</t>
  </si>
  <si>
    <t>Xe128</t>
  </si>
  <si>
    <t>Xe129</t>
  </si>
  <si>
    <t>Xe130</t>
  </si>
  <si>
    <t>Xe131</t>
  </si>
  <si>
    <t>Xe132</t>
  </si>
  <si>
    <t>Xe133</t>
  </si>
  <si>
    <t>Xe134</t>
  </si>
  <si>
    <t>Xe135</t>
  </si>
  <si>
    <t>Xe136</t>
  </si>
  <si>
    <t>Xe137</t>
  </si>
  <si>
    <t>Xe138</t>
  </si>
  <si>
    <t>Xe139</t>
  </si>
  <si>
    <t>Xe140</t>
  </si>
  <si>
    <t>Xe141</t>
  </si>
  <si>
    <t>Xe142</t>
  </si>
  <si>
    <t>Xe143</t>
  </si>
  <si>
    <t>Xe144</t>
  </si>
  <si>
    <t>Xe145</t>
  </si>
  <si>
    <t>Xe146</t>
  </si>
  <si>
    <t>Xe147</t>
  </si>
  <si>
    <t>Xe148</t>
  </si>
  <si>
    <t>Cs112</t>
  </si>
  <si>
    <t>Cs113</t>
  </si>
  <si>
    <t>Cs114</t>
  </si>
  <si>
    <t>Cs115</t>
  </si>
  <si>
    <t>Cs116</t>
  </si>
  <si>
    <t>Cs117</t>
  </si>
  <si>
    <t>Cs118</t>
  </si>
  <si>
    <t>Cs119</t>
  </si>
  <si>
    <t>Cs120</t>
  </si>
  <si>
    <t>Cs121</t>
  </si>
  <si>
    <t>Cs122</t>
  </si>
  <si>
    <t>Cs123</t>
  </si>
  <si>
    <t>Cs124</t>
  </si>
  <si>
    <t>Cs125</t>
  </si>
  <si>
    <t>Cs126</t>
  </si>
  <si>
    <t>Cs127</t>
  </si>
  <si>
    <t>Cs128</t>
  </si>
  <si>
    <t>Cs129</t>
  </si>
  <si>
    <t>Cs130</t>
  </si>
  <si>
    <t>Cs131</t>
  </si>
  <si>
    <t>Cs132</t>
  </si>
  <si>
    <t>Cs133</t>
  </si>
  <si>
    <t>Cs134</t>
  </si>
  <si>
    <t>Cs135</t>
  </si>
  <si>
    <t>Cs136</t>
  </si>
  <si>
    <t>Cs137</t>
  </si>
  <si>
    <t>Cs138</t>
  </si>
  <si>
    <t>Cs139</t>
  </si>
  <si>
    <t>Cs140</t>
  </si>
  <si>
    <t>Cs141</t>
  </si>
  <si>
    <t>Cs142</t>
  </si>
  <si>
    <t>Cs143</t>
  </si>
  <si>
    <t>Cs144</t>
  </si>
  <si>
    <t>Cs145</t>
  </si>
  <si>
    <t>Cs146</t>
  </si>
  <si>
    <t>Cs147</t>
  </si>
  <si>
    <t>Cs148</t>
  </si>
  <si>
    <t>Cs149</t>
  </si>
  <si>
    <t>Cs150</t>
  </si>
  <si>
    <t>Cs151</t>
  </si>
  <si>
    <t>Ba114</t>
  </si>
  <si>
    <t>Ba115</t>
  </si>
  <si>
    <t>Ba116</t>
  </si>
  <si>
    <t>Ba117</t>
  </si>
  <si>
    <t>Ba118</t>
  </si>
  <si>
    <t>Ba119</t>
  </si>
  <si>
    <t>Ba120</t>
  </si>
  <si>
    <t>Ba121</t>
  </si>
  <si>
    <t>Ba122</t>
  </si>
  <si>
    <t>Ba123</t>
  </si>
  <si>
    <t>Ba124</t>
  </si>
  <si>
    <t>Ba125</t>
  </si>
  <si>
    <t>Ba126</t>
  </si>
  <si>
    <t>Ba127</t>
  </si>
  <si>
    <t>Ba128</t>
  </si>
  <si>
    <t>Ba129</t>
  </si>
  <si>
    <t>Ba130</t>
  </si>
  <si>
    <t>Ba131</t>
  </si>
  <si>
    <t>Ba132</t>
  </si>
  <si>
    <t>Ba133</t>
  </si>
  <si>
    <t>Ba134</t>
  </si>
  <si>
    <t>Ba135</t>
  </si>
  <si>
    <t>Ba136</t>
  </si>
  <si>
    <t>Ba137</t>
  </si>
  <si>
    <t>Ba138</t>
  </si>
  <si>
    <t>Ba139</t>
  </si>
  <si>
    <t>Ba140</t>
  </si>
  <si>
    <t>Ba141</t>
  </si>
  <si>
    <t>Ba142</t>
  </si>
  <si>
    <t>Ba143</t>
  </si>
  <si>
    <t>Ba144</t>
  </si>
  <si>
    <t>Ba145</t>
  </si>
  <si>
    <t>Ba146</t>
  </si>
  <si>
    <t>Ba147</t>
  </si>
  <si>
    <t>Ba148</t>
  </si>
  <si>
    <t>Ba149</t>
  </si>
  <si>
    <t>Ba150</t>
  </si>
  <si>
    <t>Ba151</t>
  </si>
  <si>
    <t>Ba152</t>
  </si>
  <si>
    <t>La117</t>
  </si>
  <si>
    <t>La120</t>
  </si>
  <si>
    <t>La121</t>
  </si>
  <si>
    <t>La122</t>
  </si>
  <si>
    <t>La123</t>
  </si>
  <si>
    <t>La124</t>
  </si>
  <si>
    <t>La125</t>
  </si>
  <si>
    <t>La126</t>
  </si>
  <si>
    <t>La127</t>
  </si>
  <si>
    <t>La128</t>
  </si>
  <si>
    <t>La129</t>
  </si>
  <si>
    <t>La130</t>
  </si>
  <si>
    <t>La131</t>
  </si>
  <si>
    <t>La132</t>
  </si>
  <si>
    <t>La133</t>
  </si>
  <si>
    <t>La134</t>
  </si>
  <si>
    <t>La135</t>
  </si>
  <si>
    <t>La136</t>
  </si>
  <si>
    <t>La137</t>
  </si>
  <si>
    <t>La138</t>
  </si>
  <si>
    <t>La139</t>
  </si>
  <si>
    <t>La140</t>
  </si>
  <si>
    <t>La141</t>
  </si>
  <si>
    <t>La142</t>
  </si>
  <si>
    <t>La143</t>
  </si>
  <si>
    <t>La144</t>
  </si>
  <si>
    <t>La145</t>
  </si>
  <si>
    <t>La146</t>
  </si>
  <si>
    <t>La147</t>
  </si>
  <si>
    <t>La148</t>
  </si>
  <si>
    <t>La149</t>
  </si>
  <si>
    <t>La150</t>
  </si>
  <si>
    <t>La151</t>
  </si>
  <si>
    <t>La152</t>
  </si>
  <si>
    <t>La153</t>
  </si>
  <si>
    <t>Ce121</t>
  </si>
  <si>
    <t>Ce123</t>
  </si>
  <si>
    <t>Ce124</t>
  </si>
  <si>
    <t>Ce125</t>
  </si>
  <si>
    <t>Ce126</t>
  </si>
  <si>
    <t>Ce127</t>
  </si>
  <si>
    <t>Ce128</t>
  </si>
  <si>
    <t>Ce129</t>
  </si>
  <si>
    <t>Ce130</t>
  </si>
  <si>
    <t>Ce131</t>
  </si>
  <si>
    <t>Ce132</t>
  </si>
  <si>
    <t>Ce133</t>
  </si>
  <si>
    <t>Ce134</t>
  </si>
  <si>
    <t>Ce135</t>
  </si>
  <si>
    <t>Ce136</t>
  </si>
  <si>
    <t>Ce137</t>
  </si>
  <si>
    <t>Ce138</t>
  </si>
  <si>
    <t>Ce139</t>
  </si>
  <si>
    <t>Ce140</t>
  </si>
  <si>
    <t>Ce141</t>
  </si>
  <si>
    <t>Ce142</t>
  </si>
  <si>
    <t>Ce143</t>
  </si>
  <si>
    <t>Ce144</t>
  </si>
  <si>
    <t>Ce145</t>
  </si>
  <si>
    <t>Ce146</t>
  </si>
  <si>
    <t>Ce147</t>
  </si>
  <si>
    <t>Ce148</t>
  </si>
  <si>
    <t>Ce149</t>
  </si>
  <si>
    <t>Ce150</t>
  </si>
  <si>
    <t>Ce151</t>
  </si>
  <si>
    <t>Ce152</t>
  </si>
  <si>
    <t>Ce153</t>
  </si>
  <si>
    <t>Ce154</t>
  </si>
  <si>
    <t>Ce155</t>
  </si>
  <si>
    <t>Pr121</t>
  </si>
  <si>
    <t>Pr122</t>
  </si>
  <si>
    <t>Pr123</t>
  </si>
  <si>
    <t>Pr124</t>
  </si>
  <si>
    <t>Pr125</t>
  </si>
  <si>
    <t>Pr126</t>
  </si>
  <si>
    <t>Pr127</t>
  </si>
  <si>
    <t>Pr128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</si>
  <si>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</si>
  <si>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</si>
  <si>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</si>
  <si>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</si>
  <si>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</si>
  <si>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</si>
  <si>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</si>
  <si>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</si>
  <si>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</si>
  <si>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</si>
  <si>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</si>
  <si>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</si>
  <si>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</si>
  <si>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</si>
  <si>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Pr143</t>
  </si>
  <si>
    <t>Pr144</t>
  </si>
  <si>
    <t>Pr145</t>
  </si>
  <si>
    <t>Pr146</t>
  </si>
  <si>
    <t>Pr147</t>
  </si>
  <si>
    <t>Pr148</t>
  </si>
  <si>
    <t>Pr149</t>
  </si>
  <si>
    <t>Pr150</t>
  </si>
  <si>
    <t>Pr151</t>
  </si>
  <si>
    <t>Pr152</t>
  </si>
  <si>
    <t>Pr153</t>
  </si>
  <si>
    <t>Pr154</t>
  </si>
  <si>
    <t>Pr155</t>
  </si>
  <si>
    <t>Pr156</t>
  </si>
  <si>
    <t>Nd125</t>
  </si>
  <si>
    <t>Nd126</t>
  </si>
  <si>
    <t>Nd127</t>
  </si>
  <si>
    <t>Nd128</t>
  </si>
  <si>
    <t>Nd129</t>
  </si>
  <si>
    <t>Nd130</t>
  </si>
  <si>
    <t>Nd131</t>
  </si>
  <si>
    <t>Nd132</t>
  </si>
  <si>
    <t>Nd133</t>
  </si>
  <si>
    <t>Nd134</t>
  </si>
  <si>
    <t>Nd135</t>
  </si>
  <si>
    <t>Nd136</t>
  </si>
  <si>
    <t>Nd137</t>
  </si>
  <si>
    <t>Nd138</t>
  </si>
  <si>
    <t>Nd139</t>
  </si>
  <si>
    <t>Nd140</t>
  </si>
  <si>
    <t>Nd141</t>
  </si>
  <si>
    <t>Nd142</t>
  </si>
  <si>
    <t>Nd143</t>
  </si>
  <si>
    <t>Nd144</t>
  </si>
  <si>
    <t>Nd145</t>
  </si>
  <si>
    <t>Nd146</t>
  </si>
  <si>
    <t>Nd147</t>
  </si>
  <si>
    <t>Nd148</t>
  </si>
  <si>
    <t>Nd149</t>
  </si>
  <si>
    <t>Nd150</t>
  </si>
  <si>
    <t>Nd151</t>
  </si>
  <si>
    <t>Nd152</t>
  </si>
  <si>
    <t>Nd153</t>
  </si>
  <si>
    <t>Nd154</t>
  </si>
  <si>
    <t>Nd155</t>
  </si>
  <si>
    <t>Nd156</t>
  </si>
  <si>
    <t>Nd157</t>
  </si>
  <si>
    <t>Nd158</t>
  </si>
  <si>
    <t>Nd159</t>
  </si>
  <si>
    <t>Nd160</t>
  </si>
  <si>
    <t>Nd161</t>
  </si>
  <si>
    <t>Pm128</t>
  </si>
  <si>
    <t>Pm129</t>
  </si>
  <si>
    <t>Pm130</t>
  </si>
  <si>
    <t>Pm131</t>
  </si>
  <si>
    <t>Pm132</t>
  </si>
  <si>
    <t>Pm133</t>
  </si>
  <si>
    <t>Pm134</t>
  </si>
  <si>
    <t>Pm135</t>
  </si>
  <si>
    <t>Pm136</t>
  </si>
  <si>
    <t>Pm137</t>
  </si>
  <si>
    <t>Pm138</t>
  </si>
  <si>
    <t>Pm139</t>
  </si>
  <si>
    <t>Pm140</t>
  </si>
  <si>
    <t>Pm141</t>
  </si>
  <si>
    <t>Pm142</t>
  </si>
  <si>
    <t>Pm143</t>
  </si>
  <si>
    <t>Pm144</t>
  </si>
  <si>
    <t>Pm145</t>
  </si>
  <si>
    <t>Pm146</t>
  </si>
  <si>
    <t>Pm147</t>
  </si>
  <si>
    <t>Pm148</t>
  </si>
  <si>
    <t>Pm149</t>
  </si>
  <si>
    <t>Pm150</t>
  </si>
  <si>
    <t>Pm151</t>
  </si>
  <si>
    <t>Pm152</t>
  </si>
  <si>
    <t>Pm153</t>
  </si>
  <si>
    <t>Pm154</t>
  </si>
  <si>
    <t>Pm155</t>
  </si>
  <si>
    <t>Pm156</t>
  </si>
  <si>
    <t>Pm157</t>
  </si>
  <si>
    <t>Pm158</t>
  </si>
  <si>
    <t>Pm159</t>
  </si>
  <si>
    <t>Pm160</t>
  </si>
  <si>
    <t>Pm161</t>
  </si>
  <si>
    <t>Pm162</t>
  </si>
  <si>
    <t>Pm163</t>
  </si>
  <si>
    <t>Sm129</t>
  </si>
  <si>
    <t>Sm131</t>
  </si>
  <si>
    <t>Sm132</t>
  </si>
  <si>
    <t>Sm133</t>
  </si>
  <si>
    <t>Sm134</t>
  </si>
  <si>
    <t>Sm135</t>
  </si>
  <si>
    <t>Sm136</t>
  </si>
  <si>
    <t>Sm137</t>
  </si>
  <si>
    <t>Sm138</t>
  </si>
  <si>
    <t>Sm139</t>
  </si>
  <si>
    <t>Sm140</t>
  </si>
  <si>
    <t>Sm141</t>
  </si>
  <si>
    <t>Sm142</t>
  </si>
  <si>
    <t>Sm143</t>
  </si>
  <si>
    <t>Sm144</t>
  </si>
  <si>
    <t>Sm145</t>
  </si>
  <si>
    <t>Sm146</t>
  </si>
  <si>
    <t>Sm147</t>
  </si>
  <si>
    <t>Sm148</t>
  </si>
  <si>
    <t>Sm149</t>
  </si>
  <si>
    <t>Sm150</t>
  </si>
  <si>
    <t>Sm151</t>
  </si>
  <si>
    <t>Sm152</t>
  </si>
  <si>
    <t>Sm153</t>
  </si>
  <si>
    <t>Sm154</t>
  </si>
  <si>
    <t>Sm155</t>
  </si>
  <si>
    <t>Sm156</t>
  </si>
  <si>
    <t>Sm157</t>
  </si>
  <si>
    <t>Sm158</t>
  </si>
  <si>
    <t>Sm159</t>
  </si>
  <si>
    <t>Sm160</t>
  </si>
  <si>
    <t>Sm161</t>
  </si>
  <si>
    <t>Sm162</t>
  </si>
  <si>
    <t>Sm163</t>
  </si>
  <si>
    <t>Sm164</t>
  </si>
  <si>
    <t>Sm165</t>
  </si>
  <si>
    <t>Eu130</t>
  </si>
  <si>
    <t>Eu131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</si>
  <si>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</si>
  <si>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</si>
  <si>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</si>
  <si>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</si>
  <si>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</si>
  <si>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</si>
  <si>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</si>
  <si>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</si>
  <si>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</si>
  <si>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</si>
  <si>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</si>
  <si>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</si>
  <si>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</si>
  <si>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</si>
  <si>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</si>
  <si>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</si>
  <si>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Eu150</t>
  </si>
  <si>
    <t>Eu151</t>
  </si>
  <si>
    <t>Eu152</t>
  </si>
  <si>
    <t>Eu153</t>
  </si>
  <si>
    <t>Eu154</t>
  </si>
  <si>
    <t>Eu155</t>
  </si>
  <si>
    <t>Eu156</t>
  </si>
  <si>
    <t>Eu157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</si>
  <si>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</si>
  <si>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</si>
  <si>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</si>
  <si>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</si>
  <si>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</si>
  <si>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</si>
  <si>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</si>
  <si>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</si>
  <si>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</si>
  <si>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</si>
  <si>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</si>
  <si>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Gd135</t>
  </si>
  <si>
    <t>Gd136</t>
  </si>
  <si>
    <t>Gd137</t>
  </si>
  <si>
    <t>Gd138</t>
  </si>
  <si>
    <t>Gd139</t>
  </si>
  <si>
    <t>Gd140</t>
  </si>
  <si>
    <t>Gd141</t>
  </si>
  <si>
    <t>Gd142</t>
  </si>
  <si>
    <t>Gd143</t>
  </si>
  <si>
    <t>Gd144</t>
  </si>
  <si>
    <t>Gd145</t>
  </si>
  <si>
    <t>Gd146</t>
  </si>
  <si>
    <t>Gd147</t>
  </si>
  <si>
    <t>Gd148</t>
  </si>
  <si>
    <t>Gd149</t>
  </si>
  <si>
    <t>Gd150</t>
  </si>
  <si>
    <t>Gd151</t>
  </si>
  <si>
    <t>Gd152</t>
  </si>
  <si>
    <t>Gd153</t>
  </si>
  <si>
    <t>Gd154</t>
  </si>
  <si>
    <t>Gd155</t>
  </si>
  <si>
    <t>Gd156</t>
  </si>
  <si>
    <t>Gd157</t>
  </si>
  <si>
    <t>Gd158</t>
  </si>
  <si>
    <t>Gd159</t>
  </si>
  <si>
    <t>Gd160</t>
  </si>
  <si>
    <t>Gd161</t>
  </si>
  <si>
    <t>Gd162</t>
  </si>
  <si>
    <t>Gd163</t>
  </si>
  <si>
    <t>Gd164</t>
  </si>
  <si>
    <t>Gd165</t>
  </si>
  <si>
    <t>Gd166</t>
  </si>
  <si>
    <t>Gd167</t>
  </si>
  <si>
    <t>Gd168</t>
  </si>
  <si>
    <t>Gd169</t>
  </si>
  <si>
    <t>Gd170</t>
  </si>
  <si>
    <t>Tb135</t>
  </si>
  <si>
    <t>Tb138</t>
  </si>
  <si>
    <t>Tb139</t>
  </si>
  <si>
    <t>Tb140</t>
  </si>
  <si>
    <t>Tb141</t>
  </si>
  <si>
    <t>Tb142</t>
  </si>
  <si>
    <t>Tb143</t>
  </si>
  <si>
    <t>Tb144</t>
  </si>
  <si>
    <t>Tb145</t>
  </si>
  <si>
    <t>Tb146</t>
  </si>
  <si>
    <t>Tb147</t>
  </si>
  <si>
    <t>Tb148</t>
  </si>
  <si>
    <t>Tb149</t>
  </si>
  <si>
    <t>Tb150</t>
  </si>
  <si>
    <t>Tb151</t>
  </si>
  <si>
    <t>Tb152</t>
  </si>
  <si>
    <t>Tb153</t>
  </si>
  <si>
    <t>Tb154</t>
  </si>
  <si>
    <t>Tb155</t>
  </si>
  <si>
    <t>Tb156</t>
  </si>
  <si>
    <t>Tb157</t>
  </si>
  <si>
    <t>Tb158</t>
  </si>
  <si>
    <t>Tb159</t>
  </si>
  <si>
    <t>Tb160</t>
  </si>
  <si>
    <t>Tb161</t>
  </si>
  <si>
    <t>Tb162</t>
  </si>
  <si>
    <t>Tb163</t>
  </si>
  <si>
    <t>Tb164</t>
  </si>
  <si>
    <t>Tb165</t>
  </si>
  <si>
    <t>Tb166</t>
  </si>
  <si>
    <t>Tb167</t>
  </si>
  <si>
    <t>Tb168</t>
  </si>
  <si>
    <t>Tb169</t>
  </si>
  <si>
    <t>Tb170</t>
  </si>
  <si>
    <t>Tb171</t>
  </si>
  <si>
    <t>Tb172</t>
  </si>
  <si>
    <t>Dy139</t>
  </si>
  <si>
    <t>Dy141</t>
  </si>
  <si>
    <t>Dy142</t>
  </si>
  <si>
    <t>Dy143</t>
  </si>
  <si>
    <t>Dy144</t>
  </si>
  <si>
    <t>Dy145</t>
  </si>
  <si>
    <t>Dy146</t>
  </si>
  <si>
    <t>Dy147</t>
  </si>
  <si>
    <t>Dy148</t>
  </si>
  <si>
    <t>Dy149</t>
  </si>
  <si>
    <t>Dy150</t>
  </si>
  <si>
    <t>Dy151</t>
  </si>
  <si>
    <t>Dy152</t>
  </si>
  <si>
    <t>Dy153</t>
  </si>
  <si>
    <t>Dy154</t>
  </si>
  <si>
    <t>Dy155</t>
  </si>
  <si>
    <t>Dy156</t>
  </si>
  <si>
    <t>Dy157</t>
  </si>
  <si>
    <t>Dy158</t>
  </si>
  <si>
    <t>Dy159</t>
  </si>
  <si>
    <t>Dy160</t>
  </si>
  <si>
    <t>Dy161</t>
  </si>
  <si>
    <t>Dy162</t>
  </si>
  <si>
    <t>Dy163</t>
  </si>
  <si>
    <t>Dy164</t>
  </si>
  <si>
    <t>Dy165</t>
  </si>
  <si>
    <t>Dy166</t>
  </si>
  <si>
    <t>Dy167</t>
  </si>
  <si>
    <t>Dy168</t>
  </si>
  <si>
    <t>Dy169</t>
  </si>
  <si>
    <t>Dy171</t>
  </si>
  <si>
    <t>Dy172</t>
  </si>
  <si>
    <t>Dy173</t>
  </si>
  <si>
    <t>Ho140</t>
  </si>
  <si>
    <t>Ho141</t>
  </si>
  <si>
    <t>Ho142</t>
  </si>
  <si>
    <t>Ho144</t>
  </si>
  <si>
    <t>Ho145</t>
  </si>
  <si>
    <t>Ho146</t>
  </si>
  <si>
    <t>Ho147</t>
  </si>
  <si>
    <t>Ho148</t>
  </si>
  <si>
    <t>Ho149</t>
  </si>
  <si>
    <t>Ho150</t>
  </si>
  <si>
    <t>Ho151</t>
  </si>
  <si>
    <t>Ho152</t>
  </si>
  <si>
    <t>Ho153</t>
  </si>
  <si>
    <t>Ho154</t>
  </si>
  <si>
    <t>Ho155</t>
  </si>
  <si>
    <t>Ho156</t>
  </si>
  <si>
    <t>Ho157</t>
  </si>
  <si>
    <t>Ho158</t>
  </si>
  <si>
    <t>Ho159</t>
  </si>
  <si>
    <t>Ho160</t>
  </si>
  <si>
    <t>Ho161</t>
  </si>
  <si>
    <t>Ho162</t>
  </si>
  <si>
    <t>Ho163</t>
  </si>
  <si>
    <t>Ho164</t>
  </si>
  <si>
    <t>Ho165</t>
  </si>
  <si>
    <t>Ho166</t>
  </si>
  <si>
    <t>Ho167</t>
  </si>
  <si>
    <t>Ho168</t>
  </si>
  <si>
    <t>Ho169</t>
  </si>
  <si>
    <t>Ho170</t>
  </si>
  <si>
    <t>Ho171</t>
  </si>
  <si>
    <t>Ho172</t>
  </si>
  <si>
    <t>Ho173</t>
  </si>
  <si>
    <t>Ho174</t>
  </si>
  <si>
    <t>Ho175</t>
  </si>
  <si>
    <t>Ho176</t>
  </si>
  <si>
    <t>Er144</t>
  </si>
  <si>
    <t>Er145</t>
  </si>
  <si>
    <t>Er146</t>
  </si>
  <si>
    <t>Er147</t>
  </si>
  <si>
    <t>Er148</t>
  </si>
  <si>
    <t>Er149</t>
  </si>
  <si>
    <t>Er150</t>
  </si>
  <si>
    <t>Er151</t>
  </si>
  <si>
    <t>Er152</t>
  </si>
  <si>
    <t>Er153</t>
  </si>
  <si>
    <t>Er154</t>
  </si>
  <si>
    <t>Er155</t>
  </si>
  <si>
    <t>Er156</t>
  </si>
  <si>
    <t>Er157</t>
  </si>
  <si>
    <t>Er158</t>
  </si>
  <si>
    <t>Er159</t>
  </si>
  <si>
    <t>Er160</t>
  </si>
  <si>
    <t>Er161</t>
  </si>
  <si>
    <t>Er162</t>
  </si>
  <si>
    <t>Er163</t>
  </si>
  <si>
    <t>Er164</t>
  </si>
  <si>
    <t>Er165</t>
  </si>
  <si>
    <t>Er166</t>
  </si>
  <si>
    <t>Er167</t>
  </si>
  <si>
    <t>Er168</t>
  </si>
  <si>
    <t>Er169</t>
  </si>
  <si>
    <t>Er170</t>
  </si>
  <si>
    <t>Er171</t>
  </si>
  <si>
    <t>Er172</t>
  </si>
  <si>
    <t>Er173</t>
  </si>
  <si>
    <t>Er174</t>
  </si>
  <si>
    <t>Er175</t>
  </si>
  <si>
    <t>Er176</t>
  </si>
  <si>
    <t>Er177</t>
  </si>
  <si>
    <t>Er178</t>
  </si>
  <si>
    <t>Tm144</t>
  </si>
  <si>
    <t>Tm145</t>
  </si>
  <si>
    <t>Tm146</t>
  </si>
  <si>
    <t>Tm147</t>
  </si>
  <si>
    <t>Tm148</t>
  </si>
  <si>
    <t>Tm149</t>
  </si>
  <si>
    <t>Tm150</t>
  </si>
  <si>
    <t>Tm151</t>
  </si>
  <si>
    <t>Tm152</t>
  </si>
  <si>
    <t>Tm153</t>
  </si>
  <si>
    <t>Tm154</t>
  </si>
  <si>
    <t>Tm155</t>
  </si>
  <si>
    <t>Tm156</t>
  </si>
  <si>
    <t>Tm157</t>
  </si>
  <si>
    <t>Tm158</t>
  </si>
  <si>
    <t>Tm159</t>
  </si>
  <si>
    <t>Tm160</t>
  </si>
  <si>
    <t>Tm161</t>
  </si>
  <si>
    <t>Tm162</t>
  </si>
  <si>
    <t>Tm163</t>
  </si>
  <si>
    <t>Tm164</t>
  </si>
  <si>
    <t>Tm165</t>
  </si>
  <si>
    <t>Tm166</t>
  </si>
  <si>
    <t>Tm167</t>
  </si>
  <si>
    <t>Tm168</t>
  </si>
  <si>
    <t>Tm169</t>
  </si>
  <si>
    <t>Tm170</t>
  </si>
  <si>
    <t>Tm171</t>
  </si>
  <si>
    <t>Tm172</t>
  </si>
  <si>
    <t>Tm173</t>
  </si>
  <si>
    <t>Tm174</t>
  </si>
  <si>
    <t>Tm175</t>
  </si>
  <si>
    <t>Tm176</t>
  </si>
  <si>
    <t>Tm177</t>
  </si>
  <si>
    <t>Tm178</t>
  </si>
  <si>
    <t>Tm179</t>
  </si>
  <si>
    <t>Tm180</t>
  </si>
  <si>
    <t>Tm181</t>
  </si>
  <si>
    <t>Yb149</t>
  </si>
  <si>
    <t>Yb150</t>
  </si>
  <si>
    <t>Yb151</t>
  </si>
  <si>
    <t>Yb152</t>
  </si>
  <si>
    <t>Yb153</t>
  </si>
  <si>
    <t>Yb154</t>
  </si>
  <si>
    <t>Yb155</t>
  </si>
  <si>
    <t>Yb156</t>
  </si>
  <si>
    <t>Yb157</t>
  </si>
  <si>
    <t>Yb158</t>
  </si>
  <si>
    <t>Yb159</t>
  </si>
  <si>
    <t>Yb160</t>
  </si>
  <si>
    <t>Yb161</t>
  </si>
  <si>
    <t>Yb162</t>
  </si>
  <si>
    <t>Yb163</t>
  </si>
  <si>
    <t>Yb164</t>
  </si>
  <si>
    <t>Yb165</t>
  </si>
  <si>
    <t>Yb166</t>
  </si>
  <si>
    <t>Yb167</t>
  </si>
  <si>
    <t>Yb168</t>
  </si>
  <si>
    <t>Yb169</t>
  </si>
  <si>
    <t>Yb170</t>
  </si>
  <si>
    <t>Yb171</t>
  </si>
  <si>
    <t>Yb172</t>
  </si>
  <si>
    <t>Yb173</t>
  </si>
  <si>
    <t>Yb174</t>
  </si>
  <si>
    <t>Yb175</t>
  </si>
  <si>
    <t>Yb176</t>
  </si>
  <si>
    <t>Yb177</t>
  </si>
  <si>
    <t>Yb178</t>
  </si>
  <si>
    <t>Yb179</t>
  </si>
  <si>
    <t>Yb180</t>
  </si>
  <si>
    <t>Yb181</t>
  </si>
  <si>
    <t>Yb182</t>
  </si>
  <si>
    <t>Yb183</t>
  </si>
  <si>
    <t>Yb184</t>
  </si>
  <si>
    <t>Yb185</t>
  </si>
  <si>
    <t>Lu150</t>
  </si>
  <si>
    <t>Lu151</t>
  </si>
  <si>
    <t>Lu152</t>
  </si>
  <si>
    <t>Lu153</t>
  </si>
  <si>
    <t>Lu154</t>
  </si>
  <si>
    <t>Lu155</t>
  </si>
  <si>
    <t>Lu156</t>
  </si>
  <si>
    <t>Lu157</t>
  </si>
  <si>
    <t>Lu158</t>
  </si>
  <si>
    <t>Lu159</t>
  </si>
  <si>
    <t>Lu160</t>
  </si>
  <si>
    <t>Lu161</t>
  </si>
  <si>
    <t>Lu162</t>
  </si>
  <si>
    <t>Lu163</t>
  </si>
  <si>
    <t>Lu164</t>
  </si>
  <si>
    <t>Lu165</t>
  </si>
  <si>
    <t>Lu166</t>
  </si>
  <si>
    <t>Lu167</t>
  </si>
  <si>
    <t>Lu168</t>
  </si>
  <si>
    <t>Lu169</t>
  </si>
  <si>
    <t>Lu170</t>
  </si>
  <si>
    <t>Lu171</t>
  </si>
  <si>
    <t>Lu172</t>
  </si>
  <si>
    <t>Lu173</t>
  </si>
  <si>
    <t>Lu174</t>
  </si>
  <si>
    <t>Lu175</t>
  </si>
  <si>
    <t>Lu176</t>
  </si>
  <si>
    <t>Lu177</t>
  </si>
  <si>
    <t>Lu178</t>
  </si>
  <si>
    <t>Lu179</t>
  </si>
  <si>
    <t>Lu180</t>
  </si>
  <si>
    <t>Lu181</t>
  </si>
  <si>
    <t>Lu182</t>
  </si>
  <si>
    <t>Lu183</t>
  </si>
  <si>
    <t>Lu184</t>
  </si>
  <si>
    <t>Lu185</t>
  </si>
  <si>
    <t>Lu186</t>
  </si>
  <si>
    <t>Lu187</t>
  </si>
  <si>
    <t>Lu188</t>
  </si>
  <si>
    <t>Hf153</t>
  </si>
  <si>
    <t>Hf154</t>
  </si>
  <si>
    <t>Hf155</t>
  </si>
  <si>
    <t>Hf156</t>
  </si>
  <si>
    <t>Hf157</t>
  </si>
  <si>
    <t>Hf158</t>
  </si>
  <si>
    <t>Hf159</t>
  </si>
  <si>
    <t>Hf160</t>
  </si>
  <si>
    <t>Hf161</t>
  </si>
  <si>
    <t>Hf162</t>
  </si>
  <si>
    <t>Hf163</t>
  </si>
  <si>
    <t>Hf164</t>
  </si>
  <si>
    <t>Hf165</t>
  </si>
  <si>
    <t>Hf166</t>
  </si>
  <si>
    <t>Hf167</t>
  </si>
  <si>
    <t>Hf168</t>
  </si>
  <si>
    <t>Hf169</t>
  </si>
  <si>
    <t>Hf170</t>
  </si>
  <si>
    <t>Hf171</t>
  </si>
  <si>
    <t>Hf172</t>
  </si>
  <si>
    <t>Hf173</t>
  </si>
  <si>
    <t>Hf174</t>
  </si>
  <si>
    <t>Hf175</t>
  </si>
  <si>
    <t>Hf176</t>
  </si>
  <si>
    <t>Hf177</t>
  </si>
  <si>
    <t>Hf178</t>
  </si>
  <si>
    <t>Hf179</t>
  </si>
  <si>
    <t>Hf180</t>
  </si>
  <si>
    <t>Hf181</t>
  </si>
  <si>
    <t>Hf182</t>
  </si>
  <si>
    <t>Hf183</t>
  </si>
  <si>
    <t>Hf184</t>
  </si>
  <si>
    <t>Hf185</t>
  </si>
  <si>
    <t>Hf186</t>
  </si>
  <si>
    <t>Hf187</t>
  </si>
  <si>
    <t>Hf190</t>
  </si>
  <si>
    <t>Ta155</t>
  </si>
  <si>
    <t>Ta156</t>
  </si>
  <si>
    <t>Ta157</t>
  </si>
  <si>
    <t>Ta158</t>
  </si>
  <si>
    <t>Ta159</t>
  </si>
  <si>
    <t>Ta160</t>
  </si>
  <si>
    <t>Ta162</t>
  </si>
  <si>
    <t>Ta163</t>
  </si>
  <si>
    <t>Ta164</t>
  </si>
  <si>
    <t>Ta165</t>
  </si>
  <si>
    <t>Ta166</t>
  </si>
  <si>
    <t>Ta167</t>
  </si>
  <si>
    <t>Ta168</t>
  </si>
  <si>
    <t>Ta169</t>
  </si>
  <si>
    <t>Ta170</t>
  </si>
  <si>
    <t>Ta171</t>
  </si>
  <si>
    <t>Ta172</t>
  </si>
  <si>
    <t>Ta173</t>
  </si>
  <si>
    <t>Ta174</t>
  </si>
  <si>
    <t>Ta175</t>
  </si>
  <si>
    <t>Ta176</t>
  </si>
  <si>
    <t>Ta177</t>
  </si>
  <si>
    <t>Ta178</t>
  </si>
  <si>
    <t>Ta179</t>
  </si>
  <si>
    <t>Ta180</t>
  </si>
  <si>
    <t>Ta181</t>
  </si>
  <si>
    <t>Ta182</t>
  </si>
  <si>
    <t>Ta183</t>
  </si>
  <si>
    <t>Ta184</t>
  </si>
  <si>
    <t>Ta185</t>
  </si>
  <si>
    <t>Ta186</t>
  </si>
  <si>
    <t>Ta187</t>
  </si>
  <si>
    <t>Ta188</t>
  </si>
  <si>
    <t>Ta189</t>
  </si>
  <si>
    <t>Ta190</t>
  </si>
  <si>
    <t>Ta191</t>
  </si>
  <si>
    <t>Ta192</t>
  </si>
  <si>
    <t>Ta193</t>
  </si>
  <si>
    <t>Ta194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</si>
  <si>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</si>
  <si>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</si>
  <si>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</si>
  <si>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</si>
  <si>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</si>
  <si>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</si>
  <si>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</si>
  <si>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</si>
  <si>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</si>
  <si>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</si>
  <si>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</si>
  <si>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</si>
  <si>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</si>
  <si>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</si>
  <si>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</si>
  <si>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</si>
  <si>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</si>
  <si>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</si>
  <si>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</si>
  <si>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</si>
  <si>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</si>
  <si>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</si>
  <si>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</si>
  <si>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</si>
  <si>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</si>
  <si>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</si>
  <si>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</si>
  <si>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</si>
  <si>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</si>
  <si>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</si>
  <si>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</si>
  <si>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</si>
  <si>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</si>
  <si>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</si>
  <si>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</si>
  <si>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W193</t>
  </si>
  <si>
    <t>W194</t>
  </si>
  <si>
    <t>W195</t>
  </si>
  <si>
    <t>W196</t>
  </si>
  <si>
    <t>W197</t>
  </si>
  <si>
    <t>Re160</t>
  </si>
  <si>
    <t>Re161</t>
  </si>
  <si>
    <t>Re162</t>
  </si>
  <si>
    <t>Re163</t>
  </si>
  <si>
    <t>Re164</t>
  </si>
  <si>
    <t>Re165</t>
  </si>
  <si>
    <t>Re166</t>
  </si>
  <si>
    <t>Re167</t>
  </si>
  <si>
    <t>Re168</t>
  </si>
  <si>
    <t>Re169</t>
  </si>
  <si>
    <t>Re170</t>
  </si>
  <si>
    <t>Re171</t>
  </si>
  <si>
    <t>Re172</t>
  </si>
  <si>
    <t>Re173</t>
  </si>
  <si>
    <t>Re174</t>
  </si>
  <si>
    <t>Re175</t>
  </si>
  <si>
    <t>Re176</t>
  </si>
  <si>
    <t>Re177</t>
  </si>
  <si>
    <t>Re178</t>
  </si>
  <si>
    <t>Re179</t>
  </si>
  <si>
    <t>Re180</t>
  </si>
  <si>
    <t>Re181</t>
  </si>
  <si>
    <t>Re182</t>
  </si>
  <si>
    <t>Re183</t>
  </si>
  <si>
    <t>Re184</t>
  </si>
  <si>
    <t>Re185</t>
  </si>
  <si>
    <t>Re186</t>
  </si>
  <si>
    <t>Re187</t>
  </si>
  <si>
    <t>Re188</t>
  </si>
  <si>
    <t>Re189</t>
  </si>
  <si>
    <t>Re190</t>
  </si>
  <si>
    <t>Re191</t>
  </si>
  <si>
    <t>Re192</t>
  </si>
  <si>
    <t>Re194</t>
  </si>
  <si>
    <t>Re195</t>
  </si>
  <si>
    <t>Re196</t>
  </si>
  <si>
    <t>Re197</t>
  </si>
  <si>
    <t>Re198</t>
  </si>
  <si>
    <t>Re199</t>
  </si>
  <si>
    <t>Os161</t>
  </si>
  <si>
    <t>Os162</t>
  </si>
  <si>
    <t>Os163</t>
  </si>
  <si>
    <t>Os164</t>
  </si>
  <si>
    <t>Os165</t>
  </si>
  <si>
    <t>Os166</t>
  </si>
  <si>
    <t>Os167</t>
  </si>
  <si>
    <t>Os168</t>
  </si>
  <si>
    <t>Os169</t>
  </si>
  <si>
    <t>Os170</t>
  </si>
  <si>
    <t>Os171</t>
  </si>
  <si>
    <t>Os172</t>
  </si>
  <si>
    <t>Os173</t>
  </si>
  <si>
    <t>Os174</t>
  </si>
  <si>
    <t>Os175</t>
  </si>
  <si>
    <t>Os176</t>
  </si>
  <si>
    <t>Os177</t>
  </si>
  <si>
    <t>Os178</t>
  </si>
  <si>
    <t>Os179</t>
  </si>
  <si>
    <t>Os180</t>
  </si>
  <si>
    <t>Os181</t>
  </si>
  <si>
    <t>Os182</t>
  </si>
  <si>
    <t>Os183</t>
  </si>
  <si>
    <t>Os184</t>
  </si>
  <si>
    <t>Os185</t>
  </si>
  <si>
    <t>Os186</t>
  </si>
  <si>
    <t>Os187</t>
  </si>
  <si>
    <t>Os188</t>
  </si>
  <si>
    <t>Os189</t>
  </si>
  <si>
    <t>Os190</t>
  </si>
  <si>
    <t>Os191</t>
  </si>
  <si>
    <t>Os192</t>
  </si>
  <si>
    <t>Os193</t>
  </si>
  <si>
    <t>Os194</t>
  </si>
  <si>
    <t>Os195</t>
  </si>
  <si>
    <t>Os196</t>
  </si>
  <si>
    <t>Os197</t>
  </si>
  <si>
    <t>Os199</t>
  </si>
  <si>
    <t>Os200</t>
  </si>
  <si>
    <t>Os201</t>
  </si>
  <si>
    <t>Os202</t>
  </si>
  <si>
    <t>Os203</t>
  </si>
  <si>
    <t>Ir164</t>
  </si>
  <si>
    <t>Ir166</t>
  </si>
  <si>
    <t>Ir167</t>
  </si>
  <si>
    <t>Ir168</t>
  </si>
  <si>
    <t>Ir169</t>
  </si>
  <si>
    <t>Ir170</t>
  </si>
  <si>
    <t>Ir171</t>
  </si>
  <si>
    <t>Ir172</t>
  </si>
  <si>
    <t>Ir173</t>
  </si>
  <si>
    <t>Ir174</t>
  </si>
  <si>
    <t>Ir175</t>
  </si>
  <si>
    <t>Ir176</t>
  </si>
  <si>
    <t>Ir177</t>
  </si>
  <si>
    <t>Ir178</t>
  </si>
  <si>
    <t>Ir179</t>
  </si>
  <si>
    <t>Ir180</t>
  </si>
  <si>
    <t>Ir181</t>
  </si>
  <si>
    <t>Ir182</t>
  </si>
  <si>
    <t>Ir183</t>
  </si>
  <si>
    <t>Ir184</t>
  </si>
  <si>
    <t>Ir185</t>
  </si>
  <si>
    <t>Ir186</t>
  </si>
  <si>
    <t>Ir187</t>
  </si>
  <si>
    <t>Ir188</t>
  </si>
  <si>
    <t>Ir189</t>
  </si>
  <si>
    <t>Ir190</t>
  </si>
  <si>
    <t>Ir191</t>
  </si>
  <si>
    <t>Ir192</t>
  </si>
  <si>
    <t>Ir193</t>
  </si>
  <si>
    <t>Ir194</t>
  </si>
  <si>
    <t>Ir195</t>
  </si>
  <si>
    <t>Ir196</t>
  </si>
  <si>
    <t>Ir197</t>
  </si>
  <si>
    <t>Ir198</t>
  </si>
  <si>
    <t>Ir199</t>
  </si>
  <si>
    <t>Ir200</t>
  </si>
  <si>
    <t>Ir201</t>
  </si>
  <si>
    <t>Ir202</t>
  </si>
  <si>
    <t>Ir203</t>
  </si>
  <si>
    <t>Ir204</t>
  </si>
  <si>
    <t>Ir205</t>
  </si>
  <si>
    <t>Pt166</t>
  </si>
  <si>
    <t>Pt167</t>
  </si>
  <si>
    <t>Pt168</t>
  </si>
  <si>
    <t>Pt169</t>
  </si>
  <si>
    <t>Pt170</t>
  </si>
  <si>
    <t>Pt171</t>
  </si>
  <si>
    <t>Pt172</t>
  </si>
  <si>
    <t>Pt173</t>
  </si>
  <si>
    <t>Pt174</t>
  </si>
  <si>
    <t>Pt175</t>
  </si>
  <si>
    <t>Pt176</t>
  </si>
  <si>
    <t>Pt177</t>
  </si>
  <si>
    <t>Pt178</t>
  </si>
  <si>
    <t>Pt179</t>
  </si>
  <si>
    <t>Pt180</t>
  </si>
  <si>
    <t>Pt181</t>
  </si>
  <si>
    <t>Pt182</t>
  </si>
  <si>
    <t>Pt183</t>
  </si>
  <si>
    <t>Pt184</t>
  </si>
  <si>
    <t>Pt185</t>
  </si>
  <si>
    <t>Pt186</t>
  </si>
  <si>
    <t>Pt187</t>
  </si>
  <si>
    <t>Pt188</t>
  </si>
  <si>
    <t>Pt189</t>
  </si>
  <si>
    <t>Pt190</t>
  </si>
  <si>
    <t>Pt191</t>
  </si>
  <si>
    <t>Pt192</t>
  </si>
  <si>
    <t>Pt193</t>
  </si>
  <si>
    <t>Pt194</t>
  </si>
  <si>
    <t>Pt195</t>
  </si>
  <si>
    <t>Pt196</t>
  </si>
  <si>
    <t>Pt197</t>
  </si>
  <si>
    <t>Pt198</t>
  </si>
  <si>
    <t>Pt199</t>
  </si>
  <si>
    <t>Pt200</t>
  </si>
  <si>
    <t>Pt201</t>
  </si>
  <si>
    <t>Pt202</t>
  </si>
  <si>
    <t>Pt203</t>
  </si>
  <si>
    <t>Pt204</t>
  </si>
  <si>
    <t>Pt205</t>
  </si>
  <si>
    <t>Pt206</t>
  </si>
  <si>
    <t>Pt207</t>
  </si>
  <si>
    <t>Pt208</t>
  </si>
  <si>
    <t>Au170</t>
  </si>
  <si>
    <t>Au171</t>
  </si>
  <si>
    <t>Au172</t>
  </si>
  <si>
    <t>Au173</t>
  </si>
  <si>
    <t>Au174</t>
  </si>
  <si>
    <t>Au176</t>
  </si>
  <si>
    <t>Au177</t>
  </si>
  <si>
    <t>Au178</t>
  </si>
  <si>
    <t>Au179</t>
  </si>
  <si>
    <t>Au180</t>
  </si>
  <si>
    <t>Au181</t>
  </si>
  <si>
    <t>Au182</t>
  </si>
  <si>
    <t>Au183</t>
  </si>
  <si>
    <t>Au184</t>
  </si>
  <si>
    <t>Au185</t>
  </si>
  <si>
    <t>Au186</t>
  </si>
  <si>
    <t>Au187</t>
  </si>
  <si>
    <t>Au188</t>
  </si>
  <si>
    <t>Au189</t>
  </si>
  <si>
    <t>Au190</t>
  </si>
  <si>
    <t>Au191</t>
  </si>
  <si>
    <t>Au192</t>
  </si>
  <si>
    <t>Au193</t>
  </si>
  <si>
    <t>Au194</t>
  </si>
  <si>
    <t>Au195</t>
  </si>
  <si>
    <t>Au196</t>
  </si>
  <si>
    <t>Au197</t>
  </si>
  <si>
    <t>Au198</t>
  </si>
  <si>
    <t>Au199</t>
  </si>
  <si>
    <t>Au200</t>
  </si>
  <si>
    <t>Au201</t>
  </si>
  <si>
    <t>Au202</t>
  </si>
  <si>
    <t>Au203</t>
  </si>
  <si>
    <t>Au204</t>
  </si>
  <si>
    <t>Au205</t>
  </si>
  <si>
    <t>Au206</t>
  </si>
  <si>
    <t>Au207</t>
  </si>
  <si>
    <t>Au208</t>
  </si>
  <si>
    <t>Au209</t>
  </si>
  <si>
    <t>Au210</t>
  </si>
  <si>
    <t>Hg171</t>
  </si>
  <si>
    <t>Hg172</t>
  </si>
  <si>
    <t>Hg173</t>
  </si>
  <si>
    <t>Hg174</t>
  </si>
  <si>
    <t>Hg175</t>
  </si>
  <si>
    <t>Hg176</t>
  </si>
  <si>
    <t>Hg177</t>
  </si>
  <si>
    <t>Hg178</t>
  </si>
  <si>
    <t>Hg179</t>
  </si>
  <si>
    <t>Hg180</t>
  </si>
  <si>
    <t>Hg181</t>
  </si>
  <si>
    <t>Hg182</t>
  </si>
  <si>
    <t>Hg183</t>
  </si>
  <si>
    <t>Hg184</t>
  </si>
  <si>
    <t>Hg185</t>
  </si>
  <si>
    <t>Hg186</t>
  </si>
  <si>
    <t>Hg187</t>
  </si>
  <si>
    <t>Hg188</t>
  </si>
  <si>
    <t>Hg189</t>
  </si>
  <si>
    <t>Hg190</t>
  </si>
  <si>
    <t>Hg191</t>
  </si>
  <si>
    <t>Hg192</t>
  </si>
  <si>
    <t>Hg193</t>
  </si>
  <si>
    <t>Hg194</t>
  </si>
  <si>
    <t>Hg195</t>
  </si>
  <si>
    <t>Hg196</t>
  </si>
  <si>
    <t>Hg197</t>
  </si>
  <si>
    <t>Hg198</t>
  </si>
  <si>
    <t>Hg199</t>
  </si>
  <si>
    <t>Hg200</t>
  </si>
  <si>
    <t>Hg201</t>
  </si>
  <si>
    <t>Hg202</t>
  </si>
  <si>
    <t>Hg203</t>
  </si>
  <si>
    <t>Hg204</t>
  </si>
  <si>
    <t>Hg205</t>
  </si>
  <si>
    <t>Hg206</t>
  </si>
  <si>
    <t>Hg207</t>
  </si>
  <si>
    <t>Hg208</t>
  </si>
  <si>
    <t>Hg209</t>
  </si>
  <si>
    <t>Hg210</t>
  </si>
  <si>
    <t>Hg211</t>
  </si>
  <si>
    <t>Hg212</t>
  </si>
  <si>
    <t>Hg213</t>
  </si>
  <si>
    <t>Hg214</t>
  </si>
  <si>
    <t>Hg215</t>
  </si>
  <si>
    <t>Hg216</t>
  </si>
  <si>
    <t>Tl176</t>
  </si>
  <si>
    <t>Tl177</t>
  </si>
  <si>
    <t>Tl178</t>
  </si>
  <si>
    <t>Tl179</t>
  </si>
  <si>
    <t>Tl180</t>
  </si>
  <si>
    <t>Tl181</t>
  </si>
  <si>
    <t>Tl182</t>
  </si>
  <si>
    <t>Tl183</t>
  </si>
  <si>
    <t>Tl184</t>
  </si>
  <si>
    <t>Tl185</t>
  </si>
  <si>
    <t>Tl186</t>
  </si>
  <si>
    <t>Tl187</t>
  </si>
  <si>
    <t>Tl188</t>
  </si>
  <si>
    <t>Tl189</t>
  </si>
  <si>
    <t>Tl190</t>
  </si>
  <si>
    <t>Tl191</t>
  </si>
  <si>
    <t>Tl192</t>
  </si>
  <si>
    <t>Tl193</t>
  </si>
  <si>
    <t>Tl194</t>
  </si>
  <si>
    <t>Tl195</t>
  </si>
  <si>
    <t>Tl196</t>
  </si>
  <si>
    <t>Tl197</t>
  </si>
  <si>
    <t>Tl198</t>
  </si>
  <si>
    <t>Tl199</t>
  </si>
  <si>
    <t>Tl200</t>
  </si>
  <si>
    <t>Tl201</t>
  </si>
  <si>
    <t>Tl202</t>
  </si>
  <si>
    <t>Tl203</t>
  </si>
  <si>
    <t>Tl204</t>
  </si>
  <si>
    <t>Tl205</t>
  </si>
  <si>
    <t>Tl206</t>
  </si>
  <si>
    <t>Tl207</t>
  </si>
  <si>
    <t>Tl208</t>
  </si>
  <si>
    <t>Tl209</t>
  </si>
  <si>
    <t>Tl210</t>
  </si>
  <si>
    <t>Tl211</t>
  </si>
  <si>
    <t>Tl212</t>
  </si>
  <si>
    <t>Tl213</t>
  </si>
  <si>
    <t>Tl214</t>
  </si>
  <si>
    <t>Tl215</t>
  </si>
  <si>
    <t>Tl216</t>
  </si>
  <si>
    <t>Tl217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</si>
  <si>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</si>
  <si>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</si>
  <si>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</si>
  <si>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</si>
  <si>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</si>
  <si>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</si>
  <si>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</si>
  <si>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</si>
  <si>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</si>
  <si>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</si>
  <si>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</si>
  <si>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</si>
  <si>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</si>
  <si>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</si>
  <si>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</si>
  <si>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</si>
  <si>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</si>
  <si>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</si>
  <si>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</si>
  <si>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</si>
  <si>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</si>
  <si>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</si>
  <si>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</si>
  <si>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</si>
  <si>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</si>
  <si>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</si>
  <si>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</si>
  <si>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</si>
  <si>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</si>
  <si>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</si>
  <si>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</si>
  <si>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</si>
  <si>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</si>
  <si>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</si>
  <si>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</si>
  <si>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</si>
  <si>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</si>
  <si>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</si>
  <si>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</si>
  <si>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</si>
  <si>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</si>
  <si>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</si>
  <si>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</si>
  <si>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Bi184</t>
  </si>
  <si>
    <t>Bi185</t>
  </si>
  <si>
    <t>Bi186</t>
  </si>
  <si>
    <t>Bi187</t>
  </si>
  <si>
    <t>Bi188</t>
  </si>
  <si>
    <t>Bi189</t>
  </si>
  <si>
    <t>Bi190</t>
  </si>
  <si>
    <t>Bi191</t>
  </si>
  <si>
    <t>Bi192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</si>
  <si>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</si>
  <si>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</si>
  <si>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</si>
  <si>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</si>
  <si>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</si>
  <si>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</si>
  <si>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</si>
  <si>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</si>
  <si>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Bi201</t>
  </si>
  <si>
    <t>Bi202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</si>
  <si>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</si>
  <si>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</si>
  <si>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</si>
  <si>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</si>
  <si>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</si>
  <si>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</si>
  <si>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</si>
  <si>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</si>
  <si>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</si>
  <si>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</si>
  <si>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</si>
  <si>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</si>
  <si>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</si>
  <si>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Bi216</t>
  </si>
  <si>
    <t>Bi217</t>
  </si>
  <si>
    <t>Bi218</t>
  </si>
  <si>
    <t>Bi219</t>
  </si>
  <si>
    <t>Bi220</t>
  </si>
  <si>
    <t>Bi221</t>
  </si>
  <si>
    <t>Bi222</t>
  </si>
  <si>
    <t>Bi223</t>
  </si>
  <si>
    <t>Bi224</t>
  </si>
  <si>
    <t>Po186</t>
  </si>
  <si>
    <t>Po187</t>
  </si>
  <si>
    <t>Po188</t>
  </si>
  <si>
    <t>Po189</t>
  </si>
  <si>
    <t>Po190</t>
  </si>
  <si>
    <t>Po191</t>
  </si>
  <si>
    <t>Po192</t>
  </si>
  <si>
    <t>Po193</t>
  </si>
  <si>
    <t>Po194</t>
  </si>
  <si>
    <t>Po195</t>
  </si>
  <si>
    <t>Po196</t>
  </si>
  <si>
    <t>Po197</t>
  </si>
  <si>
    <t>Po198</t>
  </si>
  <si>
    <t>Po199</t>
  </si>
  <si>
    <t>Po200</t>
  </si>
  <si>
    <t>Po201</t>
  </si>
  <si>
    <t>Po202</t>
  </si>
  <si>
    <t>Po203</t>
  </si>
  <si>
    <t>Po204</t>
  </si>
  <si>
    <t>Po205</t>
  </si>
  <si>
    <t>Po206</t>
  </si>
  <si>
    <t>Po207</t>
  </si>
  <si>
    <t>Po208</t>
  </si>
  <si>
    <t>Po209</t>
  </si>
  <si>
    <t>Po210</t>
  </si>
  <si>
    <t>Po211</t>
  </si>
  <si>
    <t>Po212</t>
  </si>
  <si>
    <t>Po213</t>
  </si>
  <si>
    <t>Po214</t>
  </si>
  <si>
    <t>Po215</t>
  </si>
  <si>
    <t>Po216</t>
  </si>
  <si>
    <t>Po217</t>
  </si>
  <si>
    <t>Po218</t>
  </si>
  <si>
    <t>Po219</t>
  </si>
  <si>
    <t>Po220</t>
  </si>
  <si>
    <t>Po221</t>
  </si>
  <si>
    <t>Po222</t>
  </si>
  <si>
    <t>Po223</t>
  </si>
  <si>
    <t>Po224</t>
  </si>
  <si>
    <t>Po225</t>
  </si>
  <si>
    <t>Po226</t>
  </si>
  <si>
    <t>Po227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</si>
  <si>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</si>
  <si>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</si>
  <si>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</si>
  <si>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</si>
  <si>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</si>
  <si>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</si>
  <si>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</si>
  <si>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</si>
  <si>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</si>
  <si>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</si>
  <si>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</si>
  <si>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</si>
  <si>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</si>
  <si>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</si>
  <si>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At205</t>
  </si>
  <si>
    <t>At206</t>
  </si>
  <si>
    <t>At207</t>
  </si>
  <si>
    <t>At208</t>
  </si>
  <si>
    <t>At209</t>
  </si>
  <si>
    <t>At210</t>
  </si>
  <si>
    <t>At211</t>
  </si>
  <si>
    <t>At212</t>
  </si>
  <si>
    <t>At213</t>
  </si>
  <si>
    <t>At214</t>
  </si>
  <si>
    <t>At215</t>
  </si>
  <si>
    <t>At216</t>
  </si>
  <si>
    <t>At217</t>
  </si>
  <si>
    <t>At218</t>
  </si>
  <si>
    <t>At219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</si>
  <si>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</si>
  <si>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</si>
  <si>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</si>
  <si>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</si>
  <si>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</si>
  <si>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</si>
  <si>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</si>
  <si>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</si>
  <si>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</si>
  <si>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</si>
  <si>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Rn193</t>
  </si>
  <si>
    <t>Rn194</t>
  </si>
  <si>
    <t>Rn195</t>
  </si>
  <si>
    <t>Rn196</t>
  </si>
  <si>
    <t>Rn197</t>
  </si>
  <si>
    <t>Rn198</t>
  </si>
  <si>
    <t>Rn199</t>
  </si>
  <si>
    <t>Rn200</t>
  </si>
  <si>
    <t>Rn201</t>
  </si>
  <si>
    <t>Rn202</t>
  </si>
  <si>
    <t>Rn203</t>
  </si>
  <si>
    <t>Rn204</t>
  </si>
  <si>
    <t>Rn205</t>
  </si>
  <si>
    <t>Rn206</t>
  </si>
  <si>
    <t>Rn207</t>
  </si>
  <si>
    <t>Rn208</t>
  </si>
  <si>
    <t>Rn209</t>
  </si>
  <si>
    <t>Rn210</t>
  </si>
  <si>
    <t>Rn211</t>
  </si>
  <si>
    <t>Rn212</t>
  </si>
  <si>
    <t>Rn213</t>
  </si>
  <si>
    <t>Rn214</t>
  </si>
  <si>
    <t>Rn215</t>
  </si>
  <si>
    <t>Rn216</t>
  </si>
  <si>
    <t>Rn217</t>
  </si>
  <si>
    <t>Rn218</t>
  </si>
  <si>
    <t>Rn219</t>
  </si>
  <si>
    <t>Rn220</t>
  </si>
  <si>
    <t>Rn221</t>
  </si>
  <si>
    <t>Rn222</t>
  </si>
  <si>
    <t>Rn223</t>
  </si>
  <si>
    <t>Rn224</t>
  </si>
  <si>
    <t>Rn225</t>
  </si>
  <si>
    <t>Rn226</t>
  </si>
  <si>
    <t>Rn227</t>
  </si>
  <si>
    <t>Rn228</t>
  </si>
  <si>
    <t>Rn229</t>
  </si>
  <si>
    <t>Rn230</t>
  </si>
  <si>
    <t>Rn231</t>
  </si>
  <si>
    <t>Fr197</t>
  </si>
  <si>
    <t>Fr198</t>
  </si>
  <si>
    <t>Fr199</t>
  </si>
  <si>
    <t>Fr200</t>
  </si>
  <si>
    <t>Fr201</t>
  </si>
  <si>
    <t>Fr202</t>
  </si>
  <si>
    <t>Fr203</t>
  </si>
  <si>
    <t>Fr204</t>
  </si>
  <si>
    <t>Fr205</t>
  </si>
  <si>
    <t>Fr206</t>
  </si>
  <si>
    <t>Fr207</t>
  </si>
  <si>
    <t>Fr208</t>
  </si>
  <si>
    <t>Fr209</t>
  </si>
  <si>
    <t>Fr210</t>
  </si>
  <si>
    <t>Fr211</t>
  </si>
  <si>
    <t>Fr212</t>
  </si>
  <si>
    <t>Fr213</t>
  </si>
  <si>
    <t>Fr214</t>
  </si>
  <si>
    <t>Fr215</t>
  </si>
  <si>
    <t>Fr216</t>
  </si>
  <si>
    <t>Fr217</t>
  </si>
  <si>
    <t>Fr218</t>
  </si>
  <si>
    <t>Fr219</t>
  </si>
  <si>
    <t>Fr220</t>
  </si>
  <si>
    <t>Fr221</t>
  </si>
  <si>
    <t>Fr222</t>
  </si>
  <si>
    <t>Fr223</t>
  </si>
  <si>
    <t>Fr224</t>
  </si>
  <si>
    <t>Fr225</t>
  </si>
  <si>
    <t>Fr226</t>
  </si>
  <si>
    <t>Fr227</t>
  </si>
  <si>
    <t>Fr228</t>
  </si>
  <si>
    <t>Fr229</t>
  </si>
  <si>
    <t>Fr230</t>
  </si>
  <si>
    <t>Fr231</t>
  </si>
  <si>
    <t>Fr232</t>
  </si>
  <si>
    <t>Fr233</t>
  </si>
  <si>
    <t>Ra201</t>
  </si>
  <si>
    <t>Ra202</t>
  </si>
  <si>
    <t>Ra203</t>
  </si>
  <si>
    <t>Ra204</t>
  </si>
  <si>
    <t>Ra205</t>
  </si>
  <si>
    <t>Ra206</t>
  </si>
  <si>
    <t>Ra207</t>
  </si>
  <si>
    <t>Ra208</t>
  </si>
  <si>
    <t>Ra209</t>
  </si>
  <si>
    <t>Ra210</t>
  </si>
  <si>
    <t>Ra211</t>
  </si>
  <si>
    <t>Ra212</t>
  </si>
  <si>
    <t>Ra213</t>
  </si>
  <si>
    <t>Ra214</t>
  </si>
  <si>
    <t>Ra215</t>
  </si>
  <si>
    <t>Ra216</t>
  </si>
  <si>
    <t>Ra217</t>
  </si>
  <si>
    <t>Ra218</t>
  </si>
  <si>
    <t>Ra219</t>
  </si>
  <si>
    <t>Ra220</t>
  </si>
  <si>
    <t>Ra221</t>
  </si>
  <si>
    <t>Ra222</t>
  </si>
  <si>
    <t>Ra223</t>
  </si>
  <si>
    <t>Ra224</t>
  </si>
  <si>
    <t>Ra225</t>
  </si>
  <si>
    <t>Ra226</t>
  </si>
  <si>
    <t>Ra227</t>
  </si>
  <si>
    <t>Ra228</t>
  </si>
  <si>
    <t>Ra229</t>
  </si>
  <si>
    <t>Ra230</t>
  </si>
  <si>
    <t>Ra231</t>
  </si>
  <si>
    <t>Ra232</t>
  </si>
  <si>
    <t>Ra233</t>
  </si>
  <si>
    <t>Ra234</t>
  </si>
  <si>
    <t>Ac205</t>
  </si>
  <si>
    <t>Ac206</t>
  </si>
  <si>
    <t>Ac207</t>
  </si>
  <si>
    <t>Ac208</t>
  </si>
  <si>
    <t>Ac209</t>
  </si>
  <si>
    <t>Ac210</t>
  </si>
  <si>
    <t>Ac211</t>
  </si>
  <si>
    <t>Ac212</t>
  </si>
  <si>
    <t>Ac213</t>
  </si>
  <si>
    <t>Ac214</t>
  </si>
  <si>
    <t>Ac215</t>
  </si>
  <si>
    <t>Ac216</t>
  </si>
  <si>
    <t>Ac217</t>
  </si>
  <si>
    <t>Ac218</t>
  </si>
  <si>
    <t>Ac219</t>
  </si>
  <si>
    <t>Ac220</t>
  </si>
  <si>
    <t>Ac221</t>
  </si>
  <si>
    <t>Ac222</t>
  </si>
  <si>
    <t>Ac223</t>
  </si>
  <si>
    <t>Ac224</t>
  </si>
  <si>
    <t>Ac225</t>
  </si>
  <si>
    <t>Ac226</t>
  </si>
  <si>
    <t>Ac227</t>
  </si>
  <si>
    <t>Ac228</t>
  </si>
  <si>
    <t>Ac229</t>
  </si>
  <si>
    <t>Ac230</t>
  </si>
  <si>
    <t>Ac231</t>
  </si>
  <si>
    <t>Ac232</t>
  </si>
  <si>
    <t>Ac233</t>
  </si>
  <si>
    <t>Ac234</t>
  </si>
  <si>
    <t>Ac235</t>
  </si>
  <si>
    <t>Ac236</t>
  </si>
  <si>
    <t>Th208</t>
  </si>
  <si>
    <t>Th209</t>
  </si>
  <si>
    <t>Th210</t>
  </si>
  <si>
    <t>Th211</t>
  </si>
  <si>
    <t>Th212</t>
  </si>
  <si>
    <t>Th213</t>
  </si>
  <si>
    <t>Th214</t>
  </si>
  <si>
    <t>Th215</t>
  </si>
  <si>
    <t>Th216</t>
  </si>
  <si>
    <t>Th217</t>
  </si>
  <si>
    <t>Th218</t>
  </si>
  <si>
    <t>Th219</t>
  </si>
  <si>
    <t>Th220</t>
  </si>
  <si>
    <t>Th221</t>
  </si>
  <si>
    <t>Th222</t>
  </si>
  <si>
    <t>Th223</t>
  </si>
  <si>
    <t>Th224</t>
  </si>
  <si>
    <t>Th225</t>
  </si>
  <si>
    <t>Th226</t>
  </si>
  <si>
    <t>Th227</t>
  </si>
  <si>
    <t>Th228</t>
  </si>
  <si>
    <t>Th229</t>
  </si>
  <si>
    <t>Th230</t>
  </si>
  <si>
    <t>Th231</t>
  </si>
  <si>
    <t>Th232</t>
  </si>
  <si>
    <t>Th233</t>
  </si>
  <si>
    <t>Th234</t>
  </si>
  <si>
    <t>Th235</t>
  </si>
  <si>
    <t>Th236</t>
  </si>
  <si>
    <t>Th237</t>
  </si>
  <si>
    <t>Th238</t>
  </si>
  <si>
    <t>Pa211</t>
  </si>
  <si>
    <t>Pa212</t>
  </si>
  <si>
    <t>Pa213</t>
  </si>
  <si>
    <t>Pa214</t>
  </si>
  <si>
    <t>Pa215</t>
  </si>
  <si>
    <t>Pa216</t>
  </si>
  <si>
    <t>Pa217</t>
  </si>
  <si>
    <t>Pa218</t>
  </si>
  <si>
    <t>Pa219</t>
  </si>
  <si>
    <t>Pa220</t>
  </si>
  <si>
    <t>Pa221</t>
  </si>
  <si>
    <t>Pa222</t>
  </si>
  <si>
    <t>Pa223</t>
  </si>
  <si>
    <t>Pa224</t>
  </si>
  <si>
    <t>Pa225</t>
  </si>
  <si>
    <t>Pa226</t>
  </si>
  <si>
    <t>Pa227</t>
  </si>
  <si>
    <t>Pa228</t>
  </si>
  <si>
    <t>Pa229</t>
  </si>
  <si>
    <t>Pa230</t>
  </si>
  <si>
    <t>Pa231</t>
  </si>
  <si>
    <t>Pa232</t>
  </si>
  <si>
    <t>Pa233</t>
  </si>
  <si>
    <t>Pa234</t>
  </si>
  <si>
    <t>Pa235</t>
  </si>
  <si>
    <t>Pa236</t>
  </si>
  <si>
    <t>Pa237</t>
  </si>
  <si>
    <t>Pa238</t>
  </si>
  <si>
    <t>Pa239</t>
  </si>
  <si>
    <t>U216</t>
  </si>
  <si>
    <t>U217</t>
  </si>
  <si>
    <t>U218</t>
  </si>
  <si>
    <t>U219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</si>
  <si>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</si>
  <si>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</si>
  <si>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</si>
  <si>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</si>
  <si>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</si>
  <si>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</si>
  <si>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</si>
  <si>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</si>
  <si>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</si>
  <si>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</si>
  <si>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</si>
  <si>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</si>
  <si>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</si>
  <si>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</si>
  <si>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</si>
  <si>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</si>
  <si>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</si>
  <si>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</si>
  <si>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</si>
  <si>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</si>
  <si>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U242</t>
  </si>
  <si>
    <t>Np225</t>
  </si>
  <si>
    <t>Np226</t>
  </si>
  <si>
    <t>Np227</t>
  </si>
  <si>
    <t>Np228</t>
  </si>
  <si>
    <t>Np229</t>
  </si>
  <si>
    <t>Np230</t>
  </si>
  <si>
    <t>Np231</t>
  </si>
  <si>
    <t>Np232</t>
  </si>
  <si>
    <t>Np233</t>
  </si>
  <si>
    <t>Np234</t>
  </si>
  <si>
    <t>Np235</t>
  </si>
  <si>
    <t>Np236</t>
  </si>
  <si>
    <t>Np237</t>
  </si>
  <si>
    <t>Np238</t>
  </si>
  <si>
    <t>Np239</t>
  </si>
  <si>
    <t>Np240</t>
  </si>
  <si>
    <t>Np241</t>
  </si>
  <si>
    <t>Np242</t>
  </si>
  <si>
    <t>Np243</t>
  </si>
  <si>
    <t>Np244</t>
  </si>
  <si>
    <t>Pu228</t>
  </si>
  <si>
    <t>Pu229</t>
  </si>
  <si>
    <t>Pu230</t>
  </si>
  <si>
    <t>Pu231</t>
  </si>
  <si>
    <t>Pu232</t>
  </si>
  <si>
    <t>Pu233</t>
  </si>
  <si>
    <t>Pu234</t>
  </si>
  <si>
    <t>Pu235</t>
  </si>
  <si>
    <t>Pu236</t>
  </si>
  <si>
    <t>Pu237</t>
  </si>
  <si>
    <t>Pu238</t>
  </si>
  <si>
    <t>Pu239</t>
  </si>
  <si>
    <t>Pu240</t>
  </si>
  <si>
    <t>Pu241</t>
  </si>
  <si>
    <t>Pu242</t>
  </si>
  <si>
    <t>Pu243</t>
  </si>
  <si>
    <t>Pu244</t>
  </si>
  <si>
    <t>Pu245</t>
  </si>
  <si>
    <t>Pu246</t>
  </si>
  <si>
    <t>Pu247</t>
  </si>
  <si>
    <t>Am230</t>
  </si>
  <si>
    <t>Am232</t>
  </si>
  <si>
    <t>Am233</t>
  </si>
  <si>
    <t>Am234</t>
  </si>
  <si>
    <t>Am235</t>
  </si>
  <si>
    <t>Am236</t>
  </si>
  <si>
    <t>Am237</t>
  </si>
  <si>
    <t>Am238</t>
  </si>
  <si>
    <t>Am239</t>
  </si>
  <si>
    <t>Am240</t>
  </si>
  <si>
    <t>Am241</t>
  </si>
  <si>
    <t>Am242</t>
  </si>
  <si>
    <t>Am243</t>
  </si>
  <si>
    <t>Am244</t>
  </si>
  <si>
    <t>Am245</t>
  </si>
  <si>
    <t>Am246</t>
  </si>
  <si>
    <t>Am247</t>
  </si>
  <si>
    <t>Am248</t>
  </si>
  <si>
    <t>Cm233</t>
  </si>
  <si>
    <t>Cm234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</si>
  <si>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</si>
  <si>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</si>
  <si>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</si>
  <si>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</si>
  <si>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</si>
  <si>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</si>
  <si>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</si>
  <si>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</si>
  <si>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</si>
  <si>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</si>
  <si>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</si>
  <si>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</si>
  <si>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</si>
  <si>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Cm251</t>
  </si>
  <si>
    <t>Bk234</t>
  </si>
  <si>
    <t>Bk237</t>
  </si>
  <si>
    <t>Bk238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</si>
  <si>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</si>
  <si>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</si>
  <si>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</si>
  <si>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</si>
  <si>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</si>
  <si>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</si>
  <si>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</si>
  <si>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</si>
  <si>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</si>
  <si>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</si>
  <si>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</si>
  <si>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</si>
  <si>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Bk253</t>
  </si>
  <si>
    <t>Cf237</t>
  </si>
  <si>
    <t>Cf238</t>
  </si>
  <si>
    <t>Cf239</t>
  </si>
  <si>
    <t>Cf240</t>
  </si>
  <si>
    <t>Cf241</t>
  </si>
  <si>
    <t>Cf242</t>
  </si>
  <si>
    <t>Cf243</t>
  </si>
  <si>
    <t>Cf244</t>
  </si>
  <si>
    <t>Cf245</t>
  </si>
  <si>
    <t>Cf246</t>
  </si>
  <si>
    <t>Cf247</t>
  </si>
  <si>
    <t>Cf248</t>
  </si>
  <si>
    <t>Cf249</t>
  </si>
  <si>
    <t>Cf250</t>
  </si>
  <si>
    <t>Cf251</t>
  </si>
  <si>
    <t>Cf252</t>
  </si>
  <si>
    <t>Cf253</t>
  </si>
  <si>
    <t>Cf254</t>
  </si>
  <si>
    <t>Cf255</t>
  </si>
  <si>
    <t>Cf256</t>
  </si>
  <si>
    <t>Es241</t>
  </si>
  <si>
    <t>Es242</t>
  </si>
  <si>
    <t>Es243</t>
  </si>
  <si>
    <t>Es244</t>
  </si>
  <si>
    <t>Es245</t>
  </si>
  <si>
    <t>Es246</t>
  </si>
  <si>
    <t>Es247</t>
  </si>
  <si>
    <t>Es248</t>
  </si>
  <si>
    <t>Es249</t>
  </si>
  <si>
    <t>Es250</t>
  </si>
  <si>
    <t>Es251</t>
  </si>
  <si>
    <t>Es252</t>
  </si>
  <si>
    <t>Es253</t>
  </si>
  <si>
    <t>Es254</t>
  </si>
  <si>
    <t>Es255</t>
  </si>
  <si>
    <t>Es256</t>
  </si>
  <si>
    <t>Es257</t>
  </si>
  <si>
    <t>Fm241</t>
  </si>
  <si>
    <t>Fm243</t>
  </si>
  <si>
    <t>Fm244</t>
  </si>
  <si>
    <t>Fm245</t>
  </si>
  <si>
    <t>Fm246</t>
  </si>
  <si>
    <t>Fm247</t>
  </si>
  <si>
    <t>Fm248</t>
  </si>
  <si>
    <t>Fm249</t>
  </si>
  <si>
    <t>Fm250</t>
  </si>
  <si>
    <t>Fm251</t>
  </si>
  <si>
    <t>Fm252</t>
  </si>
  <si>
    <t>Fm253</t>
  </si>
  <si>
    <t>Fm254</t>
  </si>
  <si>
    <t>Fm255</t>
  </si>
  <si>
    <t>Fm256</t>
  </si>
  <si>
    <t>Fm257</t>
  </si>
  <si>
    <t>Fm258</t>
  </si>
  <si>
    <t>Fm259</t>
  </si>
  <si>
    <t>Fm260</t>
  </si>
  <si>
    <t>Md245</t>
  </si>
  <si>
    <t>Md246</t>
  </si>
  <si>
    <t>Md247</t>
  </si>
  <si>
    <t>Md248</t>
  </si>
  <si>
    <t>Md249</t>
  </si>
  <si>
    <t>Md250</t>
  </si>
  <si>
    <t>Md251</t>
  </si>
  <si>
    <t>Md252</t>
  </si>
  <si>
    <t>Md253</t>
  </si>
  <si>
    <t>Md254</t>
  </si>
  <si>
    <t>Md255</t>
  </si>
  <si>
    <t>Md256</t>
  </si>
  <si>
    <t>Md257</t>
  </si>
  <si>
    <t>Md258</t>
  </si>
  <si>
    <t>Md259</t>
  </si>
  <si>
    <t>Md260</t>
  </si>
  <si>
    <t>No250</t>
  </si>
  <si>
    <t>No251</t>
  </si>
  <si>
    <t>No252</t>
  </si>
  <si>
    <t>No253</t>
  </si>
  <si>
    <t>No254</t>
  </si>
  <si>
    <t>No255</t>
  </si>
  <si>
    <t>No256</t>
  </si>
  <si>
    <t>No257</t>
  </si>
  <si>
    <t>No258</t>
  </si>
  <si>
    <t>No259</t>
  </si>
  <si>
    <t>No260</t>
  </si>
  <si>
    <t>No262</t>
  </si>
  <si>
    <t>Lr252</t>
  </si>
  <si>
    <t>Lr253</t>
  </si>
  <si>
    <t>Lr254</t>
  </si>
  <si>
    <t>Lr255</t>
  </si>
  <si>
    <t>Lr256</t>
  </si>
  <si>
    <t>Lr257</t>
  </si>
  <si>
    <t>Lr258</t>
  </si>
  <si>
    <t>Lr259</t>
  </si>
  <si>
    <t>Lr260</t>
  </si>
  <si>
    <t>Lr261</t>
  </si>
  <si>
    <t>Lr262</t>
  </si>
  <si>
    <t>Lr266</t>
  </si>
  <si>
    <t>Rf253</t>
  </si>
  <si>
    <t>Rf254</t>
  </si>
  <si>
    <t>Rf255</t>
  </si>
  <si>
    <t>Rf256</t>
  </si>
  <si>
    <t>Rf257</t>
  </si>
  <si>
    <t>Rf258</t>
  </si>
  <si>
    <t>Rf259</t>
  </si>
  <si>
    <t>Rf260</t>
  </si>
  <si>
    <t>Rf261</t>
  </si>
  <si>
    <t>Rf262</t>
  </si>
  <si>
    <t>Rf263</t>
  </si>
  <si>
    <t>Rf265</t>
  </si>
  <si>
    <t>Db255</t>
  </si>
  <si>
    <t>Db256</t>
  </si>
  <si>
    <t>Db257</t>
  </si>
  <si>
    <t>Db258</t>
  </si>
  <si>
    <t>Db259</t>
  </si>
  <si>
    <t>Db260</t>
  </si>
  <si>
    <t>Db261</t>
  </si>
  <si>
    <t>Db262</t>
  </si>
  <si>
    <t>Db263</t>
  </si>
  <si>
    <t>Db267</t>
  </si>
  <si>
    <t>Db268</t>
  </si>
  <si>
    <t>Db270</t>
  </si>
  <si>
    <t>Sg258</t>
  </si>
  <si>
    <t>Sg259</t>
  </si>
  <si>
    <t>Sg260</t>
  </si>
  <si>
    <t>Sg261</t>
  </si>
  <si>
    <t>Sg262</t>
  </si>
  <si>
    <t>Sg263</t>
  </si>
  <si>
    <t>Sg264</t>
  </si>
  <si>
    <t>Sg265</t>
  </si>
  <si>
    <t>Sg266</t>
  </si>
  <si>
    <t>Sg269</t>
  </si>
  <si>
    <t>Sg271</t>
  </si>
  <si>
    <t>Bh260</t>
  </si>
  <si>
    <t>Bh261</t>
  </si>
  <si>
    <t>Bh262</t>
  </si>
  <si>
    <t>Bh264</t>
  </si>
  <si>
    <t>Bh265</t>
  </si>
  <si>
    <t>Bh266</t>
  </si>
  <si>
    <t>Bh267</t>
  </si>
  <si>
    <t>Bh270</t>
  </si>
  <si>
    <t>Bh272</t>
  </si>
  <si>
    <t>Bh274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</si>
  <si>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</si>
  <si>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</si>
  <si>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</si>
  <si>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</si>
  <si>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</si>
  <si>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</si>
  <si>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</si>
  <si>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</si>
  <si>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Hs273</t>
  </si>
  <si>
    <t>Hs275</t>
  </si>
  <si>
    <t>Hs277</t>
  </si>
  <si>
    <t>Mt266</t>
  </si>
  <si>
    <t>Mt268</t>
  </si>
  <si>
    <t>Mt270</t>
  </si>
  <si>
    <t>Mt274</t>
  </si>
  <si>
    <t>Mt275</t>
  </si>
  <si>
    <t>Mt276</t>
  </si>
  <si>
    <t>Mt277</t>
  </si>
  <si>
    <t>Mt278</t>
  </si>
  <si>
    <t>Ds267</t>
  </si>
  <si>
    <t>Ds269</t>
  </si>
  <si>
    <t>Ds270</t>
  </si>
  <si>
    <t>Ds271</t>
  </si>
  <si>
    <t>Ds273</t>
  </si>
  <si>
    <t>Ds277</t>
  </si>
  <si>
    <t>Ds279</t>
  </si>
  <si>
    <t>Ds281</t>
  </si>
  <si>
    <t>Rg272</t>
  </si>
  <si>
    <t>Rg274</t>
  </si>
  <si>
    <t>Rg278</t>
  </si>
  <si>
    <t>Rg279</t>
  </si>
  <si>
    <t>Rg280</t>
  </si>
  <si>
    <t>Rg281</t>
  </si>
  <si>
    <t>Rg282</t>
  </si>
  <si>
    <t>Cn281</t>
  </si>
  <si>
    <t>Cn282</t>
  </si>
  <si>
    <t>Cn283</t>
  </si>
  <si>
    <t>Cn284</t>
  </si>
  <si>
    <t>Cn285</t>
  </si>
  <si>
    <t>Nh278</t>
  </si>
  <si>
    <t>Nh282</t>
  </si>
  <si>
    <t>Nh283</t>
  </si>
  <si>
    <t>Nh284</t>
  </si>
  <si>
    <t>Nh285</t>
  </si>
  <si>
    <t>Nh286</t>
  </si>
  <si>
    <t>Fl284</t>
  </si>
  <si>
    <t>Fl285</t>
  </si>
  <si>
    <t>Fl286</t>
  </si>
  <si>
    <t>Fl287</t>
  </si>
  <si>
    <t>Fl288</t>
  </si>
  <si>
    <t>Fl289</t>
  </si>
  <si>
    <t>Mc287</t>
  </si>
  <si>
    <t>Mc288</t>
  </si>
  <si>
    <t>Mc289</t>
  </si>
  <si>
    <t>Mc290</t>
  </si>
  <si>
    <t>Lv290</t>
  </si>
  <si>
    <t>Lv291</t>
  </si>
  <si>
    <t>Lv292</t>
  </si>
  <si>
    <t>Lv293</t>
  </si>
  <si>
    <t>Ts293</t>
  </si>
  <si>
    <t>Ts294</t>
  </si>
  <si>
    <t>Model</t>
    <phoneticPr fontId="1" type="noConversion"/>
  </si>
  <si>
    <t>Library</t>
    <phoneticPr fontId="1" type="noConversion"/>
  </si>
  <si>
    <t>ENDF</t>
  </si>
  <si>
    <t>ENDF</t>
    <phoneticPr fontId="1" type="noConversion"/>
  </si>
  <si>
    <t>CEM</t>
  </si>
  <si>
    <t>CEM</t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</si>
  <si>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60</t>
    </r>
    <r>
      <rPr>
        <sz val="11"/>
        <color theme="1"/>
        <rFont val="等线"/>
        <family val="2"/>
        <scheme val="minor"/>
      </rPr>
      <t>Ca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</si>
  <si>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78</t>
    </r>
    <r>
      <rPr>
        <sz val="11"/>
        <color theme="1"/>
        <rFont val="等线"/>
        <family val="2"/>
        <scheme val="minor"/>
      </rPr>
      <t>Zn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</si>
  <si>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94</t>
    </r>
    <r>
      <rPr>
        <sz val="11"/>
        <color theme="1"/>
        <rFont val="等线"/>
        <family val="2"/>
        <scheme val="minor"/>
      </rPr>
      <t>Kr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</si>
  <si>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132</t>
    </r>
    <r>
      <rPr>
        <sz val="11"/>
        <color theme="1"/>
        <rFont val="等线"/>
        <family val="2"/>
        <scheme val="minor"/>
      </rPr>
      <t>Sn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</si>
  <si>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138</t>
    </r>
    <r>
      <rPr>
        <sz val="11"/>
        <color theme="1"/>
        <rFont val="等线"/>
        <family val="2"/>
        <scheme val="minor"/>
      </rPr>
      <t>Sn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</si>
  <si>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142</t>
    </r>
    <r>
      <rPr>
        <sz val="11"/>
        <color theme="1"/>
        <rFont val="等线"/>
        <family val="2"/>
        <scheme val="minor"/>
      </rPr>
      <t>Xe</t>
    </r>
    <phoneticPr fontId="1" type="noConversion"/>
  </si>
  <si>
    <r>
      <rPr>
        <vertAlign val="superscript"/>
        <sz val="11"/>
        <color theme="1"/>
        <rFont val="等线"/>
        <family val="3"/>
        <charset val="134"/>
        <scheme val="minor"/>
      </rPr>
      <t>146</t>
    </r>
    <r>
      <rPr>
        <sz val="11"/>
        <color theme="1"/>
        <rFont val="等线"/>
        <family val="2"/>
        <scheme val="minor"/>
      </rPr>
      <t>Cs</t>
    </r>
    <phoneticPr fontId="1" type="noConversion"/>
  </si>
  <si>
    <t>Nuclides</t>
  </si>
  <si>
    <t>Nuclides</t>
    <phoneticPr fontId="1" type="noConversion"/>
  </si>
  <si>
    <t>Activity/Bq</t>
    <phoneticPr fontId="1" type="noConversion"/>
  </si>
  <si>
    <t>T1/2</t>
  </si>
  <si>
    <t>T1/2</t>
    <phoneticPr fontId="1" type="noConversion"/>
  </si>
  <si>
    <t>w</t>
  </si>
  <si>
    <t>w</t>
    <phoneticPr fontId="1" type="noConversion"/>
  </si>
  <si>
    <t>λ</t>
  </si>
  <si>
    <t>λ</t>
    <phoneticPr fontId="1" type="noConversion"/>
  </si>
  <si>
    <t>EOB/10d</t>
  </si>
  <si>
    <t>EOB/10d</t>
    <phoneticPr fontId="1" type="noConversion"/>
  </si>
  <si>
    <t>EOI/1y</t>
  </si>
  <si>
    <t>EOI/1y</t>
    <phoneticPr fontId="1" type="noConversion"/>
  </si>
  <si>
    <t>N</t>
    <phoneticPr fontId="1" type="noConversion"/>
  </si>
  <si>
    <t>Z</t>
  </si>
  <si>
    <t>Z</t>
    <phoneticPr fontId="1" type="noConversion"/>
  </si>
  <si>
    <t>Yield_Rate/s</t>
    <phoneticPr fontId="1" type="noConversion"/>
  </si>
  <si>
    <t>Ci</t>
    <phoneticPr fontId="1" type="noConversion"/>
  </si>
  <si>
    <t>Ca60</t>
    <phoneticPr fontId="1" type="noConversion"/>
  </si>
  <si>
    <t>Zn78</t>
    <phoneticPr fontId="1" type="noConversion"/>
  </si>
  <si>
    <t>Kr94</t>
    <phoneticPr fontId="1" type="noConversion"/>
  </si>
  <si>
    <t>Sn132</t>
    <phoneticPr fontId="1" type="noConversion"/>
  </si>
  <si>
    <t>Sn138</t>
    <phoneticPr fontId="1" type="noConversion"/>
  </si>
  <si>
    <t>Xe142</t>
    <phoneticPr fontId="1" type="noConversion"/>
  </si>
  <si>
    <t>Cs146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</si>
</sst>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/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1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95250</xdr:colOff>
      <xdr:row>2</xdr:row>
      <xdr:rowOff>133350</xdr:rowOff>
    </xdr:from>
    <xdr:to>
      <xdr:col>36</xdr:col>
      <xdr:colOff>24130</xdr:colOff>
      <xdr:row>20</xdr:row>
      <xdr:rowOff>80010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50AFE1B-F423-429E-BEFF-ADBE70436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40850" y="495300"/>
          <a:ext cx="2672080" cy="3204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2:H3163"/>
  <sheetViews>
    <sheetView topLeftCell="A314" zoomScale="110" zoomScaleNormal="110" workbookViewId="0">
      <selection activeCell="F1" sqref="F1:F1048576"/>
    </sheetView>
  </sheetViews>
  <sheetFormatPr defaultColWidth="8.875" defaultRowHeight="15" x14ac:dyDescent="0.25"/>
  <cols>
    <col min="1" max="1" width="8.875" style="2" customWidth="1"/>
    <col min="2" max="3" width="9" style="3" bestFit="1" customWidth="1"/>
    <col min="4" max="4" width="13.125" style="3" bestFit="1" customWidth="1"/>
    <col min="5" max="5" width="8.875" style="3"/>
    <col min="6" max="6" width="13.125" style="3" bestFit="1" customWidth="1"/>
    <col min="7" max="7" width="9" style="2" bestFit="1" customWidth="1"/>
    <col min="8" max="8" width="8.875" style="2"/>
  </cols>
  <sheetData>
    <row r="2" spans="1:8" x14ac:dyDescent="0.25">
      <c r="B2" s="3" t="s">
        <v>0</v>
      </c>
      <c r="C2" s="3" t="s">
        <v>1</v>
      </c>
      <c r="D2" s="3" t="s">
        <v>2</v>
      </c>
      <c r="F2" s="3" t="s">
        <v>2</v>
      </c>
    </row>
    <row r="3" spans="1:8" x14ac:dyDescent="0.25">
      <c r="A3" s="2">
        <v>1001</v>
      </c>
      <c r="B3" s="3">
        <v>1</v>
      </c>
      <c r="C3" s="3">
        <v>0</v>
      </c>
      <c r="D3" s="3">
        <v>613.9</v>
      </c>
      <c r="F3" s="3">
        <v>613.9</v>
      </c>
      <c r="G3" s="4">
        <v>1</v>
      </c>
      <c r="H3" s="4" t="s">
        <v>3</v>
      </c>
    </row>
    <row r="4" spans="1:8" x14ac:dyDescent="0.25">
      <c r="A4" s="2">
        <v>1002</v>
      </c>
      <c r="B4" s="3">
        <v>1</v>
      </c>
      <c r="C4" s="3">
        <v>1</v>
      </c>
      <c r="D4" s="3" t="s">
        <v>4</v>
      </c>
      <c r="E4" s="3" t="s">
        <v>5</v>
      </c>
      <c r="F4" s="3" t="s">
        <v>4</v>
      </c>
      <c r="G4" s="4">
        <v>2</v>
      </c>
      <c r="H4" s="4" t="s">
        <v>6</v>
      </c>
    </row>
    <row r="5" spans="1:8" x14ac:dyDescent="0.25">
      <c r="A5" s="2">
        <v>1003</v>
      </c>
      <c r="B5" s="3">
        <v>2</v>
      </c>
      <c r="C5" s="3">
        <v>1</v>
      </c>
      <c r="D5" s="3">
        <v>388789632</v>
      </c>
      <c r="E5" s="3" t="s">
        <v>7</v>
      </c>
      <c r="F5" s="3">
        <v>388789632</v>
      </c>
      <c r="G5" s="4">
        <v>3</v>
      </c>
      <c r="H5" s="4" t="s">
        <v>8</v>
      </c>
    </row>
    <row r="6" spans="1:8" x14ac:dyDescent="0.25">
      <c r="A6" s="2">
        <v>1005</v>
      </c>
      <c r="B6" s="3">
        <v>4</v>
      </c>
      <c r="C6" s="3">
        <v>1</v>
      </c>
      <c r="D6" s="3">
        <v>7.9947368421052595E-23</v>
      </c>
      <c r="E6" s="3" t="s">
        <v>9</v>
      </c>
      <c r="F6" s="3">
        <v>7.9947368421052595E-23</v>
      </c>
      <c r="G6" s="4">
        <v>4</v>
      </c>
      <c r="H6" s="4" t="s">
        <v>10</v>
      </c>
    </row>
    <row r="7" spans="1:8" x14ac:dyDescent="0.25">
      <c r="A7" s="2">
        <v>1006</v>
      </c>
      <c r="B7" s="3">
        <v>5</v>
      </c>
      <c r="C7" s="3">
        <v>1</v>
      </c>
      <c r="D7" s="3">
        <v>2.8481249999999898E-22</v>
      </c>
      <c r="E7" s="3" t="s">
        <v>11</v>
      </c>
      <c r="F7" s="3">
        <v>2.8481249999999898E-22</v>
      </c>
      <c r="G7" s="4">
        <v>5</v>
      </c>
      <c r="H7" s="4" t="s">
        <v>12</v>
      </c>
    </row>
    <row r="8" spans="1:8" x14ac:dyDescent="0.25">
      <c r="A8" s="2">
        <v>2003</v>
      </c>
      <c r="B8" s="3">
        <v>1</v>
      </c>
      <c r="C8" s="3">
        <v>2</v>
      </c>
      <c r="D8" s="3" t="s">
        <v>4</v>
      </c>
      <c r="E8" s="3" t="s">
        <v>13</v>
      </c>
      <c r="F8" s="3" t="s">
        <v>4</v>
      </c>
      <c r="G8" s="4">
        <v>6</v>
      </c>
      <c r="H8" s="4" t="s">
        <v>14</v>
      </c>
    </row>
    <row r="9" spans="1:8" x14ac:dyDescent="0.25">
      <c r="A9" s="2">
        <v>2004</v>
      </c>
      <c r="B9" s="3">
        <v>2</v>
      </c>
      <c r="C9" s="3">
        <v>2</v>
      </c>
      <c r="D9" s="3" t="s">
        <v>4</v>
      </c>
      <c r="E9" s="3" t="s">
        <v>15</v>
      </c>
      <c r="F9" s="3" t="s">
        <v>4</v>
      </c>
      <c r="G9" s="4">
        <v>7</v>
      </c>
      <c r="H9" s="4" t="s">
        <v>16</v>
      </c>
    </row>
    <row r="10" spans="1:8" x14ac:dyDescent="0.25">
      <c r="A10" s="2">
        <v>2005</v>
      </c>
      <c r="B10" s="3">
        <v>3</v>
      </c>
      <c r="C10" s="3">
        <v>2</v>
      </c>
      <c r="D10" s="3">
        <v>7.5950000000000001E-22</v>
      </c>
      <c r="E10" s="3" t="s">
        <v>17</v>
      </c>
      <c r="F10" s="3">
        <v>7.5950000000000001E-22</v>
      </c>
      <c r="G10" s="4">
        <v>8</v>
      </c>
      <c r="H10" s="4" t="s">
        <v>18</v>
      </c>
    </row>
    <row r="11" spans="1:8" x14ac:dyDescent="0.25">
      <c r="A11" s="2">
        <v>2006</v>
      </c>
      <c r="B11" s="3">
        <v>4</v>
      </c>
      <c r="C11" s="3">
        <v>2</v>
      </c>
      <c r="D11" s="3">
        <v>0.80669999999999997</v>
      </c>
      <c r="E11" s="3" t="s">
        <v>19</v>
      </c>
      <c r="F11" s="3">
        <v>0.80669999999999997</v>
      </c>
      <c r="G11" s="4">
        <v>9</v>
      </c>
      <c r="H11" s="4" t="s">
        <v>20</v>
      </c>
    </row>
    <row r="12" spans="1:8" x14ac:dyDescent="0.25">
      <c r="A12" s="2">
        <v>2007</v>
      </c>
      <c r="B12" s="3">
        <v>5</v>
      </c>
      <c r="C12" s="3">
        <v>2</v>
      </c>
      <c r="D12" s="3">
        <v>3.0380000000000001E-21</v>
      </c>
      <c r="E12" s="3" t="s">
        <v>21</v>
      </c>
      <c r="F12" s="3">
        <v>3.0380000000000001E-21</v>
      </c>
      <c r="G12" s="4">
        <v>10</v>
      </c>
      <c r="H12" s="4" t="s">
        <v>22</v>
      </c>
    </row>
    <row r="13" spans="1:8" x14ac:dyDescent="0.25">
      <c r="A13" s="2">
        <v>2008</v>
      </c>
      <c r="B13" s="3">
        <v>6</v>
      </c>
      <c r="C13" s="3">
        <v>2</v>
      </c>
      <c r="D13" s="3">
        <v>0.1191</v>
      </c>
      <c r="E13" s="3" t="s">
        <v>23</v>
      </c>
      <c r="F13" s="3">
        <v>0.1191</v>
      </c>
      <c r="G13" s="4">
        <v>11</v>
      </c>
      <c r="H13" s="4" t="s">
        <v>24</v>
      </c>
    </row>
    <row r="14" spans="1:8" x14ac:dyDescent="0.25">
      <c r="A14" s="2">
        <v>2010</v>
      </c>
      <c r="B14" s="3">
        <v>8</v>
      </c>
      <c r="C14" s="3">
        <v>2</v>
      </c>
      <c r="D14" s="3">
        <v>1.519E-21</v>
      </c>
      <c r="E14" s="3" t="s">
        <v>25</v>
      </c>
      <c r="F14" s="3">
        <v>1.519E-21</v>
      </c>
      <c r="G14" s="4">
        <v>12</v>
      </c>
      <c r="H14" s="4" t="s">
        <v>26</v>
      </c>
    </row>
    <row r="15" spans="1:8" x14ac:dyDescent="0.25">
      <c r="A15" s="2">
        <v>3004</v>
      </c>
      <c r="B15" s="3">
        <v>1</v>
      </c>
      <c r="C15" s="3">
        <v>3</v>
      </c>
      <c r="D15" s="3">
        <v>7.5572139303482503E-23</v>
      </c>
      <c r="E15" s="3" t="s">
        <v>27</v>
      </c>
      <c r="F15" s="3">
        <v>7.5572139303482503E-23</v>
      </c>
      <c r="G15" s="4">
        <v>13</v>
      </c>
      <c r="H15" s="4" t="s">
        <v>28</v>
      </c>
    </row>
    <row r="16" spans="1:8" x14ac:dyDescent="0.25">
      <c r="A16" s="2">
        <v>3005</v>
      </c>
      <c r="B16" s="3">
        <v>2</v>
      </c>
      <c r="C16" s="3">
        <v>3</v>
      </c>
      <c r="D16" s="3">
        <v>3.038E-22</v>
      </c>
      <c r="E16" s="3" t="s">
        <v>29</v>
      </c>
      <c r="F16" s="3">
        <v>3.038E-22</v>
      </c>
      <c r="G16" s="4">
        <v>14</v>
      </c>
      <c r="H16" s="4" t="s">
        <v>30</v>
      </c>
    </row>
    <row r="17" spans="1:8" x14ac:dyDescent="0.25">
      <c r="A17" s="2">
        <v>3006</v>
      </c>
      <c r="B17" s="3">
        <v>3</v>
      </c>
      <c r="C17" s="3">
        <v>3</v>
      </c>
      <c r="D17" s="3" t="s">
        <v>4</v>
      </c>
      <c r="E17" s="3" t="s">
        <v>31</v>
      </c>
      <c r="F17" s="3" t="s">
        <v>4</v>
      </c>
      <c r="G17" s="4">
        <v>15</v>
      </c>
      <c r="H17" s="4" t="s">
        <v>32</v>
      </c>
    </row>
    <row r="18" spans="1:8" x14ac:dyDescent="0.25">
      <c r="A18" s="2">
        <v>3007</v>
      </c>
      <c r="B18" s="3">
        <v>4</v>
      </c>
      <c r="C18" s="3">
        <v>3</v>
      </c>
      <c r="D18" s="3" t="s">
        <v>4</v>
      </c>
      <c r="E18" s="3" t="s">
        <v>33</v>
      </c>
      <c r="F18" s="3" t="s">
        <v>4</v>
      </c>
      <c r="G18" s="4">
        <v>16</v>
      </c>
      <c r="H18" s="4" t="s">
        <v>34</v>
      </c>
    </row>
    <row r="19" spans="1:8" x14ac:dyDescent="0.25">
      <c r="A19" s="2">
        <v>3008</v>
      </c>
      <c r="B19" s="3">
        <v>5</v>
      </c>
      <c r="C19" s="3">
        <v>3</v>
      </c>
      <c r="D19" s="3">
        <v>0.83989999999999998</v>
      </c>
      <c r="E19" s="3" t="s">
        <v>35</v>
      </c>
      <c r="F19" s="3">
        <v>0.83989999999999998</v>
      </c>
      <c r="G19" s="4">
        <v>17</v>
      </c>
      <c r="H19" s="4" t="s">
        <v>36</v>
      </c>
    </row>
    <row r="20" spans="1:8" x14ac:dyDescent="0.25">
      <c r="A20" s="2">
        <v>3009</v>
      </c>
      <c r="B20" s="3">
        <v>6</v>
      </c>
      <c r="C20" s="3">
        <v>3</v>
      </c>
      <c r="D20" s="3">
        <v>0.17829999999999999</v>
      </c>
      <c r="E20" s="3" t="s">
        <v>37</v>
      </c>
      <c r="F20" s="3">
        <v>0.17829999999999999</v>
      </c>
      <c r="G20" s="4">
        <v>18</v>
      </c>
      <c r="H20" s="4" t="s">
        <v>38</v>
      </c>
    </row>
    <row r="21" spans="1:8" x14ac:dyDescent="0.25">
      <c r="A21" s="2">
        <v>3011</v>
      </c>
      <c r="B21" s="3">
        <v>8</v>
      </c>
      <c r="C21" s="3">
        <v>3</v>
      </c>
      <c r="D21" s="3">
        <v>8.7500000000000008E-3</v>
      </c>
      <c r="E21" s="3" t="s">
        <v>39</v>
      </c>
      <c r="F21" s="3">
        <v>8.7500000000000008E-3</v>
      </c>
      <c r="G21" s="4">
        <v>19</v>
      </c>
      <c r="H21" s="4" t="s">
        <v>40</v>
      </c>
    </row>
    <row r="22" spans="1:8" x14ac:dyDescent="0.25">
      <c r="A22" s="2">
        <v>4006</v>
      </c>
      <c r="B22" s="3">
        <v>2</v>
      </c>
      <c r="C22" s="3">
        <v>4</v>
      </c>
      <c r="D22" s="3">
        <v>4.9532608695652102E-21</v>
      </c>
      <c r="E22" s="3" t="s">
        <v>41</v>
      </c>
      <c r="F22" s="3">
        <v>4.9532608695652102E-21</v>
      </c>
      <c r="G22" s="4">
        <v>20</v>
      </c>
      <c r="H22" s="4" t="s">
        <v>42</v>
      </c>
    </row>
    <row r="23" spans="1:8" x14ac:dyDescent="0.25">
      <c r="A23" s="2">
        <v>4007</v>
      </c>
      <c r="B23" s="3">
        <v>3</v>
      </c>
      <c r="C23" s="3">
        <v>4</v>
      </c>
      <c r="D23" s="3">
        <v>4598208</v>
      </c>
      <c r="E23" s="3" t="s">
        <v>43</v>
      </c>
      <c r="F23" s="3">
        <v>4598208</v>
      </c>
      <c r="G23" s="4">
        <v>21</v>
      </c>
      <c r="H23" s="4" t="s">
        <v>44</v>
      </c>
    </row>
    <row r="24" spans="1:8" x14ac:dyDescent="0.25">
      <c r="A24" s="2">
        <v>4008</v>
      </c>
      <c r="B24" s="3">
        <v>4</v>
      </c>
      <c r="C24" s="3">
        <v>4</v>
      </c>
      <c r="D24" s="3">
        <v>8.1813285457809601E-17</v>
      </c>
      <c r="E24" s="3" t="s">
        <v>45</v>
      </c>
      <c r="F24" s="3">
        <v>8.1813285457809601E-17</v>
      </c>
      <c r="G24" s="4">
        <v>22</v>
      </c>
      <c r="H24" s="4" t="s">
        <v>46</v>
      </c>
    </row>
    <row r="25" spans="1:8" x14ac:dyDescent="0.25">
      <c r="A25" s="2">
        <v>4009</v>
      </c>
      <c r="B25" s="3">
        <v>5</v>
      </c>
      <c r="C25" s="3">
        <v>4</v>
      </c>
      <c r="D25" s="3" t="s">
        <v>4</v>
      </c>
      <c r="E25" s="3" t="s">
        <v>47</v>
      </c>
      <c r="F25" s="3" t="s">
        <v>4</v>
      </c>
      <c r="G25" s="4">
        <v>23</v>
      </c>
      <c r="H25" s="4" t="s">
        <v>48</v>
      </c>
    </row>
    <row r="26" spans="1:8" x14ac:dyDescent="0.25">
      <c r="A26" s="2">
        <v>4010</v>
      </c>
      <c r="B26" s="3">
        <v>6</v>
      </c>
      <c r="C26" s="3">
        <v>4</v>
      </c>
      <c r="D26" s="3">
        <v>47651976000000</v>
      </c>
      <c r="E26" s="3" t="s">
        <v>49</v>
      </c>
      <c r="F26" s="3">
        <v>47651976000000</v>
      </c>
      <c r="G26" s="4">
        <v>24</v>
      </c>
      <c r="H26" s="4" t="s">
        <v>50</v>
      </c>
    </row>
    <row r="27" spans="1:8" x14ac:dyDescent="0.25">
      <c r="A27" s="2">
        <v>4011</v>
      </c>
      <c r="B27" s="3">
        <v>7</v>
      </c>
      <c r="C27" s="3">
        <v>4</v>
      </c>
      <c r="D27" s="3">
        <v>13.76</v>
      </c>
      <c r="E27" s="3" t="s">
        <v>51</v>
      </c>
      <c r="F27" s="3">
        <v>13.76</v>
      </c>
      <c r="G27" s="4">
        <v>25</v>
      </c>
      <c r="H27" s="4" t="s">
        <v>52</v>
      </c>
    </row>
    <row r="28" spans="1:8" x14ac:dyDescent="0.25">
      <c r="A28" s="2">
        <v>4012</v>
      </c>
      <c r="B28" s="3">
        <v>8</v>
      </c>
      <c r="C28" s="3">
        <v>4</v>
      </c>
      <c r="D28" s="3">
        <v>2.147E-2</v>
      </c>
      <c r="E28" s="3" t="s">
        <v>53</v>
      </c>
      <c r="F28" s="3">
        <v>2.147E-2</v>
      </c>
      <c r="G28" s="4">
        <v>26</v>
      </c>
      <c r="H28" s="4" t="s">
        <v>54</v>
      </c>
    </row>
    <row r="29" spans="1:8" x14ac:dyDescent="0.25">
      <c r="A29" s="2">
        <v>4013</v>
      </c>
      <c r="B29" s="3">
        <v>9</v>
      </c>
      <c r="C29" s="3">
        <v>4</v>
      </c>
      <c r="D29" s="3">
        <v>2.7000000000000001E-21</v>
      </c>
      <c r="E29" s="3" t="s">
        <v>55</v>
      </c>
      <c r="F29" s="3">
        <v>2.7000000000000001E-21</v>
      </c>
      <c r="G29" s="4">
        <v>27</v>
      </c>
      <c r="H29" s="4" t="s">
        <v>56</v>
      </c>
    </row>
    <row r="30" spans="1:8" x14ac:dyDescent="0.25">
      <c r="A30" s="2">
        <v>4014</v>
      </c>
      <c r="B30" s="3">
        <v>10</v>
      </c>
      <c r="C30" s="3">
        <v>4</v>
      </c>
      <c r="D30" s="3">
        <v>4.3499999999999997E-3</v>
      </c>
      <c r="E30" s="3" t="s">
        <v>57</v>
      </c>
      <c r="F30" s="3">
        <v>4.3499999999999997E-3</v>
      </c>
      <c r="G30" s="4">
        <v>28</v>
      </c>
      <c r="H30" s="4" t="s">
        <v>58</v>
      </c>
    </row>
    <row r="31" spans="1:8" x14ac:dyDescent="0.25">
      <c r="A31" s="2">
        <v>4015</v>
      </c>
      <c r="B31" s="3">
        <v>11</v>
      </c>
      <c r="C31" s="3">
        <v>4</v>
      </c>
      <c r="D31" s="3">
        <v>7.8568965517241304E-22</v>
      </c>
      <c r="E31" s="3" t="s">
        <v>59</v>
      </c>
      <c r="F31" s="3">
        <v>7.8568965517241304E-22</v>
      </c>
      <c r="G31" s="4">
        <v>29</v>
      </c>
      <c r="H31" s="4" t="s">
        <v>60</v>
      </c>
    </row>
    <row r="32" spans="1:8" x14ac:dyDescent="0.25">
      <c r="A32" s="2">
        <v>4016</v>
      </c>
      <c r="B32" s="3">
        <v>12</v>
      </c>
      <c r="C32" s="3">
        <v>4</v>
      </c>
      <c r="D32" s="3">
        <v>5.69624999999999E-22</v>
      </c>
      <c r="E32" s="3" t="s">
        <v>61</v>
      </c>
      <c r="F32" s="3">
        <v>5.69624999999999E-22</v>
      </c>
      <c r="G32" s="4">
        <v>30</v>
      </c>
      <c r="H32" s="4" t="s">
        <v>62</v>
      </c>
    </row>
    <row r="33" spans="1:8" x14ac:dyDescent="0.25">
      <c r="A33" s="2">
        <v>5007</v>
      </c>
      <c r="B33" s="3">
        <v>2</v>
      </c>
      <c r="C33" s="3">
        <v>5</v>
      </c>
      <c r="D33" s="3">
        <v>3.2550000000000001E-22</v>
      </c>
      <c r="E33" s="3" t="s">
        <v>63</v>
      </c>
      <c r="F33" s="3">
        <v>3.2550000000000001E-22</v>
      </c>
      <c r="G33" s="4">
        <v>31</v>
      </c>
      <c r="H33" s="4" t="s">
        <v>64</v>
      </c>
    </row>
    <row r="34" spans="1:8" x14ac:dyDescent="0.25">
      <c r="A34" s="2">
        <v>5008</v>
      </c>
      <c r="B34" s="3">
        <v>3</v>
      </c>
      <c r="C34" s="3">
        <v>5</v>
      </c>
      <c r="D34" s="3">
        <v>0.77</v>
      </c>
      <c r="E34" s="3" t="s">
        <v>65</v>
      </c>
      <c r="F34" s="3">
        <v>0.77</v>
      </c>
      <c r="G34" s="4">
        <v>32</v>
      </c>
      <c r="H34" s="4" t="s">
        <v>66</v>
      </c>
    </row>
    <row r="35" spans="1:8" x14ac:dyDescent="0.25">
      <c r="A35" s="2">
        <v>5009</v>
      </c>
      <c r="B35" s="3">
        <v>4</v>
      </c>
      <c r="C35" s="3">
        <v>5</v>
      </c>
      <c r="D35" s="3">
        <v>8.4388888888888803E-19</v>
      </c>
      <c r="E35" s="3" t="s">
        <v>67</v>
      </c>
      <c r="F35" s="3">
        <v>8.4388888888888803E-19</v>
      </c>
      <c r="G35" s="4">
        <v>33</v>
      </c>
      <c r="H35" s="4" t="s">
        <v>68</v>
      </c>
    </row>
    <row r="36" spans="1:8" x14ac:dyDescent="0.25">
      <c r="A36" s="2">
        <v>5010</v>
      </c>
      <c r="B36" s="3">
        <v>5</v>
      </c>
      <c r="C36" s="3">
        <v>5</v>
      </c>
      <c r="D36" s="3" t="s">
        <v>4</v>
      </c>
      <c r="E36" s="3" t="s">
        <v>69</v>
      </c>
      <c r="F36" s="3" t="s">
        <v>4</v>
      </c>
      <c r="G36" s="4">
        <v>34</v>
      </c>
      <c r="H36" s="4" t="s">
        <v>70</v>
      </c>
    </row>
    <row r="37" spans="1:8" x14ac:dyDescent="0.25">
      <c r="A37" s="2">
        <v>5011</v>
      </c>
      <c r="B37" s="3">
        <v>6</v>
      </c>
      <c r="C37" s="3">
        <v>5</v>
      </c>
      <c r="D37" s="3" t="s">
        <v>4</v>
      </c>
      <c r="E37" s="3" t="s">
        <v>71</v>
      </c>
      <c r="F37" s="3" t="s">
        <v>4</v>
      </c>
      <c r="G37" s="4">
        <v>35</v>
      </c>
      <c r="H37" s="4" t="s">
        <v>72</v>
      </c>
    </row>
    <row r="38" spans="1:8" x14ac:dyDescent="0.25">
      <c r="A38" s="2">
        <v>5012</v>
      </c>
      <c r="B38" s="3">
        <v>7</v>
      </c>
      <c r="C38" s="3">
        <v>5</v>
      </c>
      <c r="D38" s="3">
        <v>2.0199999999999999E-2</v>
      </c>
      <c r="E38" s="3" t="s">
        <v>73</v>
      </c>
      <c r="F38" s="3">
        <v>2.0199999999999999E-2</v>
      </c>
      <c r="G38" s="4">
        <v>36</v>
      </c>
      <c r="H38" s="4" t="s">
        <v>74</v>
      </c>
    </row>
    <row r="39" spans="1:8" x14ac:dyDescent="0.25">
      <c r="A39" s="2">
        <v>5013</v>
      </c>
      <c r="B39" s="3">
        <v>8</v>
      </c>
      <c r="C39" s="3">
        <v>5</v>
      </c>
      <c r="D39" s="3">
        <v>1.7329999999999901E-2</v>
      </c>
      <c r="E39" s="3" t="s">
        <v>75</v>
      </c>
      <c r="F39" s="3">
        <v>1.7329999999999901E-2</v>
      </c>
      <c r="G39" s="4">
        <v>37</v>
      </c>
      <c r="H39" s="4" t="s">
        <v>76</v>
      </c>
    </row>
    <row r="40" spans="1:8" x14ac:dyDescent="0.25">
      <c r="A40" s="2">
        <v>5014</v>
      </c>
      <c r="B40" s="3">
        <v>9</v>
      </c>
      <c r="C40" s="3">
        <v>5</v>
      </c>
      <c r="D40" s="3">
        <v>1.2359999999999999E-2</v>
      </c>
      <c r="E40" s="3" t="s">
        <v>77</v>
      </c>
      <c r="F40" s="3">
        <v>1.2359999999999999E-2</v>
      </c>
      <c r="G40" s="4">
        <v>38</v>
      </c>
      <c r="H40" s="4" t="s">
        <v>78</v>
      </c>
    </row>
    <row r="41" spans="1:8" x14ac:dyDescent="0.25">
      <c r="A41" s="2">
        <v>5015</v>
      </c>
      <c r="B41" s="3">
        <v>10</v>
      </c>
      <c r="C41" s="3">
        <v>5</v>
      </c>
      <c r="D41" s="3">
        <v>1.018E-2</v>
      </c>
      <c r="E41" s="3" t="s">
        <v>79</v>
      </c>
      <c r="F41" s="3">
        <v>1.018E-2</v>
      </c>
      <c r="G41" s="4">
        <v>39</v>
      </c>
      <c r="H41" s="4" t="s">
        <v>80</v>
      </c>
    </row>
    <row r="42" spans="1:8" x14ac:dyDescent="0.25">
      <c r="A42" s="2">
        <v>5017</v>
      </c>
      <c r="B42" s="3">
        <v>12</v>
      </c>
      <c r="C42" s="3">
        <v>5</v>
      </c>
      <c r="D42" s="3">
        <v>5.0800000000000003E-3</v>
      </c>
      <c r="E42" s="3" t="s">
        <v>81</v>
      </c>
      <c r="F42" s="3">
        <v>5.0800000000000003E-3</v>
      </c>
      <c r="G42" s="4">
        <v>40</v>
      </c>
      <c r="H42" s="4" t="s">
        <v>82</v>
      </c>
    </row>
    <row r="43" spans="1:8" x14ac:dyDescent="0.25">
      <c r="A43" s="2">
        <v>5019</v>
      </c>
      <c r="B43" s="3">
        <v>14</v>
      </c>
      <c r="C43" s="3">
        <v>5</v>
      </c>
      <c r="D43" s="3">
        <v>2.9199999999999999E-3</v>
      </c>
      <c r="E43" s="3" t="s">
        <v>83</v>
      </c>
      <c r="F43" s="3">
        <v>2.9199999999999999E-3</v>
      </c>
      <c r="G43" s="4">
        <v>41</v>
      </c>
      <c r="H43" s="4" t="s">
        <v>84</v>
      </c>
    </row>
    <row r="44" spans="1:8" x14ac:dyDescent="0.25">
      <c r="A44" s="2">
        <v>6008</v>
      </c>
      <c r="B44" s="3">
        <v>2</v>
      </c>
      <c r="C44" s="3">
        <v>6</v>
      </c>
      <c r="D44" s="3">
        <v>1.9813043478260799E-21</v>
      </c>
      <c r="E44" s="3" t="s">
        <v>85</v>
      </c>
      <c r="F44" s="3">
        <v>1.9813043478260799E-21</v>
      </c>
      <c r="G44" s="4">
        <v>42</v>
      </c>
      <c r="H44" s="4" t="s">
        <v>86</v>
      </c>
    </row>
    <row r="45" spans="1:8" x14ac:dyDescent="0.25">
      <c r="A45" s="2">
        <v>6009</v>
      </c>
      <c r="B45" s="3">
        <v>3</v>
      </c>
      <c r="C45" s="3">
        <v>6</v>
      </c>
      <c r="D45" s="3">
        <v>0.1265</v>
      </c>
      <c r="E45" s="3" t="s">
        <v>87</v>
      </c>
      <c r="F45" s="3">
        <v>0.1265</v>
      </c>
      <c r="G45" s="4">
        <v>43</v>
      </c>
      <c r="H45" s="4" t="s">
        <v>88</v>
      </c>
    </row>
    <row r="46" spans="1:8" x14ac:dyDescent="0.25">
      <c r="A46" s="2">
        <v>6010</v>
      </c>
      <c r="B46" s="3">
        <v>4</v>
      </c>
      <c r="C46" s="3">
        <v>6</v>
      </c>
      <c r="D46" s="3">
        <v>19.308</v>
      </c>
      <c r="E46" s="3" t="s">
        <v>89</v>
      </c>
      <c r="F46" s="3">
        <v>19.308</v>
      </c>
      <c r="G46" s="4">
        <v>44</v>
      </c>
      <c r="H46" s="4" t="s">
        <v>90</v>
      </c>
    </row>
    <row r="47" spans="1:8" x14ac:dyDescent="0.25">
      <c r="A47" s="2">
        <v>6011</v>
      </c>
      <c r="B47" s="3">
        <v>5</v>
      </c>
      <c r="C47" s="3">
        <v>6</v>
      </c>
      <c r="D47" s="3">
        <v>1221.8399999999999</v>
      </c>
      <c r="E47" s="3" t="s">
        <v>91</v>
      </c>
      <c r="F47" s="3">
        <v>1221.8399999999999</v>
      </c>
      <c r="G47" s="4">
        <v>45</v>
      </c>
      <c r="H47" s="4" t="s">
        <v>92</v>
      </c>
    </row>
    <row r="48" spans="1:8" x14ac:dyDescent="0.25">
      <c r="A48" s="2">
        <v>6012</v>
      </c>
      <c r="B48" s="3">
        <v>6</v>
      </c>
      <c r="C48" s="3">
        <v>6</v>
      </c>
      <c r="D48" s="3" t="s">
        <v>4</v>
      </c>
      <c r="E48" s="3" t="s">
        <v>93</v>
      </c>
      <c r="F48" s="3" t="s">
        <v>4</v>
      </c>
      <c r="G48" s="4">
        <v>46</v>
      </c>
      <c r="H48" s="4" t="s">
        <v>94</v>
      </c>
    </row>
    <row r="49" spans="1:8" x14ac:dyDescent="0.25">
      <c r="A49" s="2">
        <v>6013</v>
      </c>
      <c r="B49" s="3">
        <v>7</v>
      </c>
      <c r="C49" s="3">
        <v>6</v>
      </c>
      <c r="D49" s="3" t="s">
        <v>4</v>
      </c>
      <c r="E49" s="3" t="s">
        <v>95</v>
      </c>
      <c r="F49" s="3" t="s">
        <v>4</v>
      </c>
      <c r="G49" s="4">
        <v>47</v>
      </c>
      <c r="H49" s="4" t="s">
        <v>96</v>
      </c>
    </row>
    <row r="50" spans="1:8" x14ac:dyDescent="0.25">
      <c r="A50" s="2">
        <v>6014</v>
      </c>
      <c r="B50" s="3">
        <v>8</v>
      </c>
      <c r="C50" s="3">
        <v>6</v>
      </c>
      <c r="D50" s="3">
        <v>179878320000</v>
      </c>
      <c r="E50" s="3" t="s">
        <v>97</v>
      </c>
      <c r="F50" s="3">
        <v>179878320000</v>
      </c>
      <c r="G50" s="4">
        <v>48</v>
      </c>
      <c r="H50" s="4" t="s">
        <v>98</v>
      </c>
    </row>
    <row r="51" spans="1:8" x14ac:dyDescent="0.25">
      <c r="A51" s="2">
        <v>6015</v>
      </c>
      <c r="B51" s="3">
        <v>9</v>
      </c>
      <c r="C51" s="3">
        <v>6</v>
      </c>
      <c r="D51" s="3">
        <v>2.4489999999999998</v>
      </c>
      <c r="E51" s="3" t="s">
        <v>99</v>
      </c>
      <c r="F51" s="3">
        <v>2.4489999999999998</v>
      </c>
      <c r="G51" s="4">
        <v>49</v>
      </c>
      <c r="H51" s="4" t="s">
        <v>100</v>
      </c>
    </row>
    <row r="52" spans="1:8" x14ac:dyDescent="0.25">
      <c r="A52" s="2">
        <v>6016</v>
      </c>
      <c r="B52" s="3">
        <v>10</v>
      </c>
      <c r="C52" s="3">
        <v>6</v>
      </c>
      <c r="D52" s="3">
        <v>0.747</v>
      </c>
      <c r="E52" s="3" t="s">
        <v>101</v>
      </c>
      <c r="F52" s="3">
        <v>0.747</v>
      </c>
      <c r="G52" s="4">
        <v>50</v>
      </c>
      <c r="H52" s="4" t="s">
        <v>102</v>
      </c>
    </row>
    <row r="53" spans="1:8" x14ac:dyDescent="0.25">
      <c r="A53" s="2">
        <v>6017</v>
      </c>
      <c r="B53" s="3">
        <v>11</v>
      </c>
      <c r="C53" s="3">
        <v>6</v>
      </c>
      <c r="D53" s="3">
        <v>0.191</v>
      </c>
      <c r="E53" s="3" t="s">
        <v>103</v>
      </c>
      <c r="F53" s="3">
        <v>0.191</v>
      </c>
      <c r="G53" s="4">
        <v>51</v>
      </c>
      <c r="H53" s="4" t="s">
        <v>104</v>
      </c>
    </row>
    <row r="54" spans="1:8" x14ac:dyDescent="0.25">
      <c r="A54" s="2">
        <v>6018</v>
      </c>
      <c r="B54" s="3">
        <v>12</v>
      </c>
      <c r="C54" s="3">
        <v>6</v>
      </c>
      <c r="D54" s="3">
        <v>9.1999999999999998E-2</v>
      </c>
      <c r="E54" s="3" t="s">
        <v>105</v>
      </c>
      <c r="F54" s="3">
        <v>9.1999999999999998E-2</v>
      </c>
      <c r="G54" s="4">
        <v>52</v>
      </c>
      <c r="H54" s="4" t="s">
        <v>106</v>
      </c>
    </row>
    <row r="55" spans="1:8" x14ac:dyDescent="0.25">
      <c r="A55" s="2">
        <v>6019</v>
      </c>
      <c r="B55" s="3">
        <v>13</v>
      </c>
      <c r="C55" s="3">
        <v>6</v>
      </c>
      <c r="D55" s="3">
        <v>4.6199999999999998E-2</v>
      </c>
      <c r="E55" s="3" t="s">
        <v>107</v>
      </c>
      <c r="F55" s="3">
        <v>4.6199999999999998E-2</v>
      </c>
      <c r="G55" s="4">
        <v>53</v>
      </c>
      <c r="H55" s="4" t="s">
        <v>108</v>
      </c>
    </row>
    <row r="56" spans="1:8" x14ac:dyDescent="0.25">
      <c r="A56" s="2">
        <v>6020</v>
      </c>
      <c r="B56" s="3">
        <v>14</v>
      </c>
      <c r="C56" s="3">
        <v>6</v>
      </c>
      <c r="D56" s="3">
        <v>1.6199999999999999E-2</v>
      </c>
      <c r="E56" s="3" t="s">
        <v>109</v>
      </c>
      <c r="F56" s="3">
        <v>1.6199999999999999E-2</v>
      </c>
      <c r="G56" s="4">
        <v>54</v>
      </c>
      <c r="H56" s="4" t="s">
        <v>110</v>
      </c>
    </row>
    <row r="57" spans="1:8" x14ac:dyDescent="0.25">
      <c r="A57" s="2">
        <v>6022</v>
      </c>
      <c r="B57" s="3">
        <v>16</v>
      </c>
      <c r="C57" s="3">
        <v>6</v>
      </c>
      <c r="D57" s="3">
        <v>6.09999999999999E-3</v>
      </c>
      <c r="E57" s="3" t="s">
        <v>111</v>
      </c>
      <c r="F57" s="3">
        <v>6.09999999999999E-3</v>
      </c>
      <c r="G57" s="4">
        <v>55</v>
      </c>
      <c r="H57" s="4" t="s">
        <v>112</v>
      </c>
    </row>
    <row r="58" spans="1:8" x14ac:dyDescent="0.25">
      <c r="A58" s="2">
        <v>7011</v>
      </c>
      <c r="B58" s="3">
        <v>4</v>
      </c>
      <c r="C58" s="3">
        <v>7</v>
      </c>
      <c r="D58" s="3">
        <v>5.4903614457831297E-22</v>
      </c>
      <c r="E58" s="3" t="s">
        <v>113</v>
      </c>
      <c r="F58" s="3">
        <v>5.4903614457831297E-22</v>
      </c>
      <c r="G58" s="4">
        <v>56</v>
      </c>
      <c r="H58" s="4" t="s">
        <v>114</v>
      </c>
    </row>
    <row r="59" spans="1:8" x14ac:dyDescent="0.25">
      <c r="A59" s="2">
        <v>7012</v>
      </c>
      <c r="B59" s="3">
        <v>5</v>
      </c>
      <c r="C59" s="3">
        <v>7</v>
      </c>
      <c r="D59" s="3">
        <v>1.0999999999999999E-2</v>
      </c>
      <c r="E59" s="3" t="s">
        <v>115</v>
      </c>
      <c r="F59" s="3">
        <v>1.0999999999999999E-2</v>
      </c>
      <c r="G59" s="4">
        <v>57</v>
      </c>
      <c r="H59" s="4" t="s">
        <v>116</v>
      </c>
    </row>
    <row r="60" spans="1:8" x14ac:dyDescent="0.25">
      <c r="A60" s="2">
        <v>7013</v>
      </c>
      <c r="B60" s="3">
        <v>6</v>
      </c>
      <c r="C60" s="3">
        <v>7</v>
      </c>
      <c r="D60" s="3">
        <v>597.9</v>
      </c>
      <c r="E60" s="3" t="s">
        <v>117</v>
      </c>
      <c r="F60" s="3">
        <v>597.9</v>
      </c>
      <c r="G60" s="4">
        <v>58</v>
      </c>
      <c r="H60" s="4" t="s">
        <v>118</v>
      </c>
    </row>
    <row r="61" spans="1:8" x14ac:dyDescent="0.25">
      <c r="A61" s="2">
        <v>7014</v>
      </c>
      <c r="B61" s="3">
        <v>7</v>
      </c>
      <c r="C61" s="3">
        <v>7</v>
      </c>
      <c r="D61" s="3" t="s">
        <v>4</v>
      </c>
      <c r="E61" s="3" t="s">
        <v>119</v>
      </c>
      <c r="F61" s="3" t="s">
        <v>4</v>
      </c>
      <c r="G61" s="4">
        <v>59</v>
      </c>
      <c r="H61" s="4" t="s">
        <v>120</v>
      </c>
    </row>
    <row r="62" spans="1:8" x14ac:dyDescent="0.25">
      <c r="A62" s="2">
        <v>7015</v>
      </c>
      <c r="B62" s="3">
        <v>8</v>
      </c>
      <c r="C62" s="3">
        <v>7</v>
      </c>
      <c r="D62" s="3" t="s">
        <v>4</v>
      </c>
      <c r="E62" s="3" t="s">
        <v>121</v>
      </c>
      <c r="F62" s="3" t="s">
        <v>4</v>
      </c>
      <c r="G62" s="4">
        <v>60</v>
      </c>
      <c r="H62" s="4" t="s">
        <v>122</v>
      </c>
    </row>
    <row r="63" spans="1:8" x14ac:dyDescent="0.25">
      <c r="A63" s="2">
        <v>7016</v>
      </c>
      <c r="B63" s="3">
        <v>9</v>
      </c>
      <c r="C63" s="3">
        <v>7</v>
      </c>
      <c r="D63" s="3">
        <v>7.13</v>
      </c>
      <c r="E63" s="3" t="s">
        <v>123</v>
      </c>
      <c r="F63" s="3">
        <v>7.13</v>
      </c>
      <c r="G63" s="4">
        <v>61</v>
      </c>
      <c r="H63" s="4" t="s">
        <v>124</v>
      </c>
    </row>
    <row r="64" spans="1:8" x14ac:dyDescent="0.25">
      <c r="A64" s="2">
        <v>7017</v>
      </c>
      <c r="B64" s="3">
        <v>10</v>
      </c>
      <c r="C64" s="3">
        <v>7</v>
      </c>
      <c r="D64" s="3">
        <v>4.1710000000000003</v>
      </c>
      <c r="E64" s="3" t="s">
        <v>125</v>
      </c>
      <c r="F64" s="3">
        <v>4.1710000000000003</v>
      </c>
      <c r="G64" s="4">
        <v>62</v>
      </c>
      <c r="H64" s="4" t="s">
        <v>126</v>
      </c>
    </row>
    <row r="65" spans="1:8" x14ac:dyDescent="0.25">
      <c r="A65" s="2">
        <v>7018</v>
      </c>
      <c r="B65" s="3">
        <v>11</v>
      </c>
      <c r="C65" s="3">
        <v>7</v>
      </c>
      <c r="D65" s="3">
        <v>0.61899999999999999</v>
      </c>
      <c r="E65" s="3" t="s">
        <v>127</v>
      </c>
      <c r="F65" s="3">
        <v>0.61899999999999999</v>
      </c>
      <c r="G65" s="4">
        <v>63</v>
      </c>
      <c r="H65" s="4" t="s">
        <v>128</v>
      </c>
    </row>
    <row r="66" spans="1:8" x14ac:dyDescent="0.25">
      <c r="A66" s="2">
        <v>7019</v>
      </c>
      <c r="B66" s="3">
        <v>12</v>
      </c>
      <c r="C66" s="3">
        <v>7</v>
      </c>
      <c r="D66" s="3">
        <v>0.33600000000000002</v>
      </c>
      <c r="E66" s="3" t="s">
        <v>129</v>
      </c>
      <c r="F66" s="3">
        <v>0.33600000000000002</v>
      </c>
      <c r="G66" s="4">
        <v>64</v>
      </c>
      <c r="H66" s="4" t="s">
        <v>130</v>
      </c>
    </row>
    <row r="67" spans="1:8" x14ac:dyDescent="0.25">
      <c r="A67" s="2">
        <v>7020</v>
      </c>
      <c r="B67" s="3">
        <v>13</v>
      </c>
      <c r="C67" s="3">
        <v>7</v>
      </c>
      <c r="D67" s="3">
        <v>0.13600000000000001</v>
      </c>
      <c r="E67" s="3" t="s">
        <v>131</v>
      </c>
      <c r="F67" s="3">
        <v>0.13600000000000001</v>
      </c>
      <c r="G67" s="4">
        <v>65</v>
      </c>
      <c r="H67" s="4" t="s">
        <v>132</v>
      </c>
    </row>
    <row r="68" spans="1:8" x14ac:dyDescent="0.25">
      <c r="A68" s="2">
        <v>7021</v>
      </c>
      <c r="B68" s="3">
        <v>14</v>
      </c>
      <c r="C68" s="3">
        <v>7</v>
      </c>
      <c r="D68" s="3">
        <v>8.48E-2</v>
      </c>
      <c r="E68" s="3" t="s">
        <v>133</v>
      </c>
      <c r="F68" s="3">
        <v>8.48E-2</v>
      </c>
      <c r="G68" s="4">
        <v>66</v>
      </c>
      <c r="H68" s="4" t="s">
        <v>134</v>
      </c>
    </row>
    <row r="69" spans="1:8" x14ac:dyDescent="0.25">
      <c r="A69" s="2">
        <v>7022</v>
      </c>
      <c r="B69" s="3">
        <v>15</v>
      </c>
      <c r="C69" s="3">
        <v>7</v>
      </c>
      <c r="D69" s="3">
        <v>1.95E-2</v>
      </c>
      <c r="E69" s="3" t="s">
        <v>135</v>
      </c>
      <c r="F69" s="3">
        <v>1.95E-2</v>
      </c>
      <c r="G69" s="4">
        <v>67</v>
      </c>
      <c r="H69" s="4" t="s">
        <v>136</v>
      </c>
    </row>
    <row r="70" spans="1:8" x14ac:dyDescent="0.25">
      <c r="A70" s="2">
        <v>7023</v>
      </c>
      <c r="B70" s="3">
        <v>16</v>
      </c>
      <c r="C70" s="3">
        <v>7</v>
      </c>
      <c r="D70" s="3">
        <v>1.41E-2</v>
      </c>
      <c r="E70" s="3" t="s">
        <v>137</v>
      </c>
      <c r="F70" s="3">
        <v>1.41E-2</v>
      </c>
      <c r="G70" s="4">
        <v>68</v>
      </c>
      <c r="H70" s="4" t="s">
        <v>138</v>
      </c>
    </row>
    <row r="71" spans="1:8" x14ac:dyDescent="0.25">
      <c r="A71" s="2">
        <v>8012</v>
      </c>
      <c r="B71" s="3">
        <v>4</v>
      </c>
      <c r="C71" s="3">
        <v>8</v>
      </c>
      <c r="D71" s="3">
        <v>1.1392499999999899E-21</v>
      </c>
      <c r="E71" s="3" t="s">
        <v>139</v>
      </c>
      <c r="F71" s="3">
        <v>1.1392499999999899E-21</v>
      </c>
      <c r="G71" s="4">
        <v>69</v>
      </c>
      <c r="H71" s="4" t="s">
        <v>140</v>
      </c>
    </row>
    <row r="72" spans="1:8" x14ac:dyDescent="0.25">
      <c r="A72" s="2">
        <v>8013</v>
      </c>
      <c r="B72" s="3">
        <v>5</v>
      </c>
      <c r="C72" s="3">
        <v>8</v>
      </c>
      <c r="D72" s="3">
        <v>8.5800000000000008E-3</v>
      </c>
      <c r="E72" s="3" t="s">
        <v>141</v>
      </c>
      <c r="F72" s="3">
        <v>8.5800000000000008E-3</v>
      </c>
      <c r="G72" s="4">
        <v>70</v>
      </c>
      <c r="H72" s="4" t="s">
        <v>142</v>
      </c>
    </row>
    <row r="73" spans="1:8" x14ac:dyDescent="0.25">
      <c r="A73" s="2">
        <v>8014</v>
      </c>
      <c r="B73" s="3">
        <v>6</v>
      </c>
      <c r="C73" s="3">
        <v>8</v>
      </c>
      <c r="D73" s="3">
        <v>70.62</v>
      </c>
      <c r="E73" s="3" t="s">
        <v>143</v>
      </c>
      <c r="F73" s="3">
        <v>70.62</v>
      </c>
      <c r="G73" s="4">
        <v>71</v>
      </c>
      <c r="H73" s="4" t="s">
        <v>144</v>
      </c>
    </row>
    <row r="74" spans="1:8" x14ac:dyDescent="0.25">
      <c r="A74" s="2">
        <v>8015</v>
      </c>
      <c r="B74" s="3">
        <v>7</v>
      </c>
      <c r="C74" s="3">
        <v>8</v>
      </c>
      <c r="D74" s="3">
        <v>122.24</v>
      </c>
      <c r="E74" s="3" t="s">
        <v>145</v>
      </c>
      <c r="F74" s="3">
        <v>122.24</v>
      </c>
      <c r="G74" s="4">
        <v>72</v>
      </c>
      <c r="H74" s="4" t="s">
        <v>146</v>
      </c>
    </row>
    <row r="75" spans="1:8" x14ac:dyDescent="0.25">
      <c r="A75" s="2">
        <v>8016</v>
      </c>
      <c r="B75" s="3">
        <v>8</v>
      </c>
      <c r="C75" s="3">
        <v>8</v>
      </c>
      <c r="D75" s="3" t="s">
        <v>4</v>
      </c>
      <c r="E75" s="3" t="s">
        <v>147</v>
      </c>
      <c r="F75" s="3" t="s">
        <v>4</v>
      </c>
      <c r="G75" s="4">
        <v>73</v>
      </c>
      <c r="H75" s="4" t="s">
        <v>148</v>
      </c>
    </row>
    <row r="76" spans="1:8" x14ac:dyDescent="0.25">
      <c r="A76" s="2">
        <v>8017</v>
      </c>
      <c r="B76" s="3">
        <v>9</v>
      </c>
      <c r="C76" s="3">
        <v>8</v>
      </c>
      <c r="D76" s="3" t="s">
        <v>4</v>
      </c>
      <c r="E76" s="3" t="s">
        <v>149</v>
      </c>
      <c r="F76" s="3" t="s">
        <v>4</v>
      </c>
      <c r="G76" s="4">
        <v>74</v>
      </c>
      <c r="H76" s="4" t="s">
        <v>150</v>
      </c>
    </row>
    <row r="77" spans="1:8" x14ac:dyDescent="0.25">
      <c r="A77" s="2">
        <v>8018</v>
      </c>
      <c r="B77" s="3">
        <v>10</v>
      </c>
      <c r="C77" s="3">
        <v>8</v>
      </c>
      <c r="D77" s="3" t="s">
        <v>4</v>
      </c>
      <c r="E77" s="3" t="s">
        <v>151</v>
      </c>
      <c r="F77" s="3" t="s">
        <v>4</v>
      </c>
      <c r="G77" s="4">
        <v>75</v>
      </c>
      <c r="H77" s="4" t="s">
        <v>152</v>
      </c>
    </row>
    <row r="78" spans="1:8" x14ac:dyDescent="0.25">
      <c r="A78" s="2">
        <v>8019</v>
      </c>
      <c r="B78" s="3">
        <v>11</v>
      </c>
      <c r="C78" s="3">
        <v>8</v>
      </c>
      <c r="D78" s="3">
        <v>26.88</v>
      </c>
      <c r="E78" s="3" t="s">
        <v>153</v>
      </c>
      <c r="F78" s="3">
        <v>26.88</v>
      </c>
      <c r="G78" s="4">
        <v>76</v>
      </c>
      <c r="H78" s="4" t="s">
        <v>154</v>
      </c>
    </row>
    <row r="79" spans="1:8" x14ac:dyDescent="0.25">
      <c r="A79" s="2">
        <v>8020</v>
      </c>
      <c r="B79" s="3">
        <v>12</v>
      </c>
      <c r="C79" s="3">
        <v>8</v>
      </c>
      <c r="D79" s="3">
        <v>13.51</v>
      </c>
      <c r="E79" s="3" t="s">
        <v>155</v>
      </c>
      <c r="F79" s="3">
        <v>13.51</v>
      </c>
      <c r="G79" s="4">
        <v>77</v>
      </c>
      <c r="H79" s="4" t="s">
        <v>156</v>
      </c>
    </row>
    <row r="80" spans="1:8" x14ac:dyDescent="0.25">
      <c r="A80" s="2">
        <v>8021</v>
      </c>
      <c r="B80" s="3">
        <v>13</v>
      </c>
      <c r="C80" s="3">
        <v>8</v>
      </c>
      <c r="D80" s="3">
        <v>3.42</v>
      </c>
      <c r="E80" s="3" t="s">
        <v>157</v>
      </c>
      <c r="F80" s="3">
        <v>3.42</v>
      </c>
      <c r="G80" s="4">
        <v>78</v>
      </c>
      <c r="H80" s="4" t="s">
        <v>158</v>
      </c>
    </row>
    <row r="81" spans="1:8" x14ac:dyDescent="0.25">
      <c r="A81" s="2">
        <v>8022</v>
      </c>
      <c r="B81" s="3">
        <v>14</v>
      </c>
      <c r="C81" s="3">
        <v>8</v>
      </c>
      <c r="D81" s="3">
        <v>2.25</v>
      </c>
      <c r="E81" s="3" t="s">
        <v>159</v>
      </c>
      <c r="F81" s="3">
        <v>2.25</v>
      </c>
      <c r="G81" s="4">
        <v>79</v>
      </c>
      <c r="H81" s="4" t="s">
        <v>160</v>
      </c>
    </row>
    <row r="82" spans="1:8" x14ac:dyDescent="0.25">
      <c r="A82" s="2">
        <v>8023</v>
      </c>
      <c r="B82" s="3">
        <v>15</v>
      </c>
      <c r="C82" s="3">
        <v>8</v>
      </c>
      <c r="D82" s="3">
        <v>9.7000000000000003E-2</v>
      </c>
      <c r="E82" s="3" t="s">
        <v>161</v>
      </c>
      <c r="F82" s="3">
        <v>9.7000000000000003E-2</v>
      </c>
      <c r="G82" s="4">
        <v>80</v>
      </c>
      <c r="H82" s="4" t="s">
        <v>162</v>
      </c>
    </row>
    <row r="83" spans="1:8" x14ac:dyDescent="0.25">
      <c r="A83" s="2">
        <v>8024</v>
      </c>
      <c r="B83" s="3">
        <v>16</v>
      </c>
      <c r="C83" s="3">
        <v>8</v>
      </c>
      <c r="D83" s="3">
        <v>7.1999999999999995E-2</v>
      </c>
      <c r="E83" s="3" t="s">
        <v>163</v>
      </c>
      <c r="F83" s="3">
        <v>7.1999999999999995E-2</v>
      </c>
      <c r="G83" s="4">
        <v>81</v>
      </c>
      <c r="H83" s="4" t="s">
        <v>164</v>
      </c>
    </row>
    <row r="84" spans="1:8" x14ac:dyDescent="0.25">
      <c r="A84" s="2">
        <v>8025</v>
      </c>
      <c r="B84" s="3">
        <v>17</v>
      </c>
      <c r="C84" s="3">
        <v>8</v>
      </c>
      <c r="D84" s="3">
        <v>6.3E-21</v>
      </c>
      <c r="E84" s="3" t="s">
        <v>165</v>
      </c>
      <c r="F84" s="3">
        <v>6.3E-21</v>
      </c>
      <c r="G84" s="4">
        <v>82</v>
      </c>
      <c r="H84" s="4" t="s">
        <v>166</v>
      </c>
    </row>
    <row r="85" spans="1:8" x14ac:dyDescent="0.25">
      <c r="A85" s="2">
        <v>8026</v>
      </c>
      <c r="B85" s="3">
        <v>18</v>
      </c>
      <c r="C85" s="3">
        <v>8</v>
      </c>
      <c r="D85" s="3">
        <v>4.4999999999999998E-12</v>
      </c>
      <c r="E85" s="3" t="s">
        <v>167</v>
      </c>
      <c r="F85" s="3">
        <v>4.4999999999999998E-12</v>
      </c>
      <c r="G85" s="4">
        <v>83</v>
      </c>
      <c r="H85" s="4" t="s">
        <v>168</v>
      </c>
    </row>
    <row r="86" spans="1:8" x14ac:dyDescent="0.25">
      <c r="A86" s="2">
        <v>9014</v>
      </c>
      <c r="B86" s="3">
        <v>5</v>
      </c>
      <c r="C86" s="3">
        <v>9</v>
      </c>
      <c r="D86" s="3">
        <v>5.0076923076923E-22</v>
      </c>
      <c r="E86" s="3" t="s">
        <v>169</v>
      </c>
      <c r="F86" s="3">
        <v>5.0076923076923E-22</v>
      </c>
      <c r="G86" s="4">
        <v>84</v>
      </c>
      <c r="H86" s="4" t="s">
        <v>170</v>
      </c>
    </row>
    <row r="87" spans="1:8" x14ac:dyDescent="0.25">
      <c r="A87" s="2">
        <v>9015</v>
      </c>
      <c r="B87" s="3">
        <v>6</v>
      </c>
      <c r="C87" s="3">
        <v>9</v>
      </c>
      <c r="D87" s="3">
        <v>6.9045454545454504E-22</v>
      </c>
      <c r="E87" s="3" t="s">
        <v>171</v>
      </c>
      <c r="F87" s="3">
        <v>6.9045454545454504E-22</v>
      </c>
      <c r="G87" s="4">
        <v>85</v>
      </c>
      <c r="H87" s="4" t="s">
        <v>172</v>
      </c>
    </row>
    <row r="88" spans="1:8" x14ac:dyDescent="0.25">
      <c r="A88" s="2">
        <v>9016</v>
      </c>
      <c r="B88" s="3">
        <v>7</v>
      </c>
      <c r="C88" s="3">
        <v>9</v>
      </c>
      <c r="D88" s="3">
        <v>1.13925E-20</v>
      </c>
      <c r="E88" s="3" t="s">
        <v>173</v>
      </c>
      <c r="F88" s="3">
        <v>1.13925E-20</v>
      </c>
      <c r="G88" s="4">
        <v>86</v>
      </c>
      <c r="H88" s="4" t="s">
        <v>174</v>
      </c>
    </row>
    <row r="89" spans="1:8" x14ac:dyDescent="0.25">
      <c r="A89" s="2">
        <v>9017</v>
      </c>
      <c r="B89" s="3">
        <v>8</v>
      </c>
      <c r="C89" s="3">
        <v>9</v>
      </c>
      <c r="D89" s="3">
        <v>64.489999999999995</v>
      </c>
      <c r="E89" s="3" t="s">
        <v>175</v>
      </c>
      <c r="F89" s="3">
        <v>64.489999999999995</v>
      </c>
      <c r="G89" s="4">
        <v>87</v>
      </c>
      <c r="H89" s="4" t="s">
        <v>176</v>
      </c>
    </row>
    <row r="90" spans="1:8" x14ac:dyDescent="0.25">
      <c r="A90" s="2">
        <v>9018</v>
      </c>
      <c r="B90" s="3">
        <v>9</v>
      </c>
      <c r="C90" s="3">
        <v>9</v>
      </c>
      <c r="D90" s="3">
        <v>6586.2</v>
      </c>
      <c r="E90" s="3" t="s">
        <v>177</v>
      </c>
      <c r="F90" s="3">
        <v>6586.2</v>
      </c>
      <c r="G90" s="4">
        <v>88</v>
      </c>
      <c r="H90" s="4" t="s">
        <v>178</v>
      </c>
    </row>
    <row r="91" spans="1:8" x14ac:dyDescent="0.25">
      <c r="A91" s="2">
        <v>9019</v>
      </c>
      <c r="B91" s="3">
        <v>10</v>
      </c>
      <c r="C91" s="3">
        <v>9</v>
      </c>
      <c r="D91" s="3" t="s">
        <v>4</v>
      </c>
      <c r="E91" s="3" t="s">
        <v>179</v>
      </c>
      <c r="F91" s="3" t="s">
        <v>4</v>
      </c>
      <c r="G91" s="4">
        <v>89</v>
      </c>
      <c r="H91" s="4" t="s">
        <v>180</v>
      </c>
    </row>
    <row r="92" spans="1:8" x14ac:dyDescent="0.25">
      <c r="A92" s="2">
        <v>9020</v>
      </c>
      <c r="B92" s="3">
        <v>11</v>
      </c>
      <c r="C92" s="3">
        <v>9</v>
      </c>
      <c r="D92" s="3">
        <v>11.07</v>
      </c>
      <c r="E92" s="3" t="s">
        <v>181</v>
      </c>
      <c r="F92" s="3">
        <v>11.07</v>
      </c>
      <c r="G92" s="4">
        <v>90</v>
      </c>
      <c r="H92" s="4" t="s">
        <v>182</v>
      </c>
    </row>
    <row r="93" spans="1:8" x14ac:dyDescent="0.25">
      <c r="A93" s="2">
        <v>9021</v>
      </c>
      <c r="B93" s="3">
        <v>12</v>
      </c>
      <c r="C93" s="3">
        <v>9</v>
      </c>
      <c r="D93" s="3">
        <v>4.1580000000000004</v>
      </c>
      <c r="E93" s="3" t="s">
        <v>183</v>
      </c>
      <c r="F93" s="3">
        <v>4.1580000000000004</v>
      </c>
      <c r="G93" s="4">
        <v>91</v>
      </c>
      <c r="H93" s="4" t="s">
        <v>184</v>
      </c>
    </row>
    <row r="94" spans="1:8" x14ac:dyDescent="0.25">
      <c r="A94" s="2">
        <v>9022</v>
      </c>
      <c r="B94" s="3">
        <v>13</v>
      </c>
      <c r="C94" s="3">
        <v>9</v>
      </c>
      <c r="D94" s="3">
        <v>4.2300000000000004</v>
      </c>
      <c r="E94" s="3" t="s">
        <v>185</v>
      </c>
      <c r="F94" s="3">
        <v>4.2300000000000004</v>
      </c>
      <c r="G94" s="4">
        <v>92</v>
      </c>
      <c r="H94" s="4" t="s">
        <v>186</v>
      </c>
    </row>
    <row r="95" spans="1:8" x14ac:dyDescent="0.25">
      <c r="A95" s="2">
        <v>9023</v>
      </c>
      <c r="B95" s="3">
        <v>14</v>
      </c>
      <c r="C95" s="3">
        <v>9</v>
      </c>
      <c r="D95" s="3">
        <v>2.23</v>
      </c>
      <c r="E95" s="3" t="s">
        <v>187</v>
      </c>
      <c r="F95" s="3">
        <v>2.23</v>
      </c>
      <c r="G95" s="4">
        <v>93</v>
      </c>
      <c r="H95" s="4" t="s">
        <v>188</v>
      </c>
    </row>
    <row r="96" spans="1:8" x14ac:dyDescent="0.25">
      <c r="A96" s="2">
        <v>9024</v>
      </c>
      <c r="B96" s="3">
        <v>15</v>
      </c>
      <c r="C96" s="3">
        <v>9</v>
      </c>
      <c r="D96" s="3">
        <v>0.38200000000000001</v>
      </c>
      <c r="E96" s="3" t="s">
        <v>189</v>
      </c>
      <c r="F96" s="3">
        <v>0.38200000000000001</v>
      </c>
      <c r="G96" s="4">
        <v>94</v>
      </c>
      <c r="H96" s="4" t="s">
        <v>190</v>
      </c>
    </row>
    <row r="97" spans="1:8" x14ac:dyDescent="0.25">
      <c r="A97" s="2">
        <v>9025</v>
      </c>
      <c r="B97" s="3">
        <v>16</v>
      </c>
      <c r="C97" s="3">
        <v>9</v>
      </c>
      <c r="D97" s="3">
        <v>0.08</v>
      </c>
      <c r="E97" s="3" t="s">
        <v>191</v>
      </c>
      <c r="F97" s="3">
        <v>0.08</v>
      </c>
      <c r="G97" s="4">
        <v>95</v>
      </c>
      <c r="H97" s="4" t="s">
        <v>192</v>
      </c>
    </row>
    <row r="98" spans="1:8" x14ac:dyDescent="0.25">
      <c r="A98" s="2">
        <v>9026</v>
      </c>
      <c r="B98" s="3">
        <v>17</v>
      </c>
      <c r="C98" s="3">
        <v>9</v>
      </c>
      <c r="D98" s="3">
        <v>8.1999999999999903E-3</v>
      </c>
      <c r="E98" s="3" t="s">
        <v>193</v>
      </c>
      <c r="F98" s="3">
        <v>8.1999999999999903E-3</v>
      </c>
      <c r="G98" s="4">
        <v>96</v>
      </c>
      <c r="H98" s="4" t="s">
        <v>194</v>
      </c>
    </row>
    <row r="99" spans="1:8" x14ac:dyDescent="0.25">
      <c r="A99" s="2">
        <v>9027</v>
      </c>
      <c r="B99" s="3">
        <v>18</v>
      </c>
      <c r="C99" s="3">
        <v>9</v>
      </c>
      <c r="D99" s="3">
        <v>5.0000000000000001E-3</v>
      </c>
      <c r="E99" s="3" t="s">
        <v>195</v>
      </c>
      <c r="F99" s="3">
        <v>5.0000000000000001E-3</v>
      </c>
      <c r="G99" s="4">
        <v>97</v>
      </c>
      <c r="H99" s="4" t="s">
        <v>196</v>
      </c>
    </row>
    <row r="100" spans="1:8" x14ac:dyDescent="0.25">
      <c r="A100" s="2">
        <v>9028</v>
      </c>
      <c r="B100" s="3">
        <v>19</v>
      </c>
      <c r="C100" s="3">
        <v>9</v>
      </c>
      <c r="D100" s="3">
        <v>4.5999999999999998E-20</v>
      </c>
      <c r="E100" s="3" t="s">
        <v>197</v>
      </c>
      <c r="F100" s="3">
        <v>4.5999999999999998E-20</v>
      </c>
      <c r="G100" s="4">
        <v>98</v>
      </c>
      <c r="H100" s="4" t="s">
        <v>198</v>
      </c>
    </row>
    <row r="101" spans="1:8" x14ac:dyDescent="0.25">
      <c r="A101" s="2">
        <v>9029</v>
      </c>
      <c r="B101" s="3">
        <v>20</v>
      </c>
      <c r="C101" s="3">
        <v>9</v>
      </c>
      <c r="D101" s="3">
        <v>2.6700000000000001E-3</v>
      </c>
      <c r="E101" s="3" t="s">
        <v>199</v>
      </c>
      <c r="F101" s="3">
        <v>2.6700000000000001E-3</v>
      </c>
      <c r="G101" s="4">
        <v>99</v>
      </c>
      <c r="H101" s="4" t="s">
        <v>200</v>
      </c>
    </row>
    <row r="102" spans="1:8" x14ac:dyDescent="0.25">
      <c r="A102" s="2">
        <v>10016</v>
      </c>
      <c r="B102" s="3">
        <v>6</v>
      </c>
      <c r="C102" s="3">
        <v>10</v>
      </c>
      <c r="D102" s="3">
        <v>8.9999999999999994E-21</v>
      </c>
      <c r="E102" s="3" t="s">
        <v>201</v>
      </c>
      <c r="F102" s="3">
        <v>8.9999999999999994E-21</v>
      </c>
      <c r="G102" s="4">
        <v>100</v>
      </c>
      <c r="H102" s="4" t="s">
        <v>202</v>
      </c>
    </row>
    <row r="103" spans="1:8" x14ac:dyDescent="0.25">
      <c r="A103" s="2">
        <v>10017</v>
      </c>
      <c r="B103" s="3">
        <v>7</v>
      </c>
      <c r="C103" s="3">
        <v>10</v>
      </c>
      <c r="D103" s="3">
        <v>0.10920000000000001</v>
      </c>
      <c r="E103" s="3" t="s">
        <v>203</v>
      </c>
      <c r="F103" s="3">
        <v>0.10920000000000001</v>
      </c>
      <c r="G103" s="4">
        <v>101</v>
      </c>
      <c r="H103" s="4" t="s">
        <v>204</v>
      </c>
    </row>
    <row r="104" spans="1:8" x14ac:dyDescent="0.25">
      <c r="A104" s="2">
        <v>10018</v>
      </c>
      <c r="B104" s="3">
        <v>8</v>
      </c>
      <c r="C104" s="3">
        <v>10</v>
      </c>
      <c r="D104" s="3">
        <v>1.667</v>
      </c>
      <c r="E104" s="3" t="s">
        <v>205</v>
      </c>
      <c r="F104" s="3">
        <v>1.667</v>
      </c>
      <c r="G104" s="4">
        <v>102</v>
      </c>
      <c r="H104" s="4" t="s">
        <v>206</v>
      </c>
    </row>
    <row r="105" spans="1:8" x14ac:dyDescent="0.25">
      <c r="A105" s="2">
        <v>10019</v>
      </c>
      <c r="B105" s="3">
        <v>9</v>
      </c>
      <c r="C105" s="3">
        <v>10</v>
      </c>
      <c r="D105" s="3">
        <v>17.22</v>
      </c>
      <c r="E105" s="3" t="s">
        <v>207</v>
      </c>
      <c r="F105" s="3">
        <v>17.22</v>
      </c>
      <c r="G105" s="4">
        <v>103</v>
      </c>
      <c r="H105" s="4" t="s">
        <v>208</v>
      </c>
    </row>
    <row r="106" spans="1:8" x14ac:dyDescent="0.25">
      <c r="A106" s="2">
        <v>10020</v>
      </c>
      <c r="B106" s="3">
        <v>10</v>
      </c>
      <c r="C106" s="3">
        <v>10</v>
      </c>
      <c r="D106" s="3" t="s">
        <v>4</v>
      </c>
      <c r="E106" s="3" t="s">
        <v>209</v>
      </c>
      <c r="F106" s="3" t="s">
        <v>4</v>
      </c>
      <c r="G106" s="4">
        <v>104</v>
      </c>
      <c r="H106" s="4" t="s">
        <v>210</v>
      </c>
    </row>
    <row r="107" spans="1:8" x14ac:dyDescent="0.25">
      <c r="A107" s="2">
        <v>10021</v>
      </c>
      <c r="B107" s="3">
        <v>11</v>
      </c>
      <c r="C107" s="3">
        <v>10</v>
      </c>
      <c r="D107" s="3" t="s">
        <v>4</v>
      </c>
      <c r="E107" s="3" t="s">
        <v>211</v>
      </c>
      <c r="F107" s="3" t="s">
        <v>4</v>
      </c>
      <c r="G107" s="4">
        <v>105</v>
      </c>
      <c r="H107" s="4" t="s">
        <v>212</v>
      </c>
    </row>
    <row r="108" spans="1:8" x14ac:dyDescent="0.25">
      <c r="A108" s="2">
        <v>10022</v>
      </c>
      <c r="B108" s="3">
        <v>12</v>
      </c>
      <c r="C108" s="3">
        <v>10</v>
      </c>
      <c r="D108" s="3" t="s">
        <v>4</v>
      </c>
      <c r="E108" s="3" t="s">
        <v>213</v>
      </c>
      <c r="F108" s="3" t="s">
        <v>4</v>
      </c>
      <c r="G108" s="4">
        <v>106</v>
      </c>
      <c r="H108" s="4" t="s">
        <v>214</v>
      </c>
    </row>
    <row r="109" spans="1:8" x14ac:dyDescent="0.25">
      <c r="A109" s="2">
        <v>10023</v>
      </c>
      <c r="B109" s="3">
        <v>13</v>
      </c>
      <c r="C109" s="3">
        <v>10</v>
      </c>
      <c r="D109" s="3">
        <v>37.24</v>
      </c>
      <c r="E109" s="3" t="s">
        <v>215</v>
      </c>
      <c r="F109" s="3">
        <v>37.24</v>
      </c>
      <c r="G109" s="4">
        <v>107</v>
      </c>
      <c r="H109" s="4" t="s">
        <v>216</v>
      </c>
    </row>
    <row r="110" spans="1:8" x14ac:dyDescent="0.25">
      <c r="A110" s="2">
        <v>10024</v>
      </c>
      <c r="B110" s="3">
        <v>14</v>
      </c>
      <c r="C110" s="3">
        <v>10</v>
      </c>
      <c r="D110" s="3">
        <v>202.79999999999899</v>
      </c>
      <c r="E110" s="3" t="s">
        <v>217</v>
      </c>
      <c r="F110" s="3">
        <v>202.79999999999899</v>
      </c>
      <c r="G110" s="4">
        <v>108</v>
      </c>
      <c r="H110" s="4" t="s">
        <v>218</v>
      </c>
    </row>
    <row r="111" spans="1:8" x14ac:dyDescent="0.25">
      <c r="A111" s="2">
        <v>10025</v>
      </c>
      <c r="B111" s="3">
        <v>15</v>
      </c>
      <c r="C111" s="3">
        <v>10</v>
      </c>
      <c r="D111" s="3">
        <v>0.60199999999999998</v>
      </c>
      <c r="E111" s="3" t="s">
        <v>219</v>
      </c>
      <c r="F111" s="3">
        <v>0.60199999999999998</v>
      </c>
      <c r="G111" s="4">
        <v>109</v>
      </c>
      <c r="H111" s="4" t="s">
        <v>220</v>
      </c>
    </row>
    <row r="112" spans="1:8" x14ac:dyDescent="0.25">
      <c r="A112" s="2">
        <v>10026</v>
      </c>
      <c r="B112" s="3">
        <v>16</v>
      </c>
      <c r="C112" s="3">
        <v>10</v>
      </c>
      <c r="D112" s="3">
        <v>0.19700000000000001</v>
      </c>
      <c r="E112" s="3" t="s">
        <v>221</v>
      </c>
      <c r="F112" s="3">
        <v>0.19700000000000001</v>
      </c>
      <c r="G112" s="4">
        <v>110</v>
      </c>
      <c r="H112" s="4" t="s">
        <v>222</v>
      </c>
    </row>
    <row r="113" spans="1:8" x14ac:dyDescent="0.25">
      <c r="A113" s="2">
        <v>10027</v>
      </c>
      <c r="B113" s="3">
        <v>17</v>
      </c>
      <c r="C113" s="3">
        <v>10</v>
      </c>
      <c r="D113" s="3">
        <v>3.15E-2</v>
      </c>
      <c r="E113" s="3" t="s">
        <v>223</v>
      </c>
      <c r="F113" s="3">
        <v>3.15E-2</v>
      </c>
      <c r="G113" s="4">
        <v>111</v>
      </c>
      <c r="H113" s="4" t="s">
        <v>224</v>
      </c>
    </row>
    <row r="114" spans="1:8" x14ac:dyDescent="0.25">
      <c r="A114" s="2">
        <v>10028</v>
      </c>
      <c r="B114" s="3">
        <v>18</v>
      </c>
      <c r="C114" s="3">
        <v>10</v>
      </c>
      <c r="D114" s="3">
        <v>0.02</v>
      </c>
      <c r="E114" s="3" t="s">
        <v>225</v>
      </c>
      <c r="F114" s="3">
        <v>0.02</v>
      </c>
      <c r="G114" s="4">
        <v>112</v>
      </c>
      <c r="H114" s="4" t="s">
        <v>226</v>
      </c>
    </row>
    <row r="115" spans="1:8" x14ac:dyDescent="0.25">
      <c r="A115" s="2">
        <v>10029</v>
      </c>
      <c r="B115" s="3">
        <v>19</v>
      </c>
      <c r="C115" s="3">
        <v>10</v>
      </c>
      <c r="D115" s="3">
        <v>1.4999999999999999E-2</v>
      </c>
      <c r="E115" s="3" t="s">
        <v>227</v>
      </c>
      <c r="F115" s="3">
        <v>1.4999999999999999E-2</v>
      </c>
      <c r="G115" s="4">
        <v>113</v>
      </c>
      <c r="H115" s="4" t="s">
        <v>228</v>
      </c>
    </row>
    <row r="116" spans="1:8" x14ac:dyDescent="0.25">
      <c r="A116" s="2">
        <v>10030</v>
      </c>
      <c r="B116" s="3">
        <v>20</v>
      </c>
      <c r="C116" s="3">
        <v>10</v>
      </c>
      <c r="D116" s="3">
        <v>7.3899999999999999E-3</v>
      </c>
      <c r="E116" s="3" t="s">
        <v>229</v>
      </c>
      <c r="F116" s="3">
        <v>7.3899999999999999E-3</v>
      </c>
      <c r="G116" s="4">
        <v>114</v>
      </c>
      <c r="H116" s="4" t="s">
        <v>230</v>
      </c>
    </row>
    <row r="117" spans="1:8" x14ac:dyDescent="0.25">
      <c r="A117" s="2">
        <v>10031</v>
      </c>
      <c r="B117" s="3">
        <v>21</v>
      </c>
      <c r="C117" s="3">
        <v>10</v>
      </c>
      <c r="D117" s="3">
        <v>3.3999999999999998E-3</v>
      </c>
      <c r="E117" s="3" t="s">
        <v>231</v>
      </c>
      <c r="F117" s="3">
        <v>3.3999999999999998E-3</v>
      </c>
      <c r="G117" s="4">
        <v>115</v>
      </c>
      <c r="H117" s="4" t="s">
        <v>232</v>
      </c>
    </row>
    <row r="118" spans="1:8" x14ac:dyDescent="0.25">
      <c r="A118" s="2">
        <v>10032</v>
      </c>
      <c r="B118" s="3">
        <v>22</v>
      </c>
      <c r="C118" s="3">
        <v>10</v>
      </c>
      <c r="D118" s="3">
        <v>3.5000000000000001E-3</v>
      </c>
      <c r="E118" s="3" t="s">
        <v>233</v>
      </c>
      <c r="F118" s="3">
        <v>3.5000000000000001E-3</v>
      </c>
      <c r="G118" s="4">
        <v>116</v>
      </c>
      <c r="H118" s="4" t="s">
        <v>234</v>
      </c>
    </row>
    <row r="119" spans="1:8" x14ac:dyDescent="0.25">
      <c r="A119" s="2">
        <v>10034</v>
      </c>
      <c r="B119" s="3">
        <v>24</v>
      </c>
      <c r="C119" s="3">
        <v>10</v>
      </c>
      <c r="D119" s="3">
        <v>5.9999999999999995E-8</v>
      </c>
      <c r="E119" s="3" t="s">
        <v>235</v>
      </c>
      <c r="F119" s="3">
        <v>5.9999999999999995E-8</v>
      </c>
      <c r="G119" s="4">
        <v>117</v>
      </c>
      <c r="H119" s="4" t="s">
        <v>236</v>
      </c>
    </row>
    <row r="120" spans="1:8" x14ac:dyDescent="0.25">
      <c r="A120" s="2">
        <v>11018</v>
      </c>
      <c r="B120" s="3">
        <v>7</v>
      </c>
      <c r="C120" s="3">
        <v>11</v>
      </c>
      <c r="D120" s="3">
        <v>1.3000000000000001E-21</v>
      </c>
      <c r="E120" s="3" t="s">
        <v>237</v>
      </c>
      <c r="F120" s="3">
        <v>1.3000000000000001E-21</v>
      </c>
      <c r="G120" s="4">
        <v>118</v>
      </c>
      <c r="H120" s="4" t="s">
        <v>238</v>
      </c>
    </row>
    <row r="121" spans="1:8" x14ac:dyDescent="0.25">
      <c r="A121" s="2">
        <v>11020</v>
      </c>
      <c r="B121" s="3">
        <v>9</v>
      </c>
      <c r="C121" s="3">
        <v>11</v>
      </c>
      <c r="D121" s="3">
        <v>0.44789999999999902</v>
      </c>
      <c r="E121" s="3" t="s">
        <v>239</v>
      </c>
      <c r="F121" s="3">
        <v>0.44789999999999902</v>
      </c>
    </row>
    <row r="122" spans="1:8" x14ac:dyDescent="0.25">
      <c r="A122" s="2">
        <v>11021</v>
      </c>
      <c r="B122" s="3">
        <v>10</v>
      </c>
      <c r="C122" s="3">
        <v>11</v>
      </c>
      <c r="D122" s="3">
        <v>22.49</v>
      </c>
      <c r="E122" s="3" t="s">
        <v>240</v>
      </c>
      <c r="F122" s="3">
        <v>22.49</v>
      </c>
    </row>
    <row r="123" spans="1:8" x14ac:dyDescent="0.25">
      <c r="A123" s="2">
        <v>11022</v>
      </c>
      <c r="B123" s="3">
        <v>11</v>
      </c>
      <c r="C123" s="3">
        <v>11</v>
      </c>
      <c r="D123" s="3">
        <v>82106563.679999903</v>
      </c>
      <c r="E123" s="3" t="s">
        <v>241</v>
      </c>
      <c r="F123" s="3">
        <v>82106563.679999903</v>
      </c>
    </row>
    <row r="124" spans="1:8" x14ac:dyDescent="0.25">
      <c r="A124" s="2">
        <v>11023</v>
      </c>
      <c r="B124" s="3">
        <v>12</v>
      </c>
      <c r="C124" s="3">
        <v>11</v>
      </c>
      <c r="D124" s="3" t="s">
        <v>4</v>
      </c>
      <c r="E124" s="3" t="s">
        <v>242</v>
      </c>
      <c r="F124" s="3" t="s">
        <v>4</v>
      </c>
    </row>
    <row r="125" spans="1:8" x14ac:dyDescent="0.25">
      <c r="A125" s="2">
        <v>11024</v>
      </c>
      <c r="B125" s="3">
        <v>13</v>
      </c>
      <c r="C125" s="3">
        <v>11</v>
      </c>
      <c r="D125" s="3">
        <v>53989.2</v>
      </c>
      <c r="E125" s="3" t="s">
        <v>243</v>
      </c>
      <c r="F125" s="3">
        <v>53989.2</v>
      </c>
    </row>
    <row r="126" spans="1:8" x14ac:dyDescent="0.25">
      <c r="A126" s="2">
        <v>11025</v>
      </c>
      <c r="B126" s="3">
        <v>14</v>
      </c>
      <c r="C126" s="3">
        <v>11</v>
      </c>
      <c r="D126" s="3">
        <v>59.1</v>
      </c>
      <c r="E126" s="3" t="s">
        <v>244</v>
      </c>
      <c r="F126" s="3">
        <v>59.1</v>
      </c>
    </row>
    <row r="127" spans="1:8" x14ac:dyDescent="0.25">
      <c r="A127" s="2">
        <v>11026</v>
      </c>
      <c r="B127" s="3">
        <v>15</v>
      </c>
      <c r="C127" s="3">
        <v>11</v>
      </c>
      <c r="D127" s="3">
        <v>1.07128</v>
      </c>
      <c r="E127" s="3" t="s">
        <v>245</v>
      </c>
      <c r="F127" s="3">
        <v>1.07128</v>
      </c>
    </row>
    <row r="128" spans="1:8" x14ac:dyDescent="0.25">
      <c r="A128" s="2">
        <v>11027</v>
      </c>
      <c r="B128" s="3">
        <v>16</v>
      </c>
      <c r="C128" s="3">
        <v>11</v>
      </c>
      <c r="D128" s="3">
        <v>0.30099999999999999</v>
      </c>
      <c r="E128" s="3" t="s">
        <v>246</v>
      </c>
      <c r="F128" s="3">
        <v>0.30099999999999999</v>
      </c>
    </row>
    <row r="129" spans="1:6" x14ac:dyDescent="0.25">
      <c r="A129" s="2">
        <v>11028</v>
      </c>
      <c r="B129" s="3">
        <v>17</v>
      </c>
      <c r="C129" s="3">
        <v>11</v>
      </c>
      <c r="D129" s="3">
        <v>3.0499999999999999E-2</v>
      </c>
      <c r="E129" s="3" t="s">
        <v>247</v>
      </c>
      <c r="F129" s="3">
        <v>3.0499999999999999E-2</v>
      </c>
    </row>
    <row r="130" spans="1:6" x14ac:dyDescent="0.25">
      <c r="A130" s="2">
        <v>11029</v>
      </c>
      <c r="B130" s="3">
        <v>18</v>
      </c>
      <c r="C130" s="3">
        <v>11</v>
      </c>
      <c r="D130" s="3">
        <v>4.41E-2</v>
      </c>
      <c r="E130" s="3" t="s">
        <v>248</v>
      </c>
      <c r="F130" s="3">
        <v>4.41E-2</v>
      </c>
    </row>
    <row r="131" spans="1:6" x14ac:dyDescent="0.25">
      <c r="A131" s="2">
        <v>11030</v>
      </c>
      <c r="B131" s="3">
        <v>19</v>
      </c>
      <c r="C131" s="3">
        <v>11</v>
      </c>
      <c r="D131" s="3">
        <v>4.8000000000000001E-2</v>
      </c>
      <c r="E131" s="3" t="s">
        <v>249</v>
      </c>
      <c r="F131" s="3">
        <v>4.8000000000000001E-2</v>
      </c>
    </row>
    <row r="132" spans="1:6" x14ac:dyDescent="0.25">
      <c r="A132" s="2">
        <v>11031</v>
      </c>
      <c r="B132" s="3">
        <v>20</v>
      </c>
      <c r="C132" s="3">
        <v>11</v>
      </c>
      <c r="D132" s="3">
        <v>1.7399999999999999E-2</v>
      </c>
      <c r="E132" s="3" t="s">
        <v>250</v>
      </c>
      <c r="F132" s="3">
        <v>1.7399999999999999E-2</v>
      </c>
    </row>
    <row r="133" spans="1:6" x14ac:dyDescent="0.25">
      <c r="A133" s="2">
        <v>11032</v>
      </c>
      <c r="B133" s="3">
        <v>21</v>
      </c>
      <c r="C133" s="3">
        <v>11</v>
      </c>
      <c r="D133" s="3">
        <v>1.32E-2</v>
      </c>
      <c r="E133" s="3" t="s">
        <v>251</v>
      </c>
      <c r="F133" s="3">
        <v>1.32E-2</v>
      </c>
    </row>
    <row r="134" spans="1:6" x14ac:dyDescent="0.25">
      <c r="A134" s="2">
        <v>11033</v>
      </c>
      <c r="B134" s="3">
        <v>22</v>
      </c>
      <c r="C134" s="3">
        <v>11</v>
      </c>
      <c r="D134" s="3">
        <v>8.0999999999999996E-3</v>
      </c>
      <c r="E134" s="3" t="s">
        <v>252</v>
      </c>
      <c r="F134" s="3">
        <v>8.0999999999999996E-3</v>
      </c>
    </row>
    <row r="135" spans="1:6" x14ac:dyDescent="0.25">
      <c r="A135" s="2">
        <v>11034</v>
      </c>
      <c r="B135" s="3">
        <v>23</v>
      </c>
      <c r="C135" s="3">
        <v>11</v>
      </c>
      <c r="D135" s="3">
        <v>5.0000000000000001E-3</v>
      </c>
      <c r="E135" s="3" t="s">
        <v>253</v>
      </c>
      <c r="F135" s="3">
        <v>5.0000000000000001E-3</v>
      </c>
    </row>
    <row r="136" spans="1:6" x14ac:dyDescent="0.25">
      <c r="A136" s="2">
        <v>11035</v>
      </c>
      <c r="B136" s="3">
        <v>24</v>
      </c>
      <c r="C136" s="3">
        <v>11</v>
      </c>
      <c r="D136" s="3">
        <v>1.8E-3</v>
      </c>
      <c r="E136" s="3" t="s">
        <v>254</v>
      </c>
      <c r="F136" s="3">
        <v>1.8E-3</v>
      </c>
    </row>
    <row r="137" spans="1:6" x14ac:dyDescent="0.25">
      <c r="A137" s="2">
        <v>12019</v>
      </c>
      <c r="B137" s="3">
        <v>7</v>
      </c>
      <c r="C137" s="3">
        <v>12</v>
      </c>
      <c r="D137" s="3">
        <v>3.9999999999999999E-12</v>
      </c>
      <c r="E137" s="3" t="s">
        <v>255</v>
      </c>
      <c r="F137" s="3">
        <v>3.9999999999999999E-12</v>
      </c>
    </row>
    <row r="138" spans="1:6" x14ac:dyDescent="0.25">
      <c r="A138" s="2">
        <v>12020</v>
      </c>
      <c r="B138" s="3">
        <v>8</v>
      </c>
      <c r="C138" s="3">
        <v>12</v>
      </c>
      <c r="D138" s="3">
        <v>9.0800000000000006E-2</v>
      </c>
      <c r="E138" s="3" t="s">
        <v>256</v>
      </c>
      <c r="F138" s="3">
        <v>9.0800000000000006E-2</v>
      </c>
    </row>
    <row r="139" spans="1:6" x14ac:dyDescent="0.25">
      <c r="A139" s="2">
        <v>12021</v>
      </c>
      <c r="B139" s="3">
        <v>9</v>
      </c>
      <c r="C139" s="3">
        <v>12</v>
      </c>
      <c r="D139" s="3">
        <v>0.122</v>
      </c>
      <c r="E139" s="3" t="s">
        <v>257</v>
      </c>
      <c r="F139" s="3">
        <v>0.122</v>
      </c>
    </row>
    <row r="140" spans="1:6" x14ac:dyDescent="0.25">
      <c r="A140" s="2">
        <v>12022</v>
      </c>
      <c r="B140" s="3">
        <v>10</v>
      </c>
      <c r="C140" s="3">
        <v>12</v>
      </c>
      <c r="D140" s="3">
        <v>3.8755000000000002</v>
      </c>
      <c r="E140" s="3" t="s">
        <v>258</v>
      </c>
      <c r="F140" s="3">
        <v>3.8755000000000002</v>
      </c>
    </row>
    <row r="141" spans="1:6" x14ac:dyDescent="0.25">
      <c r="A141" s="2">
        <v>12023</v>
      </c>
      <c r="B141" s="3">
        <v>11</v>
      </c>
      <c r="C141" s="3">
        <v>12</v>
      </c>
      <c r="D141" s="3">
        <v>11.317</v>
      </c>
      <c r="E141" s="3" t="s">
        <v>259</v>
      </c>
      <c r="F141" s="3">
        <v>11.317</v>
      </c>
    </row>
    <row r="142" spans="1:6" x14ac:dyDescent="0.25">
      <c r="A142" s="2">
        <v>12024</v>
      </c>
      <c r="B142" s="3">
        <v>12</v>
      </c>
      <c r="C142" s="3">
        <v>12</v>
      </c>
      <c r="D142" s="3" t="s">
        <v>4</v>
      </c>
      <c r="E142" s="3" t="s">
        <v>260</v>
      </c>
      <c r="F142" s="3" t="s">
        <v>4</v>
      </c>
    </row>
    <row r="143" spans="1:6" x14ac:dyDescent="0.25">
      <c r="A143" s="2">
        <v>12025</v>
      </c>
      <c r="B143" s="3">
        <v>13</v>
      </c>
      <c r="C143" s="3">
        <v>12</v>
      </c>
      <c r="D143" s="3" t="s">
        <v>4</v>
      </c>
      <c r="E143" s="3" t="s">
        <v>261</v>
      </c>
      <c r="F143" s="3" t="s">
        <v>4</v>
      </c>
    </row>
    <row r="144" spans="1:6" x14ac:dyDescent="0.25">
      <c r="A144" s="2">
        <v>12026</v>
      </c>
      <c r="B144" s="3">
        <v>14</v>
      </c>
      <c r="C144" s="3">
        <v>12</v>
      </c>
      <c r="D144" s="3" t="s">
        <v>4</v>
      </c>
      <c r="E144" s="3" t="s">
        <v>262</v>
      </c>
      <c r="F144" s="3" t="s">
        <v>4</v>
      </c>
    </row>
    <row r="145" spans="1:6" x14ac:dyDescent="0.25">
      <c r="A145" s="2">
        <v>12027</v>
      </c>
      <c r="B145" s="3">
        <v>15</v>
      </c>
      <c r="C145" s="3">
        <v>12</v>
      </c>
      <c r="D145" s="3">
        <v>567.48</v>
      </c>
      <c r="E145" s="3" t="s">
        <v>263</v>
      </c>
      <c r="F145" s="3">
        <v>567.48</v>
      </c>
    </row>
    <row r="146" spans="1:6" x14ac:dyDescent="0.25">
      <c r="A146" s="2">
        <v>12028</v>
      </c>
      <c r="B146" s="3">
        <v>16</v>
      </c>
      <c r="C146" s="3">
        <v>12</v>
      </c>
      <c r="D146" s="3">
        <v>75294</v>
      </c>
      <c r="E146" s="3" t="s">
        <v>264</v>
      </c>
      <c r="F146" s="3">
        <v>75294</v>
      </c>
    </row>
    <row r="147" spans="1:6" x14ac:dyDescent="0.25">
      <c r="A147" s="2">
        <v>12029</v>
      </c>
      <c r="B147" s="3">
        <v>17</v>
      </c>
      <c r="C147" s="3">
        <v>12</v>
      </c>
      <c r="D147" s="3">
        <v>1.3</v>
      </c>
      <c r="E147" s="3" t="s">
        <v>265</v>
      </c>
      <c r="F147" s="3">
        <v>1.3</v>
      </c>
    </row>
    <row r="148" spans="1:6" x14ac:dyDescent="0.25">
      <c r="A148" s="2">
        <v>12030</v>
      </c>
      <c r="B148" s="3">
        <v>18</v>
      </c>
      <c r="C148" s="3">
        <v>12</v>
      </c>
      <c r="D148" s="3">
        <v>0.317</v>
      </c>
      <c r="E148" s="3" t="s">
        <v>266</v>
      </c>
      <c r="F148" s="3">
        <v>0.317</v>
      </c>
    </row>
    <row r="149" spans="1:6" x14ac:dyDescent="0.25">
      <c r="A149" s="2">
        <v>12031</v>
      </c>
      <c r="B149" s="3">
        <v>19</v>
      </c>
      <c r="C149" s="3">
        <v>12</v>
      </c>
      <c r="D149" s="3">
        <v>0.23599999999999999</v>
      </c>
      <c r="E149" s="3" t="s">
        <v>267</v>
      </c>
      <c r="F149" s="3">
        <v>0.23599999999999999</v>
      </c>
    </row>
    <row r="150" spans="1:6" x14ac:dyDescent="0.25">
      <c r="A150" s="2">
        <v>12032</v>
      </c>
      <c r="B150" s="3">
        <v>20</v>
      </c>
      <c r="C150" s="3">
        <v>12</v>
      </c>
      <c r="D150" s="3">
        <v>8.5999999999999993E-2</v>
      </c>
      <c r="E150" s="3" t="s">
        <v>268</v>
      </c>
      <c r="F150" s="3">
        <v>8.5999999999999993E-2</v>
      </c>
    </row>
    <row r="151" spans="1:6" x14ac:dyDescent="0.25">
      <c r="A151" s="2">
        <v>12033</v>
      </c>
      <c r="B151" s="3">
        <v>21</v>
      </c>
      <c r="C151" s="3">
        <v>12</v>
      </c>
      <c r="D151" s="3">
        <v>8.9399999999999993E-2</v>
      </c>
      <c r="E151" s="3" t="s">
        <v>269</v>
      </c>
      <c r="F151" s="3">
        <v>8.9399999999999993E-2</v>
      </c>
    </row>
    <row r="152" spans="1:6" x14ac:dyDescent="0.25">
      <c r="A152" s="2">
        <v>12034</v>
      </c>
      <c r="B152" s="3">
        <v>22</v>
      </c>
      <c r="C152" s="3">
        <v>12</v>
      </c>
      <c r="D152" s="3">
        <v>0.02</v>
      </c>
      <c r="E152" s="3" t="s">
        <v>270</v>
      </c>
      <c r="F152" s="3">
        <v>0.02</v>
      </c>
    </row>
    <row r="153" spans="1:6" x14ac:dyDescent="0.25">
      <c r="A153" s="2">
        <v>12035</v>
      </c>
      <c r="B153" s="3">
        <v>23</v>
      </c>
      <c r="C153" s="3">
        <v>12</v>
      </c>
      <c r="D153" s="3">
        <v>1.1299999999999999E-2</v>
      </c>
      <c r="E153" s="3" t="s">
        <v>271</v>
      </c>
      <c r="F153" s="3">
        <v>1.1299999999999999E-2</v>
      </c>
    </row>
    <row r="154" spans="1:6" x14ac:dyDescent="0.25">
      <c r="A154" s="2">
        <v>12036</v>
      </c>
      <c r="B154" s="3">
        <v>24</v>
      </c>
      <c r="C154" s="3">
        <v>12</v>
      </c>
      <c r="D154" s="3">
        <v>5.7999999999999996E-3</v>
      </c>
      <c r="E154" s="3" t="s">
        <v>272</v>
      </c>
      <c r="F154" s="3">
        <v>5.7999999999999996E-3</v>
      </c>
    </row>
    <row r="155" spans="1:6" x14ac:dyDescent="0.25">
      <c r="A155" s="2">
        <v>12037</v>
      </c>
      <c r="B155" s="3">
        <v>25</v>
      </c>
      <c r="C155" s="3">
        <v>12</v>
      </c>
      <c r="D155" s="3">
        <v>8.0000000000000002E-3</v>
      </c>
      <c r="E155" s="3" t="s">
        <v>273</v>
      </c>
      <c r="F155" s="3">
        <v>8.0000000000000002E-3</v>
      </c>
    </row>
    <row r="156" spans="1:6" x14ac:dyDescent="0.25">
      <c r="A156" s="2">
        <v>13022</v>
      </c>
      <c r="B156" s="3">
        <v>9</v>
      </c>
      <c r="C156" s="3">
        <v>13</v>
      </c>
      <c r="D156" s="3">
        <v>9.11E-2</v>
      </c>
      <c r="E156" s="3" t="s">
        <v>274</v>
      </c>
      <c r="F156" s="3">
        <v>9.11E-2</v>
      </c>
    </row>
    <row r="157" spans="1:6" x14ac:dyDescent="0.25">
      <c r="A157" s="2">
        <v>13023</v>
      </c>
      <c r="B157" s="3">
        <v>10</v>
      </c>
      <c r="C157" s="3">
        <v>13</v>
      </c>
      <c r="D157" s="3">
        <v>0.47</v>
      </c>
      <c r="E157" s="3" t="s">
        <v>275</v>
      </c>
      <c r="F157" s="3">
        <v>0.47</v>
      </c>
    </row>
    <row r="158" spans="1:6" x14ac:dyDescent="0.25">
      <c r="A158" s="2">
        <v>13024</v>
      </c>
      <c r="B158" s="3">
        <v>11</v>
      </c>
      <c r="C158" s="3">
        <v>13</v>
      </c>
      <c r="D158" s="3">
        <v>2.0529999999999999</v>
      </c>
      <c r="E158" s="3" t="s">
        <v>276</v>
      </c>
      <c r="F158" s="3">
        <v>2.0529999999999999</v>
      </c>
    </row>
    <row r="159" spans="1:6" x14ac:dyDescent="0.25">
      <c r="A159" s="2">
        <v>13025</v>
      </c>
      <c r="B159" s="3">
        <v>12</v>
      </c>
      <c r="C159" s="3">
        <v>13</v>
      </c>
      <c r="D159" s="3">
        <v>7.1829999999999998</v>
      </c>
      <c r="E159" s="3" t="s">
        <v>277</v>
      </c>
      <c r="F159" s="3">
        <v>7.1829999999999998</v>
      </c>
    </row>
    <row r="160" spans="1:6" x14ac:dyDescent="0.25">
      <c r="A160" s="2">
        <v>13026</v>
      </c>
      <c r="B160" s="3">
        <v>13</v>
      </c>
      <c r="C160" s="3">
        <v>13</v>
      </c>
      <c r="D160" s="3">
        <v>22626799200000</v>
      </c>
      <c r="E160" s="3" t="s">
        <v>278</v>
      </c>
      <c r="F160" s="3">
        <v>22626799200000</v>
      </c>
    </row>
    <row r="161" spans="1:6" x14ac:dyDescent="0.25">
      <c r="A161" s="2">
        <v>13027</v>
      </c>
      <c r="B161" s="3">
        <v>14</v>
      </c>
      <c r="C161" s="3">
        <v>13</v>
      </c>
      <c r="D161" s="3" t="s">
        <v>4</v>
      </c>
      <c r="E161" s="3" t="s">
        <v>279</v>
      </c>
      <c r="F161" s="3" t="s">
        <v>4</v>
      </c>
    </row>
    <row r="162" spans="1:6" x14ac:dyDescent="0.25">
      <c r="A162" s="2">
        <v>13028</v>
      </c>
      <c r="B162" s="3">
        <v>15</v>
      </c>
      <c r="C162" s="3">
        <v>13</v>
      </c>
      <c r="D162" s="3">
        <v>134.69999999999999</v>
      </c>
      <c r="E162" s="3" t="s">
        <v>280</v>
      </c>
      <c r="F162" s="3">
        <v>134.69999999999999</v>
      </c>
    </row>
    <row r="163" spans="1:6" x14ac:dyDescent="0.25">
      <c r="A163" s="2">
        <v>13029</v>
      </c>
      <c r="B163" s="3">
        <v>16</v>
      </c>
      <c r="C163" s="3">
        <v>13</v>
      </c>
      <c r="D163" s="3">
        <v>393.599999999999</v>
      </c>
      <c r="E163" s="3" t="s">
        <v>281</v>
      </c>
      <c r="F163" s="3">
        <v>393.599999999999</v>
      </c>
    </row>
    <row r="164" spans="1:6" x14ac:dyDescent="0.25">
      <c r="A164" s="2">
        <v>13030</v>
      </c>
      <c r="B164" s="3">
        <v>17</v>
      </c>
      <c r="C164" s="3">
        <v>13</v>
      </c>
      <c r="D164" s="3">
        <v>3.62</v>
      </c>
      <c r="E164" s="3" t="s">
        <v>282</v>
      </c>
      <c r="F164" s="3">
        <v>3.62</v>
      </c>
    </row>
    <row r="165" spans="1:6" x14ac:dyDescent="0.25">
      <c r="A165" s="2">
        <v>13031</v>
      </c>
      <c r="B165" s="3">
        <v>18</v>
      </c>
      <c r="C165" s="3">
        <v>13</v>
      </c>
      <c r="D165" s="3">
        <v>0.64400000000000002</v>
      </c>
      <c r="E165" s="3" t="s">
        <v>283</v>
      </c>
      <c r="F165" s="3">
        <v>0.64400000000000002</v>
      </c>
    </row>
    <row r="166" spans="1:6" x14ac:dyDescent="0.25">
      <c r="A166" s="2">
        <v>13032</v>
      </c>
      <c r="B166" s="3">
        <v>19</v>
      </c>
      <c r="C166" s="3">
        <v>13</v>
      </c>
      <c r="D166" s="3">
        <v>3.1899999999999998E-2</v>
      </c>
      <c r="E166" s="3" t="s">
        <v>284</v>
      </c>
      <c r="F166" s="3">
        <v>3.1899999999999998E-2</v>
      </c>
    </row>
    <row r="167" spans="1:6" x14ac:dyDescent="0.25">
      <c r="A167" s="2">
        <v>13033</v>
      </c>
      <c r="B167" s="3">
        <v>20</v>
      </c>
      <c r="C167" s="3">
        <v>13</v>
      </c>
      <c r="D167" s="3">
        <v>4.1700000000000001E-2</v>
      </c>
      <c r="E167" s="3" t="s">
        <v>285</v>
      </c>
      <c r="F167" s="3">
        <v>4.1700000000000001E-2</v>
      </c>
    </row>
    <row r="168" spans="1:6" x14ac:dyDescent="0.25">
      <c r="A168" s="2">
        <v>13034</v>
      </c>
      <c r="B168" s="3">
        <v>21</v>
      </c>
      <c r="C168" s="3">
        <v>13</v>
      </c>
      <c r="D168" s="3">
        <v>5.6299999999999899E-2</v>
      </c>
      <c r="E168" s="3" t="s">
        <v>286</v>
      </c>
      <c r="F168" s="3">
        <v>5.6299999999999899E-2</v>
      </c>
    </row>
    <row r="169" spans="1:6" x14ac:dyDescent="0.25">
      <c r="A169" s="2">
        <v>13035</v>
      </c>
      <c r="B169" s="3">
        <v>22</v>
      </c>
      <c r="C169" s="3">
        <v>13</v>
      </c>
      <c r="D169" s="3">
        <v>3.7600000000000001E-2</v>
      </c>
      <c r="E169" s="3" t="s">
        <v>287</v>
      </c>
      <c r="F169" s="3">
        <v>3.7600000000000001E-2</v>
      </c>
    </row>
    <row r="170" spans="1:6" x14ac:dyDescent="0.25">
      <c r="A170" s="2">
        <v>13036</v>
      </c>
      <c r="B170" s="3">
        <v>23</v>
      </c>
      <c r="C170" s="3">
        <v>13</v>
      </c>
      <c r="D170" s="3">
        <v>9.4E-2</v>
      </c>
      <c r="E170" s="3" t="s">
        <v>288</v>
      </c>
      <c r="F170" s="3">
        <v>9.4E-2</v>
      </c>
    </row>
    <row r="171" spans="1:6" x14ac:dyDescent="0.25">
      <c r="A171" s="2">
        <v>13037</v>
      </c>
      <c r="B171" s="3">
        <v>24</v>
      </c>
      <c r="C171" s="3">
        <v>13</v>
      </c>
      <c r="D171" s="3">
        <v>1.0699999999999999E-2</v>
      </c>
      <c r="E171" s="3" t="s">
        <v>289</v>
      </c>
      <c r="F171" s="3">
        <v>1.0699999999999999E-2</v>
      </c>
    </row>
    <row r="172" spans="1:6" x14ac:dyDescent="0.25">
      <c r="A172" s="2">
        <v>13038</v>
      </c>
      <c r="B172" s="3">
        <v>25</v>
      </c>
      <c r="C172" s="3">
        <v>13</v>
      </c>
      <c r="D172" s="3">
        <v>7.6E-3</v>
      </c>
      <c r="E172" s="3" t="s">
        <v>290</v>
      </c>
      <c r="F172" s="3">
        <v>7.6E-3</v>
      </c>
    </row>
    <row r="173" spans="1:6" x14ac:dyDescent="0.25">
      <c r="A173" s="2">
        <v>13039</v>
      </c>
      <c r="B173" s="3">
        <v>26</v>
      </c>
      <c r="C173" s="3">
        <v>13</v>
      </c>
      <c r="D173" s="3">
        <v>7.6E-3</v>
      </c>
      <c r="E173" s="3" t="s">
        <v>291</v>
      </c>
      <c r="F173" s="3">
        <v>7.6E-3</v>
      </c>
    </row>
    <row r="174" spans="1:6" x14ac:dyDescent="0.25">
      <c r="A174" s="2">
        <v>14022</v>
      </c>
      <c r="B174" s="3">
        <v>8</v>
      </c>
      <c r="C174" s="3">
        <v>14</v>
      </c>
      <c r="D174" s="3">
        <v>2.9000000000000001E-2</v>
      </c>
      <c r="E174" s="3" t="s">
        <v>292</v>
      </c>
      <c r="F174" s="3">
        <v>2.9000000000000001E-2</v>
      </c>
    </row>
    <row r="175" spans="1:6" x14ac:dyDescent="0.25">
      <c r="A175" s="2">
        <v>14023</v>
      </c>
      <c r="B175" s="3">
        <v>9</v>
      </c>
      <c r="C175" s="3">
        <v>14</v>
      </c>
      <c r="D175" s="3">
        <v>4.2299999999999997E-2</v>
      </c>
      <c r="E175" s="3" t="s">
        <v>293</v>
      </c>
      <c r="F175" s="3">
        <v>4.2299999999999997E-2</v>
      </c>
    </row>
    <row r="176" spans="1:6" x14ac:dyDescent="0.25">
      <c r="A176" s="2">
        <v>14024</v>
      </c>
      <c r="B176" s="3">
        <v>10</v>
      </c>
      <c r="C176" s="3">
        <v>14</v>
      </c>
      <c r="D176" s="3">
        <v>0.14050000000000001</v>
      </c>
      <c r="E176" s="3" t="s">
        <v>294</v>
      </c>
      <c r="F176" s="3">
        <v>0.14050000000000001</v>
      </c>
    </row>
    <row r="177" spans="1:6" x14ac:dyDescent="0.25">
      <c r="A177" s="2">
        <v>14025</v>
      </c>
      <c r="B177" s="3">
        <v>11</v>
      </c>
      <c r="C177" s="3">
        <v>14</v>
      </c>
      <c r="D177" s="3">
        <v>0.22</v>
      </c>
      <c r="E177" s="3" t="s">
        <v>295</v>
      </c>
      <c r="F177" s="3">
        <v>0.22</v>
      </c>
    </row>
    <row r="178" spans="1:6" x14ac:dyDescent="0.25">
      <c r="A178" s="2">
        <v>14026</v>
      </c>
      <c r="B178" s="3">
        <v>12</v>
      </c>
      <c r="C178" s="3">
        <v>14</v>
      </c>
      <c r="D178" s="3">
        <v>2.2452999999999999</v>
      </c>
      <c r="E178" s="3" t="s">
        <v>296</v>
      </c>
      <c r="F178" s="3">
        <v>2.2452999999999999</v>
      </c>
    </row>
    <row r="179" spans="1:6" x14ac:dyDescent="0.25">
      <c r="A179" s="2">
        <v>14027</v>
      </c>
      <c r="B179" s="3">
        <v>13</v>
      </c>
      <c r="C179" s="3">
        <v>14</v>
      </c>
      <c r="D179" s="3">
        <v>4.1500000000000004</v>
      </c>
      <c r="E179" s="3" t="s">
        <v>297</v>
      </c>
      <c r="F179" s="3">
        <v>4.1500000000000004</v>
      </c>
    </row>
    <row r="180" spans="1:6" x14ac:dyDescent="0.25">
      <c r="A180" s="2">
        <v>14028</v>
      </c>
      <c r="B180" s="3">
        <v>14</v>
      </c>
      <c r="C180" s="3">
        <v>14</v>
      </c>
      <c r="D180" s="3" t="s">
        <v>4</v>
      </c>
      <c r="E180" s="3" t="s">
        <v>298</v>
      </c>
      <c r="F180" s="3" t="s">
        <v>4</v>
      </c>
    </row>
    <row r="181" spans="1:6" x14ac:dyDescent="0.25">
      <c r="A181" s="2">
        <v>14029</v>
      </c>
      <c r="B181" s="3">
        <v>15</v>
      </c>
      <c r="C181" s="3">
        <v>14</v>
      </c>
      <c r="D181" s="3" t="s">
        <v>4</v>
      </c>
      <c r="E181" s="3" t="s">
        <v>299</v>
      </c>
      <c r="F181" s="3" t="s">
        <v>4</v>
      </c>
    </row>
    <row r="182" spans="1:6" x14ac:dyDescent="0.25">
      <c r="A182" s="2">
        <v>14030</v>
      </c>
      <c r="B182" s="3">
        <v>16</v>
      </c>
      <c r="C182" s="3">
        <v>14</v>
      </c>
      <c r="D182" s="3" t="s">
        <v>4</v>
      </c>
      <c r="E182" s="3" t="s">
        <v>300</v>
      </c>
      <c r="F182" s="3" t="s">
        <v>4</v>
      </c>
    </row>
    <row r="183" spans="1:6" x14ac:dyDescent="0.25">
      <c r="A183" s="2">
        <v>14031</v>
      </c>
      <c r="B183" s="3">
        <v>17</v>
      </c>
      <c r="C183" s="3">
        <v>14</v>
      </c>
      <c r="D183" s="3">
        <v>9441.6</v>
      </c>
      <c r="E183" s="3" t="s">
        <v>301</v>
      </c>
      <c r="F183" s="3">
        <v>9441.6</v>
      </c>
    </row>
    <row r="184" spans="1:6" x14ac:dyDescent="0.25">
      <c r="A184" s="2">
        <v>14032</v>
      </c>
      <c r="B184" s="3">
        <v>18</v>
      </c>
      <c r="C184" s="3">
        <v>14</v>
      </c>
      <c r="D184" s="3">
        <v>4828312800</v>
      </c>
      <c r="E184" s="3" t="s">
        <v>302</v>
      </c>
      <c r="F184" s="3">
        <v>4828312800</v>
      </c>
    </row>
    <row r="185" spans="1:6" x14ac:dyDescent="0.25">
      <c r="A185" s="2">
        <v>14033</v>
      </c>
      <c r="B185" s="3">
        <v>19</v>
      </c>
      <c r="C185" s="3">
        <v>14</v>
      </c>
      <c r="D185" s="3">
        <v>6.11</v>
      </c>
      <c r="E185" s="3" t="s">
        <v>303</v>
      </c>
      <c r="F185" s="3">
        <v>6.11</v>
      </c>
    </row>
    <row r="186" spans="1:6" x14ac:dyDescent="0.25">
      <c r="A186" s="2">
        <v>14034</v>
      </c>
      <c r="B186" s="3">
        <v>20</v>
      </c>
      <c r="C186" s="3">
        <v>14</v>
      </c>
      <c r="D186" s="3">
        <v>2.77</v>
      </c>
      <c r="E186" s="3" t="s">
        <v>304</v>
      </c>
      <c r="F186" s="3">
        <v>2.77</v>
      </c>
    </row>
    <row r="187" spans="1:6" x14ac:dyDescent="0.25">
      <c r="A187" s="2">
        <v>14035</v>
      </c>
      <c r="B187" s="3">
        <v>21</v>
      </c>
      <c r="C187" s="3">
        <v>14</v>
      </c>
      <c r="D187" s="3">
        <v>0.78</v>
      </c>
      <c r="E187" s="3" t="s">
        <v>305</v>
      </c>
      <c r="F187" s="3">
        <v>0.78</v>
      </c>
    </row>
    <row r="188" spans="1:6" x14ac:dyDescent="0.25">
      <c r="A188" s="2">
        <v>14036</v>
      </c>
      <c r="B188" s="3">
        <v>22</v>
      </c>
      <c r="C188" s="3">
        <v>14</v>
      </c>
      <c r="D188" s="3">
        <v>0.45</v>
      </c>
      <c r="E188" s="3" t="s">
        <v>306</v>
      </c>
      <c r="F188" s="3">
        <v>0.45</v>
      </c>
    </row>
    <row r="189" spans="1:6" x14ac:dyDescent="0.25">
      <c r="A189" s="2">
        <v>14037</v>
      </c>
      <c r="B189" s="3">
        <v>23</v>
      </c>
      <c r="C189" s="3">
        <v>14</v>
      </c>
      <c r="D189" s="3">
        <v>0.09</v>
      </c>
      <c r="E189" s="3" t="s">
        <v>307</v>
      </c>
      <c r="F189" s="3">
        <v>0.09</v>
      </c>
    </row>
    <row r="190" spans="1:6" x14ac:dyDescent="0.25">
      <c r="A190" s="2">
        <v>14038</v>
      </c>
      <c r="B190" s="3">
        <v>24</v>
      </c>
      <c r="C190" s="3">
        <v>14</v>
      </c>
      <c r="D190" s="3">
        <v>9.5000000000000001E-2</v>
      </c>
      <c r="E190" s="3" t="s">
        <v>308</v>
      </c>
      <c r="F190" s="3">
        <v>9.5000000000000001E-2</v>
      </c>
    </row>
    <row r="191" spans="1:6" x14ac:dyDescent="0.25">
      <c r="A191" s="2">
        <v>14039</v>
      </c>
      <c r="B191" s="3">
        <v>25</v>
      </c>
      <c r="C191" s="3">
        <v>14</v>
      </c>
      <c r="D191" s="3">
        <v>4.7500000000000001E-2</v>
      </c>
      <c r="E191" s="3" t="s">
        <v>309</v>
      </c>
      <c r="F191" s="3">
        <v>4.7500000000000001E-2</v>
      </c>
    </row>
    <row r="192" spans="1:6" x14ac:dyDescent="0.25">
      <c r="A192" s="2">
        <v>14040</v>
      </c>
      <c r="B192" s="3">
        <v>26</v>
      </c>
      <c r="C192" s="3">
        <v>14</v>
      </c>
      <c r="D192" s="3">
        <v>3.3000000000000002E-2</v>
      </c>
      <c r="E192" s="3" t="s">
        <v>310</v>
      </c>
      <c r="F192" s="3">
        <v>3.3000000000000002E-2</v>
      </c>
    </row>
    <row r="193" spans="1:6" x14ac:dyDescent="0.25">
      <c r="A193" s="2">
        <v>14041</v>
      </c>
      <c r="B193" s="3">
        <v>27</v>
      </c>
      <c r="C193" s="3">
        <v>14</v>
      </c>
      <c r="D193" s="3">
        <v>0.02</v>
      </c>
      <c r="E193" s="3" t="s">
        <v>311</v>
      </c>
      <c r="F193" s="3">
        <v>0.02</v>
      </c>
    </row>
    <row r="194" spans="1:6" x14ac:dyDescent="0.25">
      <c r="A194" s="2">
        <v>14042</v>
      </c>
      <c r="B194" s="3">
        <v>28</v>
      </c>
      <c r="C194" s="3">
        <v>14</v>
      </c>
      <c r="D194" s="3">
        <v>1.2500000000000001E-2</v>
      </c>
      <c r="E194" s="3" t="s">
        <v>312</v>
      </c>
      <c r="F194" s="3">
        <v>1.2500000000000001E-2</v>
      </c>
    </row>
    <row r="195" spans="1:6" x14ac:dyDescent="0.25">
      <c r="A195" s="2">
        <v>15026</v>
      </c>
      <c r="B195" s="3">
        <v>11</v>
      </c>
      <c r="C195" s="3">
        <v>15</v>
      </c>
      <c r="D195" s="3">
        <v>4.3700000000000003E-2</v>
      </c>
      <c r="E195" s="3" t="s">
        <v>313</v>
      </c>
      <c r="F195" s="3">
        <v>4.3700000000000003E-2</v>
      </c>
    </row>
    <row r="196" spans="1:6" x14ac:dyDescent="0.25">
      <c r="A196" s="2">
        <v>15027</v>
      </c>
      <c r="B196" s="3">
        <v>12</v>
      </c>
      <c r="C196" s="3">
        <v>15</v>
      </c>
      <c r="D196" s="3">
        <v>0.26</v>
      </c>
      <c r="E196" s="3" t="s">
        <v>314</v>
      </c>
      <c r="F196" s="3">
        <v>0.26</v>
      </c>
    </row>
    <row r="197" spans="1:6" x14ac:dyDescent="0.25">
      <c r="A197" s="2">
        <v>15028</v>
      </c>
      <c r="B197" s="3">
        <v>13</v>
      </c>
      <c r="C197" s="3">
        <v>15</v>
      </c>
      <c r="D197" s="3">
        <v>0.27029999999999998</v>
      </c>
      <c r="E197" s="3" t="s">
        <v>315</v>
      </c>
      <c r="F197" s="3">
        <v>0.27029999999999998</v>
      </c>
    </row>
    <row r="198" spans="1:6" x14ac:dyDescent="0.25">
      <c r="A198" s="2">
        <v>15029</v>
      </c>
      <c r="B198" s="3">
        <v>14</v>
      </c>
      <c r="C198" s="3">
        <v>15</v>
      </c>
      <c r="D198" s="3">
        <v>4.1420000000000003</v>
      </c>
      <c r="E198" s="3" t="s">
        <v>316</v>
      </c>
      <c r="F198" s="3">
        <v>4.1420000000000003</v>
      </c>
    </row>
    <row r="199" spans="1:6" x14ac:dyDescent="0.25">
      <c r="A199" s="2">
        <v>15030</v>
      </c>
      <c r="B199" s="3">
        <v>15</v>
      </c>
      <c r="C199" s="3">
        <v>15</v>
      </c>
      <c r="D199" s="3">
        <v>149.88</v>
      </c>
      <c r="E199" s="3" t="s">
        <v>317</v>
      </c>
      <c r="F199" s="3">
        <v>149.88</v>
      </c>
    </row>
    <row r="200" spans="1:6" x14ac:dyDescent="0.25">
      <c r="A200" s="2">
        <v>15031</v>
      </c>
      <c r="B200" s="3">
        <v>16</v>
      </c>
      <c r="C200" s="3">
        <v>15</v>
      </c>
      <c r="D200" s="3" t="s">
        <v>4</v>
      </c>
      <c r="E200" s="3" t="s">
        <v>318</v>
      </c>
      <c r="F200" s="3" t="s">
        <v>4</v>
      </c>
    </row>
    <row r="201" spans="1:6" x14ac:dyDescent="0.25">
      <c r="A201" s="2">
        <v>15032</v>
      </c>
      <c r="B201" s="3">
        <v>17</v>
      </c>
      <c r="C201" s="3">
        <v>15</v>
      </c>
      <c r="D201" s="3">
        <v>1232755.2</v>
      </c>
      <c r="E201" s="3" t="s">
        <v>319</v>
      </c>
      <c r="F201" s="3">
        <v>1232755.2</v>
      </c>
    </row>
    <row r="202" spans="1:6" x14ac:dyDescent="0.25">
      <c r="A202" s="2">
        <v>15033</v>
      </c>
      <c r="B202" s="3">
        <v>18</v>
      </c>
      <c r="C202" s="3">
        <v>15</v>
      </c>
      <c r="D202" s="3">
        <v>2190240</v>
      </c>
      <c r="E202" s="3" t="s">
        <v>320</v>
      </c>
      <c r="F202" s="3">
        <v>2190240</v>
      </c>
    </row>
    <row r="203" spans="1:6" x14ac:dyDescent="0.25">
      <c r="A203" s="2">
        <v>15034</v>
      </c>
      <c r="B203" s="3">
        <v>19</v>
      </c>
      <c r="C203" s="3">
        <v>15</v>
      </c>
      <c r="D203" s="3">
        <v>12.43</v>
      </c>
      <c r="E203" s="3" t="s">
        <v>321</v>
      </c>
      <c r="F203" s="3">
        <v>12.43</v>
      </c>
    </row>
    <row r="204" spans="1:6" x14ac:dyDescent="0.25">
      <c r="A204" s="2">
        <v>15035</v>
      </c>
      <c r="B204" s="3">
        <v>20</v>
      </c>
      <c r="C204" s="3">
        <v>15</v>
      </c>
      <c r="D204" s="3">
        <v>47.3</v>
      </c>
      <c r="E204" s="3" t="s">
        <v>322</v>
      </c>
      <c r="F204" s="3">
        <v>47.3</v>
      </c>
    </row>
    <row r="205" spans="1:6" x14ac:dyDescent="0.25">
      <c r="A205" s="2">
        <v>15036</v>
      </c>
      <c r="B205" s="3">
        <v>21</v>
      </c>
      <c r="C205" s="3">
        <v>15</v>
      </c>
      <c r="D205" s="3">
        <v>5.6</v>
      </c>
      <c r="E205" s="3" t="s">
        <v>323</v>
      </c>
      <c r="F205" s="3">
        <v>5.6</v>
      </c>
    </row>
    <row r="206" spans="1:6" x14ac:dyDescent="0.25">
      <c r="A206" s="2">
        <v>15037</v>
      </c>
      <c r="B206" s="3">
        <v>22</v>
      </c>
      <c r="C206" s="3">
        <v>15</v>
      </c>
      <c r="D206" s="3">
        <v>2.31</v>
      </c>
      <c r="E206" s="3" t="s">
        <v>324</v>
      </c>
      <c r="F206" s="3">
        <v>2.31</v>
      </c>
    </row>
    <row r="207" spans="1:6" x14ac:dyDescent="0.25">
      <c r="A207" s="2">
        <v>15038</v>
      </c>
      <c r="B207" s="3">
        <v>23</v>
      </c>
      <c r="C207" s="3">
        <v>15</v>
      </c>
      <c r="D207" s="3">
        <v>0.64</v>
      </c>
      <c r="E207" s="3" t="s">
        <v>325</v>
      </c>
      <c r="F207" s="3">
        <v>0.64</v>
      </c>
    </row>
    <row r="208" spans="1:6" x14ac:dyDescent="0.25">
      <c r="A208" s="2">
        <v>15039</v>
      </c>
      <c r="B208" s="3">
        <v>24</v>
      </c>
      <c r="C208" s="3">
        <v>15</v>
      </c>
      <c r="D208" s="3">
        <v>0.28000000000000003</v>
      </c>
      <c r="E208" s="3" t="s">
        <v>326</v>
      </c>
      <c r="F208" s="3">
        <v>0.28000000000000003</v>
      </c>
    </row>
    <row r="209" spans="1:6" x14ac:dyDescent="0.25">
      <c r="A209" s="2">
        <v>15040</v>
      </c>
      <c r="B209" s="3">
        <v>25</v>
      </c>
      <c r="C209" s="3">
        <v>15</v>
      </c>
      <c r="D209" s="3">
        <v>0.15</v>
      </c>
      <c r="E209" s="3" t="s">
        <v>327</v>
      </c>
      <c r="F209" s="3">
        <v>0.15</v>
      </c>
    </row>
    <row r="210" spans="1:6" x14ac:dyDescent="0.25">
      <c r="A210" s="2">
        <v>15041</v>
      </c>
      <c r="B210" s="3">
        <v>26</v>
      </c>
      <c r="C210" s="3">
        <v>15</v>
      </c>
      <c r="D210" s="3">
        <v>0.10100000000000001</v>
      </c>
      <c r="E210" s="3" t="s">
        <v>328</v>
      </c>
      <c r="F210" s="3">
        <v>0.10100000000000001</v>
      </c>
    </row>
    <row r="211" spans="1:6" x14ac:dyDescent="0.25">
      <c r="A211" s="2">
        <v>15042</v>
      </c>
      <c r="B211" s="3">
        <v>27</v>
      </c>
      <c r="C211" s="3">
        <v>15</v>
      </c>
      <c r="D211" s="3">
        <v>4.8500000000000001E-2</v>
      </c>
      <c r="E211" s="3" t="s">
        <v>329</v>
      </c>
      <c r="F211" s="3">
        <v>4.8500000000000001E-2</v>
      </c>
    </row>
    <row r="212" spans="1:6" x14ac:dyDescent="0.25">
      <c r="A212" s="2">
        <v>15043</v>
      </c>
      <c r="B212" s="3">
        <v>28</v>
      </c>
      <c r="C212" s="3">
        <v>15</v>
      </c>
      <c r="D212" s="3">
        <v>3.6499999999999998E-2</v>
      </c>
      <c r="E212" s="3" t="s">
        <v>330</v>
      </c>
      <c r="F212" s="3">
        <v>3.6499999999999998E-2</v>
      </c>
    </row>
    <row r="213" spans="1:6" x14ac:dyDescent="0.25">
      <c r="A213" s="2">
        <v>15044</v>
      </c>
      <c r="B213" s="3">
        <v>29</v>
      </c>
      <c r="C213" s="3">
        <v>15</v>
      </c>
      <c r="D213" s="3">
        <v>1.8499999999999999E-2</v>
      </c>
      <c r="E213" s="3" t="s">
        <v>331</v>
      </c>
      <c r="F213" s="3">
        <v>1.8499999999999999E-2</v>
      </c>
    </row>
    <row r="214" spans="1:6" x14ac:dyDescent="0.25">
      <c r="A214" s="2">
        <v>15045</v>
      </c>
      <c r="B214" s="3">
        <v>30</v>
      </c>
      <c r="C214" s="3">
        <v>15</v>
      </c>
      <c r="D214" s="3">
        <v>1.9999999999999999E-7</v>
      </c>
      <c r="E214" s="3" t="s">
        <v>332</v>
      </c>
      <c r="F214" s="3">
        <v>1.9999999999999999E-7</v>
      </c>
    </row>
    <row r="215" spans="1:6" x14ac:dyDescent="0.25">
      <c r="A215" s="2">
        <v>15046</v>
      </c>
      <c r="B215" s="3">
        <v>31</v>
      </c>
      <c r="C215" s="3">
        <v>15</v>
      </c>
      <c r="D215" s="3">
        <v>1.9999999999999999E-7</v>
      </c>
      <c r="E215" s="3" t="s">
        <v>333</v>
      </c>
      <c r="F215" s="3">
        <v>1.9999999999999999E-7</v>
      </c>
    </row>
    <row r="216" spans="1:6" x14ac:dyDescent="0.25">
      <c r="A216" s="2">
        <v>16027</v>
      </c>
      <c r="B216" s="3">
        <v>11</v>
      </c>
      <c r="C216" s="3">
        <v>16</v>
      </c>
      <c r="D216" s="3">
        <v>1.55E-2</v>
      </c>
      <c r="E216" s="3" t="s">
        <v>334</v>
      </c>
      <c r="F216" s="3">
        <v>1.55E-2</v>
      </c>
    </row>
    <row r="217" spans="1:6" x14ac:dyDescent="0.25">
      <c r="A217" s="2">
        <v>16028</v>
      </c>
      <c r="B217" s="3">
        <v>12</v>
      </c>
      <c r="C217" s="3">
        <v>16</v>
      </c>
      <c r="D217" s="3">
        <v>0.125</v>
      </c>
      <c r="E217" s="3" t="s">
        <v>335</v>
      </c>
      <c r="F217" s="3">
        <v>0.125</v>
      </c>
    </row>
    <row r="218" spans="1:6" x14ac:dyDescent="0.25">
      <c r="A218" s="2">
        <v>16029</v>
      </c>
      <c r="B218" s="3">
        <v>13</v>
      </c>
      <c r="C218" s="3">
        <v>16</v>
      </c>
      <c r="D218" s="3">
        <v>0.188</v>
      </c>
      <c r="E218" s="3" t="s">
        <v>336</v>
      </c>
      <c r="F218" s="3">
        <v>0.188</v>
      </c>
    </row>
    <row r="219" spans="1:6" x14ac:dyDescent="0.25">
      <c r="A219" s="2">
        <v>16030</v>
      </c>
      <c r="B219" s="3">
        <v>14</v>
      </c>
      <c r="C219" s="3">
        <v>16</v>
      </c>
      <c r="D219" s="3">
        <v>1.1779999999999999</v>
      </c>
      <c r="E219" s="3" t="s">
        <v>337</v>
      </c>
      <c r="F219" s="3">
        <v>1.1779999999999999</v>
      </c>
    </row>
    <row r="220" spans="1:6" x14ac:dyDescent="0.25">
      <c r="A220" s="2">
        <v>16031</v>
      </c>
      <c r="B220" s="3">
        <v>15</v>
      </c>
      <c r="C220" s="3">
        <v>16</v>
      </c>
      <c r="D220" s="3">
        <v>2.5533999999999999</v>
      </c>
      <c r="E220" s="3" t="s">
        <v>338</v>
      </c>
      <c r="F220" s="3">
        <v>2.5533999999999999</v>
      </c>
    </row>
    <row r="221" spans="1:6" x14ac:dyDescent="0.25">
      <c r="A221" s="2">
        <v>16032</v>
      </c>
      <c r="B221" s="3">
        <v>16</v>
      </c>
      <c r="C221" s="3">
        <v>16</v>
      </c>
      <c r="D221" s="3" t="s">
        <v>4</v>
      </c>
      <c r="E221" s="3" t="s">
        <v>339</v>
      </c>
      <c r="F221" s="3" t="s">
        <v>4</v>
      </c>
    </row>
    <row r="222" spans="1:6" x14ac:dyDescent="0.25">
      <c r="A222" s="2">
        <v>16033</v>
      </c>
      <c r="B222" s="3">
        <v>17</v>
      </c>
      <c r="C222" s="3">
        <v>16</v>
      </c>
      <c r="D222" s="3" t="s">
        <v>4</v>
      </c>
      <c r="E222" s="3" t="s">
        <v>340</v>
      </c>
      <c r="F222" s="3" t="s">
        <v>4</v>
      </c>
    </row>
    <row r="223" spans="1:6" x14ac:dyDescent="0.25">
      <c r="A223" s="2">
        <v>16034</v>
      </c>
      <c r="B223" s="3">
        <v>18</v>
      </c>
      <c r="C223" s="3">
        <v>16</v>
      </c>
      <c r="D223" s="3" t="s">
        <v>4</v>
      </c>
      <c r="E223" s="3" t="s">
        <v>341</v>
      </c>
      <c r="F223" s="3" t="s">
        <v>4</v>
      </c>
    </row>
    <row r="224" spans="1:6" x14ac:dyDescent="0.25">
      <c r="A224" s="2">
        <v>16035</v>
      </c>
      <c r="B224" s="3">
        <v>19</v>
      </c>
      <c r="C224" s="3">
        <v>16</v>
      </c>
      <c r="D224" s="3">
        <v>7548768</v>
      </c>
      <c r="E224" s="3" t="s">
        <v>342</v>
      </c>
      <c r="F224" s="3">
        <v>7548768</v>
      </c>
    </row>
    <row r="225" spans="1:6" x14ac:dyDescent="0.25">
      <c r="A225" s="2">
        <v>16036</v>
      </c>
      <c r="B225" s="3">
        <v>20</v>
      </c>
      <c r="C225" s="3">
        <v>16</v>
      </c>
      <c r="D225" s="3" t="s">
        <v>4</v>
      </c>
      <c r="E225" s="3" t="s">
        <v>343</v>
      </c>
      <c r="F225" s="3" t="s">
        <v>4</v>
      </c>
    </row>
    <row r="226" spans="1:6" x14ac:dyDescent="0.25">
      <c r="A226" s="2">
        <v>16037</v>
      </c>
      <c r="B226" s="3">
        <v>21</v>
      </c>
      <c r="C226" s="3">
        <v>16</v>
      </c>
      <c r="D226" s="3">
        <v>303</v>
      </c>
      <c r="E226" s="3" t="s">
        <v>344</v>
      </c>
      <c r="F226" s="3">
        <v>303</v>
      </c>
    </row>
    <row r="227" spans="1:6" x14ac:dyDescent="0.25">
      <c r="A227" s="2">
        <v>16038</v>
      </c>
      <c r="B227" s="3">
        <v>22</v>
      </c>
      <c r="C227" s="3">
        <v>16</v>
      </c>
      <c r="D227" s="3">
        <v>10218</v>
      </c>
      <c r="E227" s="3" t="s">
        <v>345</v>
      </c>
      <c r="F227" s="3">
        <v>10218</v>
      </c>
    </row>
    <row r="228" spans="1:6" x14ac:dyDescent="0.25">
      <c r="A228" s="2">
        <v>16039</v>
      </c>
      <c r="B228" s="3">
        <v>23</v>
      </c>
      <c r="C228" s="3">
        <v>16</v>
      </c>
      <c r="D228" s="3">
        <v>11.5</v>
      </c>
      <c r="E228" s="3" t="s">
        <v>346</v>
      </c>
      <c r="F228" s="3">
        <v>11.5</v>
      </c>
    </row>
    <row r="229" spans="1:6" x14ac:dyDescent="0.25">
      <c r="A229" s="2">
        <v>16040</v>
      </c>
      <c r="B229" s="3">
        <v>24</v>
      </c>
      <c r="C229" s="3">
        <v>16</v>
      </c>
      <c r="D229" s="3">
        <v>8.8000000000000007</v>
      </c>
      <c r="E229" s="3" t="s">
        <v>347</v>
      </c>
      <c r="F229" s="3">
        <v>8.8000000000000007</v>
      </c>
    </row>
    <row r="230" spans="1:6" x14ac:dyDescent="0.25">
      <c r="A230" s="2">
        <v>16041</v>
      </c>
      <c r="B230" s="3">
        <v>25</v>
      </c>
      <c r="C230" s="3">
        <v>16</v>
      </c>
      <c r="D230" s="3">
        <v>2.6</v>
      </c>
      <c r="E230" s="3" t="s">
        <v>348</v>
      </c>
      <c r="F230" s="3">
        <v>2.6</v>
      </c>
    </row>
    <row r="231" spans="1:6" x14ac:dyDescent="0.25">
      <c r="A231" s="2">
        <v>16042</v>
      </c>
      <c r="B231" s="3">
        <v>26</v>
      </c>
      <c r="C231" s="3">
        <v>16</v>
      </c>
      <c r="D231" s="3">
        <v>1.03</v>
      </c>
      <c r="E231" s="3" t="s">
        <v>349</v>
      </c>
      <c r="F231" s="3">
        <v>1.03</v>
      </c>
    </row>
    <row r="232" spans="1:6" x14ac:dyDescent="0.25">
      <c r="A232" s="2">
        <v>16043</v>
      </c>
      <c r="B232" s="3">
        <v>27</v>
      </c>
      <c r="C232" s="3">
        <v>16</v>
      </c>
      <c r="D232" s="3">
        <v>0.27300000000000002</v>
      </c>
      <c r="E232" s="3" t="s">
        <v>350</v>
      </c>
      <c r="F232" s="3">
        <v>0.27300000000000002</v>
      </c>
    </row>
    <row r="233" spans="1:6" x14ac:dyDescent="0.25">
      <c r="A233" s="2">
        <v>16044</v>
      </c>
      <c r="B233" s="3">
        <v>28</v>
      </c>
      <c r="C233" s="3">
        <v>16</v>
      </c>
      <c r="D233" s="3">
        <v>0.1</v>
      </c>
      <c r="E233" s="3" t="s">
        <v>351</v>
      </c>
      <c r="F233" s="3">
        <v>0.1</v>
      </c>
    </row>
    <row r="234" spans="1:6" x14ac:dyDescent="0.25">
      <c r="A234" s="2">
        <v>16045</v>
      </c>
      <c r="B234" s="3">
        <v>29</v>
      </c>
      <c r="C234" s="3">
        <v>16</v>
      </c>
      <c r="D234" s="3">
        <v>6.8000000000000005E-2</v>
      </c>
      <c r="E234" s="3" t="s">
        <v>352</v>
      </c>
      <c r="F234" s="3">
        <v>6.8000000000000005E-2</v>
      </c>
    </row>
    <row r="235" spans="1:6" x14ac:dyDescent="0.25">
      <c r="A235" s="2">
        <v>16046</v>
      </c>
      <c r="B235" s="3">
        <v>30</v>
      </c>
      <c r="C235" s="3">
        <v>16</v>
      </c>
      <c r="D235" s="3">
        <v>0.05</v>
      </c>
      <c r="E235" s="3" t="s">
        <v>353</v>
      </c>
      <c r="F235" s="3">
        <v>0.05</v>
      </c>
    </row>
    <row r="236" spans="1:6" x14ac:dyDescent="0.25">
      <c r="A236" s="2">
        <v>16048</v>
      </c>
      <c r="B236" s="3">
        <v>32</v>
      </c>
      <c r="C236" s="3">
        <v>16</v>
      </c>
      <c r="D236" s="3">
        <v>1.9999999999999999E-7</v>
      </c>
      <c r="E236" s="3" t="s">
        <v>354</v>
      </c>
      <c r="F236" s="3">
        <v>1.9999999999999999E-7</v>
      </c>
    </row>
    <row r="237" spans="1:6" x14ac:dyDescent="0.25">
      <c r="A237" s="2">
        <v>17031</v>
      </c>
      <c r="B237" s="3">
        <v>14</v>
      </c>
      <c r="C237" s="3">
        <v>17</v>
      </c>
      <c r="D237" s="3">
        <v>0.19</v>
      </c>
      <c r="E237" s="3" t="s">
        <v>355</v>
      </c>
      <c r="F237" s="3">
        <v>0.19</v>
      </c>
    </row>
    <row r="238" spans="1:6" x14ac:dyDescent="0.25">
      <c r="A238" s="2">
        <v>17032</v>
      </c>
      <c r="B238" s="3">
        <v>15</v>
      </c>
      <c r="C238" s="3">
        <v>17</v>
      </c>
      <c r="D238" s="3">
        <v>0.29799999999999999</v>
      </c>
      <c r="E238" s="3" t="s">
        <v>356</v>
      </c>
      <c r="F238" s="3">
        <v>0.29799999999999999</v>
      </c>
    </row>
    <row r="239" spans="1:6" x14ac:dyDescent="0.25">
      <c r="A239" s="2">
        <v>17033</v>
      </c>
      <c r="B239" s="3">
        <v>16</v>
      </c>
      <c r="C239" s="3">
        <v>17</v>
      </c>
      <c r="D239" s="3">
        <v>2.5110000000000001</v>
      </c>
      <c r="E239" s="3" t="s">
        <v>357</v>
      </c>
      <c r="F239" s="3">
        <v>2.5110000000000001</v>
      </c>
    </row>
    <row r="240" spans="1:6" x14ac:dyDescent="0.25">
      <c r="A240" s="2">
        <v>17034</v>
      </c>
      <c r="B240" s="3">
        <v>17</v>
      </c>
      <c r="C240" s="3">
        <v>17</v>
      </c>
      <c r="D240" s="3">
        <v>1.5264</v>
      </c>
      <c r="E240" s="3" t="s">
        <v>358</v>
      </c>
      <c r="F240" s="3">
        <v>1.5264</v>
      </c>
    </row>
    <row r="241" spans="1:6" x14ac:dyDescent="0.25">
      <c r="A241" s="2">
        <v>17035</v>
      </c>
      <c r="B241" s="3">
        <v>18</v>
      </c>
      <c r="C241" s="3">
        <v>17</v>
      </c>
      <c r="D241" s="3" t="s">
        <v>4</v>
      </c>
      <c r="E241" s="3" t="s">
        <v>359</v>
      </c>
      <c r="F241" s="3" t="s">
        <v>4</v>
      </c>
    </row>
    <row r="242" spans="1:6" x14ac:dyDescent="0.25">
      <c r="A242" s="2">
        <v>17036</v>
      </c>
      <c r="B242" s="3">
        <v>19</v>
      </c>
      <c r="C242" s="3">
        <v>17</v>
      </c>
      <c r="D242" s="3">
        <v>9498837600000</v>
      </c>
      <c r="E242" s="3" t="s">
        <v>360</v>
      </c>
      <c r="F242" s="3">
        <v>9498837600000</v>
      </c>
    </row>
    <row r="243" spans="1:6" x14ac:dyDescent="0.25">
      <c r="A243" s="2">
        <v>17037</v>
      </c>
      <c r="B243" s="3">
        <v>20</v>
      </c>
      <c r="C243" s="3">
        <v>17</v>
      </c>
      <c r="D243" s="3" t="s">
        <v>4</v>
      </c>
      <c r="E243" s="3" t="s">
        <v>361</v>
      </c>
      <c r="F243" s="3" t="s">
        <v>4</v>
      </c>
    </row>
    <row r="244" spans="1:6" x14ac:dyDescent="0.25">
      <c r="A244" s="2">
        <v>17038</v>
      </c>
      <c r="B244" s="3">
        <v>21</v>
      </c>
      <c r="C244" s="3">
        <v>17</v>
      </c>
      <c r="D244" s="3">
        <v>2234.4</v>
      </c>
      <c r="E244" s="3" t="s">
        <v>362</v>
      </c>
      <c r="F244" s="3">
        <v>2234.4</v>
      </c>
    </row>
    <row r="245" spans="1:6" x14ac:dyDescent="0.25">
      <c r="A245" s="2">
        <v>17039</v>
      </c>
      <c r="B245" s="3">
        <v>22</v>
      </c>
      <c r="C245" s="3">
        <v>17</v>
      </c>
      <c r="D245" s="3">
        <v>3372</v>
      </c>
      <c r="E245" s="3" t="s">
        <v>363</v>
      </c>
      <c r="F245" s="3">
        <v>3372</v>
      </c>
    </row>
    <row r="246" spans="1:6" x14ac:dyDescent="0.25">
      <c r="A246" s="2">
        <v>17040</v>
      </c>
      <c r="B246" s="3">
        <v>23</v>
      </c>
      <c r="C246" s="3">
        <v>17</v>
      </c>
      <c r="D246" s="3">
        <v>81</v>
      </c>
      <c r="E246" s="3" t="s">
        <v>364</v>
      </c>
      <c r="F246" s="3">
        <v>81</v>
      </c>
    </row>
    <row r="247" spans="1:6" x14ac:dyDescent="0.25">
      <c r="A247" s="2">
        <v>17041</v>
      </c>
      <c r="B247" s="3">
        <v>24</v>
      </c>
      <c r="C247" s="3">
        <v>17</v>
      </c>
      <c r="D247" s="3">
        <v>38.4</v>
      </c>
      <c r="E247" s="3" t="s">
        <v>365</v>
      </c>
      <c r="F247" s="3">
        <v>38.4</v>
      </c>
    </row>
    <row r="248" spans="1:6" x14ac:dyDescent="0.25">
      <c r="A248" s="2">
        <v>17042</v>
      </c>
      <c r="B248" s="3">
        <v>25</v>
      </c>
      <c r="C248" s="3">
        <v>17</v>
      </c>
      <c r="D248" s="3">
        <v>6.8</v>
      </c>
      <c r="E248" s="3" t="s">
        <v>366</v>
      </c>
      <c r="F248" s="3">
        <v>6.8</v>
      </c>
    </row>
    <row r="249" spans="1:6" x14ac:dyDescent="0.25">
      <c r="A249" s="2">
        <v>17043</v>
      </c>
      <c r="B249" s="3">
        <v>26</v>
      </c>
      <c r="C249" s="3">
        <v>17</v>
      </c>
      <c r="D249" s="3">
        <v>3.1749999999999998</v>
      </c>
      <c r="E249" s="3" t="s">
        <v>367</v>
      </c>
      <c r="F249" s="3">
        <v>3.1749999999999998</v>
      </c>
    </row>
    <row r="250" spans="1:6" x14ac:dyDescent="0.25">
      <c r="A250" s="2">
        <v>17044</v>
      </c>
      <c r="B250" s="3">
        <v>27</v>
      </c>
      <c r="C250" s="3">
        <v>17</v>
      </c>
      <c r="D250" s="3">
        <v>0.65</v>
      </c>
      <c r="E250" s="3" t="s">
        <v>368</v>
      </c>
      <c r="F250" s="3">
        <v>0.65</v>
      </c>
    </row>
    <row r="251" spans="1:6" x14ac:dyDescent="0.25">
      <c r="A251" s="2">
        <v>17045</v>
      </c>
      <c r="B251" s="3">
        <v>28</v>
      </c>
      <c r="C251" s="3">
        <v>17</v>
      </c>
      <c r="D251" s="3">
        <v>0.4</v>
      </c>
      <c r="E251" s="3" t="s">
        <v>369</v>
      </c>
      <c r="F251" s="3">
        <v>0.4</v>
      </c>
    </row>
    <row r="252" spans="1:6" x14ac:dyDescent="0.25">
      <c r="A252" s="2">
        <v>17046</v>
      </c>
      <c r="B252" s="3">
        <v>29</v>
      </c>
      <c r="C252" s="3">
        <v>17</v>
      </c>
      <c r="D252" s="3">
        <v>0.23200000000000001</v>
      </c>
      <c r="E252" s="3" t="s">
        <v>370</v>
      </c>
      <c r="F252" s="3">
        <v>0.23200000000000001</v>
      </c>
    </row>
    <row r="253" spans="1:6" x14ac:dyDescent="0.25">
      <c r="A253" s="2">
        <v>17047</v>
      </c>
      <c r="B253" s="3">
        <v>30</v>
      </c>
      <c r="C253" s="3">
        <v>17</v>
      </c>
      <c r="D253" s="3">
        <v>0.10100000000000001</v>
      </c>
      <c r="E253" s="3" t="s">
        <v>371</v>
      </c>
      <c r="F253" s="3">
        <v>0.10100000000000001</v>
      </c>
    </row>
    <row r="254" spans="1:6" x14ac:dyDescent="0.25">
      <c r="A254" s="2">
        <v>17048</v>
      </c>
      <c r="B254" s="3">
        <v>31</v>
      </c>
      <c r="C254" s="3">
        <v>17</v>
      </c>
      <c r="D254" s="3">
        <v>1.9999999999999999E-7</v>
      </c>
      <c r="E254" s="3" t="s">
        <v>372</v>
      </c>
      <c r="F254" s="3">
        <v>1.9999999999999999E-7</v>
      </c>
    </row>
    <row r="255" spans="1:6" x14ac:dyDescent="0.25">
      <c r="A255" s="2">
        <v>17049</v>
      </c>
      <c r="B255" s="3">
        <v>32</v>
      </c>
      <c r="C255" s="3">
        <v>17</v>
      </c>
      <c r="D255" s="3">
        <v>1.6999999999999999E-7</v>
      </c>
      <c r="E255" s="3" t="s">
        <v>373</v>
      </c>
      <c r="F255" s="3">
        <v>1.6999999999999999E-7</v>
      </c>
    </row>
    <row r="256" spans="1:6" x14ac:dyDescent="0.25">
      <c r="A256" s="2">
        <v>17050</v>
      </c>
      <c r="B256" s="3">
        <v>33</v>
      </c>
      <c r="C256" s="3">
        <v>17</v>
      </c>
      <c r="D256" s="3">
        <v>6.1999999999999999E-7</v>
      </c>
      <c r="E256" s="3" t="s">
        <v>374</v>
      </c>
      <c r="F256" s="3">
        <v>6.1999999999999999E-7</v>
      </c>
    </row>
    <row r="257" spans="1:6" x14ac:dyDescent="0.25">
      <c r="A257" s="2">
        <v>17051</v>
      </c>
      <c r="B257" s="3">
        <v>34</v>
      </c>
      <c r="C257" s="3">
        <v>17</v>
      </c>
      <c r="D257" s="3">
        <v>1.9999999999999999E-7</v>
      </c>
      <c r="E257" s="3" t="s">
        <v>375</v>
      </c>
      <c r="F257" s="3">
        <v>1.9999999999999999E-7</v>
      </c>
    </row>
    <row r="258" spans="1:6" x14ac:dyDescent="0.25">
      <c r="A258" s="2">
        <v>18031</v>
      </c>
      <c r="B258" s="3">
        <v>13</v>
      </c>
      <c r="C258" s="3">
        <v>18</v>
      </c>
      <c r="D258" s="3">
        <v>1.44E-2</v>
      </c>
      <c r="E258" s="3" t="s">
        <v>376</v>
      </c>
      <c r="F258" s="3">
        <v>1.44E-2</v>
      </c>
    </row>
    <row r="259" spans="1:6" x14ac:dyDescent="0.25">
      <c r="A259" s="2">
        <v>18032</v>
      </c>
      <c r="B259" s="3">
        <v>14</v>
      </c>
      <c r="C259" s="3">
        <v>18</v>
      </c>
      <c r="D259" s="3">
        <v>9.8000000000000004E-2</v>
      </c>
      <c r="E259" s="3" t="s">
        <v>377</v>
      </c>
      <c r="F259" s="3">
        <v>9.8000000000000004E-2</v>
      </c>
    </row>
    <row r="260" spans="1:6" x14ac:dyDescent="0.25">
      <c r="A260" s="2">
        <v>18033</v>
      </c>
      <c r="B260" s="3">
        <v>15</v>
      </c>
      <c r="C260" s="3">
        <v>18</v>
      </c>
      <c r="D260" s="3">
        <v>0.17299999999999999</v>
      </c>
      <c r="E260" s="3" t="s">
        <v>378</v>
      </c>
      <c r="F260" s="3">
        <v>0.17299999999999999</v>
      </c>
    </row>
    <row r="261" spans="1:6" x14ac:dyDescent="0.25">
      <c r="A261" s="2">
        <v>18034</v>
      </c>
      <c r="B261" s="3">
        <v>16</v>
      </c>
      <c r="C261" s="3">
        <v>18</v>
      </c>
      <c r="D261" s="3">
        <v>0.84450000000000003</v>
      </c>
      <c r="E261" s="3" t="s">
        <v>379</v>
      </c>
      <c r="F261" s="3">
        <v>0.84450000000000003</v>
      </c>
    </row>
    <row r="262" spans="1:6" x14ac:dyDescent="0.25">
      <c r="A262" s="2">
        <v>18035</v>
      </c>
      <c r="B262" s="3">
        <v>17</v>
      </c>
      <c r="C262" s="3">
        <v>18</v>
      </c>
      <c r="D262" s="3">
        <v>1.7756000000000001</v>
      </c>
      <c r="E262" s="3" t="s">
        <v>380</v>
      </c>
      <c r="F262" s="3">
        <v>1.7756000000000001</v>
      </c>
    </row>
    <row r="263" spans="1:6" x14ac:dyDescent="0.25">
      <c r="A263" s="2">
        <v>18036</v>
      </c>
      <c r="B263" s="3">
        <v>18</v>
      </c>
      <c r="C263" s="3">
        <v>18</v>
      </c>
      <c r="D263" s="3" t="s">
        <v>4</v>
      </c>
      <c r="E263" s="3" t="s">
        <v>381</v>
      </c>
      <c r="F263" s="3" t="s">
        <v>4</v>
      </c>
    </row>
    <row r="264" spans="1:6" x14ac:dyDescent="0.25">
      <c r="A264" s="2">
        <v>18037</v>
      </c>
      <c r="B264" s="3">
        <v>19</v>
      </c>
      <c r="C264" s="3">
        <v>18</v>
      </c>
      <c r="D264" s="3">
        <v>3027456</v>
      </c>
      <c r="E264" s="3" t="s">
        <v>382</v>
      </c>
      <c r="F264" s="3">
        <v>3027456</v>
      </c>
    </row>
    <row r="265" spans="1:6" x14ac:dyDescent="0.25">
      <c r="A265" s="2">
        <v>18038</v>
      </c>
      <c r="B265" s="3">
        <v>20</v>
      </c>
      <c r="C265" s="3">
        <v>18</v>
      </c>
      <c r="D265" s="3" t="s">
        <v>4</v>
      </c>
      <c r="E265" s="3" t="s">
        <v>383</v>
      </c>
      <c r="F265" s="3" t="s">
        <v>4</v>
      </c>
    </row>
    <row r="266" spans="1:6" x14ac:dyDescent="0.25">
      <c r="A266" s="2">
        <v>18039</v>
      </c>
      <c r="B266" s="3">
        <v>21</v>
      </c>
      <c r="C266" s="3">
        <v>18</v>
      </c>
      <c r="D266" s="3">
        <v>8488994400</v>
      </c>
      <c r="E266" s="3" t="s">
        <v>384</v>
      </c>
      <c r="F266" s="3">
        <v>8488994400</v>
      </c>
    </row>
    <row r="267" spans="1:6" x14ac:dyDescent="0.25">
      <c r="A267" s="2">
        <v>18040</v>
      </c>
      <c r="B267" s="3">
        <v>22</v>
      </c>
      <c r="C267" s="3">
        <v>18</v>
      </c>
      <c r="D267" s="3" t="s">
        <v>4</v>
      </c>
      <c r="E267" s="3" t="s">
        <v>385</v>
      </c>
      <c r="F267" s="3" t="s">
        <v>4</v>
      </c>
    </row>
    <row r="268" spans="1:6" x14ac:dyDescent="0.25">
      <c r="A268" s="2">
        <v>18041</v>
      </c>
      <c r="B268" s="3">
        <v>23</v>
      </c>
      <c r="C268" s="3">
        <v>18</v>
      </c>
      <c r="D268" s="3">
        <v>6576.6</v>
      </c>
      <c r="E268" s="3" t="s">
        <v>386</v>
      </c>
      <c r="F268" s="3">
        <v>6576.6</v>
      </c>
    </row>
    <row r="269" spans="1:6" x14ac:dyDescent="0.25">
      <c r="A269" s="2">
        <v>18042</v>
      </c>
      <c r="B269" s="3">
        <v>24</v>
      </c>
      <c r="C269" s="3">
        <v>18</v>
      </c>
      <c r="D269" s="3">
        <v>1038245040</v>
      </c>
      <c r="E269" s="3" t="s">
        <v>387</v>
      </c>
      <c r="F269" s="3">
        <v>1038245040</v>
      </c>
    </row>
    <row r="270" spans="1:6" x14ac:dyDescent="0.25">
      <c r="A270" s="2">
        <v>18043</v>
      </c>
      <c r="B270" s="3">
        <v>25</v>
      </c>
      <c r="C270" s="3">
        <v>18</v>
      </c>
      <c r="D270" s="3">
        <v>322.2</v>
      </c>
      <c r="E270" s="3" t="s">
        <v>388</v>
      </c>
      <c r="F270" s="3">
        <v>322.2</v>
      </c>
    </row>
    <row r="271" spans="1:6" x14ac:dyDescent="0.25">
      <c r="A271" s="2">
        <v>18044</v>
      </c>
      <c r="B271" s="3">
        <v>26</v>
      </c>
      <c r="C271" s="3">
        <v>18</v>
      </c>
      <c r="D271" s="3">
        <v>712.19999999999902</v>
      </c>
      <c r="E271" s="3" t="s">
        <v>389</v>
      </c>
      <c r="F271" s="3">
        <v>712.19999999999902</v>
      </c>
    </row>
    <row r="272" spans="1:6" x14ac:dyDescent="0.25">
      <c r="A272" s="2">
        <v>18045</v>
      </c>
      <c r="B272" s="3">
        <v>27</v>
      </c>
      <c r="C272" s="3">
        <v>18</v>
      </c>
      <c r="D272" s="3">
        <v>21.48</v>
      </c>
      <c r="E272" s="3" t="s">
        <v>390</v>
      </c>
      <c r="F272" s="3">
        <v>21.48</v>
      </c>
    </row>
    <row r="273" spans="1:6" x14ac:dyDescent="0.25">
      <c r="A273" s="2">
        <v>18046</v>
      </c>
      <c r="B273" s="3">
        <v>28</v>
      </c>
      <c r="C273" s="3">
        <v>18</v>
      </c>
      <c r="D273" s="3">
        <v>8.4</v>
      </c>
      <c r="E273" s="3" t="s">
        <v>391</v>
      </c>
      <c r="F273" s="3">
        <v>8.4</v>
      </c>
    </row>
    <row r="274" spans="1:6" x14ac:dyDescent="0.25">
      <c r="A274" s="2">
        <v>18047</v>
      </c>
      <c r="B274" s="3">
        <v>29</v>
      </c>
      <c r="C274" s="3">
        <v>18</v>
      </c>
      <c r="D274" s="3">
        <v>1.23</v>
      </c>
      <c r="E274" s="3" t="s">
        <v>392</v>
      </c>
      <c r="F274" s="3">
        <v>1.23</v>
      </c>
    </row>
    <row r="275" spans="1:6" x14ac:dyDescent="0.25">
      <c r="A275" s="2">
        <v>18048</v>
      </c>
      <c r="B275" s="3">
        <v>30</v>
      </c>
      <c r="C275" s="3">
        <v>18</v>
      </c>
      <c r="D275" s="3">
        <v>0.42399999999999999</v>
      </c>
      <c r="E275" s="3" t="s">
        <v>393</v>
      </c>
      <c r="F275" s="3">
        <v>0.42399999999999999</v>
      </c>
    </row>
    <row r="276" spans="1:6" x14ac:dyDescent="0.25">
      <c r="A276" s="2">
        <v>18049</v>
      </c>
      <c r="B276" s="3">
        <v>31</v>
      </c>
      <c r="C276" s="3">
        <v>18</v>
      </c>
      <c r="D276" s="3">
        <v>0.23599999999999999</v>
      </c>
      <c r="E276" s="3" t="s">
        <v>394</v>
      </c>
      <c r="F276" s="3">
        <v>0.23599999999999999</v>
      </c>
    </row>
    <row r="277" spans="1:6" x14ac:dyDescent="0.25">
      <c r="A277" s="2">
        <v>18050</v>
      </c>
      <c r="B277" s="3">
        <v>32</v>
      </c>
      <c r="C277" s="3">
        <v>18</v>
      </c>
      <c r="D277" s="3">
        <v>0.106</v>
      </c>
      <c r="E277" s="3" t="s">
        <v>395</v>
      </c>
      <c r="F277" s="3">
        <v>0.106</v>
      </c>
    </row>
    <row r="278" spans="1:6" x14ac:dyDescent="0.25">
      <c r="A278" s="2">
        <v>18051</v>
      </c>
      <c r="B278" s="3">
        <v>33</v>
      </c>
      <c r="C278" s="3">
        <v>18</v>
      </c>
      <c r="D278" s="3">
        <v>1.9999999999999999E-7</v>
      </c>
      <c r="E278" s="3" t="s">
        <v>396</v>
      </c>
      <c r="F278" s="3">
        <v>1.9999999999999999E-7</v>
      </c>
    </row>
    <row r="279" spans="1:6" x14ac:dyDescent="0.25">
      <c r="A279" s="2">
        <v>18052</v>
      </c>
      <c r="B279" s="3">
        <v>34</v>
      </c>
      <c r="C279" s="3">
        <v>18</v>
      </c>
      <c r="D279" s="3">
        <v>6.1999999999999999E-7</v>
      </c>
      <c r="E279" s="3" t="s">
        <v>397</v>
      </c>
      <c r="F279" s="3">
        <v>6.1999999999999999E-7</v>
      </c>
    </row>
    <row r="280" spans="1:6" x14ac:dyDescent="0.25">
      <c r="A280" s="2">
        <v>18053</v>
      </c>
      <c r="B280" s="3">
        <v>35</v>
      </c>
      <c r="C280" s="3">
        <v>18</v>
      </c>
      <c r="D280" s="3">
        <v>6.1999999999999999E-7</v>
      </c>
      <c r="E280" s="3" t="s">
        <v>398</v>
      </c>
      <c r="F280" s="3">
        <v>6.1999999999999999E-7</v>
      </c>
    </row>
    <row r="281" spans="1:6" x14ac:dyDescent="0.25">
      <c r="A281" s="2">
        <v>19035</v>
      </c>
      <c r="B281" s="3">
        <v>16</v>
      </c>
      <c r="C281" s="3">
        <v>19</v>
      </c>
      <c r="D281" s="3">
        <v>0.17799999999999999</v>
      </c>
      <c r="E281" s="3" t="s">
        <v>399</v>
      </c>
      <c r="F281" s="3">
        <v>0.17799999999999999</v>
      </c>
    </row>
    <row r="282" spans="1:6" x14ac:dyDescent="0.25">
      <c r="A282" s="2">
        <v>19036</v>
      </c>
      <c r="B282" s="3">
        <v>17</v>
      </c>
      <c r="C282" s="3">
        <v>19</v>
      </c>
      <c r="D282" s="3">
        <v>0.34200000000000003</v>
      </c>
      <c r="E282" s="3" t="s">
        <v>400</v>
      </c>
      <c r="F282" s="3">
        <v>0.34200000000000003</v>
      </c>
    </row>
    <row r="283" spans="1:6" x14ac:dyDescent="0.25">
      <c r="A283" s="2">
        <v>19037</v>
      </c>
      <c r="B283" s="3">
        <v>18</v>
      </c>
      <c r="C283" s="3">
        <v>19</v>
      </c>
      <c r="D283" s="3">
        <v>1.226</v>
      </c>
      <c r="E283" s="3" t="s">
        <v>401</v>
      </c>
      <c r="F283" s="3">
        <v>1.226</v>
      </c>
    </row>
    <row r="284" spans="1:6" x14ac:dyDescent="0.25">
      <c r="A284" s="2">
        <v>19038</v>
      </c>
      <c r="B284" s="3">
        <v>19</v>
      </c>
      <c r="C284" s="3">
        <v>19</v>
      </c>
      <c r="D284" s="3">
        <v>458.16</v>
      </c>
      <c r="E284" s="3" t="s">
        <v>402</v>
      </c>
      <c r="F284" s="3">
        <v>458.16</v>
      </c>
    </row>
    <row r="285" spans="1:6" x14ac:dyDescent="0.25">
      <c r="A285" s="2">
        <v>19039</v>
      </c>
      <c r="B285" s="3">
        <v>20</v>
      </c>
      <c r="C285" s="3">
        <v>19</v>
      </c>
      <c r="D285" s="3" t="s">
        <v>4</v>
      </c>
      <c r="E285" s="3" t="s">
        <v>403</v>
      </c>
      <c r="F285" s="3" t="s">
        <v>4</v>
      </c>
    </row>
    <row r="286" spans="1:6" x14ac:dyDescent="0.25">
      <c r="A286" s="2">
        <v>19040</v>
      </c>
      <c r="B286" s="3">
        <v>21</v>
      </c>
      <c r="C286" s="3">
        <v>19</v>
      </c>
      <c r="D286" s="3">
        <v>3.93838848E+16</v>
      </c>
      <c r="E286" s="3" t="s">
        <v>404</v>
      </c>
      <c r="F286" s="3">
        <v>3.93838848E+16</v>
      </c>
    </row>
    <row r="287" spans="1:6" x14ac:dyDescent="0.25">
      <c r="A287" s="2">
        <v>19041</v>
      </c>
      <c r="B287" s="3">
        <v>22</v>
      </c>
      <c r="C287" s="3">
        <v>19</v>
      </c>
      <c r="D287" s="3" t="s">
        <v>4</v>
      </c>
      <c r="E287" s="3" t="s">
        <v>405</v>
      </c>
      <c r="F287" s="3" t="s">
        <v>4</v>
      </c>
    </row>
    <row r="288" spans="1:6" x14ac:dyDescent="0.25">
      <c r="A288" s="2">
        <v>19042</v>
      </c>
      <c r="B288" s="3">
        <v>23</v>
      </c>
      <c r="C288" s="3">
        <v>19</v>
      </c>
      <c r="D288" s="3">
        <v>44478</v>
      </c>
      <c r="E288" s="3" t="s">
        <v>406</v>
      </c>
      <c r="F288" s="3">
        <v>44478</v>
      </c>
    </row>
    <row r="289" spans="1:6" x14ac:dyDescent="0.25">
      <c r="A289" s="2">
        <v>19043</v>
      </c>
      <c r="B289" s="3">
        <v>24</v>
      </c>
      <c r="C289" s="3">
        <v>19</v>
      </c>
      <c r="D289" s="3">
        <v>80280</v>
      </c>
      <c r="E289" s="3" t="s">
        <v>407</v>
      </c>
      <c r="F289" s="3">
        <v>80280</v>
      </c>
    </row>
    <row r="290" spans="1:6" x14ac:dyDescent="0.25">
      <c r="A290" s="2">
        <v>19044</v>
      </c>
      <c r="B290" s="3">
        <v>25</v>
      </c>
      <c r="C290" s="3">
        <v>19</v>
      </c>
      <c r="D290" s="3">
        <v>1327.8</v>
      </c>
      <c r="E290" s="3" t="s">
        <v>408</v>
      </c>
      <c r="F290" s="3">
        <v>1327.8</v>
      </c>
    </row>
    <row r="291" spans="1:6" x14ac:dyDescent="0.25">
      <c r="A291" s="2">
        <v>19045</v>
      </c>
      <c r="B291" s="3">
        <v>26</v>
      </c>
      <c r="C291" s="3">
        <v>19</v>
      </c>
      <c r="D291" s="3">
        <v>1068.5999999999999</v>
      </c>
      <c r="E291" s="3" t="s">
        <v>409</v>
      </c>
      <c r="F291" s="3">
        <v>1068.5999999999999</v>
      </c>
    </row>
    <row r="292" spans="1:6" x14ac:dyDescent="0.25">
      <c r="A292" s="2">
        <v>19046</v>
      </c>
      <c r="B292" s="3">
        <v>27</v>
      </c>
      <c r="C292" s="3">
        <v>19</v>
      </c>
      <c r="D292" s="3">
        <v>105</v>
      </c>
      <c r="E292" s="3" t="s">
        <v>410</v>
      </c>
      <c r="F292" s="3">
        <v>105</v>
      </c>
    </row>
    <row r="293" spans="1:6" x14ac:dyDescent="0.25">
      <c r="A293" s="2">
        <v>19047</v>
      </c>
      <c r="B293" s="3">
        <v>28</v>
      </c>
      <c r="C293" s="3">
        <v>19</v>
      </c>
      <c r="D293" s="3">
        <v>17.5</v>
      </c>
      <c r="E293" s="3" t="s">
        <v>411</v>
      </c>
      <c r="F293" s="3">
        <v>17.5</v>
      </c>
    </row>
    <row r="294" spans="1:6" x14ac:dyDescent="0.25">
      <c r="A294" s="2">
        <v>19048</v>
      </c>
      <c r="B294" s="3">
        <v>29</v>
      </c>
      <c r="C294" s="3">
        <v>19</v>
      </c>
      <c r="D294" s="3">
        <v>6.83</v>
      </c>
      <c r="E294" s="3" t="s">
        <v>412</v>
      </c>
      <c r="F294" s="3">
        <v>6.83</v>
      </c>
    </row>
    <row r="295" spans="1:6" x14ac:dyDescent="0.25">
      <c r="A295" s="2">
        <v>19049</v>
      </c>
      <c r="B295" s="3">
        <v>30</v>
      </c>
      <c r="C295" s="3">
        <v>19</v>
      </c>
      <c r="D295" s="3">
        <v>1.2629999999999999</v>
      </c>
      <c r="E295" s="3" t="s">
        <v>413</v>
      </c>
      <c r="F295" s="3">
        <v>1.2629999999999999</v>
      </c>
    </row>
    <row r="296" spans="1:6" x14ac:dyDescent="0.25">
      <c r="A296" s="2">
        <v>19050</v>
      </c>
      <c r="B296" s="3">
        <v>31</v>
      </c>
      <c r="C296" s="3">
        <v>19</v>
      </c>
      <c r="D296" s="3">
        <v>0.47199999999999998</v>
      </c>
      <c r="E296" s="3" t="s">
        <v>414</v>
      </c>
      <c r="F296" s="3">
        <v>0.47199999999999998</v>
      </c>
    </row>
    <row r="297" spans="1:6" x14ac:dyDescent="0.25">
      <c r="A297" s="2">
        <v>19051</v>
      </c>
      <c r="B297" s="3">
        <v>32</v>
      </c>
      <c r="C297" s="3">
        <v>19</v>
      </c>
      <c r="D297" s="3">
        <v>0.36499999999999999</v>
      </c>
      <c r="E297" s="3" t="s">
        <v>415</v>
      </c>
      <c r="F297" s="3">
        <v>0.36499999999999999</v>
      </c>
    </row>
    <row r="298" spans="1:6" x14ac:dyDescent="0.25">
      <c r="A298" s="2">
        <v>19052</v>
      </c>
      <c r="B298" s="3">
        <v>33</v>
      </c>
      <c r="C298" s="3">
        <v>19</v>
      </c>
      <c r="D298" s="3">
        <v>0.11</v>
      </c>
      <c r="E298" s="3" t="s">
        <v>416</v>
      </c>
      <c r="F298" s="3">
        <v>0.11</v>
      </c>
    </row>
    <row r="299" spans="1:6" x14ac:dyDescent="0.25">
      <c r="A299" s="2">
        <v>19053</v>
      </c>
      <c r="B299" s="3">
        <v>34</v>
      </c>
      <c r="C299" s="3">
        <v>19</v>
      </c>
      <c r="D299" s="3">
        <v>0.03</v>
      </c>
      <c r="E299" s="3" t="s">
        <v>417</v>
      </c>
      <c r="F299" s="3">
        <v>0.03</v>
      </c>
    </row>
    <row r="300" spans="1:6" x14ac:dyDescent="0.25">
      <c r="A300" s="2">
        <v>19054</v>
      </c>
      <c r="B300" s="3">
        <v>35</v>
      </c>
      <c r="C300" s="3">
        <v>19</v>
      </c>
      <c r="D300" s="3">
        <v>0.01</v>
      </c>
      <c r="E300" s="3" t="s">
        <v>418</v>
      </c>
      <c r="F300" s="3">
        <v>0.01</v>
      </c>
    </row>
    <row r="301" spans="1:6" x14ac:dyDescent="0.25">
      <c r="A301" s="2">
        <v>19055</v>
      </c>
      <c r="B301" s="3">
        <v>36</v>
      </c>
      <c r="C301" s="3">
        <v>19</v>
      </c>
      <c r="D301" s="3">
        <v>3.5999999999999999E-7</v>
      </c>
      <c r="E301" s="3" t="s">
        <v>419</v>
      </c>
      <c r="F301" s="3">
        <v>3.5999999999999999E-7</v>
      </c>
    </row>
    <row r="302" spans="1:6" x14ac:dyDescent="0.25">
      <c r="A302" s="2">
        <v>19056</v>
      </c>
      <c r="B302" s="3">
        <v>37</v>
      </c>
      <c r="C302" s="3">
        <v>19</v>
      </c>
      <c r="D302" s="3">
        <v>2E-8</v>
      </c>
      <c r="E302" s="3" t="s">
        <v>420</v>
      </c>
      <c r="F302" s="3">
        <v>2E-8</v>
      </c>
    </row>
    <row r="303" spans="1:6" x14ac:dyDescent="0.25">
      <c r="A303" s="2">
        <v>20035</v>
      </c>
      <c r="B303" s="3">
        <v>15</v>
      </c>
      <c r="C303" s="3">
        <v>20</v>
      </c>
      <c r="D303" s="3">
        <v>2.5700000000000001E-2</v>
      </c>
      <c r="E303" s="3" t="s">
        <v>421</v>
      </c>
      <c r="F303" s="3">
        <v>2.5700000000000001E-2</v>
      </c>
    </row>
    <row r="304" spans="1:6" x14ac:dyDescent="0.25">
      <c r="A304" s="2">
        <v>20036</v>
      </c>
      <c r="B304" s="3">
        <v>16</v>
      </c>
      <c r="C304" s="3">
        <v>20</v>
      </c>
      <c r="D304" s="3">
        <v>0.10199999999999999</v>
      </c>
      <c r="E304" s="3" t="s">
        <v>422</v>
      </c>
      <c r="F304" s="3">
        <v>0.10199999999999999</v>
      </c>
    </row>
    <row r="305" spans="1:6" x14ac:dyDescent="0.25">
      <c r="A305" s="2">
        <v>20037</v>
      </c>
      <c r="B305" s="3">
        <v>17</v>
      </c>
      <c r="C305" s="3">
        <v>20</v>
      </c>
      <c r="D305" s="3">
        <v>0.18110000000000001</v>
      </c>
      <c r="E305" s="3" t="s">
        <v>423</v>
      </c>
      <c r="F305" s="3">
        <v>0.18110000000000001</v>
      </c>
    </row>
    <row r="306" spans="1:6" x14ac:dyDescent="0.25">
      <c r="A306" s="2">
        <v>20038</v>
      </c>
      <c r="B306" s="3">
        <v>18</v>
      </c>
      <c r="C306" s="3">
        <v>20</v>
      </c>
      <c r="D306" s="3">
        <v>0.44</v>
      </c>
      <c r="E306" s="3" t="s">
        <v>424</v>
      </c>
      <c r="F306" s="3">
        <v>0.44</v>
      </c>
    </row>
    <row r="307" spans="1:6" x14ac:dyDescent="0.25">
      <c r="A307" s="2">
        <v>20039</v>
      </c>
      <c r="B307" s="3">
        <v>19</v>
      </c>
      <c r="C307" s="3">
        <v>20</v>
      </c>
      <c r="D307" s="3">
        <v>0.85960000000000003</v>
      </c>
      <c r="E307" s="3" t="s">
        <v>425</v>
      </c>
      <c r="F307" s="3">
        <v>0.85960000000000003</v>
      </c>
    </row>
    <row r="308" spans="1:6" x14ac:dyDescent="0.25">
      <c r="A308" s="2">
        <v>20040</v>
      </c>
      <c r="B308" s="3">
        <v>20</v>
      </c>
      <c r="C308" s="3">
        <v>20</v>
      </c>
      <c r="D308" s="3">
        <v>9.4672799999999999E+28</v>
      </c>
      <c r="E308" s="3" t="s">
        <v>426</v>
      </c>
      <c r="F308" s="3">
        <v>9.4672799999999999E+28</v>
      </c>
    </row>
    <row r="309" spans="1:6" x14ac:dyDescent="0.25">
      <c r="A309" s="2">
        <v>20041</v>
      </c>
      <c r="B309" s="3">
        <v>21</v>
      </c>
      <c r="C309" s="3">
        <v>20</v>
      </c>
      <c r="D309" s="3">
        <v>3136825440000</v>
      </c>
      <c r="E309" s="3" t="s">
        <v>427</v>
      </c>
      <c r="F309" s="3">
        <v>3136825440000</v>
      </c>
    </row>
    <row r="310" spans="1:6" x14ac:dyDescent="0.25">
      <c r="A310" s="2">
        <v>20042</v>
      </c>
      <c r="B310" s="3">
        <v>22</v>
      </c>
      <c r="C310" s="3">
        <v>20</v>
      </c>
      <c r="D310" s="3" t="s">
        <v>4</v>
      </c>
      <c r="E310" s="3" t="s">
        <v>428</v>
      </c>
      <c r="F310" s="3" t="s">
        <v>4</v>
      </c>
    </row>
    <row r="311" spans="1:6" x14ac:dyDescent="0.25">
      <c r="A311" s="2">
        <v>20043</v>
      </c>
      <c r="B311" s="3">
        <v>23</v>
      </c>
      <c r="C311" s="3">
        <v>20</v>
      </c>
      <c r="D311" s="3" t="s">
        <v>4</v>
      </c>
      <c r="E311" s="3" t="s">
        <v>429</v>
      </c>
      <c r="F311" s="3" t="s">
        <v>4</v>
      </c>
    </row>
    <row r="312" spans="1:6" x14ac:dyDescent="0.25">
      <c r="A312" s="2">
        <v>20044</v>
      </c>
      <c r="B312" s="3">
        <v>24</v>
      </c>
      <c r="C312" s="3">
        <v>20</v>
      </c>
      <c r="D312" s="3" t="s">
        <v>4</v>
      </c>
      <c r="E312" s="3" t="s">
        <v>430</v>
      </c>
      <c r="F312" s="3" t="s">
        <v>4</v>
      </c>
    </row>
    <row r="313" spans="1:6" x14ac:dyDescent="0.25">
      <c r="A313" s="2">
        <v>20045</v>
      </c>
      <c r="B313" s="3">
        <v>25</v>
      </c>
      <c r="C313" s="3">
        <v>20</v>
      </c>
      <c r="D313" s="3">
        <v>14049504</v>
      </c>
      <c r="E313" s="3" t="s">
        <v>431</v>
      </c>
      <c r="F313" s="3">
        <v>14049504</v>
      </c>
    </row>
    <row r="314" spans="1:6" x14ac:dyDescent="0.25">
      <c r="A314" s="2">
        <v>20046</v>
      </c>
      <c r="B314" s="3">
        <v>26</v>
      </c>
      <c r="C314" s="3">
        <v>20</v>
      </c>
      <c r="D314" s="3">
        <v>8.8361279999999998E+22</v>
      </c>
      <c r="E314" s="3" t="s">
        <v>432</v>
      </c>
      <c r="F314" s="3">
        <v>8.8361279999999998E+22</v>
      </c>
    </row>
    <row r="315" spans="1:6" x14ac:dyDescent="0.25">
      <c r="A315" s="2">
        <v>20047</v>
      </c>
      <c r="B315" s="3">
        <v>27</v>
      </c>
      <c r="C315" s="3">
        <v>20</v>
      </c>
      <c r="D315" s="3">
        <v>391910.39999999898</v>
      </c>
      <c r="E315" s="3" t="s">
        <v>433</v>
      </c>
      <c r="F315" s="3">
        <v>391910.39999999898</v>
      </c>
    </row>
    <row r="316" spans="1:6" x14ac:dyDescent="0.25">
      <c r="A316" s="2">
        <v>20048</v>
      </c>
      <c r="B316" s="3">
        <v>28</v>
      </c>
      <c r="C316" s="3">
        <v>20</v>
      </c>
      <c r="D316" s="3">
        <v>1.8303407999999899E+30</v>
      </c>
      <c r="E316" s="3" t="s">
        <v>434</v>
      </c>
      <c r="F316" s="3">
        <v>1.8303407999999899E+30</v>
      </c>
    </row>
    <row r="317" spans="1:6" x14ac:dyDescent="0.25">
      <c r="A317" s="2">
        <v>20049</v>
      </c>
      <c r="B317" s="3">
        <v>29</v>
      </c>
      <c r="C317" s="3">
        <v>20</v>
      </c>
      <c r="D317" s="3">
        <v>523.08000000000004</v>
      </c>
      <c r="E317" s="3" t="s">
        <v>435</v>
      </c>
      <c r="F317" s="3">
        <v>523.08000000000004</v>
      </c>
    </row>
    <row r="318" spans="1:6" x14ac:dyDescent="0.25">
      <c r="A318" s="2">
        <v>20050</v>
      </c>
      <c r="B318" s="3">
        <v>30</v>
      </c>
      <c r="C318" s="3">
        <v>20</v>
      </c>
      <c r="D318" s="3">
        <v>13.9</v>
      </c>
      <c r="E318" s="3" t="s">
        <v>436</v>
      </c>
      <c r="F318" s="3">
        <v>13.9</v>
      </c>
    </row>
    <row r="319" spans="1:6" x14ac:dyDescent="0.25">
      <c r="A319" s="2">
        <v>20051</v>
      </c>
      <c r="B319" s="3">
        <v>31</v>
      </c>
      <c r="C319" s="3">
        <v>20</v>
      </c>
      <c r="D319" s="3">
        <v>10</v>
      </c>
      <c r="E319" s="3" t="s">
        <v>437</v>
      </c>
      <c r="F319" s="3">
        <v>10</v>
      </c>
    </row>
    <row r="320" spans="1:6" x14ac:dyDescent="0.25">
      <c r="A320" s="2">
        <v>20052</v>
      </c>
      <c r="B320" s="3">
        <v>32</v>
      </c>
      <c r="C320" s="3">
        <v>20</v>
      </c>
      <c r="D320" s="3">
        <v>4.5999999999999996</v>
      </c>
      <c r="E320" s="3" t="s">
        <v>438</v>
      </c>
      <c r="F320" s="3">
        <v>4.5999999999999996</v>
      </c>
    </row>
    <row r="321" spans="1:6" x14ac:dyDescent="0.25">
      <c r="A321" s="2">
        <v>20053</v>
      </c>
      <c r="B321" s="3">
        <v>33</v>
      </c>
      <c r="C321" s="3">
        <v>20</v>
      </c>
      <c r="D321" s="3">
        <v>0.46100000000000002</v>
      </c>
      <c r="E321" s="3" t="s">
        <v>439</v>
      </c>
      <c r="F321" s="3">
        <v>0.46100000000000002</v>
      </c>
    </row>
    <row r="322" spans="1:6" x14ac:dyDescent="0.25">
      <c r="A322" s="2">
        <v>20054</v>
      </c>
      <c r="B322" s="3">
        <v>34</v>
      </c>
      <c r="C322" s="3">
        <v>20</v>
      </c>
      <c r="D322" s="3">
        <v>0.107</v>
      </c>
      <c r="E322" s="3" t="s">
        <v>440</v>
      </c>
      <c r="F322" s="3">
        <v>0.107</v>
      </c>
    </row>
    <row r="323" spans="1:6" x14ac:dyDescent="0.25">
      <c r="A323" s="2">
        <v>20055</v>
      </c>
      <c r="B323" s="3">
        <v>35</v>
      </c>
      <c r="C323" s="3">
        <v>20</v>
      </c>
      <c r="D323" s="3">
        <v>2.1999999999999999E-2</v>
      </c>
      <c r="E323" s="3" t="s">
        <v>441</v>
      </c>
      <c r="F323" s="3">
        <v>2.1999999999999999E-2</v>
      </c>
    </row>
    <row r="324" spans="1:6" x14ac:dyDescent="0.25">
      <c r="A324" s="2">
        <v>20056</v>
      </c>
      <c r="B324" s="3">
        <v>36</v>
      </c>
      <c r="C324" s="3">
        <v>20</v>
      </c>
      <c r="D324" s="3">
        <v>1.0999999999999999E-2</v>
      </c>
      <c r="E324" s="3" t="s">
        <v>442</v>
      </c>
      <c r="F324" s="3">
        <v>1.0999999999999999E-2</v>
      </c>
    </row>
    <row r="325" spans="1:6" x14ac:dyDescent="0.25">
      <c r="A325" s="2">
        <v>20057</v>
      </c>
      <c r="B325" s="3">
        <v>37</v>
      </c>
      <c r="C325" s="3">
        <v>20</v>
      </c>
      <c r="D325" s="3">
        <v>6.1999999999999999E-7</v>
      </c>
      <c r="E325" s="3" t="s">
        <v>443</v>
      </c>
      <c r="F325" s="3">
        <v>6.1999999999999999E-7</v>
      </c>
    </row>
    <row r="326" spans="1:6" x14ac:dyDescent="0.25">
      <c r="A326" s="2">
        <v>20058</v>
      </c>
      <c r="B326" s="3">
        <v>38</v>
      </c>
      <c r="C326" s="3">
        <v>20</v>
      </c>
      <c r="D326" s="3">
        <v>6.1999999999999999E-7</v>
      </c>
      <c r="E326" s="3" t="s">
        <v>444</v>
      </c>
      <c r="F326" s="3">
        <v>6.1999999999999999E-7</v>
      </c>
    </row>
    <row r="327" spans="1:6" x14ac:dyDescent="0.25">
      <c r="A327" s="2">
        <v>21040</v>
      </c>
      <c r="B327" s="3">
        <v>19</v>
      </c>
      <c r="C327" s="3">
        <v>21</v>
      </c>
      <c r="D327" s="3">
        <v>0.18229999999999999</v>
      </c>
      <c r="E327" s="3" t="s">
        <v>445</v>
      </c>
      <c r="F327" s="3">
        <v>0.18229999999999999</v>
      </c>
    </row>
    <row r="328" spans="1:6" x14ac:dyDescent="0.25">
      <c r="A328" s="2">
        <v>21041</v>
      </c>
      <c r="B328" s="3">
        <v>20</v>
      </c>
      <c r="C328" s="3">
        <v>21</v>
      </c>
      <c r="D328" s="3">
        <v>0.59629999999999905</v>
      </c>
      <c r="E328" s="3" t="s">
        <v>446</v>
      </c>
      <c r="F328" s="3">
        <v>0.59629999999999905</v>
      </c>
    </row>
    <row r="329" spans="1:6" x14ac:dyDescent="0.25">
      <c r="A329" s="2">
        <v>21042</v>
      </c>
      <c r="B329" s="3">
        <v>21</v>
      </c>
      <c r="C329" s="3">
        <v>21</v>
      </c>
      <c r="D329" s="3">
        <v>0.68069999999999997</v>
      </c>
      <c r="E329" s="3" t="s">
        <v>447</v>
      </c>
      <c r="F329" s="3">
        <v>0.68069999999999997</v>
      </c>
    </row>
    <row r="330" spans="1:6" x14ac:dyDescent="0.25">
      <c r="A330" s="2">
        <v>21043</v>
      </c>
      <c r="B330" s="3">
        <v>22</v>
      </c>
      <c r="C330" s="3">
        <v>21</v>
      </c>
      <c r="D330" s="3">
        <v>14007.6</v>
      </c>
      <c r="E330" s="3" t="s">
        <v>448</v>
      </c>
      <c r="F330" s="3">
        <v>14007.6</v>
      </c>
    </row>
    <row r="331" spans="1:6" x14ac:dyDescent="0.25">
      <c r="A331" s="2">
        <v>21044</v>
      </c>
      <c r="B331" s="3">
        <v>23</v>
      </c>
      <c r="C331" s="3">
        <v>21</v>
      </c>
      <c r="D331" s="3">
        <v>14292</v>
      </c>
      <c r="E331" s="3" t="s">
        <v>449</v>
      </c>
      <c r="F331" s="3">
        <v>14292</v>
      </c>
    </row>
    <row r="332" spans="1:6" x14ac:dyDescent="0.25">
      <c r="A332" s="2">
        <v>21045</v>
      </c>
      <c r="B332" s="3">
        <v>24</v>
      </c>
      <c r="C332" s="3">
        <v>21</v>
      </c>
      <c r="D332" s="3" t="s">
        <v>4</v>
      </c>
      <c r="E332" s="3" t="s">
        <v>450</v>
      </c>
      <c r="F332" s="3" t="s">
        <v>4</v>
      </c>
    </row>
    <row r="333" spans="1:6" x14ac:dyDescent="0.25">
      <c r="A333" s="2">
        <v>21046</v>
      </c>
      <c r="B333" s="3">
        <v>25</v>
      </c>
      <c r="C333" s="3">
        <v>21</v>
      </c>
      <c r="D333" s="3">
        <v>7239456</v>
      </c>
      <c r="E333" s="3" t="s">
        <v>451</v>
      </c>
      <c r="F333" s="3">
        <v>7239456</v>
      </c>
    </row>
    <row r="334" spans="1:6" x14ac:dyDescent="0.25">
      <c r="A334" s="2">
        <v>21047</v>
      </c>
      <c r="B334" s="3">
        <v>26</v>
      </c>
      <c r="C334" s="3">
        <v>21</v>
      </c>
      <c r="D334" s="3">
        <v>289370.88</v>
      </c>
      <c r="E334" s="3" t="s">
        <v>452</v>
      </c>
      <c r="F334" s="3">
        <v>289370.88</v>
      </c>
    </row>
    <row r="335" spans="1:6" x14ac:dyDescent="0.25">
      <c r="A335" s="2">
        <v>21048</v>
      </c>
      <c r="B335" s="3">
        <v>27</v>
      </c>
      <c r="C335" s="3">
        <v>21</v>
      </c>
      <c r="D335" s="3">
        <v>157212</v>
      </c>
      <c r="E335" s="3" t="s">
        <v>453</v>
      </c>
      <c r="F335" s="3">
        <v>157212</v>
      </c>
    </row>
    <row r="336" spans="1:6" x14ac:dyDescent="0.25">
      <c r="A336" s="2">
        <v>21049</v>
      </c>
      <c r="B336" s="3">
        <v>28</v>
      </c>
      <c r="C336" s="3">
        <v>21</v>
      </c>
      <c r="D336" s="3">
        <v>3430.8</v>
      </c>
      <c r="E336" s="3" t="s">
        <v>454</v>
      </c>
      <c r="F336" s="3">
        <v>3430.8</v>
      </c>
    </row>
    <row r="337" spans="1:6" x14ac:dyDescent="0.25">
      <c r="A337" s="2">
        <v>21050</v>
      </c>
      <c r="B337" s="3">
        <v>29</v>
      </c>
      <c r="C337" s="3">
        <v>21</v>
      </c>
      <c r="D337" s="3">
        <v>102.5</v>
      </c>
      <c r="E337" s="3" t="s">
        <v>455</v>
      </c>
      <c r="F337" s="3">
        <v>102.5</v>
      </c>
    </row>
    <row r="338" spans="1:6" x14ac:dyDescent="0.25">
      <c r="A338" s="2">
        <v>21051</v>
      </c>
      <c r="B338" s="3">
        <v>30</v>
      </c>
      <c r="C338" s="3">
        <v>21</v>
      </c>
      <c r="D338" s="3">
        <v>12.4</v>
      </c>
      <c r="E338" s="3" t="s">
        <v>456</v>
      </c>
      <c r="F338" s="3">
        <v>12.4</v>
      </c>
    </row>
    <row r="339" spans="1:6" x14ac:dyDescent="0.25">
      <c r="A339" s="2">
        <v>21052</v>
      </c>
      <c r="B339" s="3">
        <v>31</v>
      </c>
      <c r="C339" s="3">
        <v>21</v>
      </c>
      <c r="D339" s="3">
        <v>0.2</v>
      </c>
      <c r="E339" s="3" t="s">
        <v>457</v>
      </c>
      <c r="F339" s="3">
        <v>0.2</v>
      </c>
    </row>
    <row r="340" spans="1:6" x14ac:dyDescent="0.25">
      <c r="A340" s="2">
        <v>21053</v>
      </c>
      <c r="B340" s="3">
        <v>32</v>
      </c>
      <c r="C340" s="3">
        <v>21</v>
      </c>
      <c r="D340" s="3">
        <v>2.4</v>
      </c>
      <c r="E340" s="3" t="s">
        <v>458</v>
      </c>
      <c r="F340" s="3">
        <v>2.4</v>
      </c>
    </row>
    <row r="341" spans="1:6" x14ac:dyDescent="0.25">
      <c r="A341" s="2">
        <v>21054</v>
      </c>
      <c r="B341" s="3">
        <v>33</v>
      </c>
      <c r="C341" s="3">
        <v>21</v>
      </c>
      <c r="D341" s="3">
        <v>0.52600000000000002</v>
      </c>
      <c r="E341" s="3" t="s">
        <v>459</v>
      </c>
      <c r="F341" s="3">
        <v>0.52600000000000002</v>
      </c>
    </row>
    <row r="342" spans="1:6" x14ac:dyDescent="0.25">
      <c r="A342" s="2">
        <v>21055</v>
      </c>
      <c r="B342" s="3">
        <v>34</v>
      </c>
      <c r="C342" s="3">
        <v>21</v>
      </c>
      <c r="D342" s="3">
        <v>9.6000000000000002E-2</v>
      </c>
      <c r="E342" s="3" t="s">
        <v>460</v>
      </c>
      <c r="F342" s="3">
        <v>9.6000000000000002E-2</v>
      </c>
    </row>
    <row r="343" spans="1:6" x14ac:dyDescent="0.25">
      <c r="A343" s="2">
        <v>21056</v>
      </c>
      <c r="B343" s="3">
        <v>35</v>
      </c>
      <c r="C343" s="3">
        <v>21</v>
      </c>
      <c r="D343" s="3">
        <v>3.1E-2</v>
      </c>
      <c r="E343" s="3" t="s">
        <v>461</v>
      </c>
      <c r="F343" s="3">
        <v>3.1E-2</v>
      </c>
    </row>
    <row r="344" spans="1:6" x14ac:dyDescent="0.25">
      <c r="A344" s="2">
        <v>21057</v>
      </c>
      <c r="B344" s="3">
        <v>36</v>
      </c>
      <c r="C344" s="3">
        <v>21</v>
      </c>
      <c r="D344" s="3">
        <v>2E-3</v>
      </c>
      <c r="E344" s="3" t="s">
        <v>462</v>
      </c>
      <c r="F344" s="3">
        <v>2E-3</v>
      </c>
    </row>
    <row r="345" spans="1:6" x14ac:dyDescent="0.25">
      <c r="A345" s="2">
        <v>21058</v>
      </c>
      <c r="B345" s="3">
        <v>37</v>
      </c>
      <c r="C345" s="3">
        <v>21</v>
      </c>
      <c r="D345" s="3">
        <v>1.2E-2</v>
      </c>
      <c r="E345" s="3" t="s">
        <v>463</v>
      </c>
      <c r="F345" s="3">
        <v>1.2E-2</v>
      </c>
    </row>
    <row r="346" spans="1:6" x14ac:dyDescent="0.25">
      <c r="A346" s="2">
        <v>21059</v>
      </c>
      <c r="B346" s="3">
        <v>38</v>
      </c>
      <c r="C346" s="3">
        <v>21</v>
      </c>
      <c r="D346" s="3">
        <v>3.5999999999999999E-7</v>
      </c>
      <c r="E346" s="3" t="s">
        <v>464</v>
      </c>
      <c r="F346" s="3">
        <v>3.5999999999999999E-7</v>
      </c>
    </row>
    <row r="347" spans="1:6" x14ac:dyDescent="0.25">
      <c r="A347" s="2">
        <v>21060</v>
      </c>
      <c r="B347" s="3">
        <v>39</v>
      </c>
      <c r="C347" s="3">
        <v>21</v>
      </c>
      <c r="D347" s="3">
        <v>3.5999999999999999E-7</v>
      </c>
      <c r="E347" s="3" t="s">
        <v>465</v>
      </c>
      <c r="F347" s="3">
        <v>3.5999999999999999E-7</v>
      </c>
    </row>
    <row r="348" spans="1:6" x14ac:dyDescent="0.25">
      <c r="A348" s="2">
        <v>21061</v>
      </c>
      <c r="B348" s="3">
        <v>40</v>
      </c>
      <c r="C348" s="3">
        <v>21</v>
      </c>
      <c r="D348" s="3">
        <v>3.5999999999999999E-7</v>
      </c>
      <c r="E348" s="3" t="s">
        <v>466</v>
      </c>
      <c r="F348" s="3">
        <v>3.5999999999999999E-7</v>
      </c>
    </row>
    <row r="349" spans="1:6" x14ac:dyDescent="0.25">
      <c r="A349" s="2">
        <v>22039</v>
      </c>
      <c r="B349" s="3">
        <v>17</v>
      </c>
      <c r="C349" s="3">
        <v>22</v>
      </c>
      <c r="D349" s="3">
        <v>3.1E-2</v>
      </c>
      <c r="E349" s="3" t="s">
        <v>467</v>
      </c>
      <c r="F349" s="3">
        <v>3.1E-2</v>
      </c>
    </row>
    <row r="350" spans="1:6" x14ac:dyDescent="0.25">
      <c r="A350" s="2">
        <v>22040</v>
      </c>
      <c r="B350" s="3">
        <v>18</v>
      </c>
      <c r="C350" s="3">
        <v>22</v>
      </c>
      <c r="D350" s="3">
        <v>5.2400000000000002E-2</v>
      </c>
      <c r="E350" s="3" t="s">
        <v>468</v>
      </c>
      <c r="F350" s="3">
        <v>5.2400000000000002E-2</v>
      </c>
    </row>
    <row r="351" spans="1:6" x14ac:dyDescent="0.25">
      <c r="A351" s="2">
        <v>22041</v>
      </c>
      <c r="B351" s="3">
        <v>19</v>
      </c>
      <c r="C351" s="3">
        <v>22</v>
      </c>
      <c r="D351" s="3">
        <v>8.1900000000000001E-2</v>
      </c>
      <c r="E351" s="3" t="s">
        <v>469</v>
      </c>
      <c r="F351" s="3">
        <v>8.1900000000000001E-2</v>
      </c>
    </row>
    <row r="352" spans="1:6" x14ac:dyDescent="0.25">
      <c r="A352" s="2">
        <v>22042</v>
      </c>
      <c r="B352" s="3">
        <v>20</v>
      </c>
      <c r="C352" s="3">
        <v>22</v>
      </c>
      <c r="D352" s="3">
        <v>0.20865</v>
      </c>
      <c r="E352" s="3" t="s">
        <v>470</v>
      </c>
      <c r="F352" s="3">
        <v>0.20865</v>
      </c>
    </row>
    <row r="353" spans="1:6" x14ac:dyDescent="0.25">
      <c r="A353" s="2">
        <v>22043</v>
      </c>
      <c r="B353" s="3">
        <v>21</v>
      </c>
      <c r="C353" s="3">
        <v>22</v>
      </c>
      <c r="D353" s="3">
        <v>0.50900000000000001</v>
      </c>
      <c r="E353" s="3" t="s">
        <v>471</v>
      </c>
      <c r="F353" s="3">
        <v>0.50900000000000001</v>
      </c>
    </row>
    <row r="354" spans="1:6" x14ac:dyDescent="0.25">
      <c r="A354" s="2">
        <v>22044</v>
      </c>
      <c r="B354" s="3">
        <v>22</v>
      </c>
      <c r="C354" s="3">
        <v>22</v>
      </c>
      <c r="D354" s="3">
        <v>1893456000</v>
      </c>
      <c r="E354" s="3" t="s">
        <v>472</v>
      </c>
      <c r="F354" s="3">
        <v>1893456000</v>
      </c>
    </row>
    <row r="355" spans="1:6" x14ac:dyDescent="0.25">
      <c r="A355" s="2">
        <v>22045</v>
      </c>
      <c r="B355" s="3">
        <v>23</v>
      </c>
      <c r="C355" s="3">
        <v>22</v>
      </c>
      <c r="D355" s="3">
        <v>11088</v>
      </c>
      <c r="E355" s="3" t="s">
        <v>473</v>
      </c>
      <c r="F355" s="3">
        <v>11088</v>
      </c>
    </row>
    <row r="356" spans="1:6" x14ac:dyDescent="0.25">
      <c r="A356" s="2">
        <v>22046</v>
      </c>
      <c r="B356" s="3">
        <v>24</v>
      </c>
      <c r="C356" s="3">
        <v>22</v>
      </c>
      <c r="D356" s="3" t="s">
        <v>4</v>
      </c>
      <c r="E356" s="3" t="s">
        <v>474</v>
      </c>
      <c r="F356" s="3" t="s">
        <v>4</v>
      </c>
    </row>
    <row r="357" spans="1:6" x14ac:dyDescent="0.25">
      <c r="A357" s="2">
        <v>22047</v>
      </c>
      <c r="B357" s="3">
        <v>25</v>
      </c>
      <c r="C357" s="3">
        <v>22</v>
      </c>
      <c r="D357" s="3" t="s">
        <v>4</v>
      </c>
      <c r="E357" s="3" t="s">
        <v>475</v>
      </c>
      <c r="F357" s="3" t="s">
        <v>4</v>
      </c>
    </row>
    <row r="358" spans="1:6" x14ac:dyDescent="0.25">
      <c r="A358" s="2">
        <v>22048</v>
      </c>
      <c r="B358" s="3">
        <v>26</v>
      </c>
      <c r="C358" s="3">
        <v>22</v>
      </c>
      <c r="D358" s="3" t="s">
        <v>4</v>
      </c>
      <c r="E358" s="3" t="s">
        <v>476</v>
      </c>
      <c r="F358" s="3" t="s">
        <v>4</v>
      </c>
    </row>
    <row r="359" spans="1:6" x14ac:dyDescent="0.25">
      <c r="A359" s="2">
        <v>22049</v>
      </c>
      <c r="B359" s="3">
        <v>27</v>
      </c>
      <c r="C359" s="3">
        <v>22</v>
      </c>
      <c r="D359" s="3" t="s">
        <v>4</v>
      </c>
      <c r="E359" s="3" t="s">
        <v>477</v>
      </c>
      <c r="F359" s="3" t="s">
        <v>4</v>
      </c>
    </row>
    <row r="360" spans="1:6" x14ac:dyDescent="0.25">
      <c r="A360" s="2">
        <v>22050</v>
      </c>
      <c r="B360" s="3">
        <v>28</v>
      </c>
      <c r="C360" s="3">
        <v>22</v>
      </c>
      <c r="D360" s="3" t="s">
        <v>4</v>
      </c>
      <c r="E360" s="3" t="s">
        <v>478</v>
      </c>
      <c r="F360" s="3" t="s">
        <v>4</v>
      </c>
    </row>
    <row r="361" spans="1:6" x14ac:dyDescent="0.25">
      <c r="A361" s="2">
        <v>22051</v>
      </c>
      <c r="B361" s="3">
        <v>29</v>
      </c>
      <c r="C361" s="3">
        <v>22</v>
      </c>
      <c r="D361" s="3">
        <v>345.599999999999</v>
      </c>
      <c r="E361" s="3" t="s">
        <v>479</v>
      </c>
      <c r="F361" s="3">
        <v>345.599999999999</v>
      </c>
    </row>
    <row r="362" spans="1:6" x14ac:dyDescent="0.25">
      <c r="A362" s="2">
        <v>22052</v>
      </c>
      <c r="B362" s="3">
        <v>30</v>
      </c>
      <c r="C362" s="3">
        <v>22</v>
      </c>
      <c r="D362" s="3">
        <v>102</v>
      </c>
      <c r="E362" s="3" t="s">
        <v>480</v>
      </c>
      <c r="F362" s="3">
        <v>102</v>
      </c>
    </row>
    <row r="363" spans="1:6" x14ac:dyDescent="0.25">
      <c r="A363" s="2">
        <v>22053</v>
      </c>
      <c r="B363" s="3">
        <v>31</v>
      </c>
      <c r="C363" s="3">
        <v>22</v>
      </c>
      <c r="D363" s="3">
        <v>32.700000000000003</v>
      </c>
      <c r="E363" s="3" t="s">
        <v>481</v>
      </c>
      <c r="F363" s="3">
        <v>32.700000000000003</v>
      </c>
    </row>
    <row r="364" spans="1:6" x14ac:dyDescent="0.25">
      <c r="A364" s="2">
        <v>22054</v>
      </c>
      <c r="B364" s="3">
        <v>32</v>
      </c>
      <c r="C364" s="3">
        <v>22</v>
      </c>
      <c r="D364" s="3">
        <v>2.1</v>
      </c>
      <c r="E364" s="3" t="s">
        <v>482</v>
      </c>
      <c r="F364" s="3">
        <v>2.1</v>
      </c>
    </row>
    <row r="365" spans="1:6" x14ac:dyDescent="0.25">
      <c r="A365" s="2">
        <v>22055</v>
      </c>
      <c r="B365" s="3">
        <v>33</v>
      </c>
      <c r="C365" s="3">
        <v>22</v>
      </c>
      <c r="D365" s="3">
        <v>1.3</v>
      </c>
      <c r="E365" s="3" t="s">
        <v>483</v>
      </c>
      <c r="F365" s="3">
        <v>1.3</v>
      </c>
    </row>
    <row r="366" spans="1:6" x14ac:dyDescent="0.25">
      <c r="A366" s="2">
        <v>22056</v>
      </c>
      <c r="B366" s="3">
        <v>34</v>
      </c>
      <c r="C366" s="3">
        <v>22</v>
      </c>
      <c r="D366" s="3">
        <v>0.2</v>
      </c>
      <c r="E366" s="3" t="s">
        <v>484</v>
      </c>
      <c r="F366" s="3">
        <v>0.2</v>
      </c>
    </row>
    <row r="367" spans="1:6" x14ac:dyDescent="0.25">
      <c r="A367" s="2">
        <v>22057</v>
      </c>
      <c r="B367" s="3">
        <v>35</v>
      </c>
      <c r="C367" s="3">
        <v>22</v>
      </c>
      <c r="D367" s="3">
        <v>9.8000000000000004E-2</v>
      </c>
      <c r="E367" s="3" t="s">
        <v>485</v>
      </c>
      <c r="F367" s="3">
        <v>9.8000000000000004E-2</v>
      </c>
    </row>
    <row r="368" spans="1:6" x14ac:dyDescent="0.25">
      <c r="A368" s="2">
        <v>22058</v>
      </c>
      <c r="B368" s="3">
        <v>36</v>
      </c>
      <c r="C368" s="3">
        <v>22</v>
      </c>
      <c r="D368" s="3">
        <v>5.8000000000000003E-2</v>
      </c>
      <c r="E368" s="3" t="s">
        <v>486</v>
      </c>
      <c r="F368" s="3">
        <v>5.8000000000000003E-2</v>
      </c>
    </row>
    <row r="369" spans="1:6" x14ac:dyDescent="0.25">
      <c r="A369" s="2">
        <v>22059</v>
      </c>
      <c r="B369" s="3">
        <v>37</v>
      </c>
      <c r="C369" s="3">
        <v>22</v>
      </c>
      <c r="D369" s="3">
        <v>2.8500000000000001E-2</v>
      </c>
      <c r="E369" s="3" t="s">
        <v>487</v>
      </c>
      <c r="F369" s="3">
        <v>2.8500000000000001E-2</v>
      </c>
    </row>
    <row r="370" spans="1:6" x14ac:dyDescent="0.25">
      <c r="A370" s="2">
        <v>22060</v>
      </c>
      <c r="B370" s="3">
        <v>38</v>
      </c>
      <c r="C370" s="3">
        <v>22</v>
      </c>
      <c r="D370" s="3">
        <v>2.2200000000000001E-2</v>
      </c>
      <c r="E370" s="3" t="s">
        <v>488</v>
      </c>
      <c r="F370" s="3">
        <v>2.2200000000000001E-2</v>
      </c>
    </row>
    <row r="371" spans="1:6" x14ac:dyDescent="0.25">
      <c r="A371" s="2">
        <v>22061</v>
      </c>
      <c r="B371" s="3">
        <v>39</v>
      </c>
      <c r="C371" s="3">
        <v>22</v>
      </c>
      <c r="D371" s="3">
        <v>1.4999999999999999E-2</v>
      </c>
      <c r="E371" s="3" t="s">
        <v>489</v>
      </c>
      <c r="F371" s="3">
        <v>1.4999999999999999E-2</v>
      </c>
    </row>
    <row r="372" spans="1:6" x14ac:dyDescent="0.25">
      <c r="A372" s="2">
        <v>22062</v>
      </c>
      <c r="B372" s="3">
        <v>40</v>
      </c>
      <c r="C372" s="3">
        <v>22</v>
      </c>
      <c r="D372" s="3">
        <v>6.1999999999999999E-7</v>
      </c>
      <c r="E372" s="3" t="s">
        <v>490</v>
      </c>
      <c r="F372" s="3">
        <v>6.1999999999999999E-7</v>
      </c>
    </row>
    <row r="373" spans="1:6" x14ac:dyDescent="0.25">
      <c r="A373" s="2">
        <v>22063</v>
      </c>
      <c r="B373" s="3">
        <v>41</v>
      </c>
      <c r="C373" s="3">
        <v>22</v>
      </c>
      <c r="D373" s="3">
        <v>3.5999999999999999E-7</v>
      </c>
      <c r="E373" s="3" t="s">
        <v>491</v>
      </c>
      <c r="F373" s="3">
        <v>3.5999999999999999E-7</v>
      </c>
    </row>
    <row r="374" spans="1:6" x14ac:dyDescent="0.25">
      <c r="A374" s="2">
        <v>23043</v>
      </c>
      <c r="B374" s="3">
        <v>20</v>
      </c>
      <c r="C374" s="3">
        <v>23</v>
      </c>
      <c r="D374" s="3">
        <v>7.9299999999999995E-2</v>
      </c>
      <c r="E374" s="3" t="s">
        <v>492</v>
      </c>
      <c r="F374" s="3">
        <v>7.9299999999999995E-2</v>
      </c>
    </row>
    <row r="375" spans="1:6" x14ac:dyDescent="0.25">
      <c r="A375" s="2">
        <v>23044</v>
      </c>
      <c r="B375" s="3">
        <v>21</v>
      </c>
      <c r="C375" s="3">
        <v>23</v>
      </c>
      <c r="D375" s="3">
        <v>0.111</v>
      </c>
      <c r="E375" s="3" t="s">
        <v>493</v>
      </c>
      <c r="F375" s="3">
        <v>0.111</v>
      </c>
    </row>
    <row r="376" spans="1:6" x14ac:dyDescent="0.25">
      <c r="A376" s="2">
        <v>23045</v>
      </c>
      <c r="B376" s="3">
        <v>22</v>
      </c>
      <c r="C376" s="3">
        <v>23</v>
      </c>
      <c r="D376" s="3">
        <v>0.54700000000000004</v>
      </c>
      <c r="E376" s="3" t="s">
        <v>494</v>
      </c>
      <c r="F376" s="3">
        <v>0.54700000000000004</v>
      </c>
    </row>
    <row r="377" spans="1:6" x14ac:dyDescent="0.25">
      <c r="A377" s="2">
        <v>23046</v>
      </c>
      <c r="B377" s="3">
        <v>23</v>
      </c>
      <c r="C377" s="3">
        <v>23</v>
      </c>
      <c r="D377" s="3">
        <v>0.42249999999999999</v>
      </c>
      <c r="E377" s="3" t="s">
        <v>495</v>
      </c>
      <c r="F377" s="3">
        <v>0.42249999999999999</v>
      </c>
    </row>
    <row r="378" spans="1:6" x14ac:dyDescent="0.25">
      <c r="A378" s="2">
        <v>23047</v>
      </c>
      <c r="B378" s="3">
        <v>24</v>
      </c>
      <c r="C378" s="3">
        <v>23</v>
      </c>
      <c r="D378" s="3">
        <v>1956</v>
      </c>
      <c r="E378" s="3" t="s">
        <v>496</v>
      </c>
      <c r="F378" s="3">
        <v>1956</v>
      </c>
    </row>
    <row r="379" spans="1:6" x14ac:dyDescent="0.25">
      <c r="A379" s="2">
        <v>23048</v>
      </c>
      <c r="B379" s="3">
        <v>25</v>
      </c>
      <c r="C379" s="3">
        <v>23</v>
      </c>
      <c r="D379" s="3">
        <v>1380110.4</v>
      </c>
      <c r="E379" s="3" t="s">
        <v>497</v>
      </c>
      <c r="F379" s="3">
        <v>1380110.4</v>
      </c>
    </row>
    <row r="380" spans="1:6" x14ac:dyDescent="0.25">
      <c r="A380" s="2">
        <v>23049</v>
      </c>
      <c r="B380" s="3">
        <v>26</v>
      </c>
      <c r="C380" s="3">
        <v>23</v>
      </c>
      <c r="D380" s="3">
        <v>28512000</v>
      </c>
      <c r="E380" s="3" t="s">
        <v>498</v>
      </c>
      <c r="F380" s="3">
        <v>28512000</v>
      </c>
    </row>
    <row r="381" spans="1:6" x14ac:dyDescent="0.25">
      <c r="A381" s="2">
        <v>23050</v>
      </c>
      <c r="B381" s="3">
        <v>27</v>
      </c>
      <c r="C381" s="3">
        <v>23</v>
      </c>
      <c r="D381" s="3">
        <v>6.6270959999999998E+24</v>
      </c>
      <c r="E381" s="3" t="s">
        <v>499</v>
      </c>
      <c r="F381" s="3">
        <v>6.6270959999999998E+24</v>
      </c>
    </row>
    <row r="382" spans="1:6" x14ac:dyDescent="0.25">
      <c r="A382" s="2">
        <v>23051</v>
      </c>
      <c r="B382" s="3">
        <v>28</v>
      </c>
      <c r="C382" s="3">
        <v>23</v>
      </c>
      <c r="D382" s="3" t="s">
        <v>4</v>
      </c>
      <c r="E382" s="3" t="s">
        <v>500</v>
      </c>
      <c r="F382" s="3" t="s">
        <v>4</v>
      </c>
    </row>
    <row r="383" spans="1:6" x14ac:dyDescent="0.25">
      <c r="A383" s="2">
        <v>23052</v>
      </c>
      <c r="B383" s="3">
        <v>29</v>
      </c>
      <c r="C383" s="3">
        <v>23</v>
      </c>
      <c r="D383" s="3">
        <v>224.57999999999899</v>
      </c>
      <c r="E383" s="3" t="s">
        <v>501</v>
      </c>
      <c r="F383" s="3">
        <v>224.57999999999899</v>
      </c>
    </row>
    <row r="384" spans="1:6" x14ac:dyDescent="0.25">
      <c r="A384" s="2">
        <v>23053</v>
      </c>
      <c r="B384" s="3">
        <v>30</v>
      </c>
      <c r="C384" s="3">
        <v>23</v>
      </c>
      <c r="D384" s="3">
        <v>92.58</v>
      </c>
      <c r="E384" s="3" t="s">
        <v>502</v>
      </c>
      <c r="F384" s="3">
        <v>92.58</v>
      </c>
    </row>
    <row r="385" spans="1:6" x14ac:dyDescent="0.25">
      <c r="A385" s="2">
        <v>23054</v>
      </c>
      <c r="B385" s="3">
        <v>31</v>
      </c>
      <c r="C385" s="3">
        <v>23</v>
      </c>
      <c r="D385" s="3">
        <v>49.8</v>
      </c>
      <c r="E385" s="3" t="s">
        <v>503</v>
      </c>
      <c r="F385" s="3">
        <v>49.8</v>
      </c>
    </row>
    <row r="386" spans="1:6" x14ac:dyDescent="0.25">
      <c r="A386" s="2">
        <v>23055</v>
      </c>
      <c r="B386" s="3">
        <v>32</v>
      </c>
      <c r="C386" s="3">
        <v>23</v>
      </c>
      <c r="D386" s="3">
        <v>6.54</v>
      </c>
      <c r="E386" s="3" t="s">
        <v>504</v>
      </c>
      <c r="F386" s="3">
        <v>6.54</v>
      </c>
    </row>
    <row r="387" spans="1:6" x14ac:dyDescent="0.25">
      <c r="A387" s="2">
        <v>23056</v>
      </c>
      <c r="B387" s="3">
        <v>33</v>
      </c>
      <c r="C387" s="3">
        <v>23</v>
      </c>
      <c r="D387" s="3">
        <v>0.216</v>
      </c>
      <c r="E387" s="3" t="s">
        <v>505</v>
      </c>
      <c r="F387" s="3">
        <v>0.216</v>
      </c>
    </row>
    <row r="388" spans="1:6" x14ac:dyDescent="0.25">
      <c r="A388" s="2">
        <v>23057</v>
      </c>
      <c r="B388" s="3">
        <v>34</v>
      </c>
      <c r="C388" s="3">
        <v>23</v>
      </c>
      <c r="D388" s="3">
        <v>0.34699999999999998</v>
      </c>
      <c r="E388" s="3" t="s">
        <v>506</v>
      </c>
      <c r="F388" s="3">
        <v>0.34699999999999998</v>
      </c>
    </row>
    <row r="389" spans="1:6" x14ac:dyDescent="0.25">
      <c r="A389" s="2">
        <v>23058</v>
      </c>
      <c r="B389" s="3">
        <v>35</v>
      </c>
      <c r="C389" s="3">
        <v>23</v>
      </c>
      <c r="D389" s="3">
        <v>0.19</v>
      </c>
      <c r="E389" s="3" t="s">
        <v>507</v>
      </c>
      <c r="F389" s="3">
        <v>0.19</v>
      </c>
    </row>
    <row r="390" spans="1:6" x14ac:dyDescent="0.25">
      <c r="A390" s="2">
        <v>23059</v>
      </c>
      <c r="B390" s="3">
        <v>36</v>
      </c>
      <c r="C390" s="3">
        <v>23</v>
      </c>
      <c r="D390" s="3">
        <v>9.1999999999999998E-2</v>
      </c>
      <c r="E390" s="3" t="s">
        <v>508</v>
      </c>
      <c r="F390" s="3">
        <v>9.1999999999999998E-2</v>
      </c>
    </row>
    <row r="391" spans="1:6" x14ac:dyDescent="0.25">
      <c r="A391" s="2">
        <v>23060</v>
      </c>
      <c r="B391" s="3">
        <v>37</v>
      </c>
      <c r="C391" s="3">
        <v>23</v>
      </c>
      <c r="D391" s="3">
        <v>0.04</v>
      </c>
      <c r="E391" s="3" t="s">
        <v>509</v>
      </c>
      <c r="F391" s="3">
        <v>0.04</v>
      </c>
    </row>
    <row r="392" spans="1:6" x14ac:dyDescent="0.25">
      <c r="A392" s="2">
        <v>23061</v>
      </c>
      <c r="B392" s="3">
        <v>38</v>
      </c>
      <c r="C392" s="3">
        <v>23</v>
      </c>
      <c r="D392" s="3">
        <v>4.8299999999999899E-2</v>
      </c>
      <c r="E392" s="3" t="s">
        <v>510</v>
      </c>
      <c r="F392" s="3">
        <v>4.8299999999999899E-2</v>
      </c>
    </row>
    <row r="393" spans="1:6" x14ac:dyDescent="0.25">
      <c r="A393" s="2">
        <v>23062</v>
      </c>
      <c r="B393" s="3">
        <v>39</v>
      </c>
      <c r="C393" s="3">
        <v>23</v>
      </c>
      <c r="D393" s="3">
        <v>3.3500000000000002E-2</v>
      </c>
      <c r="E393" s="3" t="s">
        <v>511</v>
      </c>
      <c r="F393" s="3">
        <v>3.3500000000000002E-2</v>
      </c>
    </row>
    <row r="394" spans="1:6" x14ac:dyDescent="0.25">
      <c r="A394" s="2">
        <v>23063</v>
      </c>
      <c r="B394" s="3">
        <v>40</v>
      </c>
      <c r="C394" s="3">
        <v>23</v>
      </c>
      <c r="D394" s="3">
        <v>1.9599999999999999E-2</v>
      </c>
      <c r="E394" s="3" t="s">
        <v>512</v>
      </c>
      <c r="F394" s="3">
        <v>1.9599999999999999E-2</v>
      </c>
    </row>
    <row r="395" spans="1:6" x14ac:dyDescent="0.25">
      <c r="A395" s="2">
        <v>23064</v>
      </c>
      <c r="B395" s="3">
        <v>41</v>
      </c>
      <c r="C395" s="3">
        <v>23</v>
      </c>
      <c r="D395" s="3">
        <v>1.4999999999999999E-2</v>
      </c>
      <c r="E395" s="3" t="s">
        <v>513</v>
      </c>
      <c r="F395" s="3">
        <v>1.4999999999999999E-2</v>
      </c>
    </row>
    <row r="396" spans="1:6" x14ac:dyDescent="0.25">
      <c r="A396" s="2">
        <v>23065</v>
      </c>
      <c r="B396" s="3">
        <v>42</v>
      </c>
      <c r="C396" s="3">
        <v>23</v>
      </c>
      <c r="D396" s="3">
        <v>3.5999999999999999E-7</v>
      </c>
      <c r="E396" s="3" t="s">
        <v>514</v>
      </c>
      <c r="F396" s="3">
        <v>3.5999999999999999E-7</v>
      </c>
    </row>
    <row r="397" spans="1:6" x14ac:dyDescent="0.25">
      <c r="A397" s="2">
        <v>23066</v>
      </c>
      <c r="B397" s="3">
        <v>43</v>
      </c>
      <c r="C397" s="3">
        <v>23</v>
      </c>
      <c r="D397" s="3">
        <v>3.5999999999999999E-7</v>
      </c>
      <c r="E397" s="3" t="s">
        <v>515</v>
      </c>
      <c r="F397" s="3">
        <v>3.5999999999999999E-7</v>
      </c>
    </row>
    <row r="398" spans="1:6" x14ac:dyDescent="0.25">
      <c r="A398" s="2">
        <v>24042</v>
      </c>
      <c r="B398" s="3">
        <v>18</v>
      </c>
      <c r="C398" s="3">
        <v>24</v>
      </c>
      <c r="D398" s="3">
        <v>1.3299999999999999E-2</v>
      </c>
      <c r="E398" s="3" t="s">
        <v>516</v>
      </c>
      <c r="F398" s="3">
        <v>1.3299999999999999E-2</v>
      </c>
    </row>
    <row r="399" spans="1:6" x14ac:dyDescent="0.25">
      <c r="A399" s="2">
        <v>24043</v>
      </c>
      <c r="B399" s="3">
        <v>19</v>
      </c>
      <c r="C399" s="3">
        <v>24</v>
      </c>
      <c r="D399" s="3">
        <v>2.12E-2</v>
      </c>
      <c r="E399" s="3" t="s">
        <v>517</v>
      </c>
      <c r="F399" s="3">
        <v>2.12E-2</v>
      </c>
    </row>
    <row r="400" spans="1:6" x14ac:dyDescent="0.25">
      <c r="A400" s="2">
        <v>24044</v>
      </c>
      <c r="B400" s="3">
        <v>20</v>
      </c>
      <c r="C400" s="3">
        <v>24</v>
      </c>
      <c r="D400" s="3">
        <v>4.2799999999999998E-2</v>
      </c>
      <c r="E400" s="3" t="s">
        <v>518</v>
      </c>
      <c r="F400" s="3">
        <v>4.2799999999999998E-2</v>
      </c>
    </row>
    <row r="401" spans="1:6" x14ac:dyDescent="0.25">
      <c r="A401" s="2">
        <v>24045</v>
      </c>
      <c r="B401" s="3">
        <v>21</v>
      </c>
      <c r="C401" s="3">
        <v>24</v>
      </c>
      <c r="D401" s="3">
        <v>6.0900000000000003E-2</v>
      </c>
      <c r="E401" s="3" t="s">
        <v>519</v>
      </c>
      <c r="F401" s="3">
        <v>6.0900000000000003E-2</v>
      </c>
    </row>
    <row r="402" spans="1:6" x14ac:dyDescent="0.25">
      <c r="A402" s="2">
        <v>24046</v>
      </c>
      <c r="B402" s="3">
        <v>22</v>
      </c>
      <c r="C402" s="3">
        <v>24</v>
      </c>
      <c r="D402" s="3">
        <v>0.26</v>
      </c>
      <c r="E402" s="3" t="s">
        <v>520</v>
      </c>
      <c r="F402" s="3">
        <v>0.26</v>
      </c>
    </row>
    <row r="403" spans="1:6" x14ac:dyDescent="0.25">
      <c r="A403" s="2">
        <v>24047</v>
      </c>
      <c r="B403" s="3">
        <v>23</v>
      </c>
      <c r="C403" s="3">
        <v>24</v>
      </c>
      <c r="D403" s="3">
        <v>0.5</v>
      </c>
      <c r="E403" s="3" t="s">
        <v>521</v>
      </c>
      <c r="F403" s="3">
        <v>0.5</v>
      </c>
    </row>
    <row r="404" spans="1:6" x14ac:dyDescent="0.25">
      <c r="A404" s="2">
        <v>24048</v>
      </c>
      <c r="B404" s="3">
        <v>24</v>
      </c>
      <c r="C404" s="3">
        <v>24</v>
      </c>
      <c r="D404" s="3">
        <v>77616</v>
      </c>
      <c r="E404" s="3" t="s">
        <v>522</v>
      </c>
      <c r="F404" s="3">
        <v>77616</v>
      </c>
    </row>
    <row r="405" spans="1:6" x14ac:dyDescent="0.25">
      <c r="A405" s="2">
        <v>24049</v>
      </c>
      <c r="B405" s="3">
        <v>25</v>
      </c>
      <c r="C405" s="3">
        <v>24</v>
      </c>
      <c r="D405" s="3">
        <v>2538</v>
      </c>
      <c r="E405" s="3" t="s">
        <v>523</v>
      </c>
      <c r="F405" s="3">
        <v>2538</v>
      </c>
    </row>
    <row r="406" spans="1:6" x14ac:dyDescent="0.25">
      <c r="A406" s="2">
        <v>24050</v>
      </c>
      <c r="B406" s="3">
        <v>26</v>
      </c>
      <c r="C406" s="3">
        <v>24</v>
      </c>
      <c r="D406" s="3">
        <v>4.1024880000000004E+25</v>
      </c>
      <c r="E406" s="3" t="s">
        <v>524</v>
      </c>
      <c r="F406" s="3">
        <v>4.1024880000000004E+25</v>
      </c>
    </row>
    <row r="407" spans="1:6" x14ac:dyDescent="0.25">
      <c r="A407" s="2">
        <v>24051</v>
      </c>
      <c r="B407" s="3">
        <v>27</v>
      </c>
      <c r="C407" s="3">
        <v>24</v>
      </c>
      <c r="D407" s="3">
        <v>2393496</v>
      </c>
      <c r="E407" s="3" t="s">
        <v>525</v>
      </c>
      <c r="F407" s="3">
        <v>2393496</v>
      </c>
    </row>
    <row r="408" spans="1:6" x14ac:dyDescent="0.25">
      <c r="A408" s="2">
        <v>24052</v>
      </c>
      <c r="B408" s="3">
        <v>28</v>
      </c>
      <c r="C408" s="3">
        <v>24</v>
      </c>
      <c r="D408" s="3" t="s">
        <v>4</v>
      </c>
      <c r="E408" s="3" t="s">
        <v>526</v>
      </c>
      <c r="F408" s="3" t="s">
        <v>4</v>
      </c>
    </row>
    <row r="409" spans="1:6" x14ac:dyDescent="0.25">
      <c r="A409" s="2">
        <v>24053</v>
      </c>
      <c r="B409" s="3">
        <v>29</v>
      </c>
      <c r="C409" s="3">
        <v>24</v>
      </c>
      <c r="D409" s="3" t="s">
        <v>4</v>
      </c>
      <c r="E409" s="3" t="s">
        <v>527</v>
      </c>
      <c r="F409" s="3" t="s">
        <v>4</v>
      </c>
    </row>
    <row r="410" spans="1:6" x14ac:dyDescent="0.25">
      <c r="A410" s="2">
        <v>24054</v>
      </c>
      <c r="B410" s="3">
        <v>30</v>
      </c>
      <c r="C410" s="3">
        <v>24</v>
      </c>
      <c r="D410" s="3" t="s">
        <v>4</v>
      </c>
      <c r="E410" s="3" t="s">
        <v>528</v>
      </c>
      <c r="F410" s="3" t="s">
        <v>4</v>
      </c>
    </row>
    <row r="411" spans="1:6" x14ac:dyDescent="0.25">
      <c r="A411" s="2">
        <v>24055</v>
      </c>
      <c r="B411" s="3">
        <v>31</v>
      </c>
      <c r="C411" s="3">
        <v>24</v>
      </c>
      <c r="D411" s="3">
        <v>209.82</v>
      </c>
      <c r="E411" s="3" t="s">
        <v>529</v>
      </c>
      <c r="F411" s="3">
        <v>209.82</v>
      </c>
    </row>
    <row r="412" spans="1:6" x14ac:dyDescent="0.25">
      <c r="A412" s="2">
        <v>24056</v>
      </c>
      <c r="B412" s="3">
        <v>32</v>
      </c>
      <c r="C412" s="3">
        <v>24</v>
      </c>
      <c r="D412" s="3">
        <v>356.4</v>
      </c>
      <c r="E412" s="3" t="s">
        <v>530</v>
      </c>
      <c r="F412" s="3">
        <v>356.4</v>
      </c>
    </row>
    <row r="413" spans="1:6" x14ac:dyDescent="0.25">
      <c r="A413" s="2">
        <v>24057</v>
      </c>
      <c r="B413" s="3">
        <v>33</v>
      </c>
      <c r="C413" s="3">
        <v>24</v>
      </c>
      <c r="D413" s="3">
        <v>21.1</v>
      </c>
      <c r="E413" s="3" t="s">
        <v>531</v>
      </c>
      <c r="F413" s="3">
        <v>21.1</v>
      </c>
    </row>
    <row r="414" spans="1:6" x14ac:dyDescent="0.25">
      <c r="A414" s="2">
        <v>24058</v>
      </c>
      <c r="B414" s="3">
        <v>34</v>
      </c>
      <c r="C414" s="3">
        <v>24</v>
      </c>
      <c r="D414" s="3">
        <v>7</v>
      </c>
      <c r="E414" s="3" t="s">
        <v>532</v>
      </c>
      <c r="F414" s="3">
        <v>7</v>
      </c>
    </row>
    <row r="415" spans="1:6" x14ac:dyDescent="0.25">
      <c r="A415" s="2">
        <v>24059</v>
      </c>
      <c r="B415" s="3">
        <v>35</v>
      </c>
      <c r="C415" s="3">
        <v>24</v>
      </c>
      <c r="D415" s="3">
        <v>1.05</v>
      </c>
      <c r="E415" s="3" t="s">
        <v>533</v>
      </c>
      <c r="F415" s="3">
        <v>1.05</v>
      </c>
    </row>
    <row r="416" spans="1:6" x14ac:dyDescent="0.25">
      <c r="A416" s="2">
        <v>24060</v>
      </c>
      <c r="B416" s="3">
        <v>36</v>
      </c>
      <c r="C416" s="3">
        <v>24</v>
      </c>
      <c r="D416" s="3">
        <v>0.49199999999999999</v>
      </c>
      <c r="E416" s="3" t="s">
        <v>534</v>
      </c>
      <c r="F416" s="3">
        <v>0.49199999999999999</v>
      </c>
    </row>
    <row r="417" spans="1:6" x14ac:dyDescent="0.25">
      <c r="A417" s="2">
        <v>24061</v>
      </c>
      <c r="B417" s="3">
        <v>37</v>
      </c>
      <c r="C417" s="3">
        <v>24</v>
      </c>
      <c r="D417" s="3">
        <v>0.23400000000000001</v>
      </c>
      <c r="E417" s="3" t="s">
        <v>535</v>
      </c>
      <c r="F417" s="3">
        <v>0.23400000000000001</v>
      </c>
    </row>
    <row r="418" spans="1:6" x14ac:dyDescent="0.25">
      <c r="A418" s="2">
        <v>24062</v>
      </c>
      <c r="B418" s="3">
        <v>38</v>
      </c>
      <c r="C418" s="3">
        <v>24</v>
      </c>
      <c r="D418" s="3">
        <v>0.2</v>
      </c>
      <c r="E418" s="3" t="s">
        <v>536</v>
      </c>
      <c r="F418" s="3">
        <v>0.2</v>
      </c>
    </row>
    <row r="419" spans="1:6" x14ac:dyDescent="0.25">
      <c r="A419" s="2">
        <v>24063</v>
      </c>
      <c r="B419" s="3">
        <v>39</v>
      </c>
      <c r="C419" s="3">
        <v>24</v>
      </c>
      <c r="D419" s="3">
        <v>0.129</v>
      </c>
      <c r="E419" s="3" t="s">
        <v>537</v>
      </c>
      <c r="F419" s="3">
        <v>0.129</v>
      </c>
    </row>
    <row r="420" spans="1:6" x14ac:dyDescent="0.25">
      <c r="A420" s="2">
        <v>24064</v>
      </c>
      <c r="B420" s="3">
        <v>40</v>
      </c>
      <c r="C420" s="3">
        <v>24</v>
      </c>
      <c r="D420" s="3">
        <v>4.2900000000000001E-2</v>
      </c>
      <c r="E420" s="3" t="s">
        <v>538</v>
      </c>
      <c r="F420" s="3">
        <v>4.2900000000000001E-2</v>
      </c>
    </row>
    <row r="421" spans="1:6" x14ac:dyDescent="0.25">
      <c r="A421" s="2">
        <v>24065</v>
      </c>
      <c r="B421" s="3">
        <v>41</v>
      </c>
      <c r="C421" s="3">
        <v>24</v>
      </c>
      <c r="D421" s="3">
        <v>2.8000000000000001E-2</v>
      </c>
      <c r="E421" s="3" t="s">
        <v>539</v>
      </c>
      <c r="F421" s="3">
        <v>2.8000000000000001E-2</v>
      </c>
    </row>
    <row r="422" spans="1:6" x14ac:dyDescent="0.25">
      <c r="A422" s="2">
        <v>24066</v>
      </c>
      <c r="B422" s="3">
        <v>42</v>
      </c>
      <c r="C422" s="3">
        <v>24</v>
      </c>
      <c r="D422" s="3">
        <v>2.3E-2</v>
      </c>
      <c r="E422" s="3" t="s">
        <v>540</v>
      </c>
      <c r="F422" s="3">
        <v>2.3E-2</v>
      </c>
    </row>
    <row r="423" spans="1:6" x14ac:dyDescent="0.25">
      <c r="A423" s="2">
        <v>24068</v>
      </c>
      <c r="B423" s="3">
        <v>44</v>
      </c>
      <c r="C423" s="3">
        <v>24</v>
      </c>
      <c r="D423" s="3">
        <v>5.9999999999999995E-8</v>
      </c>
      <c r="E423" s="3" t="s">
        <v>541</v>
      </c>
      <c r="F423" s="3">
        <v>5.9999999999999995E-8</v>
      </c>
    </row>
    <row r="424" spans="1:6" x14ac:dyDescent="0.25">
      <c r="A424" s="2">
        <v>25046</v>
      </c>
      <c r="B424" s="3">
        <v>21</v>
      </c>
      <c r="C424" s="3">
        <v>25</v>
      </c>
      <c r="D424" s="3">
        <v>3.6200000000000003E-2</v>
      </c>
      <c r="E424" s="3" t="s">
        <v>542</v>
      </c>
      <c r="F424" s="3">
        <v>3.6200000000000003E-2</v>
      </c>
    </row>
    <row r="425" spans="1:6" x14ac:dyDescent="0.25">
      <c r="A425" s="2">
        <v>25047</v>
      </c>
      <c r="B425" s="3">
        <v>22</v>
      </c>
      <c r="C425" s="3">
        <v>25</v>
      </c>
      <c r="D425" s="3">
        <v>8.7999999999999995E-2</v>
      </c>
      <c r="E425" s="3" t="s">
        <v>543</v>
      </c>
      <c r="F425" s="3">
        <v>8.7999999999999995E-2</v>
      </c>
    </row>
    <row r="426" spans="1:6" x14ac:dyDescent="0.25">
      <c r="A426" s="2">
        <v>25048</v>
      </c>
      <c r="B426" s="3">
        <v>23</v>
      </c>
      <c r="C426" s="3">
        <v>25</v>
      </c>
      <c r="D426" s="3">
        <v>0.15809999999999999</v>
      </c>
      <c r="E426" s="3" t="s">
        <v>544</v>
      </c>
      <c r="F426" s="3">
        <v>0.15809999999999999</v>
      </c>
    </row>
    <row r="427" spans="1:6" x14ac:dyDescent="0.25">
      <c r="A427" s="2">
        <v>25049</v>
      </c>
      <c r="B427" s="3">
        <v>24</v>
      </c>
      <c r="C427" s="3">
        <v>25</v>
      </c>
      <c r="D427" s="3">
        <v>0.38200000000000001</v>
      </c>
      <c r="E427" s="3" t="s">
        <v>545</v>
      </c>
      <c r="F427" s="3">
        <v>0.38200000000000001</v>
      </c>
    </row>
    <row r="428" spans="1:6" x14ac:dyDescent="0.25">
      <c r="A428" s="2">
        <v>25050</v>
      </c>
      <c r="B428" s="3">
        <v>25</v>
      </c>
      <c r="C428" s="3">
        <v>25</v>
      </c>
      <c r="D428" s="3">
        <v>0.28319</v>
      </c>
      <c r="E428" s="3" t="s">
        <v>546</v>
      </c>
      <c r="F428" s="3">
        <v>0.28319</v>
      </c>
    </row>
    <row r="429" spans="1:6" x14ac:dyDescent="0.25">
      <c r="A429" s="2">
        <v>25051</v>
      </c>
      <c r="B429" s="3">
        <v>26</v>
      </c>
      <c r="C429" s="3">
        <v>25</v>
      </c>
      <c r="D429" s="3">
        <v>2772</v>
      </c>
      <c r="E429" s="3" t="s">
        <v>547</v>
      </c>
      <c r="F429" s="3">
        <v>2772</v>
      </c>
    </row>
    <row r="430" spans="1:6" x14ac:dyDescent="0.25">
      <c r="A430" s="2">
        <v>25052</v>
      </c>
      <c r="B430" s="3">
        <v>27</v>
      </c>
      <c r="C430" s="3">
        <v>25</v>
      </c>
      <c r="D430" s="3">
        <v>483062.4</v>
      </c>
      <c r="E430" s="3" t="s">
        <v>548</v>
      </c>
      <c r="F430" s="3">
        <v>483062.4</v>
      </c>
    </row>
    <row r="431" spans="1:6" x14ac:dyDescent="0.25">
      <c r="A431" s="2">
        <v>25053</v>
      </c>
      <c r="B431" s="3">
        <v>28</v>
      </c>
      <c r="C431" s="3">
        <v>25</v>
      </c>
      <c r="D431" s="3">
        <v>118025424000000</v>
      </c>
      <c r="E431" s="3" t="s">
        <v>549</v>
      </c>
      <c r="F431" s="3">
        <v>118025424000000</v>
      </c>
    </row>
    <row r="432" spans="1:6" x14ac:dyDescent="0.25">
      <c r="A432" s="2">
        <v>25054</v>
      </c>
      <c r="B432" s="3">
        <v>29</v>
      </c>
      <c r="C432" s="3">
        <v>25</v>
      </c>
      <c r="D432" s="3">
        <v>26974080</v>
      </c>
      <c r="E432" s="3" t="s">
        <v>550</v>
      </c>
      <c r="F432" s="3">
        <v>26974080</v>
      </c>
    </row>
    <row r="433" spans="1:6" x14ac:dyDescent="0.25">
      <c r="A433" s="2">
        <v>25055</v>
      </c>
      <c r="B433" s="3">
        <v>30</v>
      </c>
      <c r="C433" s="3">
        <v>25</v>
      </c>
      <c r="D433" s="3" t="s">
        <v>4</v>
      </c>
      <c r="E433" s="3" t="s">
        <v>551</v>
      </c>
      <c r="F433" s="3" t="s">
        <v>4</v>
      </c>
    </row>
    <row r="434" spans="1:6" x14ac:dyDescent="0.25">
      <c r="A434" s="2">
        <v>25056</v>
      </c>
      <c r="B434" s="3">
        <v>31</v>
      </c>
      <c r="C434" s="3">
        <v>25</v>
      </c>
      <c r="D434" s="3">
        <v>9284.03999999999</v>
      </c>
      <c r="E434" s="3" t="s">
        <v>552</v>
      </c>
      <c r="F434" s="3">
        <v>9284.03999999999</v>
      </c>
    </row>
    <row r="435" spans="1:6" x14ac:dyDescent="0.25">
      <c r="A435" s="2">
        <v>25057</v>
      </c>
      <c r="B435" s="3">
        <v>32</v>
      </c>
      <c r="C435" s="3">
        <v>25</v>
      </c>
      <c r="D435" s="3">
        <v>85.4</v>
      </c>
      <c r="E435" s="3" t="s">
        <v>553</v>
      </c>
      <c r="F435" s="3">
        <v>85.4</v>
      </c>
    </row>
    <row r="436" spans="1:6" x14ac:dyDescent="0.25">
      <c r="A436" s="2">
        <v>25058</v>
      </c>
      <c r="B436" s="3">
        <v>33</v>
      </c>
      <c r="C436" s="3">
        <v>25</v>
      </c>
      <c r="D436" s="3">
        <v>3</v>
      </c>
      <c r="E436" s="3" t="s">
        <v>554</v>
      </c>
      <c r="F436" s="3">
        <v>3</v>
      </c>
    </row>
    <row r="437" spans="1:6" x14ac:dyDescent="0.25">
      <c r="A437" s="2">
        <v>25059</v>
      </c>
      <c r="B437" s="3">
        <v>34</v>
      </c>
      <c r="C437" s="3">
        <v>25</v>
      </c>
      <c r="D437" s="3">
        <v>4.59</v>
      </c>
      <c r="E437" s="3" t="s">
        <v>555</v>
      </c>
      <c r="F437" s="3">
        <v>4.59</v>
      </c>
    </row>
    <row r="438" spans="1:6" x14ac:dyDescent="0.25">
      <c r="A438" s="2">
        <v>25060</v>
      </c>
      <c r="B438" s="3">
        <v>35</v>
      </c>
      <c r="C438" s="3">
        <v>25</v>
      </c>
      <c r="D438" s="3">
        <v>0.28000000000000003</v>
      </c>
      <c r="E438" s="3" t="s">
        <v>556</v>
      </c>
      <c r="F438" s="3">
        <v>0.28000000000000003</v>
      </c>
    </row>
    <row r="439" spans="1:6" x14ac:dyDescent="0.25">
      <c r="A439" s="2">
        <v>25061</v>
      </c>
      <c r="B439" s="3">
        <v>36</v>
      </c>
      <c r="C439" s="3">
        <v>25</v>
      </c>
      <c r="D439" s="3">
        <v>0.70899999999999996</v>
      </c>
      <c r="E439" s="3" t="s">
        <v>557</v>
      </c>
      <c r="F439" s="3">
        <v>0.70899999999999996</v>
      </c>
    </row>
    <row r="440" spans="1:6" x14ac:dyDescent="0.25">
      <c r="A440" s="2">
        <v>25062</v>
      </c>
      <c r="B440" s="3">
        <v>37</v>
      </c>
      <c r="C440" s="3">
        <v>25</v>
      </c>
      <c r="D440" s="3">
        <v>9.1999999999999998E-2</v>
      </c>
      <c r="E440" s="3" t="s">
        <v>558</v>
      </c>
      <c r="F440" s="3">
        <v>9.1999999999999998E-2</v>
      </c>
    </row>
    <row r="441" spans="1:6" x14ac:dyDescent="0.25">
      <c r="A441" s="2">
        <v>25063</v>
      </c>
      <c r="B441" s="3">
        <v>38</v>
      </c>
      <c r="C441" s="3">
        <v>25</v>
      </c>
      <c r="D441" s="3">
        <v>0.27600000000000002</v>
      </c>
      <c r="E441" s="3" t="s">
        <v>559</v>
      </c>
      <c r="F441" s="3">
        <v>0.27600000000000002</v>
      </c>
    </row>
    <row r="442" spans="1:6" x14ac:dyDescent="0.25">
      <c r="A442" s="2">
        <v>25064</v>
      </c>
      <c r="B442" s="3">
        <v>39</v>
      </c>
      <c r="C442" s="3">
        <v>25</v>
      </c>
      <c r="D442" s="3">
        <v>0.09</v>
      </c>
      <c r="E442" s="3" t="s">
        <v>560</v>
      </c>
      <c r="F442" s="3">
        <v>0.09</v>
      </c>
    </row>
    <row r="443" spans="1:6" x14ac:dyDescent="0.25">
      <c r="A443" s="2">
        <v>25065</v>
      </c>
      <c r="B443" s="3">
        <v>40</v>
      </c>
      <c r="C443" s="3">
        <v>25</v>
      </c>
      <c r="D443" s="3">
        <v>9.1899999999999996E-2</v>
      </c>
      <c r="E443" s="3" t="s">
        <v>561</v>
      </c>
      <c r="F443" s="3">
        <v>9.1899999999999996E-2</v>
      </c>
    </row>
    <row r="444" spans="1:6" x14ac:dyDescent="0.25">
      <c r="A444" s="2">
        <v>25066</v>
      </c>
      <c r="B444" s="3">
        <v>41</v>
      </c>
      <c r="C444" s="3">
        <v>25</v>
      </c>
      <c r="D444" s="3">
        <v>6.5000000000000002E-2</v>
      </c>
      <c r="E444" s="3" t="s">
        <v>562</v>
      </c>
      <c r="F444" s="3">
        <v>6.5000000000000002E-2</v>
      </c>
    </row>
    <row r="445" spans="1:6" x14ac:dyDescent="0.25">
      <c r="A445" s="2">
        <v>25067</v>
      </c>
      <c r="B445" s="3">
        <v>42</v>
      </c>
      <c r="C445" s="3">
        <v>25</v>
      </c>
      <c r="D445" s="3">
        <v>4.7E-2</v>
      </c>
      <c r="E445" s="3" t="s">
        <v>563</v>
      </c>
      <c r="F445" s="3">
        <v>4.7E-2</v>
      </c>
    </row>
    <row r="446" spans="1:6" x14ac:dyDescent="0.25">
      <c r="A446" s="2">
        <v>25068</v>
      </c>
      <c r="B446" s="3">
        <v>43</v>
      </c>
      <c r="C446" s="3">
        <v>25</v>
      </c>
      <c r="D446" s="3">
        <v>2.8000000000000001E-2</v>
      </c>
      <c r="E446" s="3" t="s">
        <v>564</v>
      </c>
      <c r="F446" s="3">
        <v>2.8000000000000001E-2</v>
      </c>
    </row>
    <row r="447" spans="1:6" x14ac:dyDescent="0.25">
      <c r="A447" s="2">
        <v>25069</v>
      </c>
      <c r="B447" s="3">
        <v>44</v>
      </c>
      <c r="C447" s="3">
        <v>25</v>
      </c>
      <c r="D447" s="3">
        <v>1.6E-2</v>
      </c>
      <c r="E447" s="3" t="s">
        <v>565</v>
      </c>
      <c r="F447" s="3">
        <v>1.6E-2</v>
      </c>
    </row>
    <row r="448" spans="1:6" x14ac:dyDescent="0.25">
      <c r="A448" s="2">
        <v>25070</v>
      </c>
      <c r="B448" s="3">
        <v>45</v>
      </c>
      <c r="C448" s="3">
        <v>25</v>
      </c>
      <c r="D448" s="3">
        <v>3.5999999999999999E-7</v>
      </c>
      <c r="E448" s="3" t="s">
        <v>566</v>
      </c>
      <c r="F448" s="3">
        <v>3.5999999999999999E-7</v>
      </c>
    </row>
    <row r="449" spans="1:6" x14ac:dyDescent="0.25">
      <c r="A449" s="2">
        <v>25071</v>
      </c>
      <c r="B449" s="3">
        <v>46</v>
      </c>
      <c r="C449" s="3">
        <v>25</v>
      </c>
      <c r="D449" s="3">
        <v>6.37E-7</v>
      </c>
      <c r="E449" s="3" t="s">
        <v>567</v>
      </c>
      <c r="F449" s="3">
        <v>6.37E-7</v>
      </c>
    </row>
    <row r="450" spans="1:6" x14ac:dyDescent="0.25">
      <c r="A450" s="2">
        <v>26045</v>
      </c>
      <c r="B450" s="3">
        <v>19</v>
      </c>
      <c r="C450" s="3">
        <v>26</v>
      </c>
      <c r="D450" s="3">
        <v>2.4499999999999999E-3</v>
      </c>
      <c r="E450" s="3" t="s">
        <v>568</v>
      </c>
      <c r="F450" s="3">
        <v>2.4499999999999999E-3</v>
      </c>
    </row>
    <row r="451" spans="1:6" x14ac:dyDescent="0.25">
      <c r="A451" s="2">
        <v>26046</v>
      </c>
      <c r="B451" s="3">
        <v>20</v>
      </c>
      <c r="C451" s="3">
        <v>26</v>
      </c>
      <c r="D451" s="3">
        <v>1.2999999999999999E-2</v>
      </c>
      <c r="E451" s="3" t="s">
        <v>569</v>
      </c>
      <c r="F451" s="3">
        <v>1.2999999999999999E-2</v>
      </c>
    </row>
    <row r="452" spans="1:6" x14ac:dyDescent="0.25">
      <c r="A452" s="2">
        <v>26047</v>
      </c>
      <c r="B452" s="3">
        <v>21</v>
      </c>
      <c r="C452" s="3">
        <v>26</v>
      </c>
      <c r="D452" s="3">
        <v>2.1899999999999999E-2</v>
      </c>
      <c r="E452" s="3" t="s">
        <v>570</v>
      </c>
      <c r="F452" s="3">
        <v>2.1899999999999999E-2</v>
      </c>
    </row>
    <row r="453" spans="1:6" x14ac:dyDescent="0.25">
      <c r="A453" s="2">
        <v>26048</v>
      </c>
      <c r="B453" s="3">
        <v>22</v>
      </c>
      <c r="C453" s="3">
        <v>26</v>
      </c>
      <c r="D453" s="3">
        <v>4.53E-2</v>
      </c>
      <c r="E453" s="3" t="s">
        <v>571</v>
      </c>
      <c r="F453" s="3">
        <v>4.53E-2</v>
      </c>
    </row>
    <row r="454" spans="1:6" x14ac:dyDescent="0.25">
      <c r="A454" s="2">
        <v>26049</v>
      </c>
      <c r="B454" s="3">
        <v>23</v>
      </c>
      <c r="C454" s="3">
        <v>26</v>
      </c>
      <c r="D454" s="3">
        <v>6.4699999999999994E-2</v>
      </c>
      <c r="E454" s="3" t="s">
        <v>572</v>
      </c>
      <c r="F454" s="3">
        <v>6.4699999999999994E-2</v>
      </c>
    </row>
    <row r="455" spans="1:6" x14ac:dyDescent="0.25">
      <c r="A455" s="2">
        <v>26050</v>
      </c>
      <c r="B455" s="3">
        <v>24</v>
      </c>
      <c r="C455" s="3">
        <v>26</v>
      </c>
      <c r="D455" s="3">
        <v>0.155</v>
      </c>
      <c r="E455" s="3" t="s">
        <v>573</v>
      </c>
      <c r="F455" s="3">
        <v>0.155</v>
      </c>
    </row>
    <row r="456" spans="1:6" x14ac:dyDescent="0.25">
      <c r="A456" s="2">
        <v>26051</v>
      </c>
      <c r="B456" s="3">
        <v>25</v>
      </c>
      <c r="C456" s="3">
        <v>26</v>
      </c>
      <c r="D456" s="3">
        <v>0.30499999999999999</v>
      </c>
      <c r="E456" s="3" t="s">
        <v>574</v>
      </c>
      <c r="F456" s="3">
        <v>0.30499999999999999</v>
      </c>
    </row>
    <row r="457" spans="1:6" x14ac:dyDescent="0.25">
      <c r="A457" s="2">
        <v>26052</v>
      </c>
      <c r="B457" s="3">
        <v>26</v>
      </c>
      <c r="C457" s="3">
        <v>26</v>
      </c>
      <c r="D457" s="3">
        <v>29790</v>
      </c>
      <c r="E457" s="3" t="s">
        <v>575</v>
      </c>
      <c r="F457" s="3">
        <v>29790</v>
      </c>
    </row>
    <row r="458" spans="1:6" x14ac:dyDescent="0.25">
      <c r="A458" s="2">
        <v>26053</v>
      </c>
      <c r="B458" s="3">
        <v>27</v>
      </c>
      <c r="C458" s="3">
        <v>26</v>
      </c>
      <c r="D458" s="3">
        <v>510.599999999999</v>
      </c>
      <c r="E458" s="3" t="s">
        <v>576</v>
      </c>
      <c r="F458" s="3">
        <v>510.599999999999</v>
      </c>
    </row>
    <row r="459" spans="1:6" x14ac:dyDescent="0.25">
      <c r="A459" s="2">
        <v>26054</v>
      </c>
      <c r="B459" s="3">
        <v>28</v>
      </c>
      <c r="C459" s="3">
        <v>26</v>
      </c>
      <c r="D459" s="3" t="s">
        <v>4</v>
      </c>
      <c r="E459" s="3" t="s">
        <v>577</v>
      </c>
      <c r="F459" s="3" t="s">
        <v>4</v>
      </c>
    </row>
    <row r="460" spans="1:6" x14ac:dyDescent="0.25">
      <c r="A460" s="2">
        <v>26055</v>
      </c>
      <c r="B460" s="3">
        <v>29</v>
      </c>
      <c r="C460" s="3">
        <v>26</v>
      </c>
      <c r="D460" s="3">
        <v>86594054.400000006</v>
      </c>
      <c r="E460" s="3" t="s">
        <v>578</v>
      </c>
      <c r="F460" s="3">
        <v>86594054.400000006</v>
      </c>
    </row>
    <row r="461" spans="1:6" x14ac:dyDescent="0.25">
      <c r="A461" s="2">
        <v>26056</v>
      </c>
      <c r="B461" s="3">
        <v>30</v>
      </c>
      <c r="C461" s="3">
        <v>26</v>
      </c>
      <c r="D461" s="3" t="s">
        <v>4</v>
      </c>
      <c r="E461" s="3" t="s">
        <v>579</v>
      </c>
      <c r="F461" s="3" t="s">
        <v>4</v>
      </c>
    </row>
    <row r="462" spans="1:6" x14ac:dyDescent="0.25">
      <c r="A462" s="2">
        <v>26057</v>
      </c>
      <c r="B462" s="3">
        <v>31</v>
      </c>
      <c r="C462" s="3">
        <v>26</v>
      </c>
      <c r="D462" s="3" t="s">
        <v>4</v>
      </c>
      <c r="E462" s="3" t="s">
        <v>580</v>
      </c>
      <c r="F462" s="3" t="s">
        <v>4</v>
      </c>
    </row>
    <row r="463" spans="1:6" x14ac:dyDescent="0.25">
      <c r="A463" s="2">
        <v>26058</v>
      </c>
      <c r="B463" s="3">
        <v>32</v>
      </c>
      <c r="C463" s="3">
        <v>26</v>
      </c>
      <c r="D463" s="3" t="s">
        <v>4</v>
      </c>
      <c r="E463" s="3" t="s">
        <v>581</v>
      </c>
      <c r="F463" s="3" t="s">
        <v>4</v>
      </c>
    </row>
    <row r="464" spans="1:6" x14ac:dyDescent="0.25">
      <c r="A464" s="2">
        <v>26059</v>
      </c>
      <c r="B464" s="3">
        <v>33</v>
      </c>
      <c r="C464" s="3">
        <v>26</v>
      </c>
      <c r="D464" s="3">
        <v>3844368</v>
      </c>
      <c r="E464" s="3" t="s">
        <v>582</v>
      </c>
      <c r="F464" s="3">
        <v>3844368</v>
      </c>
    </row>
    <row r="465" spans="1:6" x14ac:dyDescent="0.25">
      <c r="A465" s="2">
        <v>26060</v>
      </c>
      <c r="B465" s="3">
        <v>34</v>
      </c>
      <c r="C465" s="3">
        <v>26</v>
      </c>
      <c r="D465" s="3">
        <v>82680912000000</v>
      </c>
      <c r="E465" s="3" t="s">
        <v>583</v>
      </c>
      <c r="F465" s="3">
        <v>82680912000000</v>
      </c>
    </row>
    <row r="466" spans="1:6" x14ac:dyDescent="0.25">
      <c r="A466" s="2">
        <v>26061</v>
      </c>
      <c r="B466" s="3">
        <v>35</v>
      </c>
      <c r="C466" s="3">
        <v>26</v>
      </c>
      <c r="D466" s="3">
        <v>358.8</v>
      </c>
      <c r="E466" s="3" t="s">
        <v>584</v>
      </c>
      <c r="F466" s="3">
        <v>358.8</v>
      </c>
    </row>
    <row r="467" spans="1:6" x14ac:dyDescent="0.25">
      <c r="A467" s="2">
        <v>26062</v>
      </c>
      <c r="B467" s="3">
        <v>36</v>
      </c>
      <c r="C467" s="3">
        <v>26</v>
      </c>
      <c r="D467" s="3">
        <v>68</v>
      </c>
      <c r="E467" s="3" t="s">
        <v>585</v>
      </c>
      <c r="F467" s="3">
        <v>68</v>
      </c>
    </row>
    <row r="468" spans="1:6" x14ac:dyDescent="0.25">
      <c r="A468" s="2">
        <v>26063</v>
      </c>
      <c r="B468" s="3">
        <v>37</v>
      </c>
      <c r="C468" s="3">
        <v>26</v>
      </c>
      <c r="D468" s="3">
        <v>6.1</v>
      </c>
      <c r="E468" s="3" t="s">
        <v>586</v>
      </c>
      <c r="F468" s="3">
        <v>6.1</v>
      </c>
    </row>
    <row r="469" spans="1:6" x14ac:dyDescent="0.25">
      <c r="A469" s="2">
        <v>26064</v>
      </c>
      <c r="B469" s="3">
        <v>38</v>
      </c>
      <c r="C469" s="3">
        <v>26</v>
      </c>
      <c r="D469" s="3">
        <v>2</v>
      </c>
      <c r="E469" s="3" t="s">
        <v>587</v>
      </c>
      <c r="F469" s="3">
        <v>2</v>
      </c>
    </row>
    <row r="470" spans="1:6" x14ac:dyDescent="0.25">
      <c r="A470" s="2">
        <v>26065</v>
      </c>
      <c r="B470" s="3">
        <v>39</v>
      </c>
      <c r="C470" s="3">
        <v>26</v>
      </c>
      <c r="D470" s="3">
        <v>0.81</v>
      </c>
      <c r="E470" s="3" t="s">
        <v>588</v>
      </c>
      <c r="F470" s="3">
        <v>0.81</v>
      </c>
    </row>
    <row r="471" spans="1:6" x14ac:dyDescent="0.25">
      <c r="A471" s="2">
        <v>26066</v>
      </c>
      <c r="B471" s="3">
        <v>40</v>
      </c>
      <c r="C471" s="3">
        <v>26</v>
      </c>
      <c r="D471" s="3">
        <v>0.35099999999999998</v>
      </c>
      <c r="E471" s="3" t="s">
        <v>589</v>
      </c>
      <c r="F471" s="3">
        <v>0.35099999999999998</v>
      </c>
    </row>
    <row r="472" spans="1:6" x14ac:dyDescent="0.25">
      <c r="A472" s="2">
        <v>26067</v>
      </c>
      <c r="B472" s="3">
        <v>41</v>
      </c>
      <c r="C472" s="3">
        <v>26</v>
      </c>
      <c r="D472" s="3">
        <v>0.39500000000000002</v>
      </c>
      <c r="E472" s="3" t="s">
        <v>590</v>
      </c>
      <c r="F472" s="3">
        <v>0.39500000000000002</v>
      </c>
    </row>
    <row r="473" spans="1:6" x14ac:dyDescent="0.25">
      <c r="A473" s="2">
        <v>26068</v>
      </c>
      <c r="B473" s="3">
        <v>42</v>
      </c>
      <c r="C473" s="3">
        <v>26</v>
      </c>
      <c r="D473" s="3">
        <v>0.188</v>
      </c>
      <c r="E473" s="3" t="s">
        <v>591</v>
      </c>
      <c r="F473" s="3">
        <v>0.188</v>
      </c>
    </row>
    <row r="474" spans="1:6" x14ac:dyDescent="0.25">
      <c r="A474" s="2">
        <v>26069</v>
      </c>
      <c r="B474" s="3">
        <v>43</v>
      </c>
      <c r="C474" s="3">
        <v>26</v>
      </c>
      <c r="D474" s="3">
        <v>0.16200000000000001</v>
      </c>
      <c r="E474" s="3" t="s">
        <v>592</v>
      </c>
      <c r="F474" s="3">
        <v>0.16200000000000001</v>
      </c>
    </row>
    <row r="475" spans="1:6" x14ac:dyDescent="0.25">
      <c r="A475" s="2">
        <v>26070</v>
      </c>
      <c r="B475" s="3">
        <v>44</v>
      </c>
      <c r="C475" s="3">
        <v>26</v>
      </c>
      <c r="D475" s="3">
        <v>6.3E-2</v>
      </c>
      <c r="E475" s="3" t="s">
        <v>593</v>
      </c>
      <c r="F475" s="3">
        <v>6.3E-2</v>
      </c>
    </row>
    <row r="476" spans="1:6" x14ac:dyDescent="0.25">
      <c r="A476" s="2">
        <v>26071</v>
      </c>
      <c r="B476" s="3">
        <v>45</v>
      </c>
      <c r="C476" s="3">
        <v>26</v>
      </c>
      <c r="D476" s="3">
        <v>3.5000000000000003E-2</v>
      </c>
      <c r="E476" s="3" t="s">
        <v>594</v>
      </c>
      <c r="F476" s="3">
        <v>3.5000000000000003E-2</v>
      </c>
    </row>
    <row r="477" spans="1:6" x14ac:dyDescent="0.25">
      <c r="A477" s="2">
        <v>26072</v>
      </c>
      <c r="B477" s="3">
        <v>46</v>
      </c>
      <c r="C477" s="3">
        <v>26</v>
      </c>
      <c r="D477" s="3">
        <v>1.9E-2</v>
      </c>
      <c r="E477" s="3" t="s">
        <v>595</v>
      </c>
      <c r="F477" s="3">
        <v>1.9E-2</v>
      </c>
    </row>
    <row r="478" spans="1:6" x14ac:dyDescent="0.25">
      <c r="A478" s="2">
        <v>26073</v>
      </c>
      <c r="B478" s="3">
        <v>47</v>
      </c>
      <c r="C478" s="3">
        <v>26</v>
      </c>
      <c r="D478" s="3">
        <v>6.3300000000000002E-7</v>
      </c>
      <c r="E478" s="3" t="s">
        <v>596</v>
      </c>
      <c r="F478" s="3">
        <v>6.3300000000000002E-7</v>
      </c>
    </row>
    <row r="479" spans="1:6" x14ac:dyDescent="0.25">
      <c r="A479" s="2">
        <v>26074</v>
      </c>
      <c r="B479" s="3">
        <v>48</v>
      </c>
      <c r="C479" s="3">
        <v>26</v>
      </c>
      <c r="D479" s="3">
        <v>6.3799999999999997E-7</v>
      </c>
      <c r="E479" s="3" t="s">
        <v>597</v>
      </c>
      <c r="F479" s="3">
        <v>6.3799999999999997E-7</v>
      </c>
    </row>
    <row r="480" spans="1:6" x14ac:dyDescent="0.25">
      <c r="A480" s="2">
        <v>27050</v>
      </c>
      <c r="B480" s="3">
        <v>23</v>
      </c>
      <c r="C480" s="3">
        <v>27</v>
      </c>
      <c r="D480" s="3">
        <v>3.8800000000000001E-2</v>
      </c>
      <c r="E480" s="3" t="s">
        <v>598</v>
      </c>
      <c r="F480" s="3">
        <v>3.8800000000000001E-2</v>
      </c>
    </row>
    <row r="481" spans="1:6" x14ac:dyDescent="0.25">
      <c r="A481" s="2">
        <v>27051</v>
      </c>
      <c r="B481" s="3">
        <v>24</v>
      </c>
      <c r="C481" s="3">
        <v>27</v>
      </c>
      <c r="D481" s="3">
        <v>1.9999999999999999E-7</v>
      </c>
      <c r="E481" s="3" t="s">
        <v>599</v>
      </c>
      <c r="F481" s="3">
        <v>1.9999999999999999E-7</v>
      </c>
    </row>
    <row r="482" spans="1:6" x14ac:dyDescent="0.25">
      <c r="A482" s="2">
        <v>27052</v>
      </c>
      <c r="B482" s="3">
        <v>25</v>
      </c>
      <c r="C482" s="3">
        <v>27</v>
      </c>
      <c r="D482" s="3">
        <v>0.104</v>
      </c>
      <c r="E482" s="3" t="s">
        <v>600</v>
      </c>
      <c r="F482" s="3">
        <v>0.104</v>
      </c>
    </row>
    <row r="483" spans="1:6" x14ac:dyDescent="0.25">
      <c r="A483" s="2">
        <v>27053</v>
      </c>
      <c r="B483" s="3">
        <v>26</v>
      </c>
      <c r="C483" s="3">
        <v>27</v>
      </c>
      <c r="D483" s="3">
        <v>0.24</v>
      </c>
      <c r="E483" s="3" t="s">
        <v>601</v>
      </c>
      <c r="F483" s="3">
        <v>0.24</v>
      </c>
    </row>
    <row r="484" spans="1:6" x14ac:dyDescent="0.25">
      <c r="A484" s="2">
        <v>27054</v>
      </c>
      <c r="B484" s="3">
        <v>27</v>
      </c>
      <c r="C484" s="3">
        <v>27</v>
      </c>
      <c r="D484" s="3">
        <v>0.193</v>
      </c>
      <c r="E484" s="3" t="s">
        <v>602</v>
      </c>
      <c r="F484" s="3">
        <v>0.193</v>
      </c>
    </row>
    <row r="485" spans="1:6" x14ac:dyDescent="0.25">
      <c r="A485" s="2">
        <v>27055</v>
      </c>
      <c r="B485" s="3">
        <v>28</v>
      </c>
      <c r="C485" s="3">
        <v>27</v>
      </c>
      <c r="D485" s="3">
        <v>63108</v>
      </c>
      <c r="E485" s="3" t="s">
        <v>603</v>
      </c>
      <c r="F485" s="3">
        <v>63108</v>
      </c>
    </row>
    <row r="486" spans="1:6" x14ac:dyDescent="0.25">
      <c r="A486" s="2">
        <v>27056</v>
      </c>
      <c r="B486" s="3">
        <v>29</v>
      </c>
      <c r="C486" s="3">
        <v>27</v>
      </c>
      <c r="D486" s="3">
        <v>6673190.4000000004</v>
      </c>
      <c r="E486" s="3" t="s">
        <v>604</v>
      </c>
      <c r="F486" s="3">
        <v>6673190.4000000004</v>
      </c>
    </row>
    <row r="487" spans="1:6" x14ac:dyDescent="0.25">
      <c r="A487" s="2">
        <v>27057</v>
      </c>
      <c r="B487" s="3">
        <v>30</v>
      </c>
      <c r="C487" s="3">
        <v>27</v>
      </c>
      <c r="D487" s="3">
        <v>23478336</v>
      </c>
      <c r="E487" s="3" t="s">
        <v>605</v>
      </c>
      <c r="F487" s="3">
        <v>23478336</v>
      </c>
    </row>
    <row r="488" spans="1:6" x14ac:dyDescent="0.25">
      <c r="A488" s="2">
        <v>27058</v>
      </c>
      <c r="B488" s="3">
        <v>31</v>
      </c>
      <c r="C488" s="3">
        <v>27</v>
      </c>
      <c r="D488" s="3">
        <v>6122304</v>
      </c>
      <c r="E488" s="3" t="s">
        <v>606</v>
      </c>
      <c r="F488" s="3">
        <v>6122304</v>
      </c>
    </row>
    <row r="489" spans="1:6" x14ac:dyDescent="0.25">
      <c r="A489" s="2">
        <v>27059</v>
      </c>
      <c r="B489" s="3">
        <v>32</v>
      </c>
      <c r="C489" s="3">
        <v>27</v>
      </c>
      <c r="D489" s="3" t="s">
        <v>4</v>
      </c>
      <c r="E489" s="3" t="s">
        <v>607</v>
      </c>
      <c r="F489" s="3" t="s">
        <v>4</v>
      </c>
    </row>
    <row r="490" spans="1:6" x14ac:dyDescent="0.25">
      <c r="A490" s="2">
        <v>27060</v>
      </c>
      <c r="B490" s="3">
        <v>33</v>
      </c>
      <c r="C490" s="3">
        <v>27</v>
      </c>
      <c r="D490" s="3">
        <v>166344192</v>
      </c>
      <c r="E490" s="3" t="s">
        <v>608</v>
      </c>
      <c r="F490" s="3">
        <v>166344192</v>
      </c>
    </row>
    <row r="491" spans="1:6" x14ac:dyDescent="0.25">
      <c r="A491" s="2">
        <v>27061</v>
      </c>
      <c r="B491" s="3">
        <v>34</v>
      </c>
      <c r="C491" s="3">
        <v>27</v>
      </c>
      <c r="D491" s="3">
        <v>5936.4</v>
      </c>
      <c r="E491" s="3" t="s">
        <v>609</v>
      </c>
      <c r="F491" s="3">
        <v>5936.4</v>
      </c>
    </row>
    <row r="492" spans="1:6" x14ac:dyDescent="0.25">
      <c r="A492" s="2">
        <v>27062</v>
      </c>
      <c r="B492" s="3">
        <v>35</v>
      </c>
      <c r="C492" s="3">
        <v>27</v>
      </c>
      <c r="D492" s="3">
        <v>90</v>
      </c>
      <c r="E492" s="3" t="s">
        <v>610</v>
      </c>
      <c r="F492" s="3">
        <v>90</v>
      </c>
    </row>
    <row r="493" spans="1:6" x14ac:dyDescent="0.25">
      <c r="A493" s="2">
        <v>27063</v>
      </c>
      <c r="B493" s="3">
        <v>36</v>
      </c>
      <c r="C493" s="3">
        <v>27</v>
      </c>
      <c r="D493" s="3">
        <v>27.4</v>
      </c>
      <c r="E493" s="3" t="s">
        <v>611</v>
      </c>
      <c r="F493" s="3">
        <v>27.4</v>
      </c>
    </row>
    <row r="494" spans="1:6" x14ac:dyDescent="0.25">
      <c r="A494" s="2">
        <v>27064</v>
      </c>
      <c r="B494" s="3">
        <v>37</v>
      </c>
      <c r="C494" s="3">
        <v>27</v>
      </c>
      <c r="D494" s="3">
        <v>0.3</v>
      </c>
      <c r="E494" s="3" t="s">
        <v>612</v>
      </c>
      <c r="F494" s="3">
        <v>0.3</v>
      </c>
    </row>
    <row r="495" spans="1:6" x14ac:dyDescent="0.25">
      <c r="A495" s="2">
        <v>27065</v>
      </c>
      <c r="B495" s="3">
        <v>38</v>
      </c>
      <c r="C495" s="3">
        <v>27</v>
      </c>
      <c r="D495" s="3">
        <v>1.1599999999999999</v>
      </c>
      <c r="E495" s="3" t="s">
        <v>613</v>
      </c>
      <c r="F495" s="3">
        <v>1.1599999999999999</v>
      </c>
    </row>
    <row r="496" spans="1:6" x14ac:dyDescent="0.25">
      <c r="A496" s="2">
        <v>27066</v>
      </c>
      <c r="B496" s="3">
        <v>39</v>
      </c>
      <c r="C496" s="3">
        <v>27</v>
      </c>
      <c r="D496" s="3">
        <v>0.20899999999999999</v>
      </c>
      <c r="E496" s="3" t="s">
        <v>614</v>
      </c>
      <c r="F496" s="3">
        <v>0.20899999999999999</v>
      </c>
    </row>
    <row r="497" spans="1:6" x14ac:dyDescent="0.25">
      <c r="A497" s="2">
        <v>27067</v>
      </c>
      <c r="B497" s="3">
        <v>40</v>
      </c>
      <c r="C497" s="3">
        <v>27</v>
      </c>
      <c r="D497" s="3">
        <v>0.32900000000000001</v>
      </c>
      <c r="E497" s="3" t="s">
        <v>615</v>
      </c>
      <c r="F497" s="3">
        <v>0.32900000000000001</v>
      </c>
    </row>
    <row r="498" spans="1:6" x14ac:dyDescent="0.25">
      <c r="A498" s="2">
        <v>27068</v>
      </c>
      <c r="B498" s="3">
        <v>41</v>
      </c>
      <c r="C498" s="3">
        <v>27</v>
      </c>
      <c r="D498" s="3">
        <v>9.9000000000000005E-2</v>
      </c>
      <c r="E498" s="3" t="s">
        <v>616</v>
      </c>
      <c r="F498" s="3">
        <v>9.9000000000000005E-2</v>
      </c>
    </row>
    <row r="499" spans="1:6" x14ac:dyDescent="0.25">
      <c r="A499" s="2">
        <v>27069</v>
      </c>
      <c r="B499" s="3">
        <v>42</v>
      </c>
      <c r="C499" s="3">
        <v>27</v>
      </c>
      <c r="D499" s="3">
        <v>0.18</v>
      </c>
      <c r="E499" s="3" t="s">
        <v>617</v>
      </c>
      <c r="F499" s="3">
        <v>0.18</v>
      </c>
    </row>
    <row r="500" spans="1:6" x14ac:dyDescent="0.25">
      <c r="A500" s="2">
        <v>27070</v>
      </c>
      <c r="B500" s="3">
        <v>43</v>
      </c>
      <c r="C500" s="3">
        <v>27</v>
      </c>
      <c r="D500" s="3">
        <v>1.4E-2</v>
      </c>
      <c r="E500" s="3" t="s">
        <v>618</v>
      </c>
      <c r="F500" s="3">
        <v>1.4E-2</v>
      </c>
    </row>
    <row r="501" spans="1:6" x14ac:dyDescent="0.25">
      <c r="A501" s="2">
        <v>27071</v>
      </c>
      <c r="B501" s="3">
        <v>44</v>
      </c>
      <c r="C501" s="3">
        <v>27</v>
      </c>
      <c r="D501" s="3">
        <v>0.08</v>
      </c>
      <c r="E501" s="3" t="s">
        <v>619</v>
      </c>
      <c r="F501" s="3">
        <v>0.08</v>
      </c>
    </row>
    <row r="502" spans="1:6" x14ac:dyDescent="0.25">
      <c r="A502" s="2">
        <v>27072</v>
      </c>
      <c r="B502" s="3">
        <v>45</v>
      </c>
      <c r="C502" s="3">
        <v>27</v>
      </c>
      <c r="D502" s="3">
        <v>5.7299999999999997E-2</v>
      </c>
      <c r="E502" s="3" t="s">
        <v>620</v>
      </c>
      <c r="F502" s="3">
        <v>5.7299999999999997E-2</v>
      </c>
    </row>
    <row r="503" spans="1:6" x14ac:dyDescent="0.25">
      <c r="A503" s="2">
        <v>27073</v>
      </c>
      <c r="B503" s="3">
        <v>46</v>
      </c>
      <c r="C503" s="3">
        <v>27</v>
      </c>
      <c r="D503" s="3">
        <v>4.0500000000000001E-2</v>
      </c>
      <c r="E503" s="3" t="s">
        <v>621</v>
      </c>
      <c r="F503" s="3">
        <v>4.0500000000000001E-2</v>
      </c>
    </row>
    <row r="504" spans="1:6" x14ac:dyDescent="0.25">
      <c r="A504" s="2">
        <v>27074</v>
      </c>
      <c r="B504" s="3">
        <v>47</v>
      </c>
      <c r="C504" s="3">
        <v>27</v>
      </c>
      <c r="D504" s="3">
        <v>3.1399999999999997E-2</v>
      </c>
      <c r="E504" s="3" t="s">
        <v>622</v>
      </c>
      <c r="F504" s="3">
        <v>3.1399999999999997E-2</v>
      </c>
    </row>
    <row r="505" spans="1:6" x14ac:dyDescent="0.25">
      <c r="A505" s="2">
        <v>27075</v>
      </c>
      <c r="B505" s="3">
        <v>48</v>
      </c>
      <c r="C505" s="3">
        <v>27</v>
      </c>
      <c r="D505" s="3">
        <v>2.6499999999999999E-2</v>
      </c>
      <c r="E505" s="3" t="s">
        <v>623</v>
      </c>
      <c r="F505" s="3">
        <v>2.6499999999999999E-2</v>
      </c>
    </row>
    <row r="506" spans="1:6" x14ac:dyDescent="0.25">
      <c r="A506" s="2">
        <v>27076</v>
      </c>
      <c r="B506" s="3">
        <v>49</v>
      </c>
      <c r="C506" s="3">
        <v>27</v>
      </c>
      <c r="D506" s="3">
        <v>2.1700000000000001E-2</v>
      </c>
      <c r="E506" s="3" t="s">
        <v>624</v>
      </c>
      <c r="F506" s="3">
        <v>2.1700000000000001E-2</v>
      </c>
    </row>
    <row r="507" spans="1:6" x14ac:dyDescent="0.25">
      <c r="A507" s="2">
        <v>27077</v>
      </c>
      <c r="B507" s="3">
        <v>50</v>
      </c>
      <c r="C507" s="3">
        <v>27</v>
      </c>
      <c r="D507" s="3">
        <v>1.2999999999999999E-2</v>
      </c>
      <c r="E507" s="3" t="s">
        <v>625</v>
      </c>
      <c r="F507" s="3">
        <v>1.2999999999999999E-2</v>
      </c>
    </row>
    <row r="508" spans="1:6" x14ac:dyDescent="0.25">
      <c r="A508" s="2">
        <v>28048</v>
      </c>
      <c r="B508" s="3">
        <v>20</v>
      </c>
      <c r="C508" s="3">
        <v>28</v>
      </c>
      <c r="D508" s="3">
        <v>2.0999999999999999E-3</v>
      </c>
      <c r="E508" s="3" t="s">
        <v>626</v>
      </c>
      <c r="F508" s="3">
        <v>2.0999999999999999E-3</v>
      </c>
    </row>
    <row r="509" spans="1:6" x14ac:dyDescent="0.25">
      <c r="A509" s="2">
        <v>28049</v>
      </c>
      <c r="B509" s="3">
        <v>21</v>
      </c>
      <c r="C509" s="3">
        <v>28</v>
      </c>
      <c r="D509" s="3">
        <v>7.4999999999999997E-3</v>
      </c>
      <c r="E509" s="3" t="s">
        <v>627</v>
      </c>
      <c r="F509" s="3">
        <v>7.4999999999999997E-3</v>
      </c>
    </row>
    <row r="510" spans="1:6" x14ac:dyDescent="0.25">
      <c r="A510" s="2">
        <v>28050</v>
      </c>
      <c r="B510" s="3">
        <v>22</v>
      </c>
      <c r="C510" s="3">
        <v>28</v>
      </c>
      <c r="D510" s="3">
        <v>1.8499999999999999E-2</v>
      </c>
      <c r="E510" s="3" t="s">
        <v>628</v>
      </c>
      <c r="F510" s="3">
        <v>1.8499999999999999E-2</v>
      </c>
    </row>
    <row r="511" spans="1:6" x14ac:dyDescent="0.25">
      <c r="A511" s="2">
        <v>28051</v>
      </c>
      <c r="B511" s="3">
        <v>23</v>
      </c>
      <c r="C511" s="3">
        <v>28</v>
      </c>
      <c r="D511" s="3">
        <v>2.3800000000000002E-2</v>
      </c>
      <c r="E511" s="3" t="s">
        <v>629</v>
      </c>
      <c r="F511" s="3">
        <v>2.3800000000000002E-2</v>
      </c>
    </row>
    <row r="512" spans="1:6" x14ac:dyDescent="0.25">
      <c r="A512" s="2">
        <v>28052</v>
      </c>
      <c r="B512" s="3">
        <v>24</v>
      </c>
      <c r="C512" s="3">
        <v>28</v>
      </c>
      <c r="D512" s="3">
        <v>4.0799999999999899E-2</v>
      </c>
      <c r="E512" s="3" t="s">
        <v>630</v>
      </c>
      <c r="F512" s="3">
        <v>4.0799999999999899E-2</v>
      </c>
    </row>
    <row r="513" spans="1:6" x14ac:dyDescent="0.25">
      <c r="A513" s="2">
        <v>28053</v>
      </c>
      <c r="B513" s="3">
        <v>25</v>
      </c>
      <c r="C513" s="3">
        <v>28</v>
      </c>
      <c r="D513" s="3">
        <v>5.5199999999999999E-2</v>
      </c>
      <c r="E513" s="3" t="s">
        <v>631</v>
      </c>
      <c r="F513" s="3">
        <v>5.5199999999999999E-2</v>
      </c>
    </row>
    <row r="514" spans="1:6" x14ac:dyDescent="0.25">
      <c r="A514" s="2">
        <v>28054</v>
      </c>
      <c r="B514" s="3">
        <v>26</v>
      </c>
      <c r="C514" s="3">
        <v>28</v>
      </c>
      <c r="D514" s="3">
        <v>0.1142</v>
      </c>
      <c r="E514" s="3" t="s">
        <v>632</v>
      </c>
      <c r="F514" s="3">
        <v>0.1142</v>
      </c>
    </row>
    <row r="515" spans="1:6" x14ac:dyDescent="0.25">
      <c r="A515" s="2">
        <v>28055</v>
      </c>
      <c r="B515" s="3">
        <v>27</v>
      </c>
      <c r="C515" s="3">
        <v>28</v>
      </c>
      <c r="D515" s="3">
        <v>0.20469999999999999</v>
      </c>
      <c r="E515" s="3" t="s">
        <v>633</v>
      </c>
      <c r="F515" s="3">
        <v>0.20469999999999999</v>
      </c>
    </row>
    <row r="516" spans="1:6" x14ac:dyDescent="0.25">
      <c r="A516" s="2">
        <v>28056</v>
      </c>
      <c r="B516" s="3">
        <v>28</v>
      </c>
      <c r="C516" s="3">
        <v>28</v>
      </c>
      <c r="D516" s="3">
        <v>524880</v>
      </c>
      <c r="E516" s="3" t="s">
        <v>634</v>
      </c>
      <c r="F516" s="3">
        <v>524880</v>
      </c>
    </row>
    <row r="517" spans="1:6" x14ac:dyDescent="0.25">
      <c r="A517" s="2">
        <v>28057</v>
      </c>
      <c r="B517" s="3">
        <v>29</v>
      </c>
      <c r="C517" s="3">
        <v>28</v>
      </c>
      <c r="D517" s="3">
        <v>128160</v>
      </c>
      <c r="E517" s="3" t="s">
        <v>635</v>
      </c>
      <c r="F517" s="3">
        <v>128160</v>
      </c>
    </row>
    <row r="518" spans="1:6" x14ac:dyDescent="0.25">
      <c r="A518" s="2">
        <v>28058</v>
      </c>
      <c r="B518" s="3">
        <v>30</v>
      </c>
      <c r="C518" s="3">
        <v>28</v>
      </c>
      <c r="D518" s="3" t="s">
        <v>4</v>
      </c>
      <c r="E518" s="3" t="s">
        <v>636</v>
      </c>
      <c r="F518" s="3" t="s">
        <v>4</v>
      </c>
    </row>
    <row r="519" spans="1:6" x14ac:dyDescent="0.25">
      <c r="A519" s="2">
        <v>28059</v>
      </c>
      <c r="B519" s="3">
        <v>31</v>
      </c>
      <c r="C519" s="3">
        <v>28</v>
      </c>
      <c r="D519" s="3">
        <v>2398377600000</v>
      </c>
      <c r="E519" s="3" t="s">
        <v>637</v>
      </c>
      <c r="F519" s="3">
        <v>2398377600000</v>
      </c>
    </row>
    <row r="520" spans="1:6" x14ac:dyDescent="0.25">
      <c r="A520" s="2">
        <v>28060</v>
      </c>
      <c r="B520" s="3">
        <v>32</v>
      </c>
      <c r="C520" s="3">
        <v>28</v>
      </c>
      <c r="D520" s="3" t="s">
        <v>4</v>
      </c>
      <c r="E520" s="3" t="s">
        <v>638</v>
      </c>
      <c r="F520" s="3" t="s">
        <v>4</v>
      </c>
    </row>
    <row r="521" spans="1:6" x14ac:dyDescent="0.25">
      <c r="A521" s="2">
        <v>28061</v>
      </c>
      <c r="B521" s="3">
        <v>33</v>
      </c>
      <c r="C521" s="3">
        <v>28</v>
      </c>
      <c r="D521" s="3" t="s">
        <v>4</v>
      </c>
      <c r="E521" s="3" t="s">
        <v>639</v>
      </c>
      <c r="F521" s="3" t="s">
        <v>4</v>
      </c>
    </row>
    <row r="522" spans="1:6" x14ac:dyDescent="0.25">
      <c r="A522" s="2">
        <v>28062</v>
      </c>
      <c r="B522" s="3">
        <v>34</v>
      </c>
      <c r="C522" s="3">
        <v>28</v>
      </c>
      <c r="D522" s="3" t="s">
        <v>4</v>
      </c>
      <c r="E522" s="3" t="s">
        <v>640</v>
      </c>
      <c r="F522" s="3" t="s">
        <v>4</v>
      </c>
    </row>
    <row r="523" spans="1:6" x14ac:dyDescent="0.25">
      <c r="A523" s="2">
        <v>28063</v>
      </c>
      <c r="B523" s="3">
        <v>35</v>
      </c>
      <c r="C523" s="3">
        <v>28</v>
      </c>
      <c r="D523" s="3">
        <v>3193629120</v>
      </c>
      <c r="E523" s="3" t="s">
        <v>641</v>
      </c>
      <c r="F523" s="3">
        <v>3193629120</v>
      </c>
    </row>
    <row r="524" spans="1:6" x14ac:dyDescent="0.25">
      <c r="A524" s="2">
        <v>28064</v>
      </c>
      <c r="B524" s="3">
        <v>36</v>
      </c>
      <c r="C524" s="3">
        <v>28</v>
      </c>
      <c r="D524" s="3" t="s">
        <v>4</v>
      </c>
      <c r="E524" s="3" t="s">
        <v>642</v>
      </c>
      <c r="F524" s="3" t="s">
        <v>4</v>
      </c>
    </row>
    <row r="525" spans="1:6" x14ac:dyDescent="0.25">
      <c r="A525" s="2">
        <v>28065</v>
      </c>
      <c r="B525" s="3">
        <v>37</v>
      </c>
      <c r="C525" s="3">
        <v>28</v>
      </c>
      <c r="D525" s="3">
        <v>9063</v>
      </c>
      <c r="E525" s="3" t="s">
        <v>643</v>
      </c>
      <c r="F525" s="3">
        <v>9063</v>
      </c>
    </row>
    <row r="526" spans="1:6" x14ac:dyDescent="0.25">
      <c r="A526" s="2">
        <v>28066</v>
      </c>
      <c r="B526" s="3">
        <v>38</v>
      </c>
      <c r="C526" s="3">
        <v>28</v>
      </c>
      <c r="D526" s="3">
        <v>196560</v>
      </c>
      <c r="E526" s="3" t="s">
        <v>644</v>
      </c>
      <c r="F526" s="3">
        <v>196560</v>
      </c>
    </row>
    <row r="527" spans="1:6" x14ac:dyDescent="0.25">
      <c r="A527" s="2">
        <v>28067</v>
      </c>
      <c r="B527" s="3">
        <v>39</v>
      </c>
      <c r="C527" s="3">
        <v>28</v>
      </c>
      <c r="D527" s="3">
        <v>21</v>
      </c>
      <c r="E527" s="3" t="s">
        <v>645</v>
      </c>
      <c r="F527" s="3">
        <v>21</v>
      </c>
    </row>
    <row r="528" spans="1:6" x14ac:dyDescent="0.25">
      <c r="A528" s="2">
        <v>28068</v>
      </c>
      <c r="B528" s="3">
        <v>40</v>
      </c>
      <c r="C528" s="3">
        <v>28</v>
      </c>
      <c r="D528" s="3">
        <v>29</v>
      </c>
      <c r="E528" s="3" t="s">
        <v>646</v>
      </c>
      <c r="F528" s="3">
        <v>29</v>
      </c>
    </row>
    <row r="529" spans="1:6" x14ac:dyDescent="0.25">
      <c r="A529" s="2">
        <v>28069</v>
      </c>
      <c r="B529" s="3">
        <v>41</v>
      </c>
      <c r="C529" s="3">
        <v>28</v>
      </c>
      <c r="D529" s="3">
        <v>11.4</v>
      </c>
      <c r="E529" s="3" t="s">
        <v>647</v>
      </c>
      <c r="F529" s="3">
        <v>11.4</v>
      </c>
    </row>
    <row r="530" spans="1:6" x14ac:dyDescent="0.25">
      <c r="A530" s="2">
        <v>28070</v>
      </c>
      <c r="B530" s="3">
        <v>42</v>
      </c>
      <c r="C530" s="3">
        <v>28</v>
      </c>
      <c r="D530" s="3">
        <v>6</v>
      </c>
      <c r="E530" s="3" t="s">
        <v>648</v>
      </c>
      <c r="F530" s="3">
        <v>6</v>
      </c>
    </row>
    <row r="531" spans="1:6" x14ac:dyDescent="0.25">
      <c r="A531" s="2">
        <v>28071</v>
      </c>
      <c r="B531" s="3">
        <v>43</v>
      </c>
      <c r="C531" s="3">
        <v>28</v>
      </c>
      <c r="D531" s="3">
        <v>2.56</v>
      </c>
      <c r="E531" s="3" t="s">
        <v>649</v>
      </c>
      <c r="F531" s="3">
        <v>2.56</v>
      </c>
    </row>
    <row r="532" spans="1:6" x14ac:dyDescent="0.25">
      <c r="A532" s="2">
        <v>28072</v>
      </c>
      <c r="B532" s="3">
        <v>44</v>
      </c>
      <c r="C532" s="3">
        <v>28</v>
      </c>
      <c r="D532" s="3">
        <v>1.587</v>
      </c>
      <c r="E532" s="3" t="s">
        <v>650</v>
      </c>
      <c r="F532" s="3">
        <v>1.587</v>
      </c>
    </row>
    <row r="533" spans="1:6" x14ac:dyDescent="0.25">
      <c r="A533" s="2">
        <v>28073</v>
      </c>
      <c r="B533" s="3">
        <v>45</v>
      </c>
      <c r="C533" s="3">
        <v>28</v>
      </c>
      <c r="D533" s="3">
        <v>0.84199999999999997</v>
      </c>
      <c r="E533" s="3" t="s">
        <v>651</v>
      </c>
      <c r="F533" s="3">
        <v>0.84199999999999997</v>
      </c>
    </row>
    <row r="534" spans="1:6" x14ac:dyDescent="0.25">
      <c r="A534" s="2">
        <v>28074</v>
      </c>
      <c r="B534" s="3">
        <v>46</v>
      </c>
      <c r="C534" s="3">
        <v>28</v>
      </c>
      <c r="D534" s="3">
        <v>0.50770000000000004</v>
      </c>
      <c r="E534" s="3" t="s">
        <v>652</v>
      </c>
      <c r="F534" s="3">
        <v>0.50770000000000004</v>
      </c>
    </row>
    <row r="535" spans="1:6" x14ac:dyDescent="0.25">
      <c r="A535" s="2">
        <v>28075</v>
      </c>
      <c r="B535" s="3">
        <v>47</v>
      </c>
      <c r="C535" s="3">
        <v>28</v>
      </c>
      <c r="D535" s="3">
        <v>0.33179999999999998</v>
      </c>
      <c r="E535" s="3" t="s">
        <v>653</v>
      </c>
      <c r="F535" s="3">
        <v>0.33179999999999998</v>
      </c>
    </row>
    <row r="536" spans="1:6" x14ac:dyDescent="0.25">
      <c r="A536" s="2">
        <v>28076</v>
      </c>
      <c r="B536" s="3">
        <v>48</v>
      </c>
      <c r="C536" s="3">
        <v>28</v>
      </c>
      <c r="D536" s="3">
        <v>0.23469999999999999</v>
      </c>
      <c r="E536" s="3" t="s">
        <v>654</v>
      </c>
      <c r="F536" s="3">
        <v>0.23469999999999999</v>
      </c>
    </row>
    <row r="537" spans="1:6" x14ac:dyDescent="0.25">
      <c r="A537" s="2">
        <v>28077</v>
      </c>
      <c r="B537" s="3">
        <v>49</v>
      </c>
      <c r="C537" s="3">
        <v>28</v>
      </c>
      <c r="D537" s="3">
        <v>0.15840000000000001</v>
      </c>
      <c r="E537" s="3" t="s">
        <v>655</v>
      </c>
      <c r="F537" s="3">
        <v>0.15840000000000001</v>
      </c>
    </row>
    <row r="538" spans="1:6" x14ac:dyDescent="0.25">
      <c r="A538" s="2">
        <v>28078</v>
      </c>
      <c r="B538" s="3">
        <v>50</v>
      </c>
      <c r="C538" s="3">
        <v>28</v>
      </c>
      <c r="D538" s="3">
        <v>0.1222</v>
      </c>
      <c r="E538" s="3" t="s">
        <v>656</v>
      </c>
      <c r="F538" s="3">
        <v>0.1222</v>
      </c>
    </row>
    <row r="539" spans="1:6" x14ac:dyDescent="0.25">
      <c r="A539" s="2">
        <v>28079</v>
      </c>
      <c r="B539" s="3">
        <v>51</v>
      </c>
      <c r="C539" s="3">
        <v>28</v>
      </c>
      <c r="D539" s="3">
        <v>4.2999999999999997E-2</v>
      </c>
      <c r="E539" s="3" t="s">
        <v>657</v>
      </c>
      <c r="F539" s="3">
        <v>4.2999999999999997E-2</v>
      </c>
    </row>
    <row r="540" spans="1:6" x14ac:dyDescent="0.25">
      <c r="A540" s="2">
        <v>28080</v>
      </c>
      <c r="B540" s="3">
        <v>52</v>
      </c>
      <c r="C540" s="3">
        <v>28</v>
      </c>
      <c r="D540" s="3">
        <v>2.4E-2</v>
      </c>
      <c r="E540" s="3" t="s">
        <v>658</v>
      </c>
      <c r="F540" s="3">
        <v>2.4E-2</v>
      </c>
    </row>
    <row r="541" spans="1:6" x14ac:dyDescent="0.25">
      <c r="A541" s="2">
        <v>29055</v>
      </c>
      <c r="B541" s="3">
        <v>26</v>
      </c>
      <c r="C541" s="3">
        <v>29</v>
      </c>
      <c r="D541" s="3">
        <v>2.7E-2</v>
      </c>
      <c r="E541" s="3" t="s">
        <v>659</v>
      </c>
      <c r="F541" s="3">
        <v>2.7E-2</v>
      </c>
    </row>
    <row r="542" spans="1:6" x14ac:dyDescent="0.25">
      <c r="A542" s="2">
        <v>29056</v>
      </c>
      <c r="B542" s="3">
        <v>27</v>
      </c>
      <c r="C542" s="3">
        <v>29</v>
      </c>
      <c r="D542" s="3">
        <v>9.2999999999999999E-2</v>
      </c>
      <c r="E542" s="3" t="s">
        <v>660</v>
      </c>
      <c r="F542" s="3">
        <v>9.2999999999999999E-2</v>
      </c>
    </row>
    <row r="543" spans="1:6" x14ac:dyDescent="0.25">
      <c r="A543" s="2">
        <v>29057</v>
      </c>
      <c r="B543" s="3">
        <v>28</v>
      </c>
      <c r="C543" s="3">
        <v>29</v>
      </c>
      <c r="D543" s="3">
        <v>0.1963</v>
      </c>
      <c r="E543" s="3" t="s">
        <v>661</v>
      </c>
      <c r="F543" s="3">
        <v>0.1963</v>
      </c>
    </row>
    <row r="544" spans="1:6" x14ac:dyDescent="0.25">
      <c r="A544" s="2">
        <v>29058</v>
      </c>
      <c r="B544" s="3">
        <v>29</v>
      </c>
      <c r="C544" s="3">
        <v>29</v>
      </c>
      <c r="D544" s="3">
        <v>3.2040000000000002</v>
      </c>
      <c r="E544" s="3" t="s">
        <v>662</v>
      </c>
      <c r="F544" s="3">
        <v>3.2040000000000002</v>
      </c>
    </row>
    <row r="545" spans="1:6" x14ac:dyDescent="0.25">
      <c r="A545" s="2">
        <v>29059</v>
      </c>
      <c r="B545" s="3">
        <v>30</v>
      </c>
      <c r="C545" s="3">
        <v>29</v>
      </c>
      <c r="D545" s="3">
        <v>81.5</v>
      </c>
      <c r="E545" s="3" t="s">
        <v>663</v>
      </c>
      <c r="F545" s="3">
        <v>81.5</v>
      </c>
    </row>
    <row r="546" spans="1:6" x14ac:dyDescent="0.25">
      <c r="A546" s="2">
        <v>29060</v>
      </c>
      <c r="B546" s="3">
        <v>31</v>
      </c>
      <c r="C546" s="3">
        <v>29</v>
      </c>
      <c r="D546" s="3">
        <v>1422</v>
      </c>
      <c r="E546" s="3" t="s">
        <v>664</v>
      </c>
      <c r="F546" s="3">
        <v>1422</v>
      </c>
    </row>
    <row r="547" spans="1:6" x14ac:dyDescent="0.25">
      <c r="A547" s="2">
        <v>29061</v>
      </c>
      <c r="B547" s="3">
        <v>32</v>
      </c>
      <c r="C547" s="3">
        <v>29</v>
      </c>
      <c r="D547" s="3">
        <v>12020.4</v>
      </c>
      <c r="E547" s="3" t="s">
        <v>665</v>
      </c>
      <c r="F547" s="3">
        <v>12020.4</v>
      </c>
    </row>
    <row r="548" spans="1:6" x14ac:dyDescent="0.25">
      <c r="A548" s="2">
        <v>29062</v>
      </c>
      <c r="B548" s="3">
        <v>33</v>
      </c>
      <c r="C548" s="3">
        <v>29</v>
      </c>
      <c r="D548" s="3">
        <v>580.38</v>
      </c>
      <c r="E548" s="3" t="s">
        <v>666</v>
      </c>
      <c r="F548" s="3">
        <v>580.38</v>
      </c>
    </row>
    <row r="549" spans="1:6" x14ac:dyDescent="0.25">
      <c r="A549" s="2">
        <v>29063</v>
      </c>
      <c r="B549" s="3">
        <v>34</v>
      </c>
      <c r="C549" s="3">
        <v>29</v>
      </c>
      <c r="D549" s="3" t="s">
        <v>4</v>
      </c>
      <c r="E549" s="3" t="s">
        <v>667</v>
      </c>
      <c r="F549" s="3" t="s">
        <v>4</v>
      </c>
    </row>
    <row r="550" spans="1:6" x14ac:dyDescent="0.25">
      <c r="A550" s="2">
        <v>29064</v>
      </c>
      <c r="B550" s="3">
        <v>35</v>
      </c>
      <c r="C550" s="3">
        <v>29</v>
      </c>
      <c r="D550" s="3">
        <v>45723.6</v>
      </c>
      <c r="E550" s="3" t="s">
        <v>668</v>
      </c>
      <c r="F550" s="3">
        <v>45723.6</v>
      </c>
    </row>
    <row r="551" spans="1:6" x14ac:dyDescent="0.25">
      <c r="A551" s="2">
        <v>29065</v>
      </c>
      <c r="B551" s="3">
        <v>36</v>
      </c>
      <c r="C551" s="3">
        <v>29</v>
      </c>
      <c r="D551" s="3" t="s">
        <v>4</v>
      </c>
      <c r="E551" s="3" t="s">
        <v>669</v>
      </c>
      <c r="F551" s="3" t="s">
        <v>4</v>
      </c>
    </row>
    <row r="552" spans="1:6" x14ac:dyDescent="0.25">
      <c r="A552" s="2">
        <v>29066</v>
      </c>
      <c r="B552" s="3">
        <v>37</v>
      </c>
      <c r="C552" s="3">
        <v>29</v>
      </c>
      <c r="D552" s="3">
        <v>307.2</v>
      </c>
      <c r="E552" s="3" t="s">
        <v>670</v>
      </c>
      <c r="F552" s="3">
        <v>307.2</v>
      </c>
    </row>
    <row r="553" spans="1:6" x14ac:dyDescent="0.25">
      <c r="A553" s="2">
        <v>29067</v>
      </c>
      <c r="B553" s="3">
        <v>38</v>
      </c>
      <c r="C553" s="3">
        <v>29</v>
      </c>
      <c r="D553" s="3">
        <v>222588</v>
      </c>
      <c r="E553" s="3" t="s">
        <v>671</v>
      </c>
      <c r="F553" s="3">
        <v>222588</v>
      </c>
    </row>
    <row r="554" spans="1:6" x14ac:dyDescent="0.25">
      <c r="A554" s="2">
        <v>29068</v>
      </c>
      <c r="B554" s="3">
        <v>39</v>
      </c>
      <c r="C554" s="3">
        <v>29</v>
      </c>
      <c r="D554" s="3">
        <v>30.9</v>
      </c>
      <c r="E554" s="3" t="s">
        <v>672</v>
      </c>
      <c r="F554" s="3">
        <v>30.9</v>
      </c>
    </row>
    <row r="555" spans="1:6" x14ac:dyDescent="0.25">
      <c r="A555" s="2">
        <v>29069</v>
      </c>
      <c r="B555" s="3">
        <v>40</v>
      </c>
      <c r="C555" s="3">
        <v>29</v>
      </c>
      <c r="D555" s="3">
        <v>171</v>
      </c>
      <c r="E555" s="3" t="s">
        <v>673</v>
      </c>
      <c r="F555" s="3">
        <v>171</v>
      </c>
    </row>
    <row r="556" spans="1:6" x14ac:dyDescent="0.25">
      <c r="A556" s="2">
        <v>29070</v>
      </c>
      <c r="B556" s="3">
        <v>41</v>
      </c>
      <c r="C556" s="3">
        <v>29</v>
      </c>
      <c r="D556" s="3">
        <v>44.5</v>
      </c>
      <c r="E556" s="3" t="s">
        <v>674</v>
      </c>
      <c r="F556" s="3">
        <v>44.5</v>
      </c>
    </row>
    <row r="557" spans="1:6" x14ac:dyDescent="0.25">
      <c r="A557" s="2">
        <v>29071</v>
      </c>
      <c r="B557" s="3">
        <v>42</v>
      </c>
      <c r="C557" s="3">
        <v>29</v>
      </c>
      <c r="D557" s="3">
        <v>19.399999999999999</v>
      </c>
      <c r="E557" s="3" t="s">
        <v>675</v>
      </c>
      <c r="F557" s="3">
        <v>19.399999999999999</v>
      </c>
    </row>
    <row r="558" spans="1:6" x14ac:dyDescent="0.25">
      <c r="A558" s="2">
        <v>29072</v>
      </c>
      <c r="B558" s="3">
        <v>43</v>
      </c>
      <c r="C558" s="3">
        <v>29</v>
      </c>
      <c r="D558" s="3">
        <v>6.63</v>
      </c>
      <c r="E558" s="3" t="s">
        <v>676</v>
      </c>
      <c r="F558" s="3">
        <v>6.63</v>
      </c>
    </row>
    <row r="559" spans="1:6" x14ac:dyDescent="0.25">
      <c r="A559" s="2">
        <v>29073</v>
      </c>
      <c r="B559" s="3">
        <v>44</v>
      </c>
      <c r="C559" s="3">
        <v>29</v>
      </c>
      <c r="D559" s="3">
        <v>4.2</v>
      </c>
      <c r="E559" s="3" t="s">
        <v>677</v>
      </c>
      <c r="F559" s="3">
        <v>4.2</v>
      </c>
    </row>
    <row r="560" spans="1:6" x14ac:dyDescent="0.25">
      <c r="A560" s="2">
        <v>29074</v>
      </c>
      <c r="B560" s="3">
        <v>45</v>
      </c>
      <c r="C560" s="3">
        <v>29</v>
      </c>
      <c r="D560" s="3">
        <v>1.5940000000000001</v>
      </c>
      <c r="E560" s="3" t="s">
        <v>678</v>
      </c>
      <c r="F560" s="3">
        <v>1.5940000000000001</v>
      </c>
    </row>
    <row r="561" spans="1:6" x14ac:dyDescent="0.25">
      <c r="A561" s="2">
        <v>29075</v>
      </c>
      <c r="B561" s="3">
        <v>46</v>
      </c>
      <c r="C561" s="3">
        <v>29</v>
      </c>
      <c r="D561" s="3">
        <v>1.224</v>
      </c>
      <c r="E561" s="3" t="s">
        <v>679</v>
      </c>
      <c r="F561" s="3">
        <v>1.224</v>
      </c>
    </row>
    <row r="562" spans="1:6" x14ac:dyDescent="0.25">
      <c r="A562" s="2">
        <v>29076</v>
      </c>
      <c r="B562" s="3">
        <v>47</v>
      </c>
      <c r="C562" s="3">
        <v>29</v>
      </c>
      <c r="D562" s="3">
        <v>0.63800000000000001</v>
      </c>
      <c r="E562" s="3" t="s">
        <v>680</v>
      </c>
      <c r="F562" s="3">
        <v>0.63800000000000001</v>
      </c>
    </row>
    <row r="563" spans="1:6" x14ac:dyDescent="0.25">
      <c r="A563" s="2">
        <v>29077</v>
      </c>
      <c r="B563" s="3">
        <v>48</v>
      </c>
      <c r="C563" s="3">
        <v>29</v>
      </c>
      <c r="D563" s="3">
        <v>0.46810000000000002</v>
      </c>
      <c r="E563" s="3" t="s">
        <v>681</v>
      </c>
      <c r="F563" s="3">
        <v>0.46810000000000002</v>
      </c>
    </row>
    <row r="564" spans="1:6" x14ac:dyDescent="0.25">
      <c r="A564" s="2">
        <v>29078</v>
      </c>
      <c r="B564" s="3">
        <v>49</v>
      </c>
      <c r="C564" s="3">
        <v>29</v>
      </c>
      <c r="D564" s="3">
        <v>0.33500000000000002</v>
      </c>
      <c r="E564" s="3" t="s">
        <v>682</v>
      </c>
      <c r="F564" s="3">
        <v>0.33500000000000002</v>
      </c>
    </row>
    <row r="565" spans="1:6" x14ac:dyDescent="0.25">
      <c r="A565" s="2">
        <v>29079</v>
      </c>
      <c r="B565" s="3">
        <v>50</v>
      </c>
      <c r="C565" s="3">
        <v>29</v>
      </c>
      <c r="D565" s="3">
        <v>0.24099999999999999</v>
      </c>
      <c r="E565" s="3" t="s">
        <v>683</v>
      </c>
      <c r="F565" s="3">
        <v>0.24099999999999999</v>
      </c>
    </row>
    <row r="566" spans="1:6" x14ac:dyDescent="0.25">
      <c r="A566" s="2">
        <v>29080</v>
      </c>
      <c r="B566" s="3">
        <v>51</v>
      </c>
      <c r="C566" s="3">
        <v>29</v>
      </c>
      <c r="D566" s="3">
        <v>0.17</v>
      </c>
      <c r="E566" s="3" t="s">
        <v>684</v>
      </c>
      <c r="F566" s="3">
        <v>0.17</v>
      </c>
    </row>
    <row r="567" spans="1:6" x14ac:dyDescent="0.25">
      <c r="A567" s="2">
        <v>29081</v>
      </c>
      <c r="B567" s="3">
        <v>52</v>
      </c>
      <c r="C567" s="3">
        <v>29</v>
      </c>
      <c r="D567" s="3">
        <v>6.3200000000000005E-7</v>
      </c>
      <c r="E567" s="3" t="s">
        <v>685</v>
      </c>
      <c r="F567" s="3">
        <v>6.3200000000000005E-7</v>
      </c>
    </row>
    <row r="568" spans="1:6" x14ac:dyDescent="0.25">
      <c r="A568" s="2">
        <v>29082</v>
      </c>
      <c r="B568" s="3">
        <v>53</v>
      </c>
      <c r="C568" s="3">
        <v>29</v>
      </c>
      <c r="D568" s="3">
        <v>6.3600000000000003E-7</v>
      </c>
      <c r="E568" s="3" t="s">
        <v>686</v>
      </c>
      <c r="F568" s="3">
        <v>6.3600000000000003E-7</v>
      </c>
    </row>
    <row r="569" spans="1:6" x14ac:dyDescent="0.25">
      <c r="A569" s="2">
        <v>30054</v>
      </c>
      <c r="B569" s="3">
        <v>24</v>
      </c>
      <c r="C569" s="3">
        <v>30</v>
      </c>
      <c r="D569" s="3">
        <v>1.5900000000000001E-3</v>
      </c>
      <c r="E569" s="3" t="s">
        <v>687</v>
      </c>
      <c r="F569" s="3">
        <v>1.5900000000000001E-3</v>
      </c>
    </row>
    <row r="570" spans="1:6" x14ac:dyDescent="0.25">
      <c r="A570" s="2">
        <v>30055</v>
      </c>
      <c r="B570" s="3">
        <v>25</v>
      </c>
      <c r="C570" s="3">
        <v>30</v>
      </c>
      <c r="D570" s="3">
        <v>1.9800000000000002E-2</v>
      </c>
      <c r="E570" s="3" t="s">
        <v>688</v>
      </c>
      <c r="F570" s="3">
        <v>1.9800000000000002E-2</v>
      </c>
    </row>
    <row r="571" spans="1:6" x14ac:dyDescent="0.25">
      <c r="A571" s="2">
        <v>30056</v>
      </c>
      <c r="B571" s="3">
        <v>26</v>
      </c>
      <c r="C571" s="3">
        <v>30</v>
      </c>
      <c r="D571" s="3">
        <v>0.03</v>
      </c>
      <c r="E571" s="3" t="s">
        <v>689</v>
      </c>
      <c r="F571" s="3">
        <v>0.03</v>
      </c>
    </row>
    <row r="572" spans="1:6" x14ac:dyDescent="0.25">
      <c r="A572" s="2">
        <v>30057</v>
      </c>
      <c r="B572" s="3">
        <v>27</v>
      </c>
      <c r="C572" s="3">
        <v>30</v>
      </c>
      <c r="D572" s="3">
        <v>3.7999999999999999E-2</v>
      </c>
      <c r="E572" s="3" t="s">
        <v>690</v>
      </c>
      <c r="F572" s="3">
        <v>3.7999999999999999E-2</v>
      </c>
    </row>
    <row r="573" spans="1:6" x14ac:dyDescent="0.25">
      <c r="A573" s="2">
        <v>30058</v>
      </c>
      <c r="B573" s="3">
        <v>28</v>
      </c>
      <c r="C573" s="3">
        <v>30</v>
      </c>
      <c r="D573" s="3">
        <v>8.5999999999999993E-2</v>
      </c>
      <c r="E573" s="3" t="s">
        <v>691</v>
      </c>
      <c r="F573" s="3">
        <v>8.5999999999999993E-2</v>
      </c>
    </row>
    <row r="574" spans="1:6" x14ac:dyDescent="0.25">
      <c r="A574" s="2">
        <v>30059</v>
      </c>
      <c r="B574" s="3">
        <v>29</v>
      </c>
      <c r="C574" s="3">
        <v>30</v>
      </c>
      <c r="D574" s="3">
        <v>0.182</v>
      </c>
      <c r="E574" s="3" t="s">
        <v>692</v>
      </c>
      <c r="F574" s="3">
        <v>0.182</v>
      </c>
    </row>
    <row r="575" spans="1:6" x14ac:dyDescent="0.25">
      <c r="A575" s="2">
        <v>30060</v>
      </c>
      <c r="B575" s="3">
        <v>30</v>
      </c>
      <c r="C575" s="3">
        <v>30</v>
      </c>
      <c r="D575" s="3">
        <v>142.79999999999899</v>
      </c>
      <c r="E575" s="3" t="s">
        <v>693</v>
      </c>
      <c r="F575" s="3">
        <v>142.79999999999899</v>
      </c>
    </row>
    <row r="576" spans="1:6" x14ac:dyDescent="0.25">
      <c r="A576" s="2">
        <v>30061</v>
      </c>
      <c r="B576" s="3">
        <v>31</v>
      </c>
      <c r="C576" s="3">
        <v>30</v>
      </c>
      <c r="D576" s="3">
        <v>89.1</v>
      </c>
      <c r="E576" s="3" t="s">
        <v>694</v>
      </c>
      <c r="F576" s="3">
        <v>89.1</v>
      </c>
    </row>
    <row r="577" spans="1:6" x14ac:dyDescent="0.25">
      <c r="A577" s="2">
        <v>30062</v>
      </c>
      <c r="B577" s="3">
        <v>32</v>
      </c>
      <c r="C577" s="3">
        <v>30</v>
      </c>
      <c r="D577" s="3">
        <v>33069.599999999999</v>
      </c>
      <c r="E577" s="3" t="s">
        <v>695</v>
      </c>
      <c r="F577" s="3">
        <v>33069.599999999999</v>
      </c>
    </row>
    <row r="578" spans="1:6" x14ac:dyDescent="0.25">
      <c r="A578" s="2">
        <v>30063</v>
      </c>
      <c r="B578" s="3">
        <v>33</v>
      </c>
      <c r="C578" s="3">
        <v>30</v>
      </c>
      <c r="D578" s="3">
        <v>2308.1999999999998</v>
      </c>
      <c r="E578" s="3" t="s">
        <v>696</v>
      </c>
      <c r="F578" s="3">
        <v>2308.1999999999998</v>
      </c>
    </row>
    <row r="579" spans="1:6" x14ac:dyDescent="0.25">
      <c r="A579" s="2">
        <v>30064</v>
      </c>
      <c r="B579" s="3">
        <v>34</v>
      </c>
      <c r="C579" s="3">
        <v>30</v>
      </c>
      <c r="D579" s="3">
        <v>2.209032E+28</v>
      </c>
      <c r="E579" s="3" t="s">
        <v>697</v>
      </c>
      <c r="F579" s="3">
        <v>2.209032E+28</v>
      </c>
    </row>
    <row r="580" spans="1:6" x14ac:dyDescent="0.25">
      <c r="A580" s="2">
        <v>30065</v>
      </c>
      <c r="B580" s="3">
        <v>35</v>
      </c>
      <c r="C580" s="3">
        <v>30</v>
      </c>
      <c r="D580" s="3">
        <v>21075552</v>
      </c>
      <c r="E580" s="3" t="s">
        <v>698</v>
      </c>
      <c r="F580" s="3">
        <v>21075552</v>
      </c>
    </row>
    <row r="581" spans="1:6" x14ac:dyDescent="0.25">
      <c r="A581" s="2">
        <v>30066</v>
      </c>
      <c r="B581" s="3">
        <v>36</v>
      </c>
      <c r="C581" s="3">
        <v>30</v>
      </c>
      <c r="D581" s="3" t="s">
        <v>4</v>
      </c>
      <c r="E581" s="3" t="s">
        <v>699</v>
      </c>
      <c r="F581" s="3" t="s">
        <v>4</v>
      </c>
    </row>
    <row r="582" spans="1:6" x14ac:dyDescent="0.25">
      <c r="A582" s="2">
        <v>30067</v>
      </c>
      <c r="B582" s="3">
        <v>37</v>
      </c>
      <c r="C582" s="3">
        <v>30</v>
      </c>
      <c r="D582" s="3" t="s">
        <v>4</v>
      </c>
      <c r="E582" s="3" t="s">
        <v>700</v>
      </c>
      <c r="F582" s="3" t="s">
        <v>4</v>
      </c>
    </row>
    <row r="583" spans="1:6" x14ac:dyDescent="0.25">
      <c r="A583" s="2">
        <v>30068</v>
      </c>
      <c r="B583" s="3">
        <v>38</v>
      </c>
      <c r="C583" s="3">
        <v>30</v>
      </c>
      <c r="D583" s="3" t="s">
        <v>4</v>
      </c>
      <c r="E583" s="3" t="s">
        <v>701</v>
      </c>
      <c r="F583" s="3" t="s">
        <v>4</v>
      </c>
    </row>
    <row r="584" spans="1:6" x14ac:dyDescent="0.25">
      <c r="A584" s="2">
        <v>30069</v>
      </c>
      <c r="B584" s="3">
        <v>39</v>
      </c>
      <c r="C584" s="3">
        <v>30</v>
      </c>
      <c r="D584" s="3">
        <v>3384</v>
      </c>
      <c r="E584" s="3" t="s">
        <v>702</v>
      </c>
      <c r="F584" s="3">
        <v>3384</v>
      </c>
    </row>
    <row r="585" spans="1:6" x14ac:dyDescent="0.25">
      <c r="A585" s="2">
        <v>30070</v>
      </c>
      <c r="B585" s="3">
        <v>40</v>
      </c>
      <c r="C585" s="3">
        <v>30</v>
      </c>
      <c r="D585" s="3">
        <v>7.2582480000000003E+24</v>
      </c>
      <c r="E585" s="3" t="s">
        <v>703</v>
      </c>
      <c r="F585" s="3">
        <v>7.2582480000000003E+24</v>
      </c>
    </row>
    <row r="586" spans="1:6" x14ac:dyDescent="0.25">
      <c r="A586" s="2">
        <v>30071</v>
      </c>
      <c r="B586" s="3">
        <v>41</v>
      </c>
      <c r="C586" s="3">
        <v>30</v>
      </c>
      <c r="D586" s="3">
        <v>147</v>
      </c>
      <c r="E586" s="3" t="s">
        <v>704</v>
      </c>
      <c r="F586" s="3">
        <v>147</v>
      </c>
    </row>
    <row r="587" spans="1:6" x14ac:dyDescent="0.25">
      <c r="A587" s="2">
        <v>30072</v>
      </c>
      <c r="B587" s="3">
        <v>42</v>
      </c>
      <c r="C587" s="3">
        <v>30</v>
      </c>
      <c r="D587" s="3">
        <v>167400</v>
      </c>
      <c r="E587" s="3" t="s">
        <v>705</v>
      </c>
      <c r="F587" s="3">
        <v>167400</v>
      </c>
    </row>
    <row r="588" spans="1:6" x14ac:dyDescent="0.25">
      <c r="A588" s="2">
        <v>30073</v>
      </c>
      <c r="B588" s="3">
        <v>43</v>
      </c>
      <c r="C588" s="3">
        <v>30</v>
      </c>
      <c r="D588" s="3">
        <v>23.5</v>
      </c>
      <c r="E588" s="3" t="s">
        <v>706</v>
      </c>
      <c r="F588" s="3">
        <v>23.5</v>
      </c>
    </row>
    <row r="589" spans="1:6" x14ac:dyDescent="0.25">
      <c r="A589" s="2">
        <v>30074</v>
      </c>
      <c r="B589" s="3">
        <v>44</v>
      </c>
      <c r="C589" s="3">
        <v>30</v>
      </c>
      <c r="D589" s="3">
        <v>95.6</v>
      </c>
      <c r="E589" s="3" t="s">
        <v>707</v>
      </c>
      <c r="F589" s="3">
        <v>95.6</v>
      </c>
    </row>
    <row r="590" spans="1:6" x14ac:dyDescent="0.25">
      <c r="A590" s="2">
        <v>30075</v>
      </c>
      <c r="B590" s="3">
        <v>45</v>
      </c>
      <c r="C590" s="3">
        <v>30</v>
      </c>
      <c r="D590" s="3">
        <v>10.199999999999999</v>
      </c>
      <c r="E590" s="3" t="s">
        <v>708</v>
      </c>
      <c r="F590" s="3">
        <v>10.199999999999999</v>
      </c>
    </row>
    <row r="591" spans="1:6" x14ac:dyDescent="0.25">
      <c r="A591" s="2">
        <v>30076</v>
      </c>
      <c r="B591" s="3">
        <v>46</v>
      </c>
      <c r="C591" s="3">
        <v>30</v>
      </c>
      <c r="D591" s="3">
        <v>5.7</v>
      </c>
      <c r="E591" s="3" t="s">
        <v>709</v>
      </c>
      <c r="F591" s="3">
        <v>5.7</v>
      </c>
    </row>
    <row r="592" spans="1:6" x14ac:dyDescent="0.25">
      <c r="A592" s="2">
        <v>30077</v>
      </c>
      <c r="B592" s="3">
        <v>47</v>
      </c>
      <c r="C592" s="3">
        <v>30</v>
      </c>
      <c r="D592" s="3">
        <v>2.08</v>
      </c>
      <c r="E592" s="3" t="s">
        <v>710</v>
      </c>
      <c r="F592" s="3">
        <v>2.08</v>
      </c>
    </row>
    <row r="593" spans="1:6" x14ac:dyDescent="0.25">
      <c r="A593" s="2">
        <v>30078</v>
      </c>
      <c r="B593" s="3">
        <v>48</v>
      </c>
      <c r="C593" s="3">
        <v>30</v>
      </c>
      <c r="D593" s="3">
        <v>1.47</v>
      </c>
      <c r="E593" s="3" t="s">
        <v>711</v>
      </c>
      <c r="F593" s="3">
        <v>1.47</v>
      </c>
    </row>
    <row r="594" spans="1:6" x14ac:dyDescent="0.25">
      <c r="A594" s="2">
        <v>30079</v>
      </c>
      <c r="B594" s="3">
        <v>49</v>
      </c>
      <c r="C594" s="3">
        <v>30</v>
      </c>
      <c r="D594" s="3">
        <v>0.746</v>
      </c>
      <c r="E594" s="3" t="s">
        <v>712</v>
      </c>
      <c r="F594" s="3">
        <v>0.746</v>
      </c>
    </row>
    <row r="595" spans="1:6" x14ac:dyDescent="0.25">
      <c r="A595" s="2">
        <v>30080</v>
      </c>
      <c r="B595" s="3">
        <v>50</v>
      </c>
      <c r="C595" s="3">
        <v>30</v>
      </c>
      <c r="D595" s="3">
        <v>0.56189999999999996</v>
      </c>
      <c r="E595" s="3" t="s">
        <v>713</v>
      </c>
      <c r="F595" s="3">
        <v>0.56189999999999996</v>
      </c>
    </row>
    <row r="596" spans="1:6" x14ac:dyDescent="0.25">
      <c r="A596" s="2">
        <v>30081</v>
      </c>
      <c r="B596" s="3">
        <v>51</v>
      </c>
      <c r="C596" s="3">
        <v>30</v>
      </c>
      <c r="D596" s="3">
        <v>0.30349999999999999</v>
      </c>
      <c r="E596" s="3" t="s">
        <v>714</v>
      </c>
      <c r="F596" s="3">
        <v>0.30349999999999999</v>
      </c>
    </row>
    <row r="597" spans="1:6" x14ac:dyDescent="0.25">
      <c r="A597" s="2">
        <v>30082</v>
      </c>
      <c r="B597" s="3">
        <v>52</v>
      </c>
      <c r="C597" s="3">
        <v>30</v>
      </c>
      <c r="D597" s="3">
        <v>0.22800000000000001</v>
      </c>
      <c r="E597" s="3" t="s">
        <v>715</v>
      </c>
      <c r="F597" s="3">
        <v>0.22800000000000001</v>
      </c>
    </row>
    <row r="598" spans="1:6" x14ac:dyDescent="0.25">
      <c r="A598" s="2">
        <v>30083</v>
      </c>
      <c r="B598" s="3">
        <v>53</v>
      </c>
      <c r="C598" s="3">
        <v>30</v>
      </c>
      <c r="D598" s="3">
        <v>0.11700000000000001</v>
      </c>
      <c r="E598" s="3" t="s">
        <v>716</v>
      </c>
      <c r="F598" s="3">
        <v>0.11700000000000001</v>
      </c>
    </row>
    <row r="599" spans="1:6" x14ac:dyDescent="0.25">
      <c r="A599" s="2">
        <v>30084</v>
      </c>
      <c r="B599" s="3">
        <v>54</v>
      </c>
      <c r="C599" s="3">
        <v>30</v>
      </c>
      <c r="D599" s="3">
        <v>6.3300000000000002E-7</v>
      </c>
      <c r="E599" s="3" t="s">
        <v>717</v>
      </c>
      <c r="F599" s="3">
        <v>6.3300000000000002E-7</v>
      </c>
    </row>
    <row r="600" spans="1:6" x14ac:dyDescent="0.25">
      <c r="A600" s="2">
        <v>30085</v>
      </c>
      <c r="B600" s="3">
        <v>55</v>
      </c>
      <c r="C600" s="3">
        <v>30</v>
      </c>
      <c r="D600" s="3">
        <v>6.37E-7</v>
      </c>
      <c r="E600" s="3" t="s">
        <v>718</v>
      </c>
      <c r="F600" s="3">
        <v>6.37E-7</v>
      </c>
    </row>
    <row r="601" spans="1:6" x14ac:dyDescent="0.25">
      <c r="A601" s="2">
        <v>31060</v>
      </c>
      <c r="B601" s="3">
        <v>29</v>
      </c>
      <c r="C601" s="3">
        <v>31</v>
      </c>
      <c r="D601" s="3">
        <v>7.0000000000000007E-2</v>
      </c>
      <c r="E601" s="3" t="s">
        <v>719</v>
      </c>
      <c r="F601" s="3">
        <v>7.0000000000000007E-2</v>
      </c>
    </row>
    <row r="602" spans="1:6" x14ac:dyDescent="0.25">
      <c r="A602" s="2">
        <v>31061</v>
      </c>
      <c r="B602" s="3">
        <v>30</v>
      </c>
      <c r="C602" s="3">
        <v>31</v>
      </c>
      <c r="D602" s="3">
        <v>0.16700000000000001</v>
      </c>
      <c r="E602" s="3" t="s">
        <v>720</v>
      </c>
      <c r="F602" s="3">
        <v>0.16700000000000001</v>
      </c>
    </row>
    <row r="603" spans="1:6" x14ac:dyDescent="0.25">
      <c r="A603" s="2">
        <v>31062</v>
      </c>
      <c r="B603" s="3">
        <v>31</v>
      </c>
      <c r="C603" s="3">
        <v>31</v>
      </c>
      <c r="D603" s="3">
        <v>0.116121</v>
      </c>
      <c r="E603" s="3" t="s">
        <v>721</v>
      </c>
      <c r="F603" s="3">
        <v>0.116121</v>
      </c>
    </row>
    <row r="604" spans="1:6" x14ac:dyDescent="0.25">
      <c r="A604" s="2">
        <v>31063</v>
      </c>
      <c r="B604" s="3">
        <v>32</v>
      </c>
      <c r="C604" s="3">
        <v>31</v>
      </c>
      <c r="D604" s="3">
        <v>32.4</v>
      </c>
      <c r="E604" s="3" t="s">
        <v>722</v>
      </c>
      <c r="F604" s="3">
        <v>32.4</v>
      </c>
    </row>
    <row r="605" spans="1:6" x14ac:dyDescent="0.25">
      <c r="A605" s="2">
        <v>31064</v>
      </c>
      <c r="B605" s="3">
        <v>33</v>
      </c>
      <c r="C605" s="3">
        <v>31</v>
      </c>
      <c r="D605" s="3">
        <v>157.61999999999901</v>
      </c>
      <c r="E605" s="3" t="s">
        <v>723</v>
      </c>
      <c r="F605" s="3">
        <v>157.61999999999901</v>
      </c>
    </row>
    <row r="606" spans="1:6" x14ac:dyDescent="0.25">
      <c r="A606" s="2">
        <v>31065</v>
      </c>
      <c r="B606" s="3">
        <v>34</v>
      </c>
      <c r="C606" s="3">
        <v>31</v>
      </c>
      <c r="D606" s="3">
        <v>912</v>
      </c>
      <c r="E606" s="3" t="s">
        <v>724</v>
      </c>
      <c r="F606" s="3">
        <v>912</v>
      </c>
    </row>
    <row r="607" spans="1:6" x14ac:dyDescent="0.25">
      <c r="A607" s="2">
        <v>31066</v>
      </c>
      <c r="B607" s="3">
        <v>35</v>
      </c>
      <c r="C607" s="3">
        <v>31</v>
      </c>
      <c r="D607" s="3">
        <v>34164</v>
      </c>
      <c r="E607" s="3" t="s">
        <v>725</v>
      </c>
      <c r="F607" s="3">
        <v>34164</v>
      </c>
    </row>
    <row r="608" spans="1:6" x14ac:dyDescent="0.25">
      <c r="A608" s="2">
        <v>31067</v>
      </c>
      <c r="B608" s="3">
        <v>36</v>
      </c>
      <c r="C608" s="3">
        <v>31</v>
      </c>
      <c r="D608" s="3">
        <v>281810.88</v>
      </c>
      <c r="E608" s="3" t="s">
        <v>726</v>
      </c>
      <c r="F608" s="3">
        <v>281810.88</v>
      </c>
    </row>
    <row r="609" spans="1:6" x14ac:dyDescent="0.25">
      <c r="A609" s="2">
        <v>31068</v>
      </c>
      <c r="B609" s="3">
        <v>37</v>
      </c>
      <c r="C609" s="3">
        <v>31</v>
      </c>
      <c r="D609" s="3">
        <v>4062.5999999999899</v>
      </c>
      <c r="E609" s="3" t="s">
        <v>727</v>
      </c>
      <c r="F609" s="3">
        <v>4062.5999999999899</v>
      </c>
    </row>
    <row r="610" spans="1:6" x14ac:dyDescent="0.25">
      <c r="A610" s="2">
        <v>31069</v>
      </c>
      <c r="B610" s="3">
        <v>38</v>
      </c>
      <c r="C610" s="3">
        <v>31</v>
      </c>
      <c r="D610" s="3" t="s">
        <v>4</v>
      </c>
      <c r="E610" s="3" t="s">
        <v>728</v>
      </c>
      <c r="F610" s="3" t="s">
        <v>4</v>
      </c>
    </row>
    <row r="611" spans="1:6" x14ac:dyDescent="0.25">
      <c r="A611" s="2">
        <v>31070</v>
      </c>
      <c r="B611" s="3">
        <v>39</v>
      </c>
      <c r="C611" s="3">
        <v>31</v>
      </c>
      <c r="D611" s="3">
        <v>1268.4000000000001</v>
      </c>
      <c r="E611" s="3" t="s">
        <v>729</v>
      </c>
      <c r="F611" s="3">
        <v>1268.4000000000001</v>
      </c>
    </row>
    <row r="612" spans="1:6" x14ac:dyDescent="0.25">
      <c r="A612" s="2">
        <v>31071</v>
      </c>
      <c r="B612" s="3">
        <v>40</v>
      </c>
      <c r="C612" s="3">
        <v>31</v>
      </c>
      <c r="D612" s="3" t="s">
        <v>4</v>
      </c>
      <c r="E612" s="3" t="s">
        <v>730</v>
      </c>
      <c r="F612" s="3" t="s">
        <v>4</v>
      </c>
    </row>
    <row r="613" spans="1:6" x14ac:dyDescent="0.25">
      <c r="A613" s="2">
        <v>31072</v>
      </c>
      <c r="B613" s="3">
        <v>41</v>
      </c>
      <c r="C613" s="3">
        <v>31</v>
      </c>
      <c r="D613" s="3">
        <v>50760</v>
      </c>
      <c r="E613" s="3" t="s">
        <v>731</v>
      </c>
      <c r="F613" s="3">
        <v>50760</v>
      </c>
    </row>
    <row r="614" spans="1:6" x14ac:dyDescent="0.25">
      <c r="A614" s="2">
        <v>31073</v>
      </c>
      <c r="B614" s="3">
        <v>42</v>
      </c>
      <c r="C614" s="3">
        <v>31</v>
      </c>
      <c r="D614" s="3">
        <v>17496</v>
      </c>
      <c r="E614" s="3" t="s">
        <v>732</v>
      </c>
      <c r="F614" s="3">
        <v>17496</v>
      </c>
    </row>
    <row r="615" spans="1:6" x14ac:dyDescent="0.25">
      <c r="A615" s="2">
        <v>31074</v>
      </c>
      <c r="B615" s="3">
        <v>43</v>
      </c>
      <c r="C615" s="3">
        <v>31</v>
      </c>
      <c r="D615" s="3">
        <v>487.19999999999902</v>
      </c>
      <c r="E615" s="3" t="s">
        <v>733</v>
      </c>
      <c r="F615" s="3">
        <v>487.19999999999902</v>
      </c>
    </row>
    <row r="616" spans="1:6" x14ac:dyDescent="0.25">
      <c r="A616" s="2">
        <v>31075</v>
      </c>
      <c r="B616" s="3">
        <v>44</v>
      </c>
      <c r="C616" s="3">
        <v>31</v>
      </c>
      <c r="D616" s="3">
        <v>126</v>
      </c>
      <c r="E616" s="3" t="s">
        <v>734</v>
      </c>
      <c r="F616" s="3">
        <v>126</v>
      </c>
    </row>
    <row r="617" spans="1:6" x14ac:dyDescent="0.25">
      <c r="A617" s="2">
        <v>31076</v>
      </c>
      <c r="B617" s="3">
        <v>45</v>
      </c>
      <c r="C617" s="3">
        <v>31</v>
      </c>
      <c r="D617" s="3">
        <v>32.6</v>
      </c>
      <c r="E617" s="3" t="s">
        <v>735</v>
      </c>
      <c r="F617" s="3">
        <v>32.6</v>
      </c>
    </row>
    <row r="618" spans="1:6" x14ac:dyDescent="0.25">
      <c r="A618" s="2">
        <v>31077</v>
      </c>
      <c r="B618" s="3">
        <v>46</v>
      </c>
      <c r="C618" s="3">
        <v>31</v>
      </c>
      <c r="D618" s="3">
        <v>13.2</v>
      </c>
      <c r="E618" s="3" t="s">
        <v>736</v>
      </c>
      <c r="F618" s="3">
        <v>13.2</v>
      </c>
    </row>
    <row r="619" spans="1:6" x14ac:dyDescent="0.25">
      <c r="A619" s="2">
        <v>31078</v>
      </c>
      <c r="B619" s="3">
        <v>47</v>
      </c>
      <c r="C619" s="3">
        <v>31</v>
      </c>
      <c r="D619" s="3">
        <v>5.09</v>
      </c>
      <c r="E619" s="3" t="s">
        <v>737</v>
      </c>
      <c r="F619" s="3">
        <v>5.09</v>
      </c>
    </row>
    <row r="620" spans="1:6" x14ac:dyDescent="0.25">
      <c r="A620" s="2">
        <v>31079</v>
      </c>
      <c r="B620" s="3">
        <v>48</v>
      </c>
      <c r="C620" s="3">
        <v>31</v>
      </c>
      <c r="D620" s="3">
        <v>2.847</v>
      </c>
      <c r="E620" s="3" t="s">
        <v>738</v>
      </c>
      <c r="F620" s="3">
        <v>2.847</v>
      </c>
    </row>
    <row r="621" spans="1:6" x14ac:dyDescent="0.25">
      <c r="A621" s="2">
        <v>31080</v>
      </c>
      <c r="B621" s="3">
        <v>49</v>
      </c>
      <c r="C621" s="3">
        <v>31</v>
      </c>
      <c r="D621" s="3">
        <v>1.9</v>
      </c>
      <c r="E621" s="3" t="s">
        <v>739</v>
      </c>
      <c r="F621" s="3">
        <v>1.9</v>
      </c>
    </row>
    <row r="622" spans="1:6" x14ac:dyDescent="0.25">
      <c r="A622" s="2">
        <v>31081</v>
      </c>
      <c r="B622" s="3">
        <v>50</v>
      </c>
      <c r="C622" s="3">
        <v>31</v>
      </c>
      <c r="D622" s="3">
        <v>1.2170000000000001</v>
      </c>
      <c r="E622" s="3" t="s">
        <v>740</v>
      </c>
      <c r="F622" s="3">
        <v>1.2170000000000001</v>
      </c>
    </row>
    <row r="623" spans="1:6" x14ac:dyDescent="0.25">
      <c r="A623" s="2">
        <v>31082</v>
      </c>
      <c r="B623" s="3">
        <v>51</v>
      </c>
      <c r="C623" s="3">
        <v>31</v>
      </c>
      <c r="D623" s="3">
        <v>0.59899999999999998</v>
      </c>
      <c r="E623" s="3" t="s">
        <v>741</v>
      </c>
      <c r="F623" s="3">
        <v>0.59899999999999998</v>
      </c>
    </row>
    <row r="624" spans="1:6" x14ac:dyDescent="0.25">
      <c r="A624" s="2">
        <v>31083</v>
      </c>
      <c r="B624" s="3">
        <v>52</v>
      </c>
      <c r="C624" s="3">
        <v>31</v>
      </c>
      <c r="D624" s="3">
        <v>0.30809999999999998</v>
      </c>
      <c r="E624" s="3" t="s">
        <v>742</v>
      </c>
      <c r="F624" s="3">
        <v>0.30809999999999998</v>
      </c>
    </row>
    <row r="625" spans="1:6" x14ac:dyDescent="0.25">
      <c r="A625" s="2">
        <v>31084</v>
      </c>
      <c r="B625" s="3">
        <v>53</v>
      </c>
      <c r="C625" s="3">
        <v>31</v>
      </c>
      <c r="D625" s="3">
        <v>8.5000000000000006E-2</v>
      </c>
      <c r="E625" s="3" t="s">
        <v>743</v>
      </c>
      <c r="F625" s="3">
        <v>8.5000000000000006E-2</v>
      </c>
    </row>
    <row r="626" spans="1:6" x14ac:dyDescent="0.25">
      <c r="A626" s="2">
        <v>31085</v>
      </c>
      <c r="B626" s="3">
        <v>54</v>
      </c>
      <c r="C626" s="3">
        <v>31</v>
      </c>
      <c r="D626" s="3">
        <v>9.1999999999999998E-2</v>
      </c>
      <c r="E626" s="3" t="s">
        <v>744</v>
      </c>
      <c r="F626" s="3">
        <v>9.1999999999999998E-2</v>
      </c>
    </row>
    <row r="627" spans="1:6" x14ac:dyDescent="0.25">
      <c r="A627" s="2">
        <v>31086</v>
      </c>
      <c r="B627" s="3">
        <v>55</v>
      </c>
      <c r="C627" s="3">
        <v>31</v>
      </c>
      <c r="D627" s="3">
        <v>4.2999999999999997E-2</v>
      </c>
      <c r="E627" s="3" t="s">
        <v>745</v>
      </c>
      <c r="F627" s="3">
        <v>4.2999999999999997E-2</v>
      </c>
    </row>
    <row r="628" spans="1:6" x14ac:dyDescent="0.25">
      <c r="A628" s="2">
        <v>31087</v>
      </c>
      <c r="B628" s="3">
        <v>56</v>
      </c>
      <c r="C628" s="3">
        <v>31</v>
      </c>
      <c r="D628" s="3">
        <v>6.3399999999999999E-7</v>
      </c>
      <c r="E628" s="3" t="s">
        <v>746</v>
      </c>
      <c r="F628" s="3">
        <v>6.3399999999999999E-7</v>
      </c>
    </row>
    <row r="629" spans="1:6" x14ac:dyDescent="0.25">
      <c r="A629" s="2">
        <v>32059</v>
      </c>
      <c r="B629" s="3">
        <v>27</v>
      </c>
      <c r="C629" s="3">
        <v>32</v>
      </c>
      <c r="D629" s="3">
        <v>3.5999999999999999E-7</v>
      </c>
      <c r="E629" s="3" t="s">
        <v>747</v>
      </c>
      <c r="F629" s="3">
        <v>3.5999999999999999E-7</v>
      </c>
    </row>
    <row r="630" spans="1:6" x14ac:dyDescent="0.25">
      <c r="A630" s="2">
        <v>32060</v>
      </c>
      <c r="B630" s="3">
        <v>28</v>
      </c>
      <c r="C630" s="3">
        <v>32</v>
      </c>
      <c r="D630" s="3">
        <v>1.1000000000000001E-7</v>
      </c>
      <c r="E630" s="3" t="s">
        <v>748</v>
      </c>
      <c r="F630" s="3">
        <v>1.1000000000000001E-7</v>
      </c>
    </row>
    <row r="631" spans="1:6" x14ac:dyDescent="0.25">
      <c r="A631" s="2">
        <v>32061</v>
      </c>
      <c r="B631" s="3">
        <v>29</v>
      </c>
      <c r="C631" s="3">
        <v>32</v>
      </c>
      <c r="D631" s="3">
        <v>4.3999999999999997E-2</v>
      </c>
      <c r="E631" s="3" t="s">
        <v>749</v>
      </c>
      <c r="F631" s="3">
        <v>4.3999999999999997E-2</v>
      </c>
    </row>
    <row r="632" spans="1:6" x14ac:dyDescent="0.25">
      <c r="A632" s="2">
        <v>32062</v>
      </c>
      <c r="B632" s="3">
        <v>30</v>
      </c>
      <c r="C632" s="3">
        <v>32</v>
      </c>
      <c r="D632" s="3">
        <v>0.129</v>
      </c>
      <c r="E632" s="3" t="s">
        <v>750</v>
      </c>
      <c r="F632" s="3">
        <v>0.129</v>
      </c>
    </row>
    <row r="633" spans="1:6" x14ac:dyDescent="0.25">
      <c r="A633" s="2">
        <v>32063</v>
      </c>
      <c r="B633" s="3">
        <v>31</v>
      </c>
      <c r="C633" s="3">
        <v>32</v>
      </c>
      <c r="D633" s="3">
        <v>0.15</v>
      </c>
      <c r="E633" s="3" t="s">
        <v>751</v>
      </c>
      <c r="F633" s="3">
        <v>0.15</v>
      </c>
    </row>
    <row r="634" spans="1:6" x14ac:dyDescent="0.25">
      <c r="A634" s="2">
        <v>32064</v>
      </c>
      <c r="B634" s="3">
        <v>32</v>
      </c>
      <c r="C634" s="3">
        <v>32</v>
      </c>
      <c r="D634" s="3">
        <v>63.7</v>
      </c>
      <c r="E634" s="3" t="s">
        <v>752</v>
      </c>
      <c r="F634" s="3">
        <v>63.7</v>
      </c>
    </row>
    <row r="635" spans="1:6" x14ac:dyDescent="0.25">
      <c r="A635" s="2">
        <v>32065</v>
      </c>
      <c r="B635" s="3">
        <v>33</v>
      </c>
      <c r="C635" s="3">
        <v>32</v>
      </c>
      <c r="D635" s="3">
        <v>30.9</v>
      </c>
      <c r="E635" s="3" t="s">
        <v>753</v>
      </c>
      <c r="F635" s="3">
        <v>30.9</v>
      </c>
    </row>
    <row r="636" spans="1:6" x14ac:dyDescent="0.25">
      <c r="A636" s="2">
        <v>32066</v>
      </c>
      <c r="B636" s="3">
        <v>34</v>
      </c>
      <c r="C636" s="3">
        <v>32</v>
      </c>
      <c r="D636" s="3">
        <v>8135.99999999999</v>
      </c>
      <c r="E636" s="3" t="s">
        <v>754</v>
      </c>
      <c r="F636" s="3">
        <v>8135.99999999999</v>
      </c>
    </row>
    <row r="637" spans="1:6" x14ac:dyDescent="0.25">
      <c r="A637" s="2">
        <v>32067</v>
      </c>
      <c r="B637" s="3">
        <v>35</v>
      </c>
      <c r="C637" s="3">
        <v>32</v>
      </c>
      <c r="D637" s="3">
        <v>1134</v>
      </c>
      <c r="E637" s="3" t="s">
        <v>755</v>
      </c>
      <c r="F637" s="3">
        <v>1134</v>
      </c>
    </row>
    <row r="638" spans="1:6" x14ac:dyDescent="0.25">
      <c r="A638" s="2">
        <v>32068</v>
      </c>
      <c r="B638" s="3">
        <v>36</v>
      </c>
      <c r="C638" s="3">
        <v>32</v>
      </c>
      <c r="D638" s="3">
        <v>23408352</v>
      </c>
      <c r="E638" s="3" t="s">
        <v>756</v>
      </c>
      <c r="F638" s="3">
        <v>23408352</v>
      </c>
    </row>
    <row r="639" spans="1:6" x14ac:dyDescent="0.25">
      <c r="A639" s="2">
        <v>32069</v>
      </c>
      <c r="B639" s="3">
        <v>37</v>
      </c>
      <c r="C639" s="3">
        <v>32</v>
      </c>
      <c r="D639" s="3">
        <v>140580</v>
      </c>
      <c r="E639" s="3" t="s">
        <v>757</v>
      </c>
      <c r="F639" s="3">
        <v>140580</v>
      </c>
    </row>
    <row r="640" spans="1:6" x14ac:dyDescent="0.25">
      <c r="A640" s="2">
        <v>32070</v>
      </c>
      <c r="B640" s="3">
        <v>38</v>
      </c>
      <c r="C640" s="3">
        <v>32</v>
      </c>
      <c r="D640" s="3" t="s">
        <v>4</v>
      </c>
      <c r="E640" s="3" t="s">
        <v>758</v>
      </c>
      <c r="F640" s="3" t="s">
        <v>4</v>
      </c>
    </row>
    <row r="641" spans="1:6" x14ac:dyDescent="0.25">
      <c r="A641" s="2">
        <v>32071</v>
      </c>
      <c r="B641" s="3">
        <v>39</v>
      </c>
      <c r="C641" s="3">
        <v>32</v>
      </c>
      <c r="D641" s="3">
        <v>987552</v>
      </c>
      <c r="E641" s="3" t="s">
        <v>759</v>
      </c>
      <c r="F641" s="3">
        <v>987552</v>
      </c>
    </row>
    <row r="642" spans="1:6" x14ac:dyDescent="0.25">
      <c r="A642" s="2">
        <v>32072</v>
      </c>
      <c r="B642" s="3">
        <v>40</v>
      </c>
      <c r="C642" s="3">
        <v>32</v>
      </c>
      <c r="D642" s="3" t="s">
        <v>4</v>
      </c>
      <c r="E642" s="3" t="s">
        <v>760</v>
      </c>
      <c r="F642" s="3" t="s">
        <v>4</v>
      </c>
    </row>
    <row r="643" spans="1:6" x14ac:dyDescent="0.25">
      <c r="A643" s="2">
        <v>32073</v>
      </c>
      <c r="B643" s="3">
        <v>41</v>
      </c>
      <c r="C643" s="3">
        <v>32</v>
      </c>
      <c r="D643" s="3" t="s">
        <v>4</v>
      </c>
      <c r="E643" s="3" t="s">
        <v>761</v>
      </c>
      <c r="F643" s="3" t="s">
        <v>4</v>
      </c>
    </row>
    <row r="644" spans="1:6" x14ac:dyDescent="0.25">
      <c r="A644" s="2">
        <v>32074</v>
      </c>
      <c r="B644" s="3">
        <v>42</v>
      </c>
      <c r="C644" s="3">
        <v>32</v>
      </c>
      <c r="D644" s="3" t="s">
        <v>4</v>
      </c>
      <c r="E644" s="3" t="s">
        <v>762</v>
      </c>
      <c r="F644" s="3" t="s">
        <v>4</v>
      </c>
    </row>
    <row r="645" spans="1:6" x14ac:dyDescent="0.25">
      <c r="A645" s="2">
        <v>32075</v>
      </c>
      <c r="B645" s="3">
        <v>43</v>
      </c>
      <c r="C645" s="3">
        <v>32</v>
      </c>
      <c r="D645" s="3">
        <v>4966.8</v>
      </c>
      <c r="E645" s="3" t="s">
        <v>763</v>
      </c>
      <c r="F645" s="3">
        <v>4966.8</v>
      </c>
    </row>
    <row r="646" spans="1:6" x14ac:dyDescent="0.25">
      <c r="A646" s="2">
        <v>32076</v>
      </c>
      <c r="B646" s="3">
        <v>44</v>
      </c>
      <c r="C646" s="3">
        <v>32</v>
      </c>
      <c r="D646" s="3" t="s">
        <v>4</v>
      </c>
      <c r="E646" s="3" t="s">
        <v>764</v>
      </c>
      <c r="F646" s="3" t="s">
        <v>4</v>
      </c>
    </row>
    <row r="647" spans="1:6" x14ac:dyDescent="0.25">
      <c r="A647" s="2">
        <v>32077</v>
      </c>
      <c r="B647" s="3">
        <v>45</v>
      </c>
      <c r="C647" s="3">
        <v>32</v>
      </c>
      <c r="D647" s="3">
        <v>40680</v>
      </c>
      <c r="E647" s="3" t="s">
        <v>765</v>
      </c>
      <c r="F647" s="3">
        <v>40680</v>
      </c>
    </row>
    <row r="648" spans="1:6" x14ac:dyDescent="0.25">
      <c r="A648" s="2">
        <v>32078</v>
      </c>
      <c r="B648" s="3">
        <v>46</v>
      </c>
      <c r="C648" s="3">
        <v>32</v>
      </c>
      <c r="D648" s="3">
        <v>5280</v>
      </c>
      <c r="E648" s="3" t="s">
        <v>766</v>
      </c>
      <c r="F648" s="3">
        <v>5280</v>
      </c>
    </row>
    <row r="649" spans="1:6" x14ac:dyDescent="0.25">
      <c r="A649" s="2">
        <v>32079</v>
      </c>
      <c r="B649" s="3">
        <v>47</v>
      </c>
      <c r="C649" s="3">
        <v>32</v>
      </c>
      <c r="D649" s="3">
        <v>18.98</v>
      </c>
      <c r="E649" s="3" t="s">
        <v>767</v>
      </c>
      <c r="F649" s="3">
        <v>18.98</v>
      </c>
    </row>
    <row r="650" spans="1:6" x14ac:dyDescent="0.25">
      <c r="A650" s="2">
        <v>32080</v>
      </c>
      <c r="B650" s="3">
        <v>48</v>
      </c>
      <c r="C650" s="3">
        <v>32</v>
      </c>
      <c r="D650" s="3">
        <v>29.5</v>
      </c>
      <c r="E650" s="3" t="s">
        <v>768</v>
      </c>
      <c r="F650" s="3">
        <v>29.5</v>
      </c>
    </row>
    <row r="651" spans="1:6" x14ac:dyDescent="0.25">
      <c r="A651" s="2">
        <v>32081</v>
      </c>
      <c r="B651" s="3">
        <v>49</v>
      </c>
      <c r="C651" s="3">
        <v>32</v>
      </c>
      <c r="D651" s="3">
        <v>7.6</v>
      </c>
      <c r="E651" s="3" t="s">
        <v>769</v>
      </c>
      <c r="F651" s="3">
        <v>7.6</v>
      </c>
    </row>
    <row r="652" spans="1:6" x14ac:dyDescent="0.25">
      <c r="A652" s="2">
        <v>32082</v>
      </c>
      <c r="B652" s="3">
        <v>50</v>
      </c>
      <c r="C652" s="3">
        <v>32</v>
      </c>
      <c r="D652" s="3">
        <v>4.5599999999999996</v>
      </c>
      <c r="E652" s="3" t="s">
        <v>770</v>
      </c>
      <c r="F652" s="3">
        <v>4.5599999999999996</v>
      </c>
    </row>
    <row r="653" spans="1:6" x14ac:dyDescent="0.25">
      <c r="A653" s="2">
        <v>32083</v>
      </c>
      <c r="B653" s="3">
        <v>51</v>
      </c>
      <c r="C653" s="3">
        <v>32</v>
      </c>
      <c r="D653" s="3">
        <v>1.85</v>
      </c>
      <c r="E653" s="3" t="s">
        <v>771</v>
      </c>
      <c r="F653" s="3">
        <v>1.85</v>
      </c>
    </row>
    <row r="654" spans="1:6" x14ac:dyDescent="0.25">
      <c r="A654" s="2">
        <v>32084</v>
      </c>
      <c r="B654" s="3">
        <v>52</v>
      </c>
      <c r="C654" s="3">
        <v>32</v>
      </c>
      <c r="D654" s="3">
        <v>0.95399999999999996</v>
      </c>
      <c r="E654" s="3" t="s">
        <v>772</v>
      </c>
      <c r="F654" s="3">
        <v>0.95399999999999996</v>
      </c>
    </row>
    <row r="655" spans="1:6" x14ac:dyDescent="0.25">
      <c r="A655" s="2">
        <v>32085</v>
      </c>
      <c r="B655" s="3">
        <v>53</v>
      </c>
      <c r="C655" s="3">
        <v>32</v>
      </c>
      <c r="D655" s="3">
        <v>0.503</v>
      </c>
      <c r="E655" s="3" t="s">
        <v>773</v>
      </c>
      <c r="F655" s="3">
        <v>0.503</v>
      </c>
    </row>
    <row r="656" spans="1:6" x14ac:dyDescent="0.25">
      <c r="A656" s="2">
        <v>32086</v>
      </c>
      <c r="B656" s="3">
        <v>54</v>
      </c>
      <c r="C656" s="3">
        <v>32</v>
      </c>
      <c r="D656" s="3">
        <v>0.22600000000000001</v>
      </c>
      <c r="E656" s="3" t="s">
        <v>774</v>
      </c>
      <c r="F656" s="3">
        <v>0.22600000000000001</v>
      </c>
    </row>
    <row r="657" spans="1:6" x14ac:dyDescent="0.25">
      <c r="A657" s="2">
        <v>32087</v>
      </c>
      <c r="B657" s="3">
        <v>55</v>
      </c>
      <c r="C657" s="3">
        <v>32</v>
      </c>
      <c r="D657" s="3">
        <v>0.14000000000000001</v>
      </c>
      <c r="E657" s="3" t="s">
        <v>775</v>
      </c>
      <c r="F657" s="3">
        <v>0.14000000000000001</v>
      </c>
    </row>
    <row r="658" spans="1:6" x14ac:dyDescent="0.25">
      <c r="A658" s="2">
        <v>32088</v>
      </c>
      <c r="B658" s="3">
        <v>56</v>
      </c>
      <c r="C658" s="3">
        <v>32</v>
      </c>
      <c r="D658" s="3">
        <v>2.9999999999999999E-7</v>
      </c>
      <c r="E658" s="3" t="s">
        <v>776</v>
      </c>
      <c r="F658" s="3">
        <v>2.9999999999999999E-7</v>
      </c>
    </row>
    <row r="659" spans="1:6" x14ac:dyDescent="0.25">
      <c r="A659" s="2">
        <v>32089</v>
      </c>
      <c r="B659" s="3">
        <v>57</v>
      </c>
      <c r="C659" s="3">
        <v>32</v>
      </c>
      <c r="D659" s="3">
        <v>2.9999999999999999E-7</v>
      </c>
      <c r="E659" s="3" t="s">
        <v>777</v>
      </c>
      <c r="F659" s="3">
        <v>2.9999999999999999E-7</v>
      </c>
    </row>
    <row r="660" spans="1:6" x14ac:dyDescent="0.25">
      <c r="A660" s="2">
        <v>32090</v>
      </c>
      <c r="B660" s="3">
        <v>58</v>
      </c>
      <c r="C660" s="3">
        <v>32</v>
      </c>
      <c r="D660" s="3">
        <v>6.3499999999999996E-7</v>
      </c>
      <c r="E660" s="3" t="s">
        <v>778</v>
      </c>
      <c r="F660" s="3">
        <v>6.3499999999999996E-7</v>
      </c>
    </row>
    <row r="661" spans="1:6" x14ac:dyDescent="0.25">
      <c r="A661" s="2">
        <v>33064</v>
      </c>
      <c r="B661" s="3">
        <v>31</v>
      </c>
      <c r="C661" s="3">
        <v>33</v>
      </c>
      <c r="D661" s="3">
        <v>1.7999999999999999E-2</v>
      </c>
      <c r="E661" s="3" t="s">
        <v>779</v>
      </c>
      <c r="F661" s="3">
        <v>1.7999999999999999E-2</v>
      </c>
    </row>
    <row r="662" spans="1:6" x14ac:dyDescent="0.25">
      <c r="A662" s="2">
        <v>33065</v>
      </c>
      <c r="B662" s="3">
        <v>32</v>
      </c>
      <c r="C662" s="3">
        <v>33</v>
      </c>
      <c r="D662" s="3">
        <v>0.128</v>
      </c>
      <c r="E662" s="3" t="s">
        <v>780</v>
      </c>
      <c r="F662" s="3">
        <v>0.128</v>
      </c>
    </row>
    <row r="663" spans="1:6" x14ac:dyDescent="0.25">
      <c r="A663" s="2">
        <v>33066</v>
      </c>
      <c r="B663" s="3">
        <v>33</v>
      </c>
      <c r="C663" s="3">
        <v>33</v>
      </c>
      <c r="D663" s="3">
        <v>9.5769999999999994E-2</v>
      </c>
      <c r="E663" s="3" t="s">
        <v>781</v>
      </c>
      <c r="F663" s="3">
        <v>9.5769999999999994E-2</v>
      </c>
    </row>
    <row r="664" spans="1:6" x14ac:dyDescent="0.25">
      <c r="A664" s="2">
        <v>33067</v>
      </c>
      <c r="B664" s="3">
        <v>34</v>
      </c>
      <c r="C664" s="3">
        <v>33</v>
      </c>
      <c r="D664" s="3">
        <v>42.5</v>
      </c>
      <c r="E664" s="3" t="s">
        <v>782</v>
      </c>
      <c r="F664" s="3">
        <v>42.5</v>
      </c>
    </row>
    <row r="665" spans="1:6" x14ac:dyDescent="0.25">
      <c r="A665" s="2">
        <v>33068</v>
      </c>
      <c r="B665" s="3">
        <v>35</v>
      </c>
      <c r="C665" s="3">
        <v>33</v>
      </c>
      <c r="D665" s="3">
        <v>151.6</v>
      </c>
      <c r="E665" s="3" t="s">
        <v>783</v>
      </c>
      <c r="F665" s="3">
        <v>151.6</v>
      </c>
    </row>
    <row r="666" spans="1:6" x14ac:dyDescent="0.25">
      <c r="A666" s="2">
        <v>33069</v>
      </c>
      <c r="B666" s="3">
        <v>36</v>
      </c>
      <c r="C666" s="3">
        <v>33</v>
      </c>
      <c r="D666" s="3">
        <v>912</v>
      </c>
      <c r="E666" s="3" t="s">
        <v>784</v>
      </c>
      <c r="F666" s="3">
        <v>912</v>
      </c>
    </row>
    <row r="667" spans="1:6" x14ac:dyDescent="0.25">
      <c r="A667" s="2">
        <v>33070</v>
      </c>
      <c r="B667" s="3">
        <v>37</v>
      </c>
      <c r="C667" s="3">
        <v>33</v>
      </c>
      <c r="D667" s="3">
        <v>3156</v>
      </c>
      <c r="E667" s="3" t="s">
        <v>785</v>
      </c>
      <c r="F667" s="3">
        <v>3156</v>
      </c>
    </row>
    <row r="668" spans="1:6" x14ac:dyDescent="0.25">
      <c r="A668" s="2">
        <v>33071</v>
      </c>
      <c r="B668" s="3">
        <v>38</v>
      </c>
      <c r="C668" s="3">
        <v>33</v>
      </c>
      <c r="D668" s="3">
        <v>235080</v>
      </c>
      <c r="E668" s="3" t="s">
        <v>786</v>
      </c>
      <c r="F668" s="3">
        <v>235080</v>
      </c>
    </row>
    <row r="669" spans="1:6" x14ac:dyDescent="0.25">
      <c r="A669" s="2">
        <v>33072</v>
      </c>
      <c r="B669" s="3">
        <v>39</v>
      </c>
      <c r="C669" s="3">
        <v>33</v>
      </c>
      <c r="D669" s="3">
        <v>93600</v>
      </c>
      <c r="E669" s="3" t="s">
        <v>787</v>
      </c>
      <c r="F669" s="3">
        <v>93600</v>
      </c>
    </row>
    <row r="670" spans="1:6" x14ac:dyDescent="0.25">
      <c r="A670" s="2">
        <v>33073</v>
      </c>
      <c r="B670" s="3">
        <v>40</v>
      </c>
      <c r="C670" s="3">
        <v>33</v>
      </c>
      <c r="D670" s="3">
        <v>6937920</v>
      </c>
      <c r="E670" s="3" t="s">
        <v>788</v>
      </c>
      <c r="F670" s="3">
        <v>6937920</v>
      </c>
    </row>
    <row r="671" spans="1:6" x14ac:dyDescent="0.25">
      <c r="A671" s="2">
        <v>33074</v>
      </c>
      <c r="B671" s="3">
        <v>41</v>
      </c>
      <c r="C671" s="3">
        <v>33</v>
      </c>
      <c r="D671" s="3">
        <v>1535328</v>
      </c>
      <c r="E671" s="3" t="s">
        <v>789</v>
      </c>
      <c r="F671" s="3">
        <v>1535328</v>
      </c>
    </row>
    <row r="672" spans="1:6" x14ac:dyDescent="0.25">
      <c r="A672" s="2">
        <v>33075</v>
      </c>
      <c r="B672" s="3">
        <v>42</v>
      </c>
      <c r="C672" s="3">
        <v>33</v>
      </c>
      <c r="D672" s="3" t="s">
        <v>4</v>
      </c>
      <c r="E672" s="3" t="s">
        <v>790</v>
      </c>
      <c r="F672" s="3" t="s">
        <v>4</v>
      </c>
    </row>
    <row r="673" spans="1:6" x14ac:dyDescent="0.25">
      <c r="A673" s="2">
        <v>33076</v>
      </c>
      <c r="B673" s="3">
        <v>43</v>
      </c>
      <c r="C673" s="3">
        <v>33</v>
      </c>
      <c r="D673" s="3">
        <v>94538.880000000005</v>
      </c>
      <c r="E673" s="3" t="s">
        <v>791</v>
      </c>
      <c r="F673" s="3">
        <v>94538.880000000005</v>
      </c>
    </row>
    <row r="674" spans="1:6" x14ac:dyDescent="0.25">
      <c r="A674" s="2">
        <v>33077</v>
      </c>
      <c r="B674" s="3">
        <v>44</v>
      </c>
      <c r="C674" s="3">
        <v>33</v>
      </c>
      <c r="D674" s="3">
        <v>139788</v>
      </c>
      <c r="E674" s="3" t="s">
        <v>792</v>
      </c>
      <c r="F674" s="3">
        <v>139788</v>
      </c>
    </row>
    <row r="675" spans="1:6" x14ac:dyDescent="0.25">
      <c r="A675" s="2">
        <v>33078</v>
      </c>
      <c r="B675" s="3">
        <v>45</v>
      </c>
      <c r="C675" s="3">
        <v>33</v>
      </c>
      <c r="D675" s="3">
        <v>5442</v>
      </c>
      <c r="E675" s="3" t="s">
        <v>793</v>
      </c>
      <c r="F675" s="3">
        <v>5442</v>
      </c>
    </row>
    <row r="676" spans="1:6" x14ac:dyDescent="0.25">
      <c r="A676" s="2">
        <v>33079</v>
      </c>
      <c r="B676" s="3">
        <v>46</v>
      </c>
      <c r="C676" s="3">
        <v>33</v>
      </c>
      <c r="D676" s="3">
        <v>540.6</v>
      </c>
      <c r="E676" s="3" t="s">
        <v>794</v>
      </c>
      <c r="F676" s="3">
        <v>540.6</v>
      </c>
    </row>
    <row r="677" spans="1:6" x14ac:dyDescent="0.25">
      <c r="A677" s="2">
        <v>33080</v>
      </c>
      <c r="B677" s="3">
        <v>47</v>
      </c>
      <c r="C677" s="3">
        <v>33</v>
      </c>
      <c r="D677" s="3">
        <v>15.2</v>
      </c>
      <c r="E677" s="3" t="s">
        <v>795</v>
      </c>
      <c r="F677" s="3">
        <v>15.2</v>
      </c>
    </row>
    <row r="678" spans="1:6" x14ac:dyDescent="0.25">
      <c r="A678" s="2">
        <v>33081</v>
      </c>
      <c r="B678" s="3">
        <v>48</v>
      </c>
      <c r="C678" s="3">
        <v>33</v>
      </c>
      <c r="D678" s="3">
        <v>33.299999999999997</v>
      </c>
      <c r="E678" s="3" t="s">
        <v>796</v>
      </c>
      <c r="F678" s="3">
        <v>33.299999999999997</v>
      </c>
    </row>
    <row r="679" spans="1:6" x14ac:dyDescent="0.25">
      <c r="A679" s="2">
        <v>33082</v>
      </c>
      <c r="B679" s="3">
        <v>49</v>
      </c>
      <c r="C679" s="3">
        <v>33</v>
      </c>
      <c r="D679" s="3">
        <v>19.100000000000001</v>
      </c>
      <c r="E679" s="3" t="s">
        <v>797</v>
      </c>
      <c r="F679" s="3">
        <v>19.100000000000001</v>
      </c>
    </row>
    <row r="680" spans="1:6" x14ac:dyDescent="0.25">
      <c r="A680" s="2">
        <v>33083</v>
      </c>
      <c r="B680" s="3">
        <v>50</v>
      </c>
      <c r="C680" s="3">
        <v>33</v>
      </c>
      <c r="D680" s="3">
        <v>13.4</v>
      </c>
      <c r="E680" s="3" t="s">
        <v>798</v>
      </c>
      <c r="F680" s="3">
        <v>13.4</v>
      </c>
    </row>
    <row r="681" spans="1:6" x14ac:dyDescent="0.25">
      <c r="A681" s="2">
        <v>33084</v>
      </c>
      <c r="B681" s="3">
        <v>51</v>
      </c>
      <c r="C681" s="3">
        <v>33</v>
      </c>
      <c r="D681" s="3">
        <v>4.0199999999999996</v>
      </c>
      <c r="E681" s="3" t="s">
        <v>799</v>
      </c>
      <c r="F681" s="3">
        <v>4.0199999999999996</v>
      </c>
    </row>
    <row r="682" spans="1:6" x14ac:dyDescent="0.25">
      <c r="A682" s="2">
        <v>33085</v>
      </c>
      <c r="B682" s="3">
        <v>52</v>
      </c>
      <c r="C682" s="3">
        <v>33</v>
      </c>
      <c r="D682" s="3">
        <v>2.0209999999999999</v>
      </c>
      <c r="E682" s="3" t="s">
        <v>800</v>
      </c>
      <c r="F682" s="3">
        <v>2.0209999999999999</v>
      </c>
    </row>
    <row r="683" spans="1:6" x14ac:dyDescent="0.25">
      <c r="A683" s="2">
        <v>33086</v>
      </c>
      <c r="B683" s="3">
        <v>53</v>
      </c>
      <c r="C683" s="3">
        <v>33</v>
      </c>
      <c r="D683" s="3">
        <v>0.94499999999999995</v>
      </c>
      <c r="E683" s="3" t="s">
        <v>801</v>
      </c>
      <c r="F683" s="3">
        <v>0.94499999999999995</v>
      </c>
    </row>
    <row r="684" spans="1:6" x14ac:dyDescent="0.25">
      <c r="A684" s="2">
        <v>33087</v>
      </c>
      <c r="B684" s="3">
        <v>54</v>
      </c>
      <c r="C684" s="3">
        <v>33</v>
      </c>
      <c r="D684" s="3">
        <v>0.48399999999999999</v>
      </c>
      <c r="E684" s="3" t="s">
        <v>802</v>
      </c>
      <c r="F684" s="3">
        <v>0.48399999999999999</v>
      </c>
    </row>
    <row r="685" spans="1:6" x14ac:dyDescent="0.25">
      <c r="A685" s="2">
        <v>33088</v>
      </c>
      <c r="B685" s="3">
        <v>55</v>
      </c>
      <c r="C685" s="3">
        <v>33</v>
      </c>
      <c r="D685" s="3">
        <v>0.2</v>
      </c>
      <c r="E685" s="3" t="s">
        <v>803</v>
      </c>
      <c r="F685" s="3">
        <v>0.2</v>
      </c>
    </row>
    <row r="686" spans="1:6" x14ac:dyDescent="0.25">
      <c r="A686" s="2">
        <v>33089</v>
      </c>
      <c r="B686" s="3">
        <v>56</v>
      </c>
      <c r="C686" s="3">
        <v>33</v>
      </c>
      <c r="D686" s="3">
        <v>2.9999999999999999E-7</v>
      </c>
      <c r="E686" s="3" t="s">
        <v>804</v>
      </c>
      <c r="F686" s="3">
        <v>2.9999999999999999E-7</v>
      </c>
    </row>
    <row r="687" spans="1:6" x14ac:dyDescent="0.25">
      <c r="A687" s="2">
        <v>33090</v>
      </c>
      <c r="B687" s="3">
        <v>57</v>
      </c>
      <c r="C687" s="3">
        <v>33</v>
      </c>
      <c r="D687" s="3">
        <v>2.9999999999999999E-7</v>
      </c>
      <c r="E687" s="3" t="s">
        <v>805</v>
      </c>
      <c r="F687" s="3">
        <v>2.9999999999999999E-7</v>
      </c>
    </row>
    <row r="688" spans="1:6" x14ac:dyDescent="0.25">
      <c r="A688" s="2">
        <v>33091</v>
      </c>
      <c r="B688" s="3">
        <v>58</v>
      </c>
      <c r="C688" s="3">
        <v>33</v>
      </c>
      <c r="D688" s="3">
        <v>1.4999999999999999E-7</v>
      </c>
      <c r="E688" s="3" t="s">
        <v>806</v>
      </c>
      <c r="F688" s="3">
        <v>1.4999999999999999E-7</v>
      </c>
    </row>
    <row r="689" spans="1:6" x14ac:dyDescent="0.25">
      <c r="A689" s="2">
        <v>34064</v>
      </c>
      <c r="B689" s="3">
        <v>30</v>
      </c>
      <c r="C689" s="3">
        <v>34</v>
      </c>
      <c r="D689" s="3">
        <v>1.8E-7</v>
      </c>
      <c r="E689" s="3" t="s">
        <v>807</v>
      </c>
      <c r="F689" s="3">
        <v>1.8E-7</v>
      </c>
    </row>
    <row r="690" spans="1:6" x14ac:dyDescent="0.25">
      <c r="A690" s="2">
        <v>34065</v>
      </c>
      <c r="B690" s="3">
        <v>31</v>
      </c>
      <c r="C690" s="3">
        <v>34</v>
      </c>
      <c r="D690" s="3">
        <v>3.3000000000000002E-2</v>
      </c>
      <c r="E690" s="3" t="s">
        <v>808</v>
      </c>
      <c r="F690" s="3">
        <v>3.3000000000000002E-2</v>
      </c>
    </row>
    <row r="691" spans="1:6" x14ac:dyDescent="0.25">
      <c r="A691" s="2">
        <v>34066</v>
      </c>
      <c r="B691" s="3">
        <v>32</v>
      </c>
      <c r="C691" s="3">
        <v>34</v>
      </c>
      <c r="D691" s="3">
        <v>4.2000000000000003E-2</v>
      </c>
      <c r="E691" s="3" t="s">
        <v>809</v>
      </c>
      <c r="F691" s="3">
        <v>4.2000000000000003E-2</v>
      </c>
    </row>
    <row r="692" spans="1:6" x14ac:dyDescent="0.25">
      <c r="A692" s="2">
        <v>34067</v>
      </c>
      <c r="B692" s="3">
        <v>33</v>
      </c>
      <c r="C692" s="3">
        <v>34</v>
      </c>
      <c r="D692" s="3">
        <v>0.13600000000000001</v>
      </c>
      <c r="E692" s="3" t="s">
        <v>810</v>
      </c>
      <c r="F692" s="3">
        <v>0.13600000000000001</v>
      </c>
    </row>
    <row r="693" spans="1:6" x14ac:dyDescent="0.25">
      <c r="A693" s="2">
        <v>34068</v>
      </c>
      <c r="B693" s="3">
        <v>34</v>
      </c>
      <c r="C693" s="3">
        <v>34</v>
      </c>
      <c r="D693" s="3">
        <v>35.5</v>
      </c>
      <c r="E693" s="3" t="s">
        <v>811</v>
      </c>
      <c r="F693" s="3">
        <v>35.5</v>
      </c>
    </row>
    <row r="694" spans="1:6" x14ac:dyDescent="0.25">
      <c r="A694" s="2">
        <v>34069</v>
      </c>
      <c r="B694" s="3">
        <v>35</v>
      </c>
      <c r="C694" s="3">
        <v>34</v>
      </c>
      <c r="D694" s="3">
        <v>27.4</v>
      </c>
      <c r="E694" s="3" t="s">
        <v>812</v>
      </c>
      <c r="F694" s="3">
        <v>27.4</v>
      </c>
    </row>
    <row r="695" spans="1:6" x14ac:dyDescent="0.25">
      <c r="A695" s="2">
        <v>34070</v>
      </c>
      <c r="B695" s="3">
        <v>36</v>
      </c>
      <c r="C695" s="3">
        <v>34</v>
      </c>
      <c r="D695" s="3">
        <v>2466</v>
      </c>
      <c r="E695" s="3" t="s">
        <v>813</v>
      </c>
      <c r="F695" s="3">
        <v>2466</v>
      </c>
    </row>
    <row r="696" spans="1:6" x14ac:dyDescent="0.25">
      <c r="A696" s="2">
        <v>34071</v>
      </c>
      <c r="B696" s="3">
        <v>37</v>
      </c>
      <c r="C696" s="3">
        <v>34</v>
      </c>
      <c r="D696" s="3">
        <v>284.39999999999998</v>
      </c>
      <c r="E696" s="3" t="s">
        <v>814</v>
      </c>
      <c r="F696" s="3">
        <v>284.39999999999998</v>
      </c>
    </row>
    <row r="697" spans="1:6" x14ac:dyDescent="0.25">
      <c r="A697" s="2">
        <v>34072</v>
      </c>
      <c r="B697" s="3">
        <v>38</v>
      </c>
      <c r="C697" s="3">
        <v>34</v>
      </c>
      <c r="D697" s="3">
        <v>725760</v>
      </c>
      <c r="E697" s="3" t="s">
        <v>815</v>
      </c>
      <c r="F697" s="3">
        <v>725760</v>
      </c>
    </row>
    <row r="698" spans="1:6" x14ac:dyDescent="0.25">
      <c r="A698" s="2">
        <v>34073</v>
      </c>
      <c r="B698" s="3">
        <v>39</v>
      </c>
      <c r="C698" s="3">
        <v>34</v>
      </c>
      <c r="D698" s="3">
        <v>25740</v>
      </c>
      <c r="E698" s="3" t="s">
        <v>816</v>
      </c>
      <c r="F698" s="3">
        <v>25740</v>
      </c>
    </row>
    <row r="699" spans="1:6" x14ac:dyDescent="0.25">
      <c r="A699" s="2">
        <v>34074</v>
      </c>
      <c r="B699" s="3">
        <v>40</v>
      </c>
      <c r="C699" s="3">
        <v>34</v>
      </c>
      <c r="D699" s="3" t="s">
        <v>4</v>
      </c>
      <c r="E699" s="3" t="s">
        <v>817</v>
      </c>
      <c r="F699" s="3" t="s">
        <v>4</v>
      </c>
    </row>
    <row r="700" spans="1:6" x14ac:dyDescent="0.25">
      <c r="A700" s="2">
        <v>34075</v>
      </c>
      <c r="B700" s="3">
        <v>41</v>
      </c>
      <c r="C700" s="3">
        <v>34</v>
      </c>
      <c r="D700" s="3">
        <v>10348992</v>
      </c>
      <c r="E700" s="3" t="s">
        <v>818</v>
      </c>
      <c r="F700" s="3">
        <v>10348992</v>
      </c>
    </row>
    <row r="701" spans="1:6" x14ac:dyDescent="0.25">
      <c r="A701" s="2">
        <v>34076</v>
      </c>
      <c r="B701" s="3">
        <v>42</v>
      </c>
      <c r="C701" s="3">
        <v>34</v>
      </c>
      <c r="D701" s="3" t="s">
        <v>4</v>
      </c>
      <c r="E701" s="3" t="s">
        <v>819</v>
      </c>
      <c r="F701" s="3" t="s">
        <v>4</v>
      </c>
    </row>
    <row r="702" spans="1:6" x14ac:dyDescent="0.25">
      <c r="A702" s="2">
        <v>34077</v>
      </c>
      <c r="B702" s="3">
        <v>43</v>
      </c>
      <c r="C702" s="3">
        <v>34</v>
      </c>
      <c r="D702" s="3" t="s">
        <v>4</v>
      </c>
      <c r="E702" s="3" t="s">
        <v>820</v>
      </c>
      <c r="F702" s="3" t="s">
        <v>4</v>
      </c>
    </row>
    <row r="703" spans="1:6" x14ac:dyDescent="0.25">
      <c r="A703" s="2">
        <v>34078</v>
      </c>
      <c r="B703" s="3">
        <v>44</v>
      </c>
      <c r="C703" s="3">
        <v>34</v>
      </c>
      <c r="D703" s="3" t="s">
        <v>4</v>
      </c>
      <c r="E703" s="3" t="s">
        <v>821</v>
      </c>
      <c r="F703" s="3" t="s">
        <v>4</v>
      </c>
    </row>
    <row r="704" spans="1:6" x14ac:dyDescent="0.25">
      <c r="A704" s="2">
        <v>34079</v>
      </c>
      <c r="B704" s="3">
        <v>45</v>
      </c>
      <c r="C704" s="3">
        <v>34</v>
      </c>
      <c r="D704" s="3">
        <v>10287777600000</v>
      </c>
      <c r="E704" s="3" t="s">
        <v>822</v>
      </c>
      <c r="F704" s="3">
        <v>10287777600000</v>
      </c>
    </row>
    <row r="705" spans="1:6" x14ac:dyDescent="0.25">
      <c r="A705" s="2">
        <v>34080</v>
      </c>
      <c r="B705" s="3">
        <v>46</v>
      </c>
      <c r="C705" s="3">
        <v>34</v>
      </c>
      <c r="D705" s="3" t="s">
        <v>4</v>
      </c>
      <c r="E705" s="3" t="s">
        <v>823</v>
      </c>
      <c r="F705" s="3" t="s">
        <v>4</v>
      </c>
    </row>
    <row r="706" spans="1:6" x14ac:dyDescent="0.25">
      <c r="A706" s="2">
        <v>34081</v>
      </c>
      <c r="B706" s="3">
        <v>47</v>
      </c>
      <c r="C706" s="3">
        <v>34</v>
      </c>
      <c r="D706" s="3">
        <v>1107</v>
      </c>
      <c r="E706" s="3" t="s">
        <v>824</v>
      </c>
      <c r="F706" s="3">
        <v>1107</v>
      </c>
    </row>
    <row r="707" spans="1:6" x14ac:dyDescent="0.25">
      <c r="A707" s="2">
        <v>34082</v>
      </c>
      <c r="B707" s="3">
        <v>48</v>
      </c>
      <c r="C707" s="3">
        <v>34</v>
      </c>
      <c r="D707" s="3" t="s">
        <v>4</v>
      </c>
      <c r="E707" s="3" t="s">
        <v>825</v>
      </c>
      <c r="F707" s="3" t="s">
        <v>4</v>
      </c>
    </row>
    <row r="708" spans="1:6" x14ac:dyDescent="0.25">
      <c r="A708" s="2">
        <v>34083</v>
      </c>
      <c r="B708" s="3">
        <v>49</v>
      </c>
      <c r="C708" s="3">
        <v>34</v>
      </c>
      <c r="D708" s="3">
        <v>1335</v>
      </c>
      <c r="E708" s="3" t="s">
        <v>826</v>
      </c>
      <c r="F708" s="3">
        <v>1335</v>
      </c>
    </row>
    <row r="709" spans="1:6" x14ac:dyDescent="0.25">
      <c r="A709" s="2">
        <v>34084</v>
      </c>
      <c r="B709" s="3">
        <v>50</v>
      </c>
      <c r="C709" s="3">
        <v>34</v>
      </c>
      <c r="D709" s="3">
        <v>195.6</v>
      </c>
      <c r="E709" s="3" t="s">
        <v>827</v>
      </c>
      <c r="F709" s="3">
        <v>195.6</v>
      </c>
    </row>
    <row r="710" spans="1:6" x14ac:dyDescent="0.25">
      <c r="A710" s="2">
        <v>34085</v>
      </c>
      <c r="B710" s="3">
        <v>51</v>
      </c>
      <c r="C710" s="3">
        <v>34</v>
      </c>
      <c r="D710" s="3">
        <v>32.9</v>
      </c>
      <c r="E710" s="3" t="s">
        <v>828</v>
      </c>
      <c r="F710" s="3">
        <v>32.9</v>
      </c>
    </row>
    <row r="711" spans="1:6" x14ac:dyDescent="0.25">
      <c r="A711" s="2">
        <v>34086</v>
      </c>
      <c r="B711" s="3">
        <v>52</v>
      </c>
      <c r="C711" s="3">
        <v>34</v>
      </c>
      <c r="D711" s="3">
        <v>14.3</v>
      </c>
      <c r="E711" s="3" t="s">
        <v>829</v>
      </c>
      <c r="F711" s="3">
        <v>14.3</v>
      </c>
    </row>
    <row r="712" spans="1:6" x14ac:dyDescent="0.25">
      <c r="A712" s="2">
        <v>34087</v>
      </c>
      <c r="B712" s="3">
        <v>53</v>
      </c>
      <c r="C712" s="3">
        <v>34</v>
      </c>
      <c r="D712" s="3">
        <v>5.5</v>
      </c>
      <c r="E712" s="3" t="s">
        <v>830</v>
      </c>
      <c r="F712" s="3">
        <v>5.5</v>
      </c>
    </row>
    <row r="713" spans="1:6" x14ac:dyDescent="0.25">
      <c r="A713" s="2">
        <v>34088</v>
      </c>
      <c r="B713" s="3">
        <v>54</v>
      </c>
      <c r="C713" s="3">
        <v>34</v>
      </c>
      <c r="D713" s="3">
        <v>1.53</v>
      </c>
      <c r="E713" s="3" t="s">
        <v>831</v>
      </c>
      <c r="F713" s="3">
        <v>1.53</v>
      </c>
    </row>
    <row r="714" spans="1:6" x14ac:dyDescent="0.25">
      <c r="A714" s="2">
        <v>34089</v>
      </c>
      <c r="B714" s="3">
        <v>55</v>
      </c>
      <c r="C714" s="3">
        <v>34</v>
      </c>
      <c r="D714" s="3">
        <v>0.43</v>
      </c>
      <c r="E714" s="3" t="s">
        <v>832</v>
      </c>
      <c r="F714" s="3">
        <v>0.43</v>
      </c>
    </row>
    <row r="715" spans="1:6" x14ac:dyDescent="0.25">
      <c r="A715" s="2">
        <v>34090</v>
      </c>
      <c r="B715" s="3">
        <v>56</v>
      </c>
      <c r="C715" s="3">
        <v>34</v>
      </c>
      <c r="D715" s="3">
        <v>0.19500000000000001</v>
      </c>
      <c r="E715" s="3" t="s">
        <v>833</v>
      </c>
      <c r="F715" s="3">
        <v>0.19500000000000001</v>
      </c>
    </row>
    <row r="716" spans="1:6" x14ac:dyDescent="0.25">
      <c r="A716" s="2">
        <v>34091</v>
      </c>
      <c r="B716" s="3">
        <v>57</v>
      </c>
      <c r="C716" s="3">
        <v>34</v>
      </c>
      <c r="D716" s="3">
        <v>0.27</v>
      </c>
      <c r="E716" s="3" t="s">
        <v>834</v>
      </c>
      <c r="F716" s="3">
        <v>0.27</v>
      </c>
    </row>
    <row r="717" spans="1:6" x14ac:dyDescent="0.25">
      <c r="A717" s="2">
        <v>34094</v>
      </c>
      <c r="B717" s="3">
        <v>60</v>
      </c>
      <c r="C717" s="3">
        <v>34</v>
      </c>
      <c r="D717" s="3">
        <v>1.4999999999999999E-7</v>
      </c>
      <c r="E717" s="3" t="s">
        <v>835</v>
      </c>
      <c r="F717" s="3">
        <v>1.4999999999999999E-7</v>
      </c>
    </row>
    <row r="718" spans="1:6" x14ac:dyDescent="0.25">
      <c r="A718" s="2">
        <v>34095</v>
      </c>
      <c r="B718" s="3">
        <v>61</v>
      </c>
      <c r="C718" s="3">
        <v>34</v>
      </c>
      <c r="D718" s="3">
        <v>3.9200000000000002E-7</v>
      </c>
      <c r="E718" s="3" t="s">
        <v>836</v>
      </c>
      <c r="F718" s="3">
        <v>3.9200000000000002E-7</v>
      </c>
    </row>
    <row r="719" spans="1:6" x14ac:dyDescent="0.25">
      <c r="A719" s="2">
        <v>35070</v>
      </c>
      <c r="B719" s="3">
        <v>35</v>
      </c>
      <c r="C719" s="3">
        <v>35</v>
      </c>
      <c r="D719" s="3">
        <v>7.9099999999999906E-2</v>
      </c>
      <c r="E719" s="3" t="s">
        <v>837</v>
      </c>
      <c r="F719" s="3">
        <v>7.9099999999999906E-2</v>
      </c>
    </row>
    <row r="720" spans="1:6" x14ac:dyDescent="0.25">
      <c r="A720" s="2">
        <v>35071</v>
      </c>
      <c r="B720" s="3">
        <v>36</v>
      </c>
      <c r="C720" s="3">
        <v>35</v>
      </c>
      <c r="D720" s="3">
        <v>21.4</v>
      </c>
      <c r="E720" s="3" t="s">
        <v>838</v>
      </c>
      <c r="F720" s="3">
        <v>21.4</v>
      </c>
    </row>
    <row r="721" spans="1:6" x14ac:dyDescent="0.25">
      <c r="A721" s="2">
        <v>35072</v>
      </c>
      <c r="B721" s="3">
        <v>37</v>
      </c>
      <c r="C721" s="3">
        <v>35</v>
      </c>
      <c r="D721" s="3">
        <v>78.599999999999994</v>
      </c>
      <c r="E721" s="3" t="s">
        <v>839</v>
      </c>
      <c r="F721" s="3">
        <v>78.599999999999994</v>
      </c>
    </row>
    <row r="722" spans="1:6" x14ac:dyDescent="0.25">
      <c r="A722" s="2">
        <v>35073</v>
      </c>
      <c r="B722" s="3">
        <v>38</v>
      </c>
      <c r="C722" s="3">
        <v>35</v>
      </c>
      <c r="D722" s="3">
        <v>204</v>
      </c>
      <c r="E722" s="3" t="s">
        <v>840</v>
      </c>
      <c r="F722" s="3">
        <v>204</v>
      </c>
    </row>
    <row r="723" spans="1:6" x14ac:dyDescent="0.25">
      <c r="A723" s="2">
        <v>35074</v>
      </c>
      <c r="B723" s="3">
        <v>39</v>
      </c>
      <c r="C723" s="3">
        <v>35</v>
      </c>
      <c r="D723" s="3">
        <v>1524</v>
      </c>
      <c r="E723" s="3" t="s">
        <v>841</v>
      </c>
      <c r="F723" s="3">
        <v>1524</v>
      </c>
    </row>
    <row r="724" spans="1:6" x14ac:dyDescent="0.25">
      <c r="A724" s="2">
        <v>35075</v>
      </c>
      <c r="B724" s="3">
        <v>40</v>
      </c>
      <c r="C724" s="3">
        <v>35</v>
      </c>
      <c r="D724" s="3">
        <v>5802</v>
      </c>
      <c r="E724" s="3" t="s">
        <v>842</v>
      </c>
      <c r="F724" s="3">
        <v>5802</v>
      </c>
    </row>
    <row r="725" spans="1:6" x14ac:dyDescent="0.25">
      <c r="A725" s="2">
        <v>35076</v>
      </c>
      <c r="B725" s="3">
        <v>41</v>
      </c>
      <c r="C725" s="3">
        <v>35</v>
      </c>
      <c r="D725" s="3">
        <v>58320</v>
      </c>
      <c r="E725" s="3" t="s">
        <v>843</v>
      </c>
      <c r="F725" s="3">
        <v>58320</v>
      </c>
    </row>
    <row r="726" spans="1:6" x14ac:dyDescent="0.25">
      <c r="A726" s="2">
        <v>35077</v>
      </c>
      <c r="B726" s="3">
        <v>42</v>
      </c>
      <c r="C726" s="3">
        <v>35</v>
      </c>
      <c r="D726" s="3">
        <v>205329.6</v>
      </c>
      <c r="E726" s="3" t="s">
        <v>844</v>
      </c>
      <c r="F726" s="3">
        <v>205329.6</v>
      </c>
    </row>
    <row r="727" spans="1:6" x14ac:dyDescent="0.25">
      <c r="A727" s="2">
        <v>35078</v>
      </c>
      <c r="B727" s="3">
        <v>43</v>
      </c>
      <c r="C727" s="3">
        <v>35</v>
      </c>
      <c r="D727" s="3">
        <v>387</v>
      </c>
      <c r="E727" s="3" t="s">
        <v>845</v>
      </c>
      <c r="F727" s="3">
        <v>387</v>
      </c>
    </row>
    <row r="728" spans="1:6" x14ac:dyDescent="0.25">
      <c r="A728" s="2">
        <v>35079</v>
      </c>
      <c r="B728" s="3">
        <v>44</v>
      </c>
      <c r="C728" s="3">
        <v>35</v>
      </c>
      <c r="D728" s="3" t="s">
        <v>4</v>
      </c>
      <c r="E728" s="3" t="s">
        <v>846</v>
      </c>
      <c r="F728" s="3" t="s">
        <v>4</v>
      </c>
    </row>
    <row r="729" spans="1:6" x14ac:dyDescent="0.25">
      <c r="A729" s="2">
        <v>35080</v>
      </c>
      <c r="B729" s="3">
        <v>45</v>
      </c>
      <c r="C729" s="3">
        <v>35</v>
      </c>
      <c r="D729" s="3">
        <v>1060.8</v>
      </c>
      <c r="E729" s="3" t="s">
        <v>847</v>
      </c>
      <c r="F729" s="3">
        <v>1060.8</v>
      </c>
    </row>
    <row r="730" spans="1:6" x14ac:dyDescent="0.25">
      <c r="A730" s="2">
        <v>35081</v>
      </c>
      <c r="B730" s="3">
        <v>46</v>
      </c>
      <c r="C730" s="3">
        <v>35</v>
      </c>
      <c r="D730" s="3" t="s">
        <v>4</v>
      </c>
      <c r="E730" s="3" t="s">
        <v>848</v>
      </c>
      <c r="F730" s="3" t="s">
        <v>4</v>
      </c>
    </row>
    <row r="731" spans="1:6" x14ac:dyDescent="0.25">
      <c r="A731" s="2">
        <v>35082</v>
      </c>
      <c r="B731" s="3">
        <v>47</v>
      </c>
      <c r="C731" s="3">
        <v>35</v>
      </c>
      <c r="D731" s="3">
        <v>127015.19999999899</v>
      </c>
      <c r="E731" s="3" t="s">
        <v>849</v>
      </c>
      <c r="F731" s="3">
        <v>127015.19999999899</v>
      </c>
    </row>
    <row r="732" spans="1:6" x14ac:dyDescent="0.25">
      <c r="A732" s="2">
        <v>35083</v>
      </c>
      <c r="B732" s="3">
        <v>48</v>
      </c>
      <c r="C732" s="3">
        <v>35</v>
      </c>
      <c r="D732" s="3">
        <v>8546.4</v>
      </c>
      <c r="E732" s="3" t="s">
        <v>850</v>
      </c>
      <c r="F732" s="3">
        <v>8546.4</v>
      </c>
    </row>
    <row r="733" spans="1:6" x14ac:dyDescent="0.25">
      <c r="A733" s="2">
        <v>35084</v>
      </c>
      <c r="B733" s="3">
        <v>49</v>
      </c>
      <c r="C733" s="3">
        <v>35</v>
      </c>
      <c r="D733" s="3">
        <v>1905.6</v>
      </c>
      <c r="E733" s="3" t="s">
        <v>851</v>
      </c>
      <c r="F733" s="3">
        <v>1905.6</v>
      </c>
    </row>
    <row r="734" spans="1:6" x14ac:dyDescent="0.25">
      <c r="A734" s="2">
        <v>35085</v>
      </c>
      <c r="B734" s="3">
        <v>50</v>
      </c>
      <c r="C734" s="3">
        <v>35</v>
      </c>
      <c r="D734" s="3">
        <v>174</v>
      </c>
      <c r="E734" s="3" t="s">
        <v>852</v>
      </c>
      <c r="F734" s="3">
        <v>174</v>
      </c>
    </row>
    <row r="735" spans="1:6" x14ac:dyDescent="0.25">
      <c r="A735" s="2">
        <v>35086</v>
      </c>
      <c r="B735" s="3">
        <v>51</v>
      </c>
      <c r="C735" s="3">
        <v>35</v>
      </c>
      <c r="D735" s="3">
        <v>55.1</v>
      </c>
      <c r="E735" s="3" t="s">
        <v>853</v>
      </c>
      <c r="F735" s="3">
        <v>55.1</v>
      </c>
    </row>
    <row r="736" spans="1:6" x14ac:dyDescent="0.25">
      <c r="A736" s="2">
        <v>35087</v>
      </c>
      <c r="B736" s="3">
        <v>52</v>
      </c>
      <c r="C736" s="3">
        <v>35</v>
      </c>
      <c r="D736" s="3">
        <v>55.65</v>
      </c>
      <c r="E736" s="3" t="s">
        <v>854</v>
      </c>
      <c r="F736" s="3">
        <v>55.65</v>
      </c>
    </row>
    <row r="737" spans="1:6" x14ac:dyDescent="0.25">
      <c r="A737" s="2">
        <v>35088</v>
      </c>
      <c r="B737" s="3">
        <v>53</v>
      </c>
      <c r="C737" s="3">
        <v>35</v>
      </c>
      <c r="D737" s="3">
        <v>16.34</v>
      </c>
      <c r="E737" s="3" t="s">
        <v>855</v>
      </c>
      <c r="F737" s="3">
        <v>16.34</v>
      </c>
    </row>
    <row r="738" spans="1:6" x14ac:dyDescent="0.25">
      <c r="A738" s="2">
        <v>35089</v>
      </c>
      <c r="B738" s="3">
        <v>54</v>
      </c>
      <c r="C738" s="3">
        <v>35</v>
      </c>
      <c r="D738" s="3">
        <v>4.3570000000000002</v>
      </c>
      <c r="E738" s="3" t="s">
        <v>856</v>
      </c>
      <c r="F738" s="3">
        <v>4.3570000000000002</v>
      </c>
    </row>
    <row r="739" spans="1:6" x14ac:dyDescent="0.25">
      <c r="A739" s="2">
        <v>35090</v>
      </c>
      <c r="B739" s="3">
        <v>55</v>
      </c>
      <c r="C739" s="3">
        <v>35</v>
      </c>
      <c r="D739" s="3">
        <v>1.92</v>
      </c>
      <c r="E739" s="3" t="s">
        <v>857</v>
      </c>
      <c r="F739" s="3">
        <v>1.92</v>
      </c>
    </row>
    <row r="740" spans="1:6" x14ac:dyDescent="0.25">
      <c r="A740" s="2">
        <v>35091</v>
      </c>
      <c r="B740" s="3">
        <v>56</v>
      </c>
      <c r="C740" s="3">
        <v>35</v>
      </c>
      <c r="D740" s="3">
        <v>0.54300000000000004</v>
      </c>
      <c r="E740" s="3" t="s">
        <v>858</v>
      </c>
      <c r="F740" s="3">
        <v>0.54300000000000004</v>
      </c>
    </row>
    <row r="741" spans="1:6" x14ac:dyDescent="0.25">
      <c r="A741" s="2">
        <v>35092</v>
      </c>
      <c r="B741" s="3">
        <v>57</v>
      </c>
      <c r="C741" s="3">
        <v>35</v>
      </c>
      <c r="D741" s="3">
        <v>0.314</v>
      </c>
      <c r="E741" s="3" t="s">
        <v>859</v>
      </c>
      <c r="F741" s="3">
        <v>0.314</v>
      </c>
    </row>
    <row r="742" spans="1:6" x14ac:dyDescent="0.25">
      <c r="A742" s="2">
        <v>35093</v>
      </c>
      <c r="B742" s="3">
        <v>58</v>
      </c>
      <c r="C742" s="3">
        <v>35</v>
      </c>
      <c r="D742" s="3">
        <v>0.10199999999999999</v>
      </c>
      <c r="E742" s="3" t="s">
        <v>860</v>
      </c>
      <c r="F742" s="3">
        <v>0.10199999999999999</v>
      </c>
    </row>
    <row r="743" spans="1:6" x14ac:dyDescent="0.25">
      <c r="A743" s="2">
        <v>35094</v>
      </c>
      <c r="B743" s="3">
        <v>59</v>
      </c>
      <c r="C743" s="3">
        <v>35</v>
      </c>
      <c r="D743" s="3">
        <v>7.0000000000000007E-2</v>
      </c>
      <c r="E743" s="3" t="s">
        <v>861</v>
      </c>
      <c r="F743" s="3">
        <v>7.0000000000000007E-2</v>
      </c>
    </row>
    <row r="744" spans="1:6" x14ac:dyDescent="0.25">
      <c r="A744" s="2">
        <v>35095</v>
      </c>
      <c r="B744" s="3">
        <v>60</v>
      </c>
      <c r="C744" s="3">
        <v>35</v>
      </c>
      <c r="D744" s="3">
        <v>1.4999999999999999E-7</v>
      </c>
      <c r="E744" s="3" t="s">
        <v>862</v>
      </c>
      <c r="F744" s="3">
        <v>1.4999999999999999E-7</v>
      </c>
    </row>
    <row r="745" spans="1:6" x14ac:dyDescent="0.25">
      <c r="A745" s="2">
        <v>35096</v>
      </c>
      <c r="B745" s="3">
        <v>61</v>
      </c>
      <c r="C745" s="3">
        <v>35</v>
      </c>
      <c r="D745" s="3">
        <v>1.4999999999999999E-7</v>
      </c>
      <c r="E745" s="3" t="s">
        <v>863</v>
      </c>
      <c r="F745" s="3">
        <v>1.4999999999999999E-7</v>
      </c>
    </row>
    <row r="746" spans="1:6" x14ac:dyDescent="0.25">
      <c r="A746" s="2">
        <v>35097</v>
      </c>
      <c r="B746" s="3">
        <v>62</v>
      </c>
      <c r="C746" s="3">
        <v>35</v>
      </c>
      <c r="D746" s="3">
        <v>2.9999999999999999E-7</v>
      </c>
      <c r="E746" s="3" t="s">
        <v>864</v>
      </c>
      <c r="F746" s="3">
        <v>2.9999999999999999E-7</v>
      </c>
    </row>
    <row r="747" spans="1:6" x14ac:dyDescent="0.25">
      <c r="A747" s="2">
        <v>35098</v>
      </c>
      <c r="B747" s="3">
        <v>63</v>
      </c>
      <c r="C747" s="3">
        <v>35</v>
      </c>
      <c r="D747" s="3">
        <v>6.3399999999999999E-7</v>
      </c>
      <c r="E747" s="3" t="s">
        <v>865</v>
      </c>
      <c r="F747" s="3">
        <v>6.3399999999999999E-7</v>
      </c>
    </row>
    <row r="748" spans="1:6" x14ac:dyDescent="0.25">
      <c r="A748" s="2">
        <v>36069</v>
      </c>
      <c r="B748" s="3">
        <v>33</v>
      </c>
      <c r="C748" s="3">
        <v>36</v>
      </c>
      <c r="D748" s="3">
        <v>2.8000000000000001E-2</v>
      </c>
      <c r="E748" s="3" t="s">
        <v>866</v>
      </c>
      <c r="F748" s="3">
        <v>2.8000000000000001E-2</v>
      </c>
    </row>
    <row r="749" spans="1:6" x14ac:dyDescent="0.25">
      <c r="A749" s="2">
        <v>36070</v>
      </c>
      <c r="B749" s="3">
        <v>34</v>
      </c>
      <c r="C749" s="3">
        <v>36</v>
      </c>
      <c r="D749" s="3">
        <v>0.04</v>
      </c>
      <c r="E749" s="3" t="s">
        <v>867</v>
      </c>
      <c r="F749" s="3">
        <v>0.04</v>
      </c>
    </row>
    <row r="750" spans="1:6" x14ac:dyDescent="0.25">
      <c r="A750" s="2">
        <v>36071</v>
      </c>
      <c r="B750" s="3">
        <v>35</v>
      </c>
      <c r="C750" s="3">
        <v>36</v>
      </c>
      <c r="D750" s="3">
        <v>0.1</v>
      </c>
      <c r="E750" s="3" t="s">
        <v>868</v>
      </c>
      <c r="F750" s="3">
        <v>0.1</v>
      </c>
    </row>
    <row r="751" spans="1:6" x14ac:dyDescent="0.25">
      <c r="A751" s="2">
        <v>36072</v>
      </c>
      <c r="B751" s="3">
        <v>36</v>
      </c>
      <c r="C751" s="3">
        <v>36</v>
      </c>
      <c r="D751" s="3">
        <v>17.100000000000001</v>
      </c>
      <c r="E751" s="3" t="s">
        <v>869</v>
      </c>
      <c r="F751" s="3">
        <v>17.100000000000001</v>
      </c>
    </row>
    <row r="752" spans="1:6" x14ac:dyDescent="0.25">
      <c r="A752" s="2">
        <v>36073</v>
      </c>
      <c r="B752" s="3">
        <v>37</v>
      </c>
      <c r="C752" s="3">
        <v>36</v>
      </c>
      <c r="D752" s="3">
        <v>27.3</v>
      </c>
      <c r="E752" s="3" t="s">
        <v>870</v>
      </c>
      <c r="F752" s="3">
        <v>27.3</v>
      </c>
    </row>
    <row r="753" spans="1:6" x14ac:dyDescent="0.25">
      <c r="A753" s="2">
        <v>36074</v>
      </c>
      <c r="B753" s="3">
        <v>38</v>
      </c>
      <c r="C753" s="3">
        <v>36</v>
      </c>
      <c r="D753" s="3">
        <v>690</v>
      </c>
      <c r="E753" s="3" t="s">
        <v>871</v>
      </c>
      <c r="F753" s="3">
        <v>690</v>
      </c>
    </row>
    <row r="754" spans="1:6" x14ac:dyDescent="0.25">
      <c r="A754" s="2">
        <v>36075</v>
      </c>
      <c r="B754" s="3">
        <v>39</v>
      </c>
      <c r="C754" s="3">
        <v>36</v>
      </c>
      <c r="D754" s="3">
        <v>276</v>
      </c>
      <c r="E754" s="3" t="s">
        <v>872</v>
      </c>
      <c r="F754" s="3">
        <v>276</v>
      </c>
    </row>
    <row r="755" spans="1:6" x14ac:dyDescent="0.25">
      <c r="A755" s="2">
        <v>36076</v>
      </c>
      <c r="B755" s="3">
        <v>40</v>
      </c>
      <c r="C755" s="3">
        <v>36</v>
      </c>
      <c r="D755" s="3">
        <v>53280</v>
      </c>
      <c r="E755" s="3" t="s">
        <v>873</v>
      </c>
      <c r="F755" s="3">
        <v>53280</v>
      </c>
    </row>
    <row r="756" spans="1:6" x14ac:dyDescent="0.25">
      <c r="A756" s="2">
        <v>36077</v>
      </c>
      <c r="B756" s="3">
        <v>41</v>
      </c>
      <c r="C756" s="3">
        <v>36</v>
      </c>
      <c r="D756" s="3">
        <v>4464</v>
      </c>
      <c r="E756" s="3" t="s">
        <v>874</v>
      </c>
      <c r="F756" s="3">
        <v>4464</v>
      </c>
    </row>
    <row r="757" spans="1:6" x14ac:dyDescent="0.25">
      <c r="A757" s="2">
        <v>36078</v>
      </c>
      <c r="B757" s="3">
        <v>42</v>
      </c>
      <c r="C757" s="3">
        <v>36</v>
      </c>
      <c r="D757" s="3">
        <v>4.73364E+28</v>
      </c>
      <c r="E757" s="3" t="s">
        <v>875</v>
      </c>
      <c r="F757" s="3">
        <v>4.73364E+28</v>
      </c>
    </row>
    <row r="758" spans="1:6" x14ac:dyDescent="0.25">
      <c r="A758" s="2">
        <v>36079</v>
      </c>
      <c r="B758" s="3">
        <v>43</v>
      </c>
      <c r="C758" s="3">
        <v>36</v>
      </c>
      <c r="D758" s="3">
        <v>126144</v>
      </c>
      <c r="E758" s="3" t="s">
        <v>876</v>
      </c>
      <c r="F758" s="3">
        <v>126144</v>
      </c>
    </row>
    <row r="759" spans="1:6" x14ac:dyDescent="0.25">
      <c r="A759" s="2">
        <v>36080</v>
      </c>
      <c r="B759" s="3">
        <v>44</v>
      </c>
      <c r="C759" s="3">
        <v>36</v>
      </c>
      <c r="D759" s="3" t="s">
        <v>4</v>
      </c>
      <c r="E759" s="3" t="s">
        <v>877</v>
      </c>
      <c r="F759" s="3" t="s">
        <v>4</v>
      </c>
    </row>
    <row r="760" spans="1:6" x14ac:dyDescent="0.25">
      <c r="A760" s="2">
        <v>36081</v>
      </c>
      <c r="B760" s="3">
        <v>45</v>
      </c>
      <c r="C760" s="3">
        <v>36</v>
      </c>
      <c r="D760" s="3">
        <v>7226690400000</v>
      </c>
      <c r="E760" s="3" t="s">
        <v>878</v>
      </c>
      <c r="F760" s="3">
        <v>7226690400000</v>
      </c>
    </row>
    <row r="761" spans="1:6" x14ac:dyDescent="0.25">
      <c r="A761" s="2">
        <v>36082</v>
      </c>
      <c r="B761" s="3">
        <v>46</v>
      </c>
      <c r="C761" s="3">
        <v>36</v>
      </c>
      <c r="D761" s="3" t="s">
        <v>4</v>
      </c>
      <c r="E761" s="3" t="s">
        <v>879</v>
      </c>
      <c r="F761" s="3" t="s">
        <v>4</v>
      </c>
    </row>
    <row r="762" spans="1:6" x14ac:dyDescent="0.25">
      <c r="A762" s="2">
        <v>36083</v>
      </c>
      <c r="B762" s="3">
        <v>47</v>
      </c>
      <c r="C762" s="3">
        <v>36</v>
      </c>
      <c r="D762" s="3" t="s">
        <v>4</v>
      </c>
      <c r="E762" s="3" t="s">
        <v>880</v>
      </c>
      <c r="F762" s="3" t="s">
        <v>4</v>
      </c>
    </row>
    <row r="763" spans="1:6" x14ac:dyDescent="0.25">
      <c r="A763" s="2">
        <v>36084</v>
      </c>
      <c r="B763" s="3">
        <v>48</v>
      </c>
      <c r="C763" s="3">
        <v>36</v>
      </c>
      <c r="D763" s="3" t="s">
        <v>4</v>
      </c>
      <c r="E763" s="3" t="s">
        <v>881</v>
      </c>
      <c r="F763" s="3" t="s">
        <v>4</v>
      </c>
    </row>
    <row r="764" spans="1:6" x14ac:dyDescent="0.25">
      <c r="A764" s="2">
        <v>36085</v>
      </c>
      <c r="B764" s="3">
        <v>49</v>
      </c>
      <c r="C764" s="3">
        <v>36</v>
      </c>
      <c r="D764" s="3">
        <v>338897066.39999998</v>
      </c>
      <c r="E764" s="3" t="s">
        <v>882</v>
      </c>
      <c r="F764" s="3">
        <v>338897066.39999998</v>
      </c>
    </row>
    <row r="765" spans="1:6" x14ac:dyDescent="0.25">
      <c r="A765" s="2">
        <v>36086</v>
      </c>
      <c r="B765" s="3">
        <v>50</v>
      </c>
      <c r="C765" s="3">
        <v>36</v>
      </c>
      <c r="D765" s="3" t="s">
        <v>4</v>
      </c>
      <c r="E765" s="3" t="s">
        <v>883</v>
      </c>
      <c r="F765" s="3" t="s">
        <v>4</v>
      </c>
    </row>
    <row r="766" spans="1:6" x14ac:dyDescent="0.25">
      <c r="A766" s="2">
        <v>36087</v>
      </c>
      <c r="B766" s="3">
        <v>51</v>
      </c>
      <c r="C766" s="3">
        <v>36</v>
      </c>
      <c r="D766" s="3">
        <v>4578</v>
      </c>
      <c r="E766" s="3" t="s">
        <v>884</v>
      </c>
      <c r="F766" s="3">
        <v>4578</v>
      </c>
    </row>
    <row r="767" spans="1:6" x14ac:dyDescent="0.25">
      <c r="A767" s="2">
        <v>36088</v>
      </c>
      <c r="B767" s="3">
        <v>52</v>
      </c>
      <c r="C767" s="3">
        <v>36</v>
      </c>
      <c r="D767" s="3">
        <v>10170</v>
      </c>
      <c r="E767" s="3" t="s">
        <v>885</v>
      </c>
      <c r="F767" s="3">
        <v>10170</v>
      </c>
    </row>
    <row r="768" spans="1:6" x14ac:dyDescent="0.25">
      <c r="A768" s="2">
        <v>36089</v>
      </c>
      <c r="B768" s="3">
        <v>53</v>
      </c>
      <c r="C768" s="3">
        <v>36</v>
      </c>
      <c r="D768" s="3">
        <v>189</v>
      </c>
      <c r="E768" s="3" t="s">
        <v>886</v>
      </c>
      <c r="F768" s="3">
        <v>189</v>
      </c>
    </row>
    <row r="769" spans="1:6" x14ac:dyDescent="0.25">
      <c r="A769" s="2">
        <v>36090</v>
      </c>
      <c r="B769" s="3">
        <v>54</v>
      </c>
      <c r="C769" s="3">
        <v>36</v>
      </c>
      <c r="D769" s="3">
        <v>32.32</v>
      </c>
      <c r="E769" s="3" t="s">
        <v>887</v>
      </c>
      <c r="F769" s="3">
        <v>32.32</v>
      </c>
    </row>
    <row r="770" spans="1:6" x14ac:dyDescent="0.25">
      <c r="A770" s="2">
        <v>36091</v>
      </c>
      <c r="B770" s="3">
        <v>55</v>
      </c>
      <c r="C770" s="3">
        <v>36</v>
      </c>
      <c r="D770" s="3">
        <v>8.57</v>
      </c>
      <c r="E770" s="3" t="s">
        <v>888</v>
      </c>
      <c r="F770" s="3">
        <v>8.57</v>
      </c>
    </row>
    <row r="771" spans="1:6" x14ac:dyDescent="0.25">
      <c r="A771" s="2">
        <v>36092</v>
      </c>
      <c r="B771" s="3">
        <v>56</v>
      </c>
      <c r="C771" s="3">
        <v>36</v>
      </c>
      <c r="D771" s="3">
        <v>1.84</v>
      </c>
      <c r="E771" s="3" t="s">
        <v>889</v>
      </c>
      <c r="F771" s="3">
        <v>1.84</v>
      </c>
    </row>
    <row r="772" spans="1:6" x14ac:dyDescent="0.25">
      <c r="A772" s="2">
        <v>36093</v>
      </c>
      <c r="B772" s="3">
        <v>57</v>
      </c>
      <c r="C772" s="3">
        <v>36</v>
      </c>
      <c r="D772" s="3">
        <v>1.286</v>
      </c>
      <c r="E772" s="3" t="s">
        <v>890</v>
      </c>
      <c r="F772" s="3">
        <v>1.286</v>
      </c>
    </row>
    <row r="773" spans="1:6" x14ac:dyDescent="0.25">
      <c r="A773" s="2">
        <v>36094</v>
      </c>
      <c r="B773" s="3">
        <v>58</v>
      </c>
      <c r="C773" s="3">
        <v>36</v>
      </c>
      <c r="D773" s="3">
        <v>0.21199999999999999</v>
      </c>
      <c r="E773" s="3" t="s">
        <v>891</v>
      </c>
      <c r="F773" s="3">
        <v>0.21199999999999999</v>
      </c>
    </row>
    <row r="774" spans="1:6" x14ac:dyDescent="0.25">
      <c r="A774" s="2">
        <v>36095</v>
      </c>
      <c r="B774" s="3">
        <v>59</v>
      </c>
      <c r="C774" s="3">
        <v>36</v>
      </c>
      <c r="D774" s="3">
        <v>0.114</v>
      </c>
      <c r="E774" s="3" t="s">
        <v>892</v>
      </c>
      <c r="F774" s="3">
        <v>0.114</v>
      </c>
    </row>
    <row r="775" spans="1:6" x14ac:dyDescent="0.25">
      <c r="A775" s="2">
        <v>36096</v>
      </c>
      <c r="B775" s="3">
        <v>60</v>
      </c>
      <c r="C775" s="3">
        <v>36</v>
      </c>
      <c r="D775" s="3">
        <v>0.08</v>
      </c>
      <c r="E775" s="3" t="s">
        <v>893</v>
      </c>
      <c r="F775" s="3">
        <v>0.08</v>
      </c>
    </row>
    <row r="776" spans="1:6" x14ac:dyDescent="0.25">
      <c r="A776" s="2">
        <v>36097</v>
      </c>
      <c r="B776" s="3">
        <v>61</v>
      </c>
      <c r="C776" s="3">
        <v>36</v>
      </c>
      <c r="D776" s="3">
        <v>6.3E-2</v>
      </c>
      <c r="E776" s="3" t="s">
        <v>894</v>
      </c>
      <c r="F776" s="3">
        <v>6.3E-2</v>
      </c>
    </row>
    <row r="777" spans="1:6" x14ac:dyDescent="0.25">
      <c r="A777" s="2">
        <v>36098</v>
      </c>
      <c r="B777" s="3">
        <v>62</v>
      </c>
      <c r="C777" s="3">
        <v>36</v>
      </c>
      <c r="D777" s="3">
        <v>4.5999999999999999E-2</v>
      </c>
      <c r="E777" s="3" t="s">
        <v>895</v>
      </c>
      <c r="F777" s="3">
        <v>4.5999999999999999E-2</v>
      </c>
    </row>
    <row r="778" spans="1:6" x14ac:dyDescent="0.25">
      <c r="A778" s="2">
        <v>36099</v>
      </c>
      <c r="B778" s="3">
        <v>63</v>
      </c>
      <c r="C778" s="3">
        <v>36</v>
      </c>
      <c r="D778" s="3">
        <v>1.2999999999999999E-2</v>
      </c>
      <c r="E778" s="3" t="s">
        <v>896</v>
      </c>
      <c r="F778" s="3">
        <v>1.2999999999999999E-2</v>
      </c>
    </row>
    <row r="779" spans="1:6" x14ac:dyDescent="0.25">
      <c r="A779" s="2">
        <v>36100</v>
      </c>
      <c r="B779" s="3">
        <v>64</v>
      </c>
      <c r="C779" s="3">
        <v>36</v>
      </c>
      <c r="D779" s="3">
        <v>7.0000000000000001E-3</v>
      </c>
      <c r="E779" s="3" t="s">
        <v>897</v>
      </c>
      <c r="F779" s="3">
        <v>7.0000000000000001E-3</v>
      </c>
    </row>
    <row r="780" spans="1:6" x14ac:dyDescent="0.25">
      <c r="A780" s="2">
        <v>36101</v>
      </c>
      <c r="B780" s="3">
        <v>65</v>
      </c>
      <c r="C780" s="3">
        <v>36</v>
      </c>
      <c r="D780" s="3">
        <v>6.3499999999999996E-7</v>
      </c>
      <c r="E780" s="3" t="s">
        <v>898</v>
      </c>
      <c r="F780" s="3">
        <v>6.3499999999999996E-7</v>
      </c>
    </row>
    <row r="781" spans="1:6" x14ac:dyDescent="0.25">
      <c r="A781" s="2">
        <v>37074</v>
      </c>
      <c r="B781" s="3">
        <v>37</v>
      </c>
      <c r="C781" s="3">
        <v>37</v>
      </c>
      <c r="D781" s="3">
        <v>6.4899999999999999E-2</v>
      </c>
      <c r="E781" s="3" t="s">
        <v>899</v>
      </c>
      <c r="F781" s="3">
        <v>6.4899999999999999E-2</v>
      </c>
    </row>
    <row r="782" spans="1:6" x14ac:dyDescent="0.25">
      <c r="A782" s="2">
        <v>37075</v>
      </c>
      <c r="B782" s="3">
        <v>38</v>
      </c>
      <c r="C782" s="3">
        <v>37</v>
      </c>
      <c r="D782" s="3">
        <v>19</v>
      </c>
      <c r="E782" s="3" t="s">
        <v>900</v>
      </c>
      <c r="F782" s="3">
        <v>19</v>
      </c>
    </row>
    <row r="783" spans="1:6" x14ac:dyDescent="0.25">
      <c r="A783" s="2">
        <v>37076</v>
      </c>
      <c r="B783" s="3">
        <v>39</v>
      </c>
      <c r="C783" s="3">
        <v>37</v>
      </c>
      <c r="D783" s="3">
        <v>36.5</v>
      </c>
      <c r="E783" s="3" t="s">
        <v>901</v>
      </c>
      <c r="F783" s="3">
        <v>36.5</v>
      </c>
    </row>
    <row r="784" spans="1:6" x14ac:dyDescent="0.25">
      <c r="A784" s="2">
        <v>37077</v>
      </c>
      <c r="B784" s="3">
        <v>40</v>
      </c>
      <c r="C784" s="3">
        <v>37</v>
      </c>
      <c r="D784" s="3">
        <v>226.2</v>
      </c>
      <c r="E784" s="3" t="s">
        <v>902</v>
      </c>
      <c r="F784" s="3">
        <v>226.2</v>
      </c>
    </row>
    <row r="785" spans="1:6" x14ac:dyDescent="0.25">
      <c r="A785" s="2">
        <v>37078</v>
      </c>
      <c r="B785" s="3">
        <v>41</v>
      </c>
      <c r="C785" s="3">
        <v>37</v>
      </c>
      <c r="D785" s="3">
        <v>1059.5999999999999</v>
      </c>
      <c r="E785" s="3" t="s">
        <v>903</v>
      </c>
      <c r="F785" s="3">
        <v>1059.5999999999999</v>
      </c>
    </row>
    <row r="786" spans="1:6" x14ac:dyDescent="0.25">
      <c r="A786" s="2">
        <v>37079</v>
      </c>
      <c r="B786" s="3">
        <v>42</v>
      </c>
      <c r="C786" s="3">
        <v>37</v>
      </c>
      <c r="D786" s="3">
        <v>1374</v>
      </c>
      <c r="E786" s="3" t="s">
        <v>904</v>
      </c>
      <c r="F786" s="3">
        <v>1374</v>
      </c>
    </row>
    <row r="787" spans="1:6" x14ac:dyDescent="0.25">
      <c r="A787" s="2">
        <v>37080</v>
      </c>
      <c r="B787" s="3">
        <v>43</v>
      </c>
      <c r="C787" s="3">
        <v>37</v>
      </c>
      <c r="D787" s="3">
        <v>33.4</v>
      </c>
      <c r="E787" s="3" t="s">
        <v>905</v>
      </c>
      <c r="F787" s="3">
        <v>33.4</v>
      </c>
    </row>
    <row r="788" spans="1:6" x14ac:dyDescent="0.25">
      <c r="A788" s="2">
        <v>37081</v>
      </c>
      <c r="B788" s="3">
        <v>44</v>
      </c>
      <c r="C788" s="3">
        <v>37</v>
      </c>
      <c r="D788" s="3">
        <v>16459.2</v>
      </c>
      <c r="E788" s="3" t="s">
        <v>906</v>
      </c>
      <c r="F788" s="3">
        <v>16459.2</v>
      </c>
    </row>
    <row r="789" spans="1:6" x14ac:dyDescent="0.25">
      <c r="A789" s="2">
        <v>37082</v>
      </c>
      <c r="B789" s="3">
        <v>45</v>
      </c>
      <c r="C789" s="3">
        <v>37</v>
      </c>
      <c r="D789" s="3">
        <v>75.45</v>
      </c>
      <c r="E789" s="3" t="s">
        <v>907</v>
      </c>
      <c r="F789" s="3">
        <v>75.45</v>
      </c>
    </row>
    <row r="790" spans="1:6" x14ac:dyDescent="0.25">
      <c r="A790" s="2">
        <v>37083</v>
      </c>
      <c r="B790" s="3">
        <v>46</v>
      </c>
      <c r="C790" s="3">
        <v>37</v>
      </c>
      <c r="D790" s="3">
        <v>7447680</v>
      </c>
      <c r="E790" s="3" t="s">
        <v>908</v>
      </c>
      <c r="F790" s="3">
        <v>7447680</v>
      </c>
    </row>
    <row r="791" spans="1:6" x14ac:dyDescent="0.25">
      <c r="A791" s="2">
        <v>37084</v>
      </c>
      <c r="B791" s="3">
        <v>47</v>
      </c>
      <c r="C791" s="3">
        <v>37</v>
      </c>
      <c r="D791" s="3">
        <v>2835648</v>
      </c>
      <c r="E791" s="3" t="s">
        <v>909</v>
      </c>
      <c r="F791" s="3">
        <v>2835648</v>
      </c>
    </row>
    <row r="792" spans="1:6" x14ac:dyDescent="0.25">
      <c r="A792" s="2">
        <v>37085</v>
      </c>
      <c r="B792" s="3">
        <v>48</v>
      </c>
      <c r="C792" s="3">
        <v>37</v>
      </c>
      <c r="D792" s="3" t="s">
        <v>4</v>
      </c>
      <c r="E792" s="3" t="s">
        <v>910</v>
      </c>
      <c r="F792" s="3" t="s">
        <v>4</v>
      </c>
    </row>
    <row r="793" spans="1:6" x14ac:dyDescent="0.25">
      <c r="A793" s="2">
        <v>37086</v>
      </c>
      <c r="B793" s="3">
        <v>49</v>
      </c>
      <c r="C793" s="3">
        <v>37</v>
      </c>
      <c r="D793" s="3">
        <v>1610668.8</v>
      </c>
      <c r="E793" s="3" t="s">
        <v>911</v>
      </c>
      <c r="F793" s="3">
        <v>1610668.8</v>
      </c>
    </row>
    <row r="794" spans="1:6" x14ac:dyDescent="0.25">
      <c r="A794" s="2">
        <v>37087</v>
      </c>
      <c r="B794" s="3">
        <v>50</v>
      </c>
      <c r="C794" s="3">
        <v>37</v>
      </c>
      <c r="D794" s="3">
        <v>1.56841272E+18</v>
      </c>
      <c r="E794" s="3" t="s">
        <v>912</v>
      </c>
      <c r="F794" s="3">
        <v>1.56841272E+18</v>
      </c>
    </row>
    <row r="795" spans="1:6" x14ac:dyDescent="0.25">
      <c r="A795" s="2">
        <v>37088</v>
      </c>
      <c r="B795" s="3">
        <v>51</v>
      </c>
      <c r="C795" s="3">
        <v>37</v>
      </c>
      <c r="D795" s="3">
        <v>1066.3799999999901</v>
      </c>
      <c r="E795" s="3" t="s">
        <v>913</v>
      </c>
      <c r="F795" s="3">
        <v>1066.3799999999901</v>
      </c>
    </row>
    <row r="796" spans="1:6" x14ac:dyDescent="0.25">
      <c r="A796" s="2">
        <v>37089</v>
      </c>
      <c r="B796" s="3">
        <v>52</v>
      </c>
      <c r="C796" s="3">
        <v>37</v>
      </c>
      <c r="D796" s="3">
        <v>919.2</v>
      </c>
      <c r="E796" s="3" t="s">
        <v>914</v>
      </c>
      <c r="F796" s="3">
        <v>919.2</v>
      </c>
    </row>
    <row r="797" spans="1:6" x14ac:dyDescent="0.25">
      <c r="A797" s="2">
        <v>37090</v>
      </c>
      <c r="B797" s="3">
        <v>53</v>
      </c>
      <c r="C797" s="3">
        <v>37</v>
      </c>
      <c r="D797" s="3">
        <v>158</v>
      </c>
      <c r="E797" s="3" t="s">
        <v>915</v>
      </c>
      <c r="F797" s="3">
        <v>158</v>
      </c>
    </row>
    <row r="798" spans="1:6" x14ac:dyDescent="0.25">
      <c r="A798" s="2">
        <v>37091</v>
      </c>
      <c r="B798" s="3">
        <v>54</v>
      </c>
      <c r="C798" s="3">
        <v>37</v>
      </c>
      <c r="D798" s="3">
        <v>58.2</v>
      </c>
      <c r="E798" s="3" t="s">
        <v>916</v>
      </c>
      <c r="F798" s="3">
        <v>58.2</v>
      </c>
    </row>
    <row r="799" spans="1:6" x14ac:dyDescent="0.25">
      <c r="A799" s="2">
        <v>37092</v>
      </c>
      <c r="B799" s="3">
        <v>55</v>
      </c>
      <c r="C799" s="3">
        <v>37</v>
      </c>
      <c r="D799" s="3">
        <v>4.492</v>
      </c>
      <c r="E799" s="3" t="s">
        <v>917</v>
      </c>
      <c r="F799" s="3">
        <v>4.492</v>
      </c>
    </row>
    <row r="800" spans="1:6" x14ac:dyDescent="0.25">
      <c r="A800" s="2">
        <v>37093</v>
      </c>
      <c r="B800" s="3">
        <v>56</v>
      </c>
      <c r="C800" s="3">
        <v>37</v>
      </c>
      <c r="D800" s="3">
        <v>5.84</v>
      </c>
      <c r="E800" s="3" t="s">
        <v>918</v>
      </c>
      <c r="F800" s="3">
        <v>5.84</v>
      </c>
    </row>
    <row r="801" spans="1:6" x14ac:dyDescent="0.25">
      <c r="A801" s="2">
        <v>37094</v>
      </c>
      <c r="B801" s="3">
        <v>57</v>
      </c>
      <c r="C801" s="3">
        <v>37</v>
      </c>
      <c r="D801" s="3">
        <v>2.702</v>
      </c>
      <c r="E801" s="3" t="s">
        <v>919</v>
      </c>
      <c r="F801" s="3">
        <v>2.702</v>
      </c>
    </row>
    <row r="802" spans="1:6" x14ac:dyDescent="0.25">
      <c r="A802" s="2">
        <v>37095</v>
      </c>
      <c r="B802" s="3">
        <v>58</v>
      </c>
      <c r="C802" s="3">
        <v>37</v>
      </c>
      <c r="D802" s="3">
        <v>0.37769999999999998</v>
      </c>
      <c r="E802" s="3" t="s">
        <v>920</v>
      </c>
      <c r="F802" s="3">
        <v>0.37769999999999998</v>
      </c>
    </row>
    <row r="803" spans="1:6" x14ac:dyDescent="0.25">
      <c r="A803" s="2">
        <v>37096</v>
      </c>
      <c r="B803" s="3">
        <v>59</v>
      </c>
      <c r="C803" s="3">
        <v>37</v>
      </c>
      <c r="D803" s="3">
        <v>0.20300000000000001</v>
      </c>
      <c r="E803" s="3" t="s">
        <v>921</v>
      </c>
      <c r="F803" s="3">
        <v>0.20300000000000001</v>
      </c>
    </row>
    <row r="804" spans="1:6" x14ac:dyDescent="0.25">
      <c r="A804" s="2">
        <v>37097</v>
      </c>
      <c r="B804" s="3">
        <v>60</v>
      </c>
      <c r="C804" s="3">
        <v>37</v>
      </c>
      <c r="D804" s="3">
        <v>0.1691</v>
      </c>
      <c r="E804" s="3" t="s">
        <v>922</v>
      </c>
      <c r="F804" s="3">
        <v>0.1691</v>
      </c>
    </row>
    <row r="805" spans="1:6" x14ac:dyDescent="0.25">
      <c r="A805" s="2">
        <v>37098</v>
      </c>
      <c r="B805" s="3">
        <v>61</v>
      </c>
      <c r="C805" s="3">
        <v>37</v>
      </c>
      <c r="D805" s="3">
        <v>0.10199999999999999</v>
      </c>
      <c r="E805" s="3" t="s">
        <v>923</v>
      </c>
      <c r="F805" s="3">
        <v>0.10199999999999999</v>
      </c>
    </row>
    <row r="806" spans="1:6" x14ac:dyDescent="0.25">
      <c r="A806" s="2">
        <v>37099</v>
      </c>
      <c r="B806" s="3">
        <v>62</v>
      </c>
      <c r="C806" s="3">
        <v>37</v>
      </c>
      <c r="D806" s="3">
        <v>5.3999999999999999E-2</v>
      </c>
      <c r="E806" s="3" t="s">
        <v>924</v>
      </c>
      <c r="F806" s="3">
        <v>5.3999999999999999E-2</v>
      </c>
    </row>
    <row r="807" spans="1:6" x14ac:dyDescent="0.25">
      <c r="A807" s="2">
        <v>37100</v>
      </c>
      <c r="B807" s="3">
        <v>63</v>
      </c>
      <c r="C807" s="3">
        <v>37</v>
      </c>
      <c r="D807" s="3">
        <v>5.0999999999999997E-2</v>
      </c>
      <c r="E807" s="3" t="s">
        <v>925</v>
      </c>
      <c r="F807" s="3">
        <v>5.0999999999999997E-2</v>
      </c>
    </row>
    <row r="808" spans="1:6" x14ac:dyDescent="0.25">
      <c r="A808" s="2">
        <v>37101</v>
      </c>
      <c r="B808" s="3">
        <v>64</v>
      </c>
      <c r="C808" s="3">
        <v>37</v>
      </c>
      <c r="D808" s="3">
        <v>3.2000000000000001E-2</v>
      </c>
      <c r="E808" s="3" t="s">
        <v>926</v>
      </c>
      <c r="F808" s="3">
        <v>3.2000000000000001E-2</v>
      </c>
    </row>
    <row r="809" spans="1:6" x14ac:dyDescent="0.25">
      <c r="A809" s="2">
        <v>37102</v>
      </c>
      <c r="B809" s="3">
        <v>65</v>
      </c>
      <c r="C809" s="3">
        <v>37</v>
      </c>
      <c r="D809" s="3">
        <v>3.6999999999999998E-2</v>
      </c>
      <c r="E809" s="3" t="s">
        <v>927</v>
      </c>
      <c r="F809" s="3">
        <v>3.6999999999999998E-2</v>
      </c>
    </row>
    <row r="810" spans="1:6" x14ac:dyDescent="0.25">
      <c r="A810" s="2">
        <v>37103</v>
      </c>
      <c r="B810" s="3">
        <v>66</v>
      </c>
      <c r="C810" s="3">
        <v>37</v>
      </c>
      <c r="D810" s="3">
        <v>2.3E-2</v>
      </c>
      <c r="E810" s="3" t="s">
        <v>928</v>
      </c>
      <c r="F810" s="3">
        <v>2.3E-2</v>
      </c>
    </row>
    <row r="811" spans="1:6" x14ac:dyDescent="0.25">
      <c r="A811" s="2">
        <v>38073</v>
      </c>
      <c r="B811" s="3">
        <v>35</v>
      </c>
      <c r="C811" s="3">
        <v>38</v>
      </c>
      <c r="D811" s="3">
        <v>2.5000000000000001E-2</v>
      </c>
      <c r="E811" s="3" t="s">
        <v>929</v>
      </c>
      <c r="F811" s="3">
        <v>2.5000000000000001E-2</v>
      </c>
    </row>
    <row r="812" spans="1:6" x14ac:dyDescent="0.25">
      <c r="A812" s="2">
        <v>38074</v>
      </c>
      <c r="B812" s="3">
        <v>36</v>
      </c>
      <c r="C812" s="3">
        <v>38</v>
      </c>
      <c r="D812" s="3">
        <v>2.7E-2</v>
      </c>
      <c r="E812" s="3" t="s">
        <v>930</v>
      </c>
      <c r="F812" s="3">
        <v>2.7E-2</v>
      </c>
    </row>
    <row r="813" spans="1:6" x14ac:dyDescent="0.25">
      <c r="A813" s="2">
        <v>38075</v>
      </c>
      <c r="B813" s="3">
        <v>37</v>
      </c>
      <c r="C813" s="3">
        <v>38</v>
      </c>
      <c r="D813" s="3">
        <v>8.7999999999999995E-2</v>
      </c>
      <c r="E813" s="3" t="s">
        <v>931</v>
      </c>
      <c r="F813" s="3">
        <v>8.7999999999999995E-2</v>
      </c>
    </row>
    <row r="814" spans="1:6" x14ac:dyDescent="0.25">
      <c r="A814" s="2">
        <v>38076</v>
      </c>
      <c r="B814" s="3">
        <v>38</v>
      </c>
      <c r="C814" s="3">
        <v>38</v>
      </c>
      <c r="D814" s="3">
        <v>7.89</v>
      </c>
      <c r="E814" s="3" t="s">
        <v>932</v>
      </c>
      <c r="F814" s="3">
        <v>7.89</v>
      </c>
    </row>
    <row r="815" spans="1:6" x14ac:dyDescent="0.25">
      <c r="A815" s="2">
        <v>38077</v>
      </c>
      <c r="B815" s="3">
        <v>39</v>
      </c>
      <c r="C815" s="3">
        <v>38</v>
      </c>
      <c r="D815" s="3">
        <v>9</v>
      </c>
      <c r="E815" s="3" t="s">
        <v>933</v>
      </c>
      <c r="F815" s="3">
        <v>9</v>
      </c>
    </row>
    <row r="816" spans="1:6" x14ac:dyDescent="0.25">
      <c r="A816" s="2">
        <v>38078</v>
      </c>
      <c r="B816" s="3">
        <v>40</v>
      </c>
      <c r="C816" s="3">
        <v>38</v>
      </c>
      <c r="D816" s="3">
        <v>160</v>
      </c>
      <c r="E816" s="3" t="s">
        <v>934</v>
      </c>
      <c r="F816" s="3">
        <v>160</v>
      </c>
    </row>
    <row r="817" spans="1:6" x14ac:dyDescent="0.25">
      <c r="A817" s="2">
        <v>38079</v>
      </c>
      <c r="B817" s="3">
        <v>41</v>
      </c>
      <c r="C817" s="3">
        <v>38</v>
      </c>
      <c r="D817" s="3">
        <v>135</v>
      </c>
      <c r="E817" s="3" t="s">
        <v>935</v>
      </c>
      <c r="F817" s="3">
        <v>135</v>
      </c>
    </row>
    <row r="818" spans="1:6" x14ac:dyDescent="0.25">
      <c r="A818" s="2">
        <v>38080</v>
      </c>
      <c r="B818" s="3">
        <v>42</v>
      </c>
      <c r="C818" s="3">
        <v>38</v>
      </c>
      <c r="D818" s="3">
        <v>6378</v>
      </c>
      <c r="E818" s="3" t="s">
        <v>936</v>
      </c>
      <c r="F818" s="3">
        <v>6378</v>
      </c>
    </row>
    <row r="819" spans="1:6" x14ac:dyDescent="0.25">
      <c r="A819" s="2">
        <v>38081</v>
      </c>
      <c r="B819" s="3">
        <v>43</v>
      </c>
      <c r="C819" s="3">
        <v>38</v>
      </c>
      <c r="D819" s="3">
        <v>1338</v>
      </c>
      <c r="E819" s="3" t="s">
        <v>937</v>
      </c>
      <c r="F819" s="3">
        <v>1338</v>
      </c>
    </row>
    <row r="820" spans="1:6" x14ac:dyDescent="0.25">
      <c r="A820" s="2">
        <v>38082</v>
      </c>
      <c r="B820" s="3">
        <v>44</v>
      </c>
      <c r="C820" s="3">
        <v>38</v>
      </c>
      <c r="D820" s="3">
        <v>2189376</v>
      </c>
      <c r="E820" s="3" t="s">
        <v>938</v>
      </c>
      <c r="F820" s="3">
        <v>2189376</v>
      </c>
    </row>
    <row r="821" spans="1:6" x14ac:dyDescent="0.25">
      <c r="A821" s="2">
        <v>38083</v>
      </c>
      <c r="B821" s="3">
        <v>45</v>
      </c>
      <c r="C821" s="3">
        <v>38</v>
      </c>
      <c r="D821" s="3">
        <v>116675.999999999</v>
      </c>
      <c r="E821" s="3" t="s">
        <v>939</v>
      </c>
      <c r="F821" s="3">
        <v>116675.999999999</v>
      </c>
    </row>
    <row r="822" spans="1:6" x14ac:dyDescent="0.25">
      <c r="A822" s="2">
        <v>38084</v>
      </c>
      <c r="B822" s="3">
        <v>46</v>
      </c>
      <c r="C822" s="3">
        <v>38</v>
      </c>
      <c r="D822" s="3" t="s">
        <v>4</v>
      </c>
      <c r="E822" s="3" t="s">
        <v>940</v>
      </c>
      <c r="F822" s="3" t="s">
        <v>4</v>
      </c>
    </row>
    <row r="823" spans="1:6" x14ac:dyDescent="0.25">
      <c r="A823" s="2">
        <v>38085</v>
      </c>
      <c r="B823" s="3">
        <v>47</v>
      </c>
      <c r="C823" s="3">
        <v>38</v>
      </c>
      <c r="D823" s="3">
        <v>5602953.5999999996</v>
      </c>
      <c r="E823" s="3" t="s">
        <v>941</v>
      </c>
      <c r="F823" s="3">
        <v>5602953.5999999996</v>
      </c>
    </row>
    <row r="824" spans="1:6" x14ac:dyDescent="0.25">
      <c r="A824" s="2">
        <v>38086</v>
      </c>
      <c r="B824" s="3">
        <v>48</v>
      </c>
      <c r="C824" s="3">
        <v>38</v>
      </c>
      <c r="D824" s="3" t="s">
        <v>4</v>
      </c>
      <c r="E824" s="3" t="s">
        <v>942</v>
      </c>
      <c r="F824" s="3" t="s">
        <v>4</v>
      </c>
    </row>
    <row r="825" spans="1:6" x14ac:dyDescent="0.25">
      <c r="A825" s="2">
        <v>38087</v>
      </c>
      <c r="B825" s="3">
        <v>49</v>
      </c>
      <c r="C825" s="3">
        <v>38</v>
      </c>
      <c r="D825" s="3" t="s">
        <v>4</v>
      </c>
      <c r="E825" s="3" t="s">
        <v>943</v>
      </c>
      <c r="F825" s="3" t="s">
        <v>4</v>
      </c>
    </row>
    <row r="826" spans="1:6" x14ac:dyDescent="0.25">
      <c r="A826" s="2">
        <v>38088</v>
      </c>
      <c r="B826" s="3">
        <v>50</v>
      </c>
      <c r="C826" s="3">
        <v>38</v>
      </c>
      <c r="D826" s="3" t="s">
        <v>4</v>
      </c>
      <c r="E826" s="3" t="s">
        <v>944</v>
      </c>
      <c r="F826" s="3" t="s">
        <v>4</v>
      </c>
    </row>
    <row r="827" spans="1:6" x14ac:dyDescent="0.25">
      <c r="A827" s="2">
        <v>38089</v>
      </c>
      <c r="B827" s="3">
        <v>51</v>
      </c>
      <c r="C827" s="3">
        <v>38</v>
      </c>
      <c r="D827" s="3">
        <v>4368643.2</v>
      </c>
      <c r="E827" s="3" t="s">
        <v>945</v>
      </c>
      <c r="F827" s="3">
        <v>4368643.2</v>
      </c>
    </row>
    <row r="828" spans="1:6" x14ac:dyDescent="0.25">
      <c r="A828" s="2">
        <v>38090</v>
      </c>
      <c r="B828" s="3">
        <v>52</v>
      </c>
      <c r="C828" s="3">
        <v>38</v>
      </c>
      <c r="D828" s="3">
        <v>912014640</v>
      </c>
      <c r="E828" s="3" t="s">
        <v>946</v>
      </c>
      <c r="F828" s="3">
        <v>912014640</v>
      </c>
    </row>
    <row r="829" spans="1:6" x14ac:dyDescent="0.25">
      <c r="A829" s="2">
        <v>38091</v>
      </c>
      <c r="B829" s="3">
        <v>53</v>
      </c>
      <c r="C829" s="3">
        <v>38</v>
      </c>
      <c r="D829" s="3">
        <v>34740</v>
      </c>
      <c r="E829" s="3" t="s">
        <v>947</v>
      </c>
      <c r="F829" s="3">
        <v>34740</v>
      </c>
    </row>
    <row r="830" spans="1:6" x14ac:dyDescent="0.25">
      <c r="A830" s="2">
        <v>38092</v>
      </c>
      <c r="B830" s="3">
        <v>54</v>
      </c>
      <c r="C830" s="3">
        <v>38</v>
      </c>
      <c r="D830" s="3">
        <v>9399.6</v>
      </c>
      <c r="E830" s="3" t="s">
        <v>948</v>
      </c>
      <c r="F830" s="3">
        <v>9399.6</v>
      </c>
    </row>
    <row r="831" spans="1:6" x14ac:dyDescent="0.25">
      <c r="A831" s="2">
        <v>38093</v>
      </c>
      <c r="B831" s="3">
        <v>55</v>
      </c>
      <c r="C831" s="3">
        <v>38</v>
      </c>
      <c r="D831" s="3">
        <v>445.79999999999899</v>
      </c>
      <c r="E831" s="3" t="s">
        <v>949</v>
      </c>
      <c r="F831" s="3">
        <v>445.79999999999899</v>
      </c>
    </row>
    <row r="832" spans="1:6" x14ac:dyDescent="0.25">
      <c r="A832" s="2">
        <v>38094</v>
      </c>
      <c r="B832" s="3">
        <v>56</v>
      </c>
      <c r="C832" s="3">
        <v>38</v>
      </c>
      <c r="D832" s="3">
        <v>75.3</v>
      </c>
      <c r="E832" s="3" t="s">
        <v>950</v>
      </c>
      <c r="F832" s="3">
        <v>75.3</v>
      </c>
    </row>
    <row r="833" spans="1:6" x14ac:dyDescent="0.25">
      <c r="A833" s="2">
        <v>38095</v>
      </c>
      <c r="B833" s="3">
        <v>57</v>
      </c>
      <c r="C833" s="3">
        <v>38</v>
      </c>
      <c r="D833" s="3">
        <v>23.9</v>
      </c>
      <c r="E833" s="3" t="s">
        <v>951</v>
      </c>
      <c r="F833" s="3">
        <v>23.9</v>
      </c>
    </row>
    <row r="834" spans="1:6" x14ac:dyDescent="0.25">
      <c r="A834" s="2">
        <v>38096</v>
      </c>
      <c r="B834" s="3">
        <v>58</v>
      </c>
      <c r="C834" s="3">
        <v>38</v>
      </c>
      <c r="D834" s="3">
        <v>1.07</v>
      </c>
      <c r="E834" s="3" t="s">
        <v>952</v>
      </c>
      <c r="F834" s="3">
        <v>1.07</v>
      </c>
    </row>
    <row r="835" spans="1:6" x14ac:dyDescent="0.25">
      <c r="A835" s="2">
        <v>38097</v>
      </c>
      <c r="B835" s="3">
        <v>59</v>
      </c>
      <c r="C835" s="3">
        <v>38</v>
      </c>
      <c r="D835" s="3">
        <v>0.42899999999999999</v>
      </c>
      <c r="E835" s="3" t="s">
        <v>953</v>
      </c>
      <c r="F835" s="3">
        <v>0.42899999999999999</v>
      </c>
    </row>
    <row r="836" spans="1:6" x14ac:dyDescent="0.25">
      <c r="A836" s="2">
        <v>38098</v>
      </c>
      <c r="B836" s="3">
        <v>60</v>
      </c>
      <c r="C836" s="3">
        <v>38</v>
      </c>
      <c r="D836" s="3">
        <v>0.65300000000000002</v>
      </c>
      <c r="E836" s="3" t="s">
        <v>954</v>
      </c>
      <c r="F836" s="3">
        <v>0.65300000000000002</v>
      </c>
    </row>
    <row r="837" spans="1:6" x14ac:dyDescent="0.25">
      <c r="A837" s="2">
        <v>38099</v>
      </c>
      <c r="B837" s="3">
        <v>61</v>
      </c>
      <c r="C837" s="3">
        <v>38</v>
      </c>
      <c r="D837" s="3">
        <v>0.26900000000000002</v>
      </c>
      <c r="E837" s="3" t="s">
        <v>955</v>
      </c>
      <c r="F837" s="3">
        <v>0.26900000000000002</v>
      </c>
    </row>
    <row r="838" spans="1:6" x14ac:dyDescent="0.25">
      <c r="A838" s="2">
        <v>38100</v>
      </c>
      <c r="B838" s="3">
        <v>62</v>
      </c>
      <c r="C838" s="3">
        <v>38</v>
      </c>
      <c r="D838" s="3">
        <v>0.20200000000000001</v>
      </c>
      <c r="E838" s="3" t="s">
        <v>956</v>
      </c>
      <c r="F838" s="3">
        <v>0.20200000000000001</v>
      </c>
    </row>
    <row r="839" spans="1:6" x14ac:dyDescent="0.25">
      <c r="A839" s="2">
        <v>38101</v>
      </c>
      <c r="B839" s="3">
        <v>63</v>
      </c>
      <c r="C839" s="3">
        <v>38</v>
      </c>
      <c r="D839" s="3">
        <v>0.11799999999999999</v>
      </c>
      <c r="E839" s="3" t="s">
        <v>957</v>
      </c>
      <c r="F839" s="3">
        <v>0.11799999999999999</v>
      </c>
    </row>
    <row r="840" spans="1:6" x14ac:dyDescent="0.25">
      <c r="A840" s="2">
        <v>38102</v>
      </c>
      <c r="B840" s="3">
        <v>64</v>
      </c>
      <c r="C840" s="3">
        <v>38</v>
      </c>
      <c r="D840" s="3">
        <v>6.9000000000000006E-2</v>
      </c>
      <c r="E840" s="3" t="s">
        <v>958</v>
      </c>
      <c r="F840" s="3">
        <v>6.9000000000000006E-2</v>
      </c>
    </row>
    <row r="841" spans="1:6" x14ac:dyDescent="0.25">
      <c r="A841" s="2">
        <v>38103</v>
      </c>
      <c r="B841" s="3">
        <v>65</v>
      </c>
      <c r="C841" s="3">
        <v>38</v>
      </c>
      <c r="D841" s="3">
        <v>5.2999999999999999E-2</v>
      </c>
      <c r="E841" s="3" t="s">
        <v>959</v>
      </c>
      <c r="F841" s="3">
        <v>5.2999999999999999E-2</v>
      </c>
    </row>
    <row r="842" spans="1:6" x14ac:dyDescent="0.25">
      <c r="A842" s="2">
        <v>38104</v>
      </c>
      <c r="B842" s="3">
        <v>66</v>
      </c>
      <c r="C842" s="3">
        <v>38</v>
      </c>
      <c r="D842" s="3">
        <v>5.2999999999999999E-2</v>
      </c>
      <c r="E842" s="3" t="s">
        <v>960</v>
      </c>
      <c r="F842" s="3">
        <v>5.2999999999999999E-2</v>
      </c>
    </row>
    <row r="843" spans="1:6" x14ac:dyDescent="0.25">
      <c r="A843" s="2">
        <v>38105</v>
      </c>
      <c r="B843" s="3">
        <v>67</v>
      </c>
      <c r="C843" s="3">
        <v>38</v>
      </c>
      <c r="D843" s="3">
        <v>3.9E-2</v>
      </c>
      <c r="E843" s="3" t="s">
        <v>961</v>
      </c>
      <c r="F843" s="3">
        <v>3.9E-2</v>
      </c>
    </row>
    <row r="844" spans="1:6" x14ac:dyDescent="0.25">
      <c r="A844" s="2">
        <v>38106</v>
      </c>
      <c r="B844" s="3">
        <v>68</v>
      </c>
      <c r="C844" s="3">
        <v>38</v>
      </c>
      <c r="D844" s="3">
        <v>0.02</v>
      </c>
      <c r="E844" s="3" t="s">
        <v>962</v>
      </c>
      <c r="F844" s="3">
        <v>0.02</v>
      </c>
    </row>
    <row r="845" spans="1:6" x14ac:dyDescent="0.25">
      <c r="A845" s="2">
        <v>38107</v>
      </c>
      <c r="B845" s="3">
        <v>69</v>
      </c>
      <c r="C845" s="3">
        <v>38</v>
      </c>
      <c r="D845" s="3">
        <v>3.9499999999999998E-7</v>
      </c>
      <c r="E845" s="3" t="s">
        <v>963</v>
      </c>
      <c r="F845" s="3">
        <v>3.9499999999999998E-7</v>
      </c>
    </row>
    <row r="846" spans="1:6" x14ac:dyDescent="0.25">
      <c r="A846" s="2">
        <v>39076</v>
      </c>
      <c r="B846" s="3">
        <v>37</v>
      </c>
      <c r="C846" s="3">
        <v>39</v>
      </c>
      <c r="D846" s="3">
        <v>1.9999999999999999E-7</v>
      </c>
      <c r="E846" s="3" t="s">
        <v>964</v>
      </c>
      <c r="F846" s="3">
        <v>1.9999999999999999E-7</v>
      </c>
    </row>
    <row r="847" spans="1:6" x14ac:dyDescent="0.25">
      <c r="A847" s="2">
        <v>39077</v>
      </c>
      <c r="B847" s="3">
        <v>38</v>
      </c>
      <c r="C847" s="3">
        <v>39</v>
      </c>
      <c r="D847" s="3">
        <v>5.7000000000000002E-2</v>
      </c>
      <c r="E847" s="3" t="s">
        <v>965</v>
      </c>
      <c r="F847" s="3">
        <v>5.7000000000000002E-2</v>
      </c>
    </row>
    <row r="848" spans="1:6" x14ac:dyDescent="0.25">
      <c r="A848" s="2">
        <v>39078</v>
      </c>
      <c r="B848" s="3">
        <v>39</v>
      </c>
      <c r="C848" s="3">
        <v>39</v>
      </c>
      <c r="D848" s="3">
        <v>5.2999999999999999E-2</v>
      </c>
      <c r="E848" s="3" t="s">
        <v>966</v>
      </c>
      <c r="F848" s="3">
        <v>5.2999999999999999E-2</v>
      </c>
    </row>
    <row r="849" spans="1:6" x14ac:dyDescent="0.25">
      <c r="A849" s="2">
        <v>39079</v>
      </c>
      <c r="B849" s="3">
        <v>40</v>
      </c>
      <c r="C849" s="3">
        <v>39</v>
      </c>
      <c r="D849" s="3">
        <v>14.8</v>
      </c>
      <c r="E849" s="3" t="s">
        <v>967</v>
      </c>
      <c r="F849" s="3">
        <v>14.8</v>
      </c>
    </row>
    <row r="850" spans="1:6" x14ac:dyDescent="0.25">
      <c r="A850" s="2">
        <v>39080</v>
      </c>
      <c r="B850" s="3">
        <v>41</v>
      </c>
      <c r="C850" s="3">
        <v>39</v>
      </c>
      <c r="D850" s="3">
        <v>30.1</v>
      </c>
      <c r="E850" s="3" t="s">
        <v>968</v>
      </c>
      <c r="F850" s="3">
        <v>30.1</v>
      </c>
    </row>
    <row r="851" spans="1:6" x14ac:dyDescent="0.25">
      <c r="A851" s="2">
        <v>39081</v>
      </c>
      <c r="B851" s="3">
        <v>42</v>
      </c>
      <c r="C851" s="3">
        <v>39</v>
      </c>
      <c r="D851" s="3">
        <v>70.400000000000006</v>
      </c>
      <c r="E851" s="3" t="s">
        <v>969</v>
      </c>
      <c r="F851" s="3">
        <v>70.400000000000006</v>
      </c>
    </row>
    <row r="852" spans="1:6" x14ac:dyDescent="0.25">
      <c r="A852" s="2">
        <v>39082</v>
      </c>
      <c r="B852" s="3">
        <v>43</v>
      </c>
      <c r="C852" s="3">
        <v>39</v>
      </c>
      <c r="D852" s="3">
        <v>8.3000000000000007</v>
      </c>
      <c r="E852" s="3" t="s">
        <v>970</v>
      </c>
      <c r="F852" s="3">
        <v>8.3000000000000007</v>
      </c>
    </row>
    <row r="853" spans="1:6" x14ac:dyDescent="0.25">
      <c r="A853" s="2">
        <v>39083</v>
      </c>
      <c r="B853" s="3">
        <v>44</v>
      </c>
      <c r="C853" s="3">
        <v>39</v>
      </c>
      <c r="D853" s="3">
        <v>424.8</v>
      </c>
      <c r="E853" s="3" t="s">
        <v>971</v>
      </c>
      <c r="F853" s="3">
        <v>424.8</v>
      </c>
    </row>
    <row r="854" spans="1:6" x14ac:dyDescent="0.25">
      <c r="A854" s="2">
        <v>39084</v>
      </c>
      <c r="B854" s="3">
        <v>45</v>
      </c>
      <c r="C854" s="3">
        <v>39</v>
      </c>
      <c r="D854" s="3">
        <v>2370</v>
      </c>
      <c r="E854" s="3" t="s">
        <v>972</v>
      </c>
      <c r="F854" s="3">
        <v>2370</v>
      </c>
    </row>
    <row r="855" spans="1:6" x14ac:dyDescent="0.25">
      <c r="A855" s="2">
        <v>39085</v>
      </c>
      <c r="B855" s="3">
        <v>46</v>
      </c>
      <c r="C855" s="3">
        <v>39</v>
      </c>
      <c r="D855" s="3">
        <v>9648</v>
      </c>
      <c r="E855" s="3" t="s">
        <v>973</v>
      </c>
      <c r="F855" s="3">
        <v>9648</v>
      </c>
    </row>
    <row r="856" spans="1:6" x14ac:dyDescent="0.25">
      <c r="A856" s="2">
        <v>39086</v>
      </c>
      <c r="B856" s="3">
        <v>47</v>
      </c>
      <c r="C856" s="3">
        <v>39</v>
      </c>
      <c r="D856" s="3">
        <v>53064</v>
      </c>
      <c r="E856" s="3" t="s">
        <v>974</v>
      </c>
      <c r="F856" s="3">
        <v>53064</v>
      </c>
    </row>
    <row r="857" spans="1:6" x14ac:dyDescent="0.25">
      <c r="A857" s="2">
        <v>39087</v>
      </c>
      <c r="B857" s="3">
        <v>48</v>
      </c>
      <c r="C857" s="3">
        <v>39</v>
      </c>
      <c r="D857" s="3">
        <v>287280</v>
      </c>
      <c r="E857" s="3" t="s">
        <v>975</v>
      </c>
      <c r="F857" s="3">
        <v>287280</v>
      </c>
    </row>
    <row r="858" spans="1:6" x14ac:dyDescent="0.25">
      <c r="A858" s="2">
        <v>39088</v>
      </c>
      <c r="B858" s="3">
        <v>49</v>
      </c>
      <c r="C858" s="3">
        <v>39</v>
      </c>
      <c r="D858" s="3">
        <v>9212486.4000000004</v>
      </c>
      <c r="E858" s="3" t="s">
        <v>976</v>
      </c>
      <c r="F858" s="3">
        <v>9212486.4000000004</v>
      </c>
    </row>
    <row r="859" spans="1:6" x14ac:dyDescent="0.25">
      <c r="A859" s="2">
        <v>39089</v>
      </c>
      <c r="B859" s="3">
        <v>50</v>
      </c>
      <c r="C859" s="3">
        <v>39</v>
      </c>
      <c r="D859" s="3" t="s">
        <v>4</v>
      </c>
      <c r="E859" s="3" t="s">
        <v>977</v>
      </c>
      <c r="F859" s="3" t="s">
        <v>4</v>
      </c>
    </row>
    <row r="860" spans="1:6" x14ac:dyDescent="0.25">
      <c r="A860" s="2">
        <v>39090</v>
      </c>
      <c r="B860" s="3">
        <v>51</v>
      </c>
      <c r="C860" s="3">
        <v>39</v>
      </c>
      <c r="D860" s="3">
        <v>230590.8</v>
      </c>
      <c r="E860" s="3" t="s">
        <v>978</v>
      </c>
      <c r="F860" s="3">
        <v>230590.8</v>
      </c>
    </row>
    <row r="861" spans="1:6" x14ac:dyDescent="0.25">
      <c r="A861" s="2">
        <v>39091</v>
      </c>
      <c r="B861" s="3">
        <v>52</v>
      </c>
      <c r="C861" s="3">
        <v>39</v>
      </c>
      <c r="D861" s="3">
        <v>5055264</v>
      </c>
      <c r="E861" s="3" t="s">
        <v>979</v>
      </c>
      <c r="F861" s="3">
        <v>5055264</v>
      </c>
    </row>
    <row r="862" spans="1:6" x14ac:dyDescent="0.25">
      <c r="A862" s="2">
        <v>39092</v>
      </c>
      <c r="B862" s="3">
        <v>53</v>
      </c>
      <c r="C862" s="3">
        <v>39</v>
      </c>
      <c r="D862" s="3">
        <v>12744</v>
      </c>
      <c r="E862" s="3" t="s">
        <v>980</v>
      </c>
      <c r="F862" s="3">
        <v>12744</v>
      </c>
    </row>
    <row r="863" spans="1:6" x14ac:dyDescent="0.25">
      <c r="A863" s="2">
        <v>39093</v>
      </c>
      <c r="B863" s="3">
        <v>54</v>
      </c>
      <c r="C863" s="3">
        <v>39</v>
      </c>
      <c r="D863" s="3">
        <v>36648</v>
      </c>
      <c r="E863" s="3" t="s">
        <v>981</v>
      </c>
      <c r="F863" s="3">
        <v>36648</v>
      </c>
    </row>
    <row r="864" spans="1:6" x14ac:dyDescent="0.25">
      <c r="A864" s="2">
        <v>39094</v>
      </c>
      <c r="B864" s="3">
        <v>55</v>
      </c>
      <c r="C864" s="3">
        <v>39</v>
      </c>
      <c r="D864" s="3">
        <v>1122</v>
      </c>
      <c r="E864" s="3" t="s">
        <v>982</v>
      </c>
      <c r="F864" s="3">
        <v>1122</v>
      </c>
    </row>
    <row r="865" spans="1:6" x14ac:dyDescent="0.25">
      <c r="A865" s="2">
        <v>39095</v>
      </c>
      <c r="B865" s="3">
        <v>56</v>
      </c>
      <c r="C865" s="3">
        <v>39</v>
      </c>
      <c r="D865" s="3">
        <v>618</v>
      </c>
      <c r="E865" s="3" t="s">
        <v>983</v>
      </c>
      <c r="F865" s="3">
        <v>618</v>
      </c>
    </row>
    <row r="866" spans="1:6" x14ac:dyDescent="0.25">
      <c r="A866" s="2">
        <v>39096</v>
      </c>
      <c r="B866" s="3">
        <v>57</v>
      </c>
      <c r="C866" s="3">
        <v>39</v>
      </c>
      <c r="D866" s="3">
        <v>5.34</v>
      </c>
      <c r="E866" s="3" t="s">
        <v>984</v>
      </c>
      <c r="F866" s="3">
        <v>5.34</v>
      </c>
    </row>
    <row r="867" spans="1:6" x14ac:dyDescent="0.25">
      <c r="A867" s="2">
        <v>39097</v>
      </c>
      <c r="B867" s="3">
        <v>58</v>
      </c>
      <c r="C867" s="3">
        <v>39</v>
      </c>
      <c r="D867" s="3">
        <v>3.75</v>
      </c>
      <c r="E867" s="3" t="s">
        <v>985</v>
      </c>
      <c r="F867" s="3">
        <v>3.75</v>
      </c>
    </row>
    <row r="868" spans="1:6" x14ac:dyDescent="0.25">
      <c r="A868" s="2">
        <v>39098</v>
      </c>
      <c r="B868" s="3">
        <v>59</v>
      </c>
      <c r="C868" s="3">
        <v>39</v>
      </c>
      <c r="D868" s="3">
        <v>0.54800000000000004</v>
      </c>
      <c r="E868" s="3" t="s">
        <v>986</v>
      </c>
      <c r="F868" s="3">
        <v>0.54800000000000004</v>
      </c>
    </row>
    <row r="869" spans="1:6" x14ac:dyDescent="0.25">
      <c r="A869" s="2">
        <v>39099</v>
      </c>
      <c r="B869" s="3">
        <v>60</v>
      </c>
      <c r="C869" s="3">
        <v>39</v>
      </c>
      <c r="D869" s="3">
        <v>1.484</v>
      </c>
      <c r="E869" s="3" t="s">
        <v>987</v>
      </c>
      <c r="F869" s="3">
        <v>1.484</v>
      </c>
    </row>
    <row r="870" spans="1:6" x14ac:dyDescent="0.25">
      <c r="A870" s="2">
        <v>39100</v>
      </c>
      <c r="B870" s="3">
        <v>61</v>
      </c>
      <c r="C870" s="3">
        <v>39</v>
      </c>
      <c r="D870" s="3">
        <v>0.73499999999999999</v>
      </c>
      <c r="E870" s="3" t="s">
        <v>988</v>
      </c>
      <c r="F870" s="3">
        <v>0.73499999999999999</v>
      </c>
    </row>
    <row r="871" spans="1:6" x14ac:dyDescent="0.25">
      <c r="A871" s="2">
        <v>39101</v>
      </c>
      <c r="B871" s="3">
        <v>62</v>
      </c>
      <c r="C871" s="3">
        <v>39</v>
      </c>
      <c r="D871" s="3">
        <v>0.45</v>
      </c>
      <c r="E871" s="3" t="s">
        <v>989</v>
      </c>
      <c r="F871" s="3">
        <v>0.45</v>
      </c>
    </row>
    <row r="872" spans="1:6" x14ac:dyDescent="0.25">
      <c r="A872" s="2">
        <v>39102</v>
      </c>
      <c r="B872" s="3">
        <v>63</v>
      </c>
      <c r="C872" s="3">
        <v>39</v>
      </c>
      <c r="D872" s="3">
        <v>0.36</v>
      </c>
      <c r="E872" s="3" t="s">
        <v>990</v>
      </c>
      <c r="F872" s="3">
        <v>0.36</v>
      </c>
    </row>
    <row r="873" spans="1:6" x14ac:dyDescent="0.25">
      <c r="A873" s="2">
        <v>39103</v>
      </c>
      <c r="B873" s="3">
        <v>64</v>
      </c>
      <c r="C873" s="3">
        <v>39</v>
      </c>
      <c r="D873" s="3">
        <v>0.23</v>
      </c>
      <c r="E873" s="3" t="s">
        <v>991</v>
      </c>
      <c r="F873" s="3">
        <v>0.23</v>
      </c>
    </row>
    <row r="874" spans="1:6" x14ac:dyDescent="0.25">
      <c r="A874" s="2">
        <v>39104</v>
      </c>
      <c r="B874" s="3">
        <v>65</v>
      </c>
      <c r="C874" s="3">
        <v>39</v>
      </c>
      <c r="D874" s="3">
        <v>0.19700000000000001</v>
      </c>
      <c r="E874" s="3" t="s">
        <v>992</v>
      </c>
      <c r="F874" s="3">
        <v>0.19700000000000001</v>
      </c>
    </row>
    <row r="875" spans="1:6" x14ac:dyDescent="0.25">
      <c r="A875" s="2">
        <v>39105</v>
      </c>
      <c r="B875" s="3">
        <v>66</v>
      </c>
      <c r="C875" s="3">
        <v>39</v>
      </c>
      <c r="D875" s="3">
        <v>9.5000000000000001E-2</v>
      </c>
      <c r="E875" s="3" t="s">
        <v>993</v>
      </c>
      <c r="F875" s="3">
        <v>9.5000000000000001E-2</v>
      </c>
    </row>
    <row r="876" spans="1:6" x14ac:dyDescent="0.25">
      <c r="A876" s="2">
        <v>39106</v>
      </c>
      <c r="B876" s="3">
        <v>67</v>
      </c>
      <c r="C876" s="3">
        <v>39</v>
      </c>
      <c r="D876" s="3">
        <v>7.9000000000000001E-2</v>
      </c>
      <c r="E876" s="3" t="s">
        <v>994</v>
      </c>
      <c r="F876" s="3">
        <v>7.9000000000000001E-2</v>
      </c>
    </row>
    <row r="877" spans="1:6" x14ac:dyDescent="0.25">
      <c r="A877" s="2">
        <v>39107</v>
      </c>
      <c r="B877" s="3">
        <v>68</v>
      </c>
      <c r="C877" s="3">
        <v>39</v>
      </c>
      <c r="D877" s="3">
        <v>3.5000000000000001E-3</v>
      </c>
      <c r="E877" s="3" t="s">
        <v>995</v>
      </c>
      <c r="F877" s="3">
        <v>3.5000000000000001E-3</v>
      </c>
    </row>
    <row r="878" spans="1:6" x14ac:dyDescent="0.25">
      <c r="A878" s="2">
        <v>39108</v>
      </c>
      <c r="B878" s="3">
        <v>69</v>
      </c>
      <c r="C878" s="3">
        <v>39</v>
      </c>
      <c r="D878" s="3">
        <v>0.03</v>
      </c>
      <c r="E878" s="3" t="s">
        <v>996</v>
      </c>
      <c r="F878" s="3">
        <v>0.03</v>
      </c>
    </row>
    <row r="879" spans="1:6" x14ac:dyDescent="0.25">
      <c r="A879" s="2">
        <v>39109</v>
      </c>
      <c r="B879" s="3">
        <v>70</v>
      </c>
      <c r="C879" s="3">
        <v>39</v>
      </c>
      <c r="D879" s="3">
        <v>2.5000000000000001E-2</v>
      </c>
      <c r="E879" s="3" t="s">
        <v>997</v>
      </c>
      <c r="F879" s="3">
        <v>2.5000000000000001E-2</v>
      </c>
    </row>
    <row r="880" spans="1:6" x14ac:dyDescent="0.25">
      <c r="A880" s="2">
        <v>40078</v>
      </c>
      <c r="B880" s="3">
        <v>38</v>
      </c>
      <c r="C880" s="3">
        <v>40</v>
      </c>
      <c r="D880" s="3">
        <v>1.6999999999999999E-7</v>
      </c>
      <c r="E880" s="3" t="s">
        <v>998</v>
      </c>
      <c r="F880" s="3">
        <v>1.6999999999999999E-7</v>
      </c>
    </row>
    <row r="881" spans="1:6" x14ac:dyDescent="0.25">
      <c r="A881" s="2">
        <v>40079</v>
      </c>
      <c r="B881" s="3">
        <v>39</v>
      </c>
      <c r="C881" s="3">
        <v>40</v>
      </c>
      <c r="D881" s="3">
        <v>5.6000000000000001E-2</v>
      </c>
      <c r="E881" s="3" t="s">
        <v>999</v>
      </c>
      <c r="F881" s="3">
        <v>5.6000000000000001E-2</v>
      </c>
    </row>
    <row r="882" spans="1:6" x14ac:dyDescent="0.25">
      <c r="A882" s="2">
        <v>40080</v>
      </c>
      <c r="B882" s="3">
        <v>40</v>
      </c>
      <c r="C882" s="3">
        <v>40</v>
      </c>
      <c r="D882" s="3">
        <v>4.5999999999999996</v>
      </c>
      <c r="E882" s="3" t="s">
        <v>1000</v>
      </c>
      <c r="F882" s="3">
        <v>4.5999999999999996</v>
      </c>
    </row>
    <row r="883" spans="1:6" x14ac:dyDescent="0.25">
      <c r="A883" s="2">
        <v>40081</v>
      </c>
      <c r="B883" s="3">
        <v>41</v>
      </c>
      <c r="C883" s="3">
        <v>40</v>
      </c>
      <c r="D883" s="3">
        <v>5.5</v>
      </c>
      <c r="E883" s="3" t="s">
        <v>1001</v>
      </c>
      <c r="F883" s="3">
        <v>5.5</v>
      </c>
    </row>
    <row r="884" spans="1:6" x14ac:dyDescent="0.25">
      <c r="A884" s="2">
        <v>40082</v>
      </c>
      <c r="B884" s="3">
        <v>42</v>
      </c>
      <c r="C884" s="3">
        <v>40</v>
      </c>
      <c r="D884" s="3">
        <v>32</v>
      </c>
      <c r="E884" s="3" t="s">
        <v>1002</v>
      </c>
      <c r="F884" s="3">
        <v>32</v>
      </c>
    </row>
    <row r="885" spans="1:6" x14ac:dyDescent="0.25">
      <c r="A885" s="2">
        <v>40083</v>
      </c>
      <c r="B885" s="3">
        <v>43</v>
      </c>
      <c r="C885" s="3">
        <v>40</v>
      </c>
      <c r="D885" s="3">
        <v>42</v>
      </c>
      <c r="E885" s="3" t="s">
        <v>1003</v>
      </c>
      <c r="F885" s="3">
        <v>42</v>
      </c>
    </row>
    <row r="886" spans="1:6" x14ac:dyDescent="0.25">
      <c r="A886" s="2">
        <v>40084</v>
      </c>
      <c r="B886" s="3">
        <v>44</v>
      </c>
      <c r="C886" s="3">
        <v>40</v>
      </c>
      <c r="D886" s="3">
        <v>1548</v>
      </c>
      <c r="E886" s="3" t="s">
        <v>1004</v>
      </c>
      <c r="F886" s="3">
        <v>1548</v>
      </c>
    </row>
    <row r="887" spans="1:6" x14ac:dyDescent="0.25">
      <c r="A887" s="2">
        <v>40085</v>
      </c>
      <c r="B887" s="3">
        <v>45</v>
      </c>
      <c r="C887" s="3">
        <v>40</v>
      </c>
      <c r="D887" s="3">
        <v>471.6</v>
      </c>
      <c r="E887" s="3" t="s">
        <v>1005</v>
      </c>
      <c r="F887" s="3">
        <v>471.6</v>
      </c>
    </row>
    <row r="888" spans="1:6" x14ac:dyDescent="0.25">
      <c r="A888" s="2">
        <v>40086</v>
      </c>
      <c r="B888" s="3">
        <v>46</v>
      </c>
      <c r="C888" s="3">
        <v>40</v>
      </c>
      <c r="D888" s="3">
        <v>59400</v>
      </c>
      <c r="E888" s="3" t="s">
        <v>1006</v>
      </c>
      <c r="F888" s="3">
        <v>59400</v>
      </c>
    </row>
    <row r="889" spans="1:6" x14ac:dyDescent="0.25">
      <c r="A889" s="2">
        <v>40087</v>
      </c>
      <c r="B889" s="3">
        <v>47</v>
      </c>
      <c r="C889" s="3">
        <v>40</v>
      </c>
      <c r="D889" s="3">
        <v>6048</v>
      </c>
      <c r="E889" s="3" t="s">
        <v>1007</v>
      </c>
      <c r="F889" s="3">
        <v>6048</v>
      </c>
    </row>
    <row r="890" spans="1:6" x14ac:dyDescent="0.25">
      <c r="A890" s="2">
        <v>40088</v>
      </c>
      <c r="B890" s="3">
        <v>48</v>
      </c>
      <c r="C890" s="3">
        <v>40</v>
      </c>
      <c r="D890" s="3">
        <v>7205760</v>
      </c>
      <c r="E890" s="3" t="s">
        <v>1008</v>
      </c>
      <c r="F890" s="3">
        <v>7205760</v>
      </c>
    </row>
    <row r="891" spans="1:6" x14ac:dyDescent="0.25">
      <c r="A891" s="2">
        <v>40089</v>
      </c>
      <c r="B891" s="3">
        <v>49</v>
      </c>
      <c r="C891" s="3">
        <v>40</v>
      </c>
      <c r="D891" s="3">
        <v>282276</v>
      </c>
      <c r="E891" s="3" t="s">
        <v>1009</v>
      </c>
      <c r="F891" s="3">
        <v>282276</v>
      </c>
    </row>
    <row r="892" spans="1:6" x14ac:dyDescent="0.25">
      <c r="A892" s="2">
        <v>40090</v>
      </c>
      <c r="B892" s="3">
        <v>50</v>
      </c>
      <c r="C892" s="3">
        <v>40</v>
      </c>
      <c r="D892" s="3" t="s">
        <v>4</v>
      </c>
      <c r="E892" s="3" t="s">
        <v>1010</v>
      </c>
      <c r="F892" s="3" t="s">
        <v>4</v>
      </c>
    </row>
    <row r="893" spans="1:6" x14ac:dyDescent="0.25">
      <c r="A893" s="2">
        <v>40091</v>
      </c>
      <c r="B893" s="3">
        <v>51</v>
      </c>
      <c r="C893" s="3">
        <v>40</v>
      </c>
      <c r="D893" s="3" t="s">
        <v>4</v>
      </c>
      <c r="E893" s="3" t="s">
        <v>1011</v>
      </c>
      <c r="F893" s="3" t="s">
        <v>4</v>
      </c>
    </row>
    <row r="894" spans="1:6" x14ac:dyDescent="0.25">
      <c r="A894" s="2">
        <v>40092</v>
      </c>
      <c r="B894" s="3">
        <v>52</v>
      </c>
      <c r="C894" s="3">
        <v>40</v>
      </c>
      <c r="D894" s="3" t="s">
        <v>4</v>
      </c>
      <c r="E894" s="3" t="s">
        <v>1012</v>
      </c>
      <c r="F894" s="3" t="s">
        <v>4</v>
      </c>
    </row>
    <row r="895" spans="1:6" x14ac:dyDescent="0.25">
      <c r="A895" s="2">
        <v>40093</v>
      </c>
      <c r="B895" s="3">
        <v>53</v>
      </c>
      <c r="C895" s="3">
        <v>40</v>
      </c>
      <c r="D895" s="3">
        <v>50807736000000</v>
      </c>
      <c r="E895" s="3" t="s">
        <v>1013</v>
      </c>
      <c r="F895" s="3">
        <v>50807736000000</v>
      </c>
    </row>
    <row r="896" spans="1:6" x14ac:dyDescent="0.25">
      <c r="A896" s="2">
        <v>40094</v>
      </c>
      <c r="B896" s="3">
        <v>54</v>
      </c>
      <c r="C896" s="3">
        <v>40</v>
      </c>
      <c r="D896" s="3" t="s">
        <v>4</v>
      </c>
      <c r="E896" s="3" t="s">
        <v>1014</v>
      </c>
      <c r="F896" s="3" t="s">
        <v>4</v>
      </c>
    </row>
    <row r="897" spans="1:6" x14ac:dyDescent="0.25">
      <c r="A897" s="2">
        <v>40095</v>
      </c>
      <c r="B897" s="3">
        <v>55</v>
      </c>
      <c r="C897" s="3">
        <v>40</v>
      </c>
      <c r="D897" s="3">
        <v>5532364.7999999998</v>
      </c>
      <c r="E897" s="3" t="s">
        <v>1015</v>
      </c>
      <c r="F897" s="3">
        <v>5532364.7999999998</v>
      </c>
    </row>
    <row r="898" spans="1:6" x14ac:dyDescent="0.25">
      <c r="A898" s="2">
        <v>40096</v>
      </c>
      <c r="B898" s="3">
        <v>56</v>
      </c>
      <c r="C898" s="3">
        <v>40</v>
      </c>
      <c r="D898" s="3">
        <v>7.4160360000000004E+26</v>
      </c>
      <c r="E898" s="3" t="s">
        <v>1016</v>
      </c>
      <c r="F898" s="3">
        <v>7.4160360000000004E+26</v>
      </c>
    </row>
    <row r="899" spans="1:6" x14ac:dyDescent="0.25">
      <c r="A899" s="2">
        <v>40097</v>
      </c>
      <c r="B899" s="3">
        <v>57</v>
      </c>
      <c r="C899" s="3">
        <v>40</v>
      </c>
      <c r="D899" s="3">
        <v>60296.3999999999</v>
      </c>
      <c r="E899" s="3" t="s">
        <v>1017</v>
      </c>
      <c r="F899" s="3">
        <v>60296.3999999999</v>
      </c>
    </row>
    <row r="900" spans="1:6" x14ac:dyDescent="0.25">
      <c r="A900" s="2">
        <v>40098</v>
      </c>
      <c r="B900" s="3">
        <v>58</v>
      </c>
      <c r="C900" s="3">
        <v>40</v>
      </c>
      <c r="D900" s="3">
        <v>30.7</v>
      </c>
      <c r="E900" s="3" t="s">
        <v>1018</v>
      </c>
      <c r="F900" s="3">
        <v>30.7</v>
      </c>
    </row>
    <row r="901" spans="1:6" x14ac:dyDescent="0.25">
      <c r="A901" s="2">
        <v>40099</v>
      </c>
      <c r="B901" s="3">
        <v>59</v>
      </c>
      <c r="C901" s="3">
        <v>40</v>
      </c>
      <c r="D901" s="3">
        <v>2.1</v>
      </c>
      <c r="E901" s="3" t="s">
        <v>1019</v>
      </c>
      <c r="F901" s="3">
        <v>2.1</v>
      </c>
    </row>
    <row r="902" spans="1:6" x14ac:dyDescent="0.25">
      <c r="A902" s="2">
        <v>40100</v>
      </c>
      <c r="B902" s="3">
        <v>60</v>
      </c>
      <c r="C902" s="3">
        <v>40</v>
      </c>
      <c r="D902" s="3">
        <v>7.1</v>
      </c>
      <c r="E902" s="3" t="s">
        <v>1020</v>
      </c>
      <c r="F902" s="3">
        <v>7.1</v>
      </c>
    </row>
    <row r="903" spans="1:6" x14ac:dyDescent="0.25">
      <c r="A903" s="2">
        <v>40101</v>
      </c>
      <c r="B903" s="3">
        <v>61</v>
      </c>
      <c r="C903" s="3">
        <v>40</v>
      </c>
      <c r="D903" s="3">
        <v>2.2999999999999998</v>
      </c>
      <c r="E903" s="3" t="s">
        <v>1021</v>
      </c>
      <c r="F903" s="3">
        <v>2.2999999999999998</v>
      </c>
    </row>
    <row r="904" spans="1:6" x14ac:dyDescent="0.25">
      <c r="A904" s="2">
        <v>40102</v>
      </c>
      <c r="B904" s="3">
        <v>62</v>
      </c>
      <c r="C904" s="3">
        <v>40</v>
      </c>
      <c r="D904" s="3">
        <v>2.9</v>
      </c>
      <c r="E904" s="3" t="s">
        <v>1022</v>
      </c>
      <c r="F904" s="3">
        <v>2.9</v>
      </c>
    </row>
    <row r="905" spans="1:6" x14ac:dyDescent="0.25">
      <c r="A905" s="2">
        <v>40103</v>
      </c>
      <c r="B905" s="3">
        <v>63</v>
      </c>
      <c r="C905" s="3">
        <v>40</v>
      </c>
      <c r="D905" s="3">
        <v>1.32</v>
      </c>
      <c r="E905" s="3" t="s">
        <v>1023</v>
      </c>
      <c r="F905" s="3">
        <v>1.32</v>
      </c>
    </row>
    <row r="906" spans="1:6" x14ac:dyDescent="0.25">
      <c r="A906" s="2">
        <v>40104</v>
      </c>
      <c r="B906" s="3">
        <v>64</v>
      </c>
      <c r="C906" s="3">
        <v>40</v>
      </c>
      <c r="D906" s="3">
        <v>0.87</v>
      </c>
      <c r="E906" s="3" t="s">
        <v>1024</v>
      </c>
      <c r="F906" s="3">
        <v>0.87</v>
      </c>
    </row>
    <row r="907" spans="1:6" x14ac:dyDescent="0.25">
      <c r="A907" s="2">
        <v>40105</v>
      </c>
      <c r="B907" s="3">
        <v>65</v>
      </c>
      <c r="C907" s="3">
        <v>40</v>
      </c>
      <c r="D907" s="3">
        <v>0.67</v>
      </c>
      <c r="E907" s="3" t="s">
        <v>1025</v>
      </c>
      <c r="F907" s="3">
        <v>0.67</v>
      </c>
    </row>
    <row r="908" spans="1:6" x14ac:dyDescent="0.25">
      <c r="A908" s="2">
        <v>40106</v>
      </c>
      <c r="B908" s="3">
        <v>66</v>
      </c>
      <c r="C908" s="3">
        <v>40</v>
      </c>
      <c r="D908" s="3">
        <v>0.18</v>
      </c>
      <c r="E908" s="3" t="s">
        <v>1026</v>
      </c>
      <c r="F908" s="3">
        <v>0.18</v>
      </c>
    </row>
    <row r="909" spans="1:6" x14ac:dyDescent="0.25">
      <c r="A909" s="2">
        <v>40107</v>
      </c>
      <c r="B909" s="3">
        <v>67</v>
      </c>
      <c r="C909" s="3">
        <v>40</v>
      </c>
      <c r="D909" s="3">
        <v>0.14599999999999999</v>
      </c>
      <c r="E909" s="3" t="s">
        <v>1027</v>
      </c>
      <c r="F909" s="3">
        <v>0.14599999999999999</v>
      </c>
    </row>
    <row r="910" spans="1:6" x14ac:dyDescent="0.25">
      <c r="A910" s="2">
        <v>40108</v>
      </c>
      <c r="B910" s="3">
        <v>68</v>
      </c>
      <c r="C910" s="3">
        <v>40</v>
      </c>
      <c r="D910" s="3">
        <v>7.7399999999999997E-2</v>
      </c>
      <c r="E910" s="3" t="s">
        <v>1028</v>
      </c>
      <c r="F910" s="3">
        <v>7.7399999999999997E-2</v>
      </c>
    </row>
    <row r="911" spans="1:6" x14ac:dyDescent="0.25">
      <c r="A911" s="2">
        <v>40109</v>
      </c>
      <c r="B911" s="3">
        <v>69</v>
      </c>
      <c r="C911" s="3">
        <v>40</v>
      </c>
      <c r="D911" s="3">
        <v>5.6000000000000001E-2</v>
      </c>
      <c r="E911" s="3" t="s">
        <v>1029</v>
      </c>
      <c r="F911" s="3">
        <v>5.6000000000000001E-2</v>
      </c>
    </row>
    <row r="912" spans="1:6" x14ac:dyDescent="0.25">
      <c r="A912" s="2">
        <v>40110</v>
      </c>
      <c r="B912" s="3">
        <v>70</v>
      </c>
      <c r="C912" s="3">
        <v>40</v>
      </c>
      <c r="D912" s="3">
        <v>3.7499999999999999E-2</v>
      </c>
      <c r="E912" s="3" t="s">
        <v>1030</v>
      </c>
      <c r="F912" s="3">
        <v>3.7499999999999999E-2</v>
      </c>
    </row>
    <row r="913" spans="1:6" x14ac:dyDescent="0.25">
      <c r="A913" s="2">
        <v>40111</v>
      </c>
      <c r="B913" s="3">
        <v>71</v>
      </c>
      <c r="C913" s="3">
        <v>40</v>
      </c>
      <c r="D913" s="3">
        <v>2.4E-2</v>
      </c>
      <c r="E913" s="3" t="s">
        <v>1031</v>
      </c>
      <c r="F913" s="3">
        <v>2.4E-2</v>
      </c>
    </row>
    <row r="914" spans="1:6" x14ac:dyDescent="0.25">
      <c r="A914" s="2">
        <v>40112</v>
      </c>
      <c r="B914" s="3">
        <v>72</v>
      </c>
      <c r="C914" s="3">
        <v>40</v>
      </c>
      <c r="D914" s="3">
        <v>0.03</v>
      </c>
      <c r="E914" s="3" t="s">
        <v>1032</v>
      </c>
      <c r="F914" s="3">
        <v>0.03</v>
      </c>
    </row>
    <row r="915" spans="1:6" x14ac:dyDescent="0.25">
      <c r="A915" s="2">
        <v>41082</v>
      </c>
      <c r="B915" s="3">
        <v>41</v>
      </c>
      <c r="C915" s="3">
        <v>41</v>
      </c>
      <c r="D915" s="3">
        <v>0.05</v>
      </c>
      <c r="E915" s="3" t="s">
        <v>1033</v>
      </c>
      <c r="F915" s="3">
        <v>0.05</v>
      </c>
    </row>
    <row r="916" spans="1:6" x14ac:dyDescent="0.25">
      <c r="A916" s="2">
        <v>41083</v>
      </c>
      <c r="B916" s="3">
        <v>42</v>
      </c>
      <c r="C916" s="3">
        <v>41</v>
      </c>
      <c r="D916" s="3">
        <v>3.9</v>
      </c>
      <c r="E916" s="3" t="s">
        <v>1034</v>
      </c>
      <c r="F916" s="3">
        <v>3.9</v>
      </c>
    </row>
    <row r="917" spans="1:6" x14ac:dyDescent="0.25">
      <c r="A917" s="2">
        <v>41084</v>
      </c>
      <c r="B917" s="3">
        <v>43</v>
      </c>
      <c r="C917" s="3">
        <v>41</v>
      </c>
      <c r="D917" s="3">
        <v>9.8000000000000007</v>
      </c>
      <c r="E917" s="3" t="s">
        <v>1035</v>
      </c>
      <c r="F917" s="3">
        <v>9.8000000000000007</v>
      </c>
    </row>
    <row r="918" spans="1:6" x14ac:dyDescent="0.25">
      <c r="A918" s="2">
        <v>41085</v>
      </c>
      <c r="B918" s="3">
        <v>44</v>
      </c>
      <c r="C918" s="3">
        <v>41</v>
      </c>
      <c r="D918" s="3">
        <v>20.5</v>
      </c>
      <c r="E918" s="3" t="s">
        <v>1036</v>
      </c>
      <c r="F918" s="3">
        <v>20.5</v>
      </c>
    </row>
    <row r="919" spans="1:6" x14ac:dyDescent="0.25">
      <c r="A919" s="2">
        <v>41086</v>
      </c>
      <c r="B919" s="3">
        <v>45</v>
      </c>
      <c r="C919" s="3">
        <v>41</v>
      </c>
      <c r="D919" s="3">
        <v>88</v>
      </c>
      <c r="E919" s="3" t="s">
        <v>1037</v>
      </c>
      <c r="F919" s="3">
        <v>88</v>
      </c>
    </row>
    <row r="920" spans="1:6" x14ac:dyDescent="0.25">
      <c r="A920" s="2">
        <v>41087</v>
      </c>
      <c r="B920" s="3">
        <v>46</v>
      </c>
      <c r="C920" s="3">
        <v>41</v>
      </c>
      <c r="D920" s="3">
        <v>222</v>
      </c>
      <c r="E920" s="3" t="s">
        <v>1038</v>
      </c>
      <c r="F920" s="3">
        <v>222</v>
      </c>
    </row>
    <row r="921" spans="1:6" x14ac:dyDescent="0.25">
      <c r="A921" s="2">
        <v>41088</v>
      </c>
      <c r="B921" s="3">
        <v>47</v>
      </c>
      <c r="C921" s="3">
        <v>41</v>
      </c>
      <c r="D921" s="3">
        <v>873</v>
      </c>
      <c r="E921" s="3" t="s">
        <v>1039</v>
      </c>
      <c r="F921" s="3">
        <v>873</v>
      </c>
    </row>
    <row r="922" spans="1:6" x14ac:dyDescent="0.25">
      <c r="A922" s="2">
        <v>41089</v>
      </c>
      <c r="B922" s="3">
        <v>48</v>
      </c>
      <c r="C922" s="3">
        <v>41</v>
      </c>
      <c r="D922" s="3">
        <v>7307.99999999999</v>
      </c>
      <c r="E922" s="3" t="s">
        <v>1040</v>
      </c>
      <c r="F922" s="3">
        <v>7307.99999999999</v>
      </c>
    </row>
    <row r="923" spans="1:6" x14ac:dyDescent="0.25">
      <c r="A923" s="2">
        <v>41090</v>
      </c>
      <c r="B923" s="3">
        <v>49</v>
      </c>
      <c r="C923" s="3">
        <v>41</v>
      </c>
      <c r="D923" s="3">
        <v>52560</v>
      </c>
      <c r="E923" s="3" t="s">
        <v>1041</v>
      </c>
      <c r="F923" s="3">
        <v>52560</v>
      </c>
    </row>
    <row r="924" spans="1:6" x14ac:dyDescent="0.25">
      <c r="A924" s="2">
        <v>41091</v>
      </c>
      <c r="B924" s="3">
        <v>50</v>
      </c>
      <c r="C924" s="3">
        <v>41</v>
      </c>
      <c r="D924" s="3">
        <v>21459168000</v>
      </c>
      <c r="E924" s="3" t="s">
        <v>1042</v>
      </c>
      <c r="F924" s="3">
        <v>21459168000</v>
      </c>
    </row>
    <row r="925" spans="1:6" x14ac:dyDescent="0.25">
      <c r="A925" s="2">
        <v>41092</v>
      </c>
      <c r="B925" s="3">
        <v>51</v>
      </c>
      <c r="C925" s="3">
        <v>41</v>
      </c>
      <c r="D925" s="3">
        <v>1095048720000000</v>
      </c>
      <c r="E925" s="3" t="s">
        <v>1043</v>
      </c>
      <c r="F925" s="3">
        <v>1095048720000000</v>
      </c>
    </row>
    <row r="926" spans="1:6" x14ac:dyDescent="0.25">
      <c r="A926" s="2">
        <v>41093</v>
      </c>
      <c r="B926" s="3">
        <v>52</v>
      </c>
      <c r="C926" s="3">
        <v>41</v>
      </c>
      <c r="D926" s="3" t="s">
        <v>4</v>
      </c>
      <c r="E926" s="3" t="s">
        <v>1044</v>
      </c>
      <c r="F926" s="3" t="s">
        <v>4</v>
      </c>
    </row>
    <row r="927" spans="1:6" x14ac:dyDescent="0.25">
      <c r="A927" s="2">
        <v>41094</v>
      </c>
      <c r="B927" s="3">
        <v>53</v>
      </c>
      <c r="C927" s="3">
        <v>41</v>
      </c>
      <c r="D927" s="3">
        <v>640619280000</v>
      </c>
      <c r="E927" s="3" t="s">
        <v>1045</v>
      </c>
      <c r="F927" s="3">
        <v>640619280000</v>
      </c>
    </row>
    <row r="928" spans="1:6" x14ac:dyDescent="0.25">
      <c r="A928" s="2">
        <v>41095</v>
      </c>
      <c r="B928" s="3">
        <v>54</v>
      </c>
      <c r="C928" s="3">
        <v>41</v>
      </c>
      <c r="D928" s="3">
        <v>3023222.4</v>
      </c>
      <c r="E928" s="3" t="s">
        <v>1046</v>
      </c>
      <c r="F928" s="3">
        <v>3023222.4</v>
      </c>
    </row>
    <row r="929" spans="1:6" x14ac:dyDescent="0.25">
      <c r="A929" s="2">
        <v>41096</v>
      </c>
      <c r="B929" s="3">
        <v>55</v>
      </c>
      <c r="C929" s="3">
        <v>41</v>
      </c>
      <c r="D929" s="3">
        <v>84060</v>
      </c>
      <c r="E929" s="3" t="s">
        <v>1047</v>
      </c>
      <c r="F929" s="3">
        <v>84060</v>
      </c>
    </row>
    <row r="930" spans="1:6" x14ac:dyDescent="0.25">
      <c r="A930" s="2">
        <v>41097</v>
      </c>
      <c r="B930" s="3">
        <v>56</v>
      </c>
      <c r="C930" s="3">
        <v>41</v>
      </c>
      <c r="D930" s="3">
        <v>4326</v>
      </c>
      <c r="E930" s="3" t="s">
        <v>1048</v>
      </c>
      <c r="F930" s="3">
        <v>4326</v>
      </c>
    </row>
    <row r="931" spans="1:6" x14ac:dyDescent="0.25">
      <c r="A931" s="2">
        <v>41098</v>
      </c>
      <c r="B931" s="3">
        <v>57</v>
      </c>
      <c r="C931" s="3">
        <v>41</v>
      </c>
      <c r="D931" s="3">
        <v>2.86</v>
      </c>
      <c r="E931" s="3" t="s">
        <v>1049</v>
      </c>
      <c r="F931" s="3">
        <v>2.86</v>
      </c>
    </row>
    <row r="932" spans="1:6" x14ac:dyDescent="0.25">
      <c r="A932" s="2">
        <v>41099</v>
      </c>
      <c r="B932" s="3">
        <v>58</v>
      </c>
      <c r="C932" s="3">
        <v>41</v>
      </c>
      <c r="D932" s="3">
        <v>15</v>
      </c>
      <c r="E932" s="3" t="s">
        <v>1050</v>
      </c>
      <c r="F932" s="3">
        <v>15</v>
      </c>
    </row>
    <row r="933" spans="1:6" x14ac:dyDescent="0.25">
      <c r="A933" s="2">
        <v>41100</v>
      </c>
      <c r="B933" s="3">
        <v>59</v>
      </c>
      <c r="C933" s="3">
        <v>41</v>
      </c>
      <c r="D933" s="3">
        <v>1.5</v>
      </c>
      <c r="E933" s="3" t="s">
        <v>1051</v>
      </c>
      <c r="F933" s="3">
        <v>1.5</v>
      </c>
    </row>
    <row r="934" spans="1:6" x14ac:dyDescent="0.25">
      <c r="A934" s="2">
        <v>41101</v>
      </c>
      <c r="B934" s="3">
        <v>60</v>
      </c>
      <c r="C934" s="3">
        <v>41</v>
      </c>
      <c r="D934" s="3">
        <v>7.1</v>
      </c>
      <c r="E934" s="3" t="s">
        <v>1052</v>
      </c>
      <c r="F934" s="3">
        <v>7.1</v>
      </c>
    </row>
    <row r="935" spans="1:6" x14ac:dyDescent="0.25">
      <c r="A935" s="2">
        <v>41102</v>
      </c>
      <c r="B935" s="3">
        <v>61</v>
      </c>
      <c r="C935" s="3">
        <v>41</v>
      </c>
      <c r="D935" s="3">
        <v>4.3</v>
      </c>
      <c r="E935" s="3" t="s">
        <v>1053</v>
      </c>
      <c r="F935" s="3">
        <v>4.3</v>
      </c>
    </row>
    <row r="936" spans="1:6" x14ac:dyDescent="0.25">
      <c r="A936" s="2">
        <v>41103</v>
      </c>
      <c r="B936" s="3">
        <v>62</v>
      </c>
      <c r="C936" s="3">
        <v>41</v>
      </c>
      <c r="D936" s="3">
        <v>1.5</v>
      </c>
      <c r="E936" s="3" t="s">
        <v>1054</v>
      </c>
      <c r="F936" s="3">
        <v>1.5</v>
      </c>
    </row>
    <row r="937" spans="1:6" x14ac:dyDescent="0.25">
      <c r="A937" s="2">
        <v>41104</v>
      </c>
      <c r="B937" s="3">
        <v>63</v>
      </c>
      <c r="C937" s="3">
        <v>41</v>
      </c>
      <c r="D937" s="3">
        <v>4.9000000000000004</v>
      </c>
      <c r="E937" s="3" t="s">
        <v>1055</v>
      </c>
      <c r="F937" s="3">
        <v>4.9000000000000004</v>
      </c>
    </row>
    <row r="938" spans="1:6" x14ac:dyDescent="0.25">
      <c r="A938" s="2">
        <v>41105</v>
      </c>
      <c r="B938" s="3">
        <v>64</v>
      </c>
      <c r="C938" s="3">
        <v>41</v>
      </c>
      <c r="D938" s="3">
        <v>2.95</v>
      </c>
      <c r="E938" s="3" t="s">
        <v>1056</v>
      </c>
      <c r="F938" s="3">
        <v>2.95</v>
      </c>
    </row>
    <row r="939" spans="1:6" x14ac:dyDescent="0.25">
      <c r="A939" s="2">
        <v>41106</v>
      </c>
      <c r="B939" s="3">
        <v>65</v>
      </c>
      <c r="C939" s="3">
        <v>41</v>
      </c>
      <c r="D939" s="3">
        <v>1.02</v>
      </c>
      <c r="E939" s="3" t="s">
        <v>1057</v>
      </c>
      <c r="F939" s="3">
        <v>1.02</v>
      </c>
    </row>
    <row r="940" spans="1:6" x14ac:dyDescent="0.25">
      <c r="A940" s="2">
        <v>41107</v>
      </c>
      <c r="B940" s="3">
        <v>66</v>
      </c>
      <c r="C940" s="3">
        <v>41</v>
      </c>
      <c r="D940" s="3">
        <v>0.3</v>
      </c>
      <c r="E940" s="3" t="s">
        <v>1058</v>
      </c>
      <c r="F940" s="3">
        <v>0.3</v>
      </c>
    </row>
    <row r="941" spans="1:6" x14ac:dyDescent="0.25">
      <c r="A941" s="2">
        <v>41108</v>
      </c>
      <c r="B941" s="3">
        <v>67</v>
      </c>
      <c r="C941" s="3">
        <v>41</v>
      </c>
      <c r="D941" s="3">
        <v>0.19800000000000001</v>
      </c>
      <c r="E941" s="3" t="s">
        <v>1059</v>
      </c>
      <c r="F941" s="3">
        <v>0.19800000000000001</v>
      </c>
    </row>
    <row r="942" spans="1:6" x14ac:dyDescent="0.25">
      <c r="A942" s="2">
        <v>41109</v>
      </c>
      <c r="B942" s="3">
        <v>68</v>
      </c>
      <c r="C942" s="3">
        <v>41</v>
      </c>
      <c r="D942" s="3">
        <v>0.106</v>
      </c>
      <c r="E942" s="3" t="s">
        <v>1060</v>
      </c>
      <c r="F942" s="3">
        <v>0.106</v>
      </c>
    </row>
    <row r="943" spans="1:6" x14ac:dyDescent="0.25">
      <c r="A943" s="2">
        <v>41110</v>
      </c>
      <c r="B943" s="3">
        <v>69</v>
      </c>
      <c r="C943" s="3">
        <v>41</v>
      </c>
      <c r="D943" s="3">
        <v>8.5999999999999993E-2</v>
      </c>
      <c r="E943" s="3" t="s">
        <v>1061</v>
      </c>
      <c r="F943" s="3">
        <v>8.5999999999999993E-2</v>
      </c>
    </row>
    <row r="944" spans="1:6" x14ac:dyDescent="0.25">
      <c r="A944" s="2">
        <v>41111</v>
      </c>
      <c r="B944" s="3">
        <v>70</v>
      </c>
      <c r="C944" s="3">
        <v>41</v>
      </c>
      <c r="D944" s="3">
        <v>5.0999999999999997E-2</v>
      </c>
      <c r="E944" s="3" t="s">
        <v>1062</v>
      </c>
      <c r="F944" s="3">
        <v>5.0999999999999997E-2</v>
      </c>
    </row>
    <row r="945" spans="1:6" x14ac:dyDescent="0.25">
      <c r="A945" s="2">
        <v>41112</v>
      </c>
      <c r="B945" s="3">
        <v>71</v>
      </c>
      <c r="C945" s="3">
        <v>41</v>
      </c>
      <c r="D945" s="3">
        <v>3.3000000000000002E-2</v>
      </c>
      <c r="E945" s="3" t="s">
        <v>1063</v>
      </c>
      <c r="F945" s="3">
        <v>3.3000000000000002E-2</v>
      </c>
    </row>
    <row r="946" spans="1:6" x14ac:dyDescent="0.25">
      <c r="A946" s="2">
        <v>41113</v>
      </c>
      <c r="B946" s="3">
        <v>72</v>
      </c>
      <c r="C946" s="3">
        <v>41</v>
      </c>
      <c r="D946" s="3">
        <v>3.2000000000000001E-2</v>
      </c>
      <c r="E946" s="3" t="s">
        <v>1064</v>
      </c>
      <c r="F946" s="3">
        <v>3.2000000000000001E-2</v>
      </c>
    </row>
    <row r="947" spans="1:6" x14ac:dyDescent="0.25">
      <c r="A947" s="2">
        <v>41114</v>
      </c>
      <c r="B947" s="3">
        <v>73</v>
      </c>
      <c r="C947" s="3">
        <v>41</v>
      </c>
      <c r="D947" s="3">
        <v>1.7000000000000001E-2</v>
      </c>
      <c r="E947" s="3" t="s">
        <v>1065</v>
      </c>
      <c r="F947" s="3">
        <v>1.7000000000000001E-2</v>
      </c>
    </row>
    <row r="948" spans="1:6" x14ac:dyDescent="0.25">
      <c r="A948" s="2">
        <v>41115</v>
      </c>
      <c r="B948" s="3">
        <v>74</v>
      </c>
      <c r="C948" s="3">
        <v>41</v>
      </c>
      <c r="D948" s="3">
        <v>2.3E-2</v>
      </c>
      <c r="E948" s="3" t="s">
        <v>1066</v>
      </c>
      <c r="F948" s="3">
        <v>2.3E-2</v>
      </c>
    </row>
    <row r="949" spans="1:6" x14ac:dyDescent="0.25">
      <c r="A949" s="2">
        <v>42081</v>
      </c>
      <c r="B949" s="3">
        <v>39</v>
      </c>
      <c r="C949" s="3">
        <v>42</v>
      </c>
      <c r="D949" s="3">
        <v>4.4999999999999998E-7</v>
      </c>
      <c r="E949" s="3" t="s">
        <v>1067</v>
      </c>
      <c r="F949" s="3">
        <v>4.4999999999999998E-7</v>
      </c>
    </row>
    <row r="950" spans="1:6" x14ac:dyDescent="0.25">
      <c r="A950" s="2">
        <v>42082</v>
      </c>
      <c r="B950" s="3">
        <v>40</v>
      </c>
      <c r="C950" s="3">
        <v>42</v>
      </c>
      <c r="D950" s="3">
        <v>4.3700000000000001E-7</v>
      </c>
      <c r="E950" s="3" t="s">
        <v>1068</v>
      </c>
      <c r="F950" s="3">
        <v>4.3700000000000001E-7</v>
      </c>
    </row>
    <row r="951" spans="1:6" x14ac:dyDescent="0.25">
      <c r="A951" s="2">
        <v>42083</v>
      </c>
      <c r="B951" s="3">
        <v>41</v>
      </c>
      <c r="C951" s="3">
        <v>42</v>
      </c>
      <c r="D951" s="3">
        <v>6.0000000000000001E-3</v>
      </c>
      <c r="E951" s="3" t="s">
        <v>1069</v>
      </c>
      <c r="F951" s="3">
        <v>6.0000000000000001E-3</v>
      </c>
    </row>
    <row r="952" spans="1:6" x14ac:dyDescent="0.25">
      <c r="A952" s="2">
        <v>42084</v>
      </c>
      <c r="B952" s="3">
        <v>42</v>
      </c>
      <c r="C952" s="3">
        <v>42</v>
      </c>
      <c r="D952" s="3">
        <v>2.2999999999999998</v>
      </c>
      <c r="E952" s="3" t="s">
        <v>1070</v>
      </c>
      <c r="F952" s="3">
        <v>2.2999999999999998</v>
      </c>
    </row>
    <row r="953" spans="1:6" x14ac:dyDescent="0.25">
      <c r="A953" s="2">
        <v>42085</v>
      </c>
      <c r="B953" s="3">
        <v>43</v>
      </c>
      <c r="C953" s="3">
        <v>42</v>
      </c>
      <c r="D953" s="3">
        <v>3.2</v>
      </c>
      <c r="E953" s="3" t="s">
        <v>1071</v>
      </c>
      <c r="F953" s="3">
        <v>3.2</v>
      </c>
    </row>
    <row r="954" spans="1:6" x14ac:dyDescent="0.25">
      <c r="A954" s="2">
        <v>42086</v>
      </c>
      <c r="B954" s="3">
        <v>44</v>
      </c>
      <c r="C954" s="3">
        <v>42</v>
      </c>
      <c r="D954" s="3">
        <v>19.100000000000001</v>
      </c>
      <c r="E954" s="3" t="s">
        <v>1072</v>
      </c>
      <c r="F954" s="3">
        <v>19.100000000000001</v>
      </c>
    </row>
    <row r="955" spans="1:6" x14ac:dyDescent="0.25">
      <c r="A955" s="2">
        <v>42087</v>
      </c>
      <c r="B955" s="3">
        <v>45</v>
      </c>
      <c r="C955" s="3">
        <v>42</v>
      </c>
      <c r="D955" s="3">
        <v>14.02</v>
      </c>
      <c r="E955" s="3" t="s">
        <v>1073</v>
      </c>
      <c r="F955" s="3">
        <v>14.02</v>
      </c>
    </row>
    <row r="956" spans="1:6" x14ac:dyDescent="0.25">
      <c r="A956" s="2">
        <v>42088</v>
      </c>
      <c r="B956" s="3">
        <v>46</v>
      </c>
      <c r="C956" s="3">
        <v>42</v>
      </c>
      <c r="D956" s="3">
        <v>480</v>
      </c>
      <c r="E956" s="3" t="s">
        <v>1074</v>
      </c>
      <c r="F956" s="3">
        <v>480</v>
      </c>
    </row>
    <row r="957" spans="1:6" x14ac:dyDescent="0.25">
      <c r="A957" s="2">
        <v>42089</v>
      </c>
      <c r="B957" s="3">
        <v>47</v>
      </c>
      <c r="C957" s="3">
        <v>42</v>
      </c>
      <c r="D957" s="3">
        <v>126.6</v>
      </c>
      <c r="E957" s="3" t="s">
        <v>1075</v>
      </c>
      <c r="F957" s="3">
        <v>126.6</v>
      </c>
    </row>
    <row r="958" spans="1:6" x14ac:dyDescent="0.25">
      <c r="A958" s="2">
        <v>42090</v>
      </c>
      <c r="B958" s="3">
        <v>48</v>
      </c>
      <c r="C958" s="3">
        <v>42</v>
      </c>
      <c r="D958" s="3">
        <v>20016</v>
      </c>
      <c r="E958" s="3" t="s">
        <v>1076</v>
      </c>
      <c r="F958" s="3">
        <v>20016</v>
      </c>
    </row>
    <row r="959" spans="1:6" x14ac:dyDescent="0.25">
      <c r="A959" s="2">
        <v>42091</v>
      </c>
      <c r="B959" s="3">
        <v>49</v>
      </c>
      <c r="C959" s="3">
        <v>42</v>
      </c>
      <c r="D959" s="3">
        <v>929.4</v>
      </c>
      <c r="E959" s="3" t="s">
        <v>1077</v>
      </c>
      <c r="F959" s="3">
        <v>929.4</v>
      </c>
    </row>
    <row r="960" spans="1:6" x14ac:dyDescent="0.25">
      <c r="A960" s="2">
        <v>42092</v>
      </c>
      <c r="B960" s="3">
        <v>50</v>
      </c>
      <c r="C960" s="3">
        <v>42</v>
      </c>
      <c r="D960" s="3" t="s">
        <v>4</v>
      </c>
      <c r="E960" s="3" t="s">
        <v>1078</v>
      </c>
      <c r="F960" s="3" t="s">
        <v>4</v>
      </c>
    </row>
    <row r="961" spans="1:6" x14ac:dyDescent="0.25">
      <c r="A961" s="2">
        <v>42093</v>
      </c>
      <c r="B961" s="3">
        <v>51</v>
      </c>
      <c r="C961" s="3">
        <v>42</v>
      </c>
      <c r="D961" s="3">
        <v>126230400000</v>
      </c>
      <c r="E961" s="3" t="s">
        <v>1079</v>
      </c>
      <c r="F961" s="3">
        <v>126230400000</v>
      </c>
    </row>
    <row r="962" spans="1:6" x14ac:dyDescent="0.25">
      <c r="A962" s="2">
        <v>42094</v>
      </c>
      <c r="B962" s="3">
        <v>52</v>
      </c>
      <c r="C962" s="3">
        <v>42</v>
      </c>
      <c r="D962" s="3" t="s">
        <v>4</v>
      </c>
      <c r="E962" s="3" t="s">
        <v>1080</v>
      </c>
      <c r="F962" s="3" t="s">
        <v>4</v>
      </c>
    </row>
    <row r="963" spans="1:6" x14ac:dyDescent="0.25">
      <c r="A963" s="2">
        <v>42095</v>
      </c>
      <c r="B963" s="3">
        <v>53</v>
      </c>
      <c r="C963" s="3">
        <v>42</v>
      </c>
      <c r="D963" s="3" t="s">
        <v>4</v>
      </c>
      <c r="E963" s="3" t="s">
        <v>1081</v>
      </c>
      <c r="F963" s="3" t="s">
        <v>4</v>
      </c>
    </row>
    <row r="964" spans="1:6" x14ac:dyDescent="0.25">
      <c r="A964" s="2">
        <v>42096</v>
      </c>
      <c r="B964" s="3">
        <v>54</v>
      </c>
      <c r="C964" s="3">
        <v>42</v>
      </c>
      <c r="D964" s="3" t="s">
        <v>4</v>
      </c>
      <c r="E964" s="3" t="s">
        <v>1082</v>
      </c>
      <c r="F964" s="3" t="s">
        <v>4</v>
      </c>
    </row>
    <row r="965" spans="1:6" x14ac:dyDescent="0.25">
      <c r="A965" s="2">
        <v>42097</v>
      </c>
      <c r="B965" s="3">
        <v>55</v>
      </c>
      <c r="C965" s="3">
        <v>42</v>
      </c>
      <c r="D965" s="3" t="s">
        <v>4</v>
      </c>
      <c r="E965" s="3" t="s">
        <v>1083</v>
      </c>
      <c r="F965" s="3" t="s">
        <v>4</v>
      </c>
    </row>
    <row r="966" spans="1:6" x14ac:dyDescent="0.25">
      <c r="A966" s="2">
        <v>42098</v>
      </c>
      <c r="B966" s="3">
        <v>56</v>
      </c>
      <c r="C966" s="3">
        <v>42</v>
      </c>
      <c r="D966" s="3" t="s">
        <v>4</v>
      </c>
      <c r="E966" s="3" t="s">
        <v>1084</v>
      </c>
      <c r="F966" s="3" t="s">
        <v>4</v>
      </c>
    </row>
    <row r="967" spans="1:6" x14ac:dyDescent="0.25">
      <c r="A967" s="2">
        <v>42099</v>
      </c>
      <c r="B967" s="3">
        <v>57</v>
      </c>
      <c r="C967" s="3">
        <v>42</v>
      </c>
      <c r="D967" s="3">
        <v>237513.60000000001</v>
      </c>
      <c r="E967" s="3" t="s">
        <v>1085</v>
      </c>
      <c r="F967" s="3">
        <v>237513.60000000001</v>
      </c>
    </row>
    <row r="968" spans="1:6" x14ac:dyDescent="0.25">
      <c r="A968" s="2">
        <v>42100</v>
      </c>
      <c r="B968" s="3">
        <v>58</v>
      </c>
      <c r="C968" s="3">
        <v>42</v>
      </c>
      <c r="D968" s="3">
        <v>2.3037048000000002E+26</v>
      </c>
      <c r="E968" s="3" t="s">
        <v>1086</v>
      </c>
      <c r="F968" s="3">
        <v>2.3037048000000002E+26</v>
      </c>
    </row>
    <row r="969" spans="1:6" x14ac:dyDescent="0.25">
      <c r="A969" s="2">
        <v>42101</v>
      </c>
      <c r="B969" s="3">
        <v>59</v>
      </c>
      <c r="C969" s="3">
        <v>42</v>
      </c>
      <c r="D969" s="3">
        <v>876.599999999999</v>
      </c>
      <c r="E969" s="3" t="s">
        <v>1087</v>
      </c>
      <c r="F969" s="3">
        <v>876.599999999999</v>
      </c>
    </row>
    <row r="970" spans="1:6" x14ac:dyDescent="0.25">
      <c r="A970" s="2">
        <v>42102</v>
      </c>
      <c r="B970" s="3">
        <v>60</v>
      </c>
      <c r="C970" s="3">
        <v>42</v>
      </c>
      <c r="D970" s="3">
        <v>678</v>
      </c>
      <c r="E970" s="3" t="s">
        <v>1088</v>
      </c>
      <c r="F970" s="3">
        <v>678</v>
      </c>
    </row>
    <row r="971" spans="1:6" x14ac:dyDescent="0.25">
      <c r="A971" s="2">
        <v>42103</v>
      </c>
      <c r="B971" s="3">
        <v>61</v>
      </c>
      <c r="C971" s="3">
        <v>42</v>
      </c>
      <c r="D971" s="3">
        <v>67.5</v>
      </c>
      <c r="E971" s="3" t="s">
        <v>1089</v>
      </c>
      <c r="F971" s="3">
        <v>67.5</v>
      </c>
    </row>
    <row r="972" spans="1:6" x14ac:dyDescent="0.25">
      <c r="A972" s="2">
        <v>42104</v>
      </c>
      <c r="B972" s="3">
        <v>62</v>
      </c>
      <c r="C972" s="3">
        <v>42</v>
      </c>
      <c r="D972" s="3">
        <v>60</v>
      </c>
      <c r="E972" s="3" t="s">
        <v>1090</v>
      </c>
      <c r="F972" s="3">
        <v>60</v>
      </c>
    </row>
    <row r="973" spans="1:6" x14ac:dyDescent="0.25">
      <c r="A973" s="2">
        <v>42105</v>
      </c>
      <c r="B973" s="3">
        <v>63</v>
      </c>
      <c r="C973" s="3">
        <v>42</v>
      </c>
      <c r="D973" s="3">
        <v>35.6</v>
      </c>
      <c r="E973" s="3" t="s">
        <v>1091</v>
      </c>
      <c r="F973" s="3">
        <v>35.6</v>
      </c>
    </row>
    <row r="974" spans="1:6" x14ac:dyDescent="0.25">
      <c r="A974" s="2">
        <v>42106</v>
      </c>
      <c r="B974" s="3">
        <v>64</v>
      </c>
      <c r="C974" s="3">
        <v>42</v>
      </c>
      <c r="D974" s="3">
        <v>8.73</v>
      </c>
      <c r="E974" s="3" t="s">
        <v>1092</v>
      </c>
      <c r="F974" s="3">
        <v>8.73</v>
      </c>
    </row>
    <row r="975" spans="1:6" x14ac:dyDescent="0.25">
      <c r="A975" s="2">
        <v>42107</v>
      </c>
      <c r="B975" s="3">
        <v>65</v>
      </c>
      <c r="C975" s="3">
        <v>42</v>
      </c>
      <c r="D975" s="3">
        <v>3.5</v>
      </c>
      <c r="E975" s="3" t="s">
        <v>1093</v>
      </c>
      <c r="F975" s="3">
        <v>3.5</v>
      </c>
    </row>
    <row r="976" spans="1:6" x14ac:dyDescent="0.25">
      <c r="A976" s="2">
        <v>42108</v>
      </c>
      <c r="B976" s="3">
        <v>66</v>
      </c>
      <c r="C976" s="3">
        <v>42</v>
      </c>
      <c r="D976" s="3">
        <v>1.0900000000000001</v>
      </c>
      <c r="E976" s="3" t="s">
        <v>1094</v>
      </c>
      <c r="F976" s="3">
        <v>1.0900000000000001</v>
      </c>
    </row>
    <row r="977" spans="1:6" x14ac:dyDescent="0.25">
      <c r="A977" s="2">
        <v>42109</v>
      </c>
      <c r="B977" s="3">
        <v>67</v>
      </c>
      <c r="C977" s="3">
        <v>42</v>
      </c>
      <c r="D977" s="3">
        <v>0.66</v>
      </c>
      <c r="E977" s="3" t="s">
        <v>1095</v>
      </c>
      <c r="F977" s="3">
        <v>0.66</v>
      </c>
    </row>
    <row r="978" spans="1:6" x14ac:dyDescent="0.25">
      <c r="A978" s="2">
        <v>42110</v>
      </c>
      <c r="B978" s="3">
        <v>68</v>
      </c>
      <c r="C978" s="3">
        <v>42</v>
      </c>
      <c r="D978" s="3">
        <v>0.29599999999999999</v>
      </c>
      <c r="E978" s="3" t="s">
        <v>1096</v>
      </c>
      <c r="F978" s="3">
        <v>0.29599999999999999</v>
      </c>
    </row>
    <row r="979" spans="1:6" x14ac:dyDescent="0.25">
      <c r="A979" s="2">
        <v>42111</v>
      </c>
      <c r="B979" s="3">
        <v>69</v>
      </c>
      <c r="C979" s="3">
        <v>42</v>
      </c>
      <c r="D979" s="3">
        <v>0.186</v>
      </c>
      <c r="E979" s="3" t="s">
        <v>1097</v>
      </c>
      <c r="F979" s="3">
        <v>0.186</v>
      </c>
    </row>
    <row r="980" spans="1:6" x14ac:dyDescent="0.25">
      <c r="A980" s="2">
        <v>42112</v>
      </c>
      <c r="B980" s="3">
        <v>70</v>
      </c>
      <c r="C980" s="3">
        <v>42</v>
      </c>
      <c r="D980" s="3">
        <v>0.12</v>
      </c>
      <c r="E980" s="3" t="s">
        <v>1098</v>
      </c>
      <c r="F980" s="3">
        <v>0.12</v>
      </c>
    </row>
    <row r="981" spans="1:6" x14ac:dyDescent="0.25">
      <c r="A981" s="2">
        <v>42113</v>
      </c>
      <c r="B981" s="3">
        <v>71</v>
      </c>
      <c r="C981" s="3">
        <v>42</v>
      </c>
      <c r="D981" s="3">
        <v>0.08</v>
      </c>
      <c r="E981" s="3" t="s">
        <v>1099</v>
      </c>
      <c r="F981" s="3">
        <v>0.08</v>
      </c>
    </row>
    <row r="982" spans="1:6" x14ac:dyDescent="0.25">
      <c r="A982" s="2">
        <v>42114</v>
      </c>
      <c r="B982" s="3">
        <v>72</v>
      </c>
      <c r="C982" s="3">
        <v>42</v>
      </c>
      <c r="D982" s="3">
        <v>5.8000000000000003E-2</v>
      </c>
      <c r="E982" s="3" t="s">
        <v>1100</v>
      </c>
      <c r="F982" s="3">
        <v>5.8000000000000003E-2</v>
      </c>
    </row>
    <row r="983" spans="1:6" x14ac:dyDescent="0.25">
      <c r="A983" s="2">
        <v>42115</v>
      </c>
      <c r="B983" s="3">
        <v>73</v>
      </c>
      <c r="C983" s="3">
        <v>42</v>
      </c>
      <c r="D983" s="3">
        <v>4.5499999999999999E-2</v>
      </c>
      <c r="E983" s="3" t="s">
        <v>1101</v>
      </c>
      <c r="F983" s="3">
        <v>4.5499999999999999E-2</v>
      </c>
    </row>
    <row r="984" spans="1:6" x14ac:dyDescent="0.25">
      <c r="A984" s="2">
        <v>42116</v>
      </c>
      <c r="B984" s="3">
        <v>74</v>
      </c>
      <c r="C984" s="3">
        <v>42</v>
      </c>
      <c r="D984" s="3">
        <v>3.2000000000000001E-2</v>
      </c>
      <c r="E984" s="3" t="s">
        <v>1102</v>
      </c>
      <c r="F984" s="3">
        <v>3.2000000000000001E-2</v>
      </c>
    </row>
    <row r="985" spans="1:6" x14ac:dyDescent="0.25">
      <c r="A985" s="2">
        <v>42117</v>
      </c>
      <c r="B985" s="3">
        <v>75</v>
      </c>
      <c r="C985" s="3">
        <v>42</v>
      </c>
      <c r="D985" s="3">
        <v>2.1999999999999999E-2</v>
      </c>
      <c r="E985" s="3" t="s">
        <v>1103</v>
      </c>
      <c r="F985" s="3">
        <v>2.1999999999999999E-2</v>
      </c>
    </row>
    <row r="986" spans="1:6" x14ac:dyDescent="0.25">
      <c r="A986" s="2">
        <v>42118</v>
      </c>
      <c r="B986" s="3">
        <v>76</v>
      </c>
      <c r="C986" s="3">
        <v>42</v>
      </c>
      <c r="D986" s="3">
        <v>1.9E-2</v>
      </c>
      <c r="E986" s="3" t="s">
        <v>1104</v>
      </c>
      <c r="F986" s="3">
        <v>1.9E-2</v>
      </c>
    </row>
    <row r="987" spans="1:6" x14ac:dyDescent="0.25">
      <c r="A987" s="2">
        <v>43085</v>
      </c>
      <c r="B987" s="3">
        <v>42</v>
      </c>
      <c r="C987" s="3">
        <v>43</v>
      </c>
      <c r="D987" s="3">
        <v>0.5</v>
      </c>
      <c r="E987" s="3" t="s">
        <v>1105</v>
      </c>
      <c r="F987" s="3">
        <v>0.5</v>
      </c>
    </row>
    <row r="988" spans="1:6" x14ac:dyDescent="0.25">
      <c r="A988" s="2">
        <v>43086</v>
      </c>
      <c r="B988" s="3">
        <v>43</v>
      </c>
      <c r="C988" s="3">
        <v>43</v>
      </c>
      <c r="D988" s="3">
        <v>5.5E-2</v>
      </c>
      <c r="E988" s="3" t="s">
        <v>1106</v>
      </c>
      <c r="F988" s="3">
        <v>5.5E-2</v>
      </c>
    </row>
    <row r="989" spans="1:6" x14ac:dyDescent="0.25">
      <c r="A989" s="2">
        <v>43087</v>
      </c>
      <c r="B989" s="3">
        <v>44</v>
      </c>
      <c r="C989" s="3">
        <v>43</v>
      </c>
      <c r="D989" s="3">
        <v>2.2000000000000002</v>
      </c>
      <c r="E989" s="3" t="s">
        <v>1107</v>
      </c>
      <c r="F989" s="3">
        <v>2.2000000000000002</v>
      </c>
    </row>
    <row r="990" spans="1:6" x14ac:dyDescent="0.25">
      <c r="A990" s="2">
        <v>43088</v>
      </c>
      <c r="B990" s="3">
        <v>45</v>
      </c>
      <c r="C990" s="3">
        <v>43</v>
      </c>
      <c r="D990" s="3">
        <v>6.4</v>
      </c>
      <c r="E990" s="3" t="s">
        <v>1108</v>
      </c>
      <c r="F990" s="3">
        <v>6.4</v>
      </c>
    </row>
    <row r="991" spans="1:6" x14ac:dyDescent="0.25">
      <c r="A991" s="2">
        <v>43089</v>
      </c>
      <c r="B991" s="3">
        <v>46</v>
      </c>
      <c r="C991" s="3">
        <v>43</v>
      </c>
      <c r="D991" s="3">
        <v>12.8</v>
      </c>
      <c r="E991" s="3" t="s">
        <v>1109</v>
      </c>
      <c r="F991" s="3">
        <v>12.8</v>
      </c>
    </row>
    <row r="992" spans="1:6" x14ac:dyDescent="0.25">
      <c r="A992" s="2">
        <v>43090</v>
      </c>
      <c r="B992" s="3">
        <v>47</v>
      </c>
      <c r="C992" s="3">
        <v>43</v>
      </c>
      <c r="D992" s="3">
        <v>8.6999999999999993</v>
      </c>
      <c r="E992" s="3" t="s">
        <v>1110</v>
      </c>
      <c r="F992" s="3">
        <v>8.6999999999999993</v>
      </c>
    </row>
    <row r="993" spans="1:6" x14ac:dyDescent="0.25">
      <c r="A993" s="2">
        <v>43091</v>
      </c>
      <c r="B993" s="3">
        <v>48</v>
      </c>
      <c r="C993" s="3">
        <v>43</v>
      </c>
      <c r="D993" s="3">
        <v>188.4</v>
      </c>
      <c r="E993" s="3" t="s">
        <v>1111</v>
      </c>
      <c r="F993" s="3">
        <v>188.4</v>
      </c>
    </row>
    <row r="994" spans="1:6" x14ac:dyDescent="0.25">
      <c r="A994" s="2">
        <v>43092</v>
      </c>
      <c r="B994" s="3">
        <v>49</v>
      </c>
      <c r="C994" s="3">
        <v>43</v>
      </c>
      <c r="D994" s="3">
        <v>255</v>
      </c>
      <c r="E994" s="3" t="s">
        <v>1112</v>
      </c>
      <c r="F994" s="3">
        <v>255</v>
      </c>
    </row>
    <row r="995" spans="1:6" x14ac:dyDescent="0.25">
      <c r="A995" s="2">
        <v>43093</v>
      </c>
      <c r="B995" s="3">
        <v>50</v>
      </c>
      <c r="C995" s="3">
        <v>43</v>
      </c>
      <c r="D995" s="3">
        <v>9900</v>
      </c>
      <c r="E995" s="3" t="s">
        <v>1113</v>
      </c>
      <c r="F995" s="3">
        <v>9900</v>
      </c>
    </row>
    <row r="996" spans="1:6" x14ac:dyDescent="0.25">
      <c r="A996" s="2">
        <v>43094</v>
      </c>
      <c r="B996" s="3">
        <v>51</v>
      </c>
      <c r="C996" s="3">
        <v>43</v>
      </c>
      <c r="D996" s="3">
        <v>17580</v>
      </c>
      <c r="E996" s="3" t="s">
        <v>1114</v>
      </c>
      <c r="F996" s="3">
        <v>17580</v>
      </c>
    </row>
    <row r="997" spans="1:6" x14ac:dyDescent="0.25">
      <c r="A997" s="2">
        <v>43095</v>
      </c>
      <c r="B997" s="3">
        <v>52</v>
      </c>
      <c r="C997" s="3">
        <v>43</v>
      </c>
      <c r="D997" s="3">
        <v>72000</v>
      </c>
      <c r="E997" s="3" t="s">
        <v>1115</v>
      </c>
      <c r="F997" s="3">
        <v>72000</v>
      </c>
    </row>
    <row r="998" spans="1:6" x14ac:dyDescent="0.25">
      <c r="A998" s="2">
        <v>43096</v>
      </c>
      <c r="B998" s="3">
        <v>53</v>
      </c>
      <c r="C998" s="3">
        <v>43</v>
      </c>
      <c r="D998" s="3">
        <v>369792</v>
      </c>
      <c r="E998" s="3" t="s">
        <v>1116</v>
      </c>
      <c r="F998" s="3">
        <v>369792</v>
      </c>
    </row>
    <row r="999" spans="1:6" x14ac:dyDescent="0.25">
      <c r="A999" s="2">
        <v>43097</v>
      </c>
      <c r="B999" s="3">
        <v>54</v>
      </c>
      <c r="C999" s="3">
        <v>43</v>
      </c>
      <c r="D999" s="3">
        <v>132857496000000</v>
      </c>
      <c r="E999" s="3" t="s">
        <v>1117</v>
      </c>
      <c r="F999" s="3">
        <v>132857496000000</v>
      </c>
    </row>
    <row r="1000" spans="1:6" x14ac:dyDescent="0.25">
      <c r="A1000" s="2">
        <v>43098</v>
      </c>
      <c r="B1000" s="3">
        <v>55</v>
      </c>
      <c r="C1000" s="3">
        <v>43</v>
      </c>
      <c r="D1000" s="3">
        <v>132541920000000</v>
      </c>
      <c r="E1000" s="3" t="s">
        <v>1118</v>
      </c>
      <c r="F1000" s="3">
        <v>132541920000000</v>
      </c>
    </row>
    <row r="1001" spans="1:6" x14ac:dyDescent="0.25">
      <c r="A1001" s="2">
        <v>43099</v>
      </c>
      <c r="B1001" s="3">
        <v>56</v>
      </c>
      <c r="C1001" s="3">
        <v>43</v>
      </c>
      <c r="D1001" s="3">
        <v>6661809360000</v>
      </c>
      <c r="E1001" s="3" t="s">
        <v>1119</v>
      </c>
      <c r="F1001" s="3">
        <v>6661809360000</v>
      </c>
    </row>
    <row r="1002" spans="1:6" x14ac:dyDescent="0.25">
      <c r="A1002" s="2">
        <v>43100</v>
      </c>
      <c r="B1002" s="3">
        <v>57</v>
      </c>
      <c r="C1002" s="3">
        <v>43</v>
      </c>
      <c r="D1002" s="3">
        <v>15.46</v>
      </c>
      <c r="E1002" s="3" t="s">
        <v>1120</v>
      </c>
      <c r="F1002" s="3">
        <v>15.46</v>
      </c>
    </row>
    <row r="1003" spans="1:6" x14ac:dyDescent="0.25">
      <c r="A1003" s="2">
        <v>43101</v>
      </c>
      <c r="B1003" s="3">
        <v>58</v>
      </c>
      <c r="C1003" s="3">
        <v>43</v>
      </c>
      <c r="D1003" s="3">
        <v>841.19999999999902</v>
      </c>
      <c r="E1003" s="3" t="s">
        <v>1121</v>
      </c>
      <c r="F1003" s="3">
        <v>841.19999999999902</v>
      </c>
    </row>
    <row r="1004" spans="1:6" x14ac:dyDescent="0.25">
      <c r="A1004" s="2">
        <v>43102</v>
      </c>
      <c r="B1004" s="3">
        <v>59</v>
      </c>
      <c r="C1004" s="3">
        <v>43</v>
      </c>
      <c r="D1004" s="3">
        <v>5.28</v>
      </c>
      <c r="E1004" s="3" t="s">
        <v>1122</v>
      </c>
      <c r="F1004" s="3">
        <v>5.28</v>
      </c>
    </row>
    <row r="1005" spans="1:6" x14ac:dyDescent="0.25">
      <c r="A1005" s="2">
        <v>43103</v>
      </c>
      <c r="B1005" s="3">
        <v>60</v>
      </c>
      <c r="C1005" s="3">
        <v>43</v>
      </c>
      <c r="D1005" s="3">
        <v>54.2</v>
      </c>
      <c r="E1005" s="3" t="s">
        <v>1123</v>
      </c>
      <c r="F1005" s="3">
        <v>54.2</v>
      </c>
    </row>
    <row r="1006" spans="1:6" x14ac:dyDescent="0.25">
      <c r="A1006" s="2">
        <v>43104</v>
      </c>
      <c r="B1006" s="3">
        <v>61</v>
      </c>
      <c r="C1006" s="3">
        <v>43</v>
      </c>
      <c r="D1006" s="3">
        <v>1098</v>
      </c>
      <c r="E1006" s="3" t="s">
        <v>1124</v>
      </c>
      <c r="F1006" s="3">
        <v>1098</v>
      </c>
    </row>
    <row r="1007" spans="1:6" x14ac:dyDescent="0.25">
      <c r="A1007" s="2">
        <v>43105</v>
      </c>
      <c r="B1007" s="3">
        <v>62</v>
      </c>
      <c r="C1007" s="3">
        <v>43</v>
      </c>
      <c r="D1007" s="3">
        <v>456</v>
      </c>
      <c r="E1007" s="3" t="s">
        <v>1125</v>
      </c>
      <c r="F1007" s="3">
        <v>456</v>
      </c>
    </row>
    <row r="1008" spans="1:6" x14ac:dyDescent="0.25">
      <c r="A1008" s="2">
        <v>43106</v>
      </c>
      <c r="B1008" s="3">
        <v>63</v>
      </c>
      <c r="C1008" s="3">
        <v>43</v>
      </c>
      <c r="D1008" s="3">
        <v>35.6</v>
      </c>
      <c r="E1008" s="3" t="s">
        <v>1126</v>
      </c>
      <c r="F1008" s="3">
        <v>35.6</v>
      </c>
    </row>
    <row r="1009" spans="1:6" x14ac:dyDescent="0.25">
      <c r="A1009" s="2">
        <v>43107</v>
      </c>
      <c r="B1009" s="3">
        <v>64</v>
      </c>
      <c r="C1009" s="3">
        <v>43</v>
      </c>
      <c r="D1009" s="3">
        <v>21.2</v>
      </c>
      <c r="E1009" s="3" t="s">
        <v>1127</v>
      </c>
      <c r="F1009" s="3">
        <v>21.2</v>
      </c>
    </row>
    <row r="1010" spans="1:6" x14ac:dyDescent="0.25">
      <c r="A1010" s="2">
        <v>43108</v>
      </c>
      <c r="B1010" s="3">
        <v>65</v>
      </c>
      <c r="C1010" s="3">
        <v>43</v>
      </c>
      <c r="D1010" s="3">
        <v>5.17</v>
      </c>
      <c r="E1010" s="3" t="s">
        <v>1128</v>
      </c>
      <c r="F1010" s="3">
        <v>5.17</v>
      </c>
    </row>
    <row r="1011" spans="1:6" x14ac:dyDescent="0.25">
      <c r="A1011" s="2">
        <v>43109</v>
      </c>
      <c r="B1011" s="3">
        <v>66</v>
      </c>
      <c r="C1011" s="3">
        <v>43</v>
      </c>
      <c r="D1011" s="3">
        <v>0.86</v>
      </c>
      <c r="E1011" s="3" t="s">
        <v>1129</v>
      </c>
      <c r="F1011" s="3">
        <v>0.86</v>
      </c>
    </row>
    <row r="1012" spans="1:6" x14ac:dyDescent="0.25">
      <c r="A1012" s="2">
        <v>43110</v>
      </c>
      <c r="B1012" s="3">
        <v>67</v>
      </c>
      <c r="C1012" s="3">
        <v>43</v>
      </c>
      <c r="D1012" s="3">
        <v>0.92</v>
      </c>
      <c r="E1012" s="3" t="s">
        <v>1130</v>
      </c>
      <c r="F1012" s="3">
        <v>0.92</v>
      </c>
    </row>
    <row r="1013" spans="1:6" x14ac:dyDescent="0.25">
      <c r="A1013" s="2">
        <v>43111</v>
      </c>
      <c r="B1013" s="3">
        <v>68</v>
      </c>
      <c r="C1013" s="3">
        <v>43</v>
      </c>
      <c r="D1013" s="3">
        <v>0.35</v>
      </c>
      <c r="E1013" s="3" t="s">
        <v>1131</v>
      </c>
      <c r="F1013" s="3">
        <v>0.35</v>
      </c>
    </row>
    <row r="1014" spans="1:6" x14ac:dyDescent="0.25">
      <c r="A1014" s="2">
        <v>43112</v>
      </c>
      <c r="B1014" s="3">
        <v>69</v>
      </c>
      <c r="C1014" s="3">
        <v>43</v>
      </c>
      <c r="D1014" s="3">
        <v>0.27100000000000002</v>
      </c>
      <c r="E1014" s="3" t="s">
        <v>1132</v>
      </c>
      <c r="F1014" s="3">
        <v>0.27100000000000002</v>
      </c>
    </row>
    <row r="1015" spans="1:6" x14ac:dyDescent="0.25">
      <c r="A1015" s="2">
        <v>43113</v>
      </c>
      <c r="B1015" s="3">
        <v>70</v>
      </c>
      <c r="C1015" s="3">
        <v>43</v>
      </c>
      <c r="D1015" s="3">
        <v>0.152</v>
      </c>
      <c r="E1015" s="3" t="s">
        <v>1133</v>
      </c>
      <c r="F1015" s="3">
        <v>0.152</v>
      </c>
    </row>
    <row r="1016" spans="1:6" x14ac:dyDescent="0.25">
      <c r="A1016" s="2">
        <v>43114</v>
      </c>
      <c r="B1016" s="3">
        <v>71</v>
      </c>
      <c r="C1016" s="3">
        <v>43</v>
      </c>
      <c r="D1016" s="3">
        <v>0.1</v>
      </c>
      <c r="E1016" s="3" t="s">
        <v>1134</v>
      </c>
      <c r="F1016" s="3">
        <v>0.1</v>
      </c>
    </row>
    <row r="1017" spans="1:6" x14ac:dyDescent="0.25">
      <c r="A1017" s="2">
        <v>43115</v>
      </c>
      <c r="B1017" s="3">
        <v>72</v>
      </c>
      <c r="C1017" s="3">
        <v>43</v>
      </c>
      <c r="D1017" s="3">
        <v>7.8E-2</v>
      </c>
      <c r="E1017" s="3" t="s">
        <v>1135</v>
      </c>
      <c r="F1017" s="3">
        <v>7.8E-2</v>
      </c>
    </row>
    <row r="1018" spans="1:6" x14ac:dyDescent="0.25">
      <c r="A1018" s="2">
        <v>43116</v>
      </c>
      <c r="B1018" s="3">
        <v>73</v>
      </c>
      <c r="C1018" s="3">
        <v>43</v>
      </c>
      <c r="D1018" s="3">
        <v>5.7000000000000002E-2</v>
      </c>
      <c r="E1018" s="3" t="s">
        <v>1136</v>
      </c>
      <c r="F1018" s="3">
        <v>5.7000000000000002E-2</v>
      </c>
    </row>
    <row r="1019" spans="1:6" x14ac:dyDescent="0.25">
      <c r="A1019" s="2">
        <v>43117</v>
      </c>
      <c r="B1019" s="3">
        <v>74</v>
      </c>
      <c r="C1019" s="3">
        <v>43</v>
      </c>
      <c r="D1019" s="3">
        <v>4.4499999999999998E-2</v>
      </c>
      <c r="E1019" s="3" t="s">
        <v>1137</v>
      </c>
      <c r="F1019" s="3">
        <v>4.4499999999999998E-2</v>
      </c>
    </row>
    <row r="1020" spans="1:6" x14ac:dyDescent="0.25">
      <c r="A1020" s="2">
        <v>43118</v>
      </c>
      <c r="B1020" s="3">
        <v>75</v>
      </c>
      <c r="C1020" s="3">
        <v>43</v>
      </c>
      <c r="D1020" s="3">
        <v>0.03</v>
      </c>
      <c r="E1020" s="3" t="s">
        <v>1138</v>
      </c>
      <c r="F1020" s="3">
        <v>0.03</v>
      </c>
    </row>
    <row r="1021" spans="1:6" x14ac:dyDescent="0.25">
      <c r="A1021" s="2">
        <v>43119</v>
      </c>
      <c r="B1021" s="3">
        <v>76</v>
      </c>
      <c r="C1021" s="3">
        <v>43</v>
      </c>
      <c r="D1021" s="3">
        <v>2.1999999999999999E-2</v>
      </c>
      <c r="E1021" s="3" t="s">
        <v>1139</v>
      </c>
      <c r="F1021" s="3">
        <v>2.1999999999999999E-2</v>
      </c>
    </row>
    <row r="1022" spans="1:6" x14ac:dyDescent="0.25">
      <c r="A1022" s="2">
        <v>43120</v>
      </c>
      <c r="B1022" s="3">
        <v>77</v>
      </c>
      <c r="C1022" s="3">
        <v>43</v>
      </c>
      <c r="D1022" s="3">
        <v>2.1000000000000001E-2</v>
      </c>
      <c r="E1022" s="3" t="s">
        <v>1140</v>
      </c>
      <c r="F1022" s="3">
        <v>2.1000000000000001E-2</v>
      </c>
    </row>
    <row r="1023" spans="1:6" x14ac:dyDescent="0.25">
      <c r="A1023" s="2">
        <v>43121</v>
      </c>
      <c r="B1023" s="3">
        <v>78</v>
      </c>
      <c r="C1023" s="3">
        <v>43</v>
      </c>
      <c r="D1023" s="3">
        <v>2.1999999999999999E-2</v>
      </c>
      <c r="E1023" s="3" t="s">
        <v>1141</v>
      </c>
      <c r="F1023" s="3">
        <v>2.1999999999999999E-2</v>
      </c>
    </row>
    <row r="1024" spans="1:6" x14ac:dyDescent="0.25">
      <c r="A1024" s="2">
        <v>44085</v>
      </c>
      <c r="B1024" s="3">
        <v>41</v>
      </c>
      <c r="C1024" s="3">
        <v>44</v>
      </c>
      <c r="D1024" s="3">
        <v>4.4999999999999998E-7</v>
      </c>
      <c r="E1024" s="3" t="s">
        <v>1142</v>
      </c>
      <c r="F1024" s="3">
        <v>4.4999999999999998E-7</v>
      </c>
    </row>
    <row r="1025" spans="1:6" x14ac:dyDescent="0.25">
      <c r="A1025" s="2">
        <v>44086</v>
      </c>
      <c r="B1025" s="3">
        <v>42</v>
      </c>
      <c r="C1025" s="3">
        <v>44</v>
      </c>
      <c r="D1025" s="3">
        <v>4.3799999999999998E-7</v>
      </c>
      <c r="E1025" s="3" t="s">
        <v>1143</v>
      </c>
      <c r="F1025" s="3">
        <v>4.3799999999999998E-7</v>
      </c>
    </row>
    <row r="1026" spans="1:6" x14ac:dyDescent="0.25">
      <c r="A1026" s="2">
        <v>44087</v>
      </c>
      <c r="B1026" s="3">
        <v>43</v>
      </c>
      <c r="C1026" s="3">
        <v>44</v>
      </c>
      <c r="D1026" s="3">
        <v>1.5E-6</v>
      </c>
      <c r="E1026" s="3" t="s">
        <v>1144</v>
      </c>
      <c r="F1026" s="3">
        <v>1.5E-6</v>
      </c>
    </row>
    <row r="1027" spans="1:6" x14ac:dyDescent="0.25">
      <c r="A1027" s="2">
        <v>44088</v>
      </c>
      <c r="B1027" s="3">
        <v>44</v>
      </c>
      <c r="C1027" s="3">
        <v>44</v>
      </c>
      <c r="D1027" s="3">
        <v>1.2</v>
      </c>
      <c r="E1027" s="3" t="s">
        <v>1145</v>
      </c>
      <c r="F1027" s="3">
        <v>1.2</v>
      </c>
    </row>
    <row r="1028" spans="1:6" x14ac:dyDescent="0.25">
      <c r="A1028" s="2">
        <v>44089</v>
      </c>
      <c r="B1028" s="3">
        <v>45</v>
      </c>
      <c r="C1028" s="3">
        <v>44</v>
      </c>
      <c r="D1028" s="3">
        <v>1.5</v>
      </c>
      <c r="E1028" s="3" t="s">
        <v>1146</v>
      </c>
      <c r="F1028" s="3">
        <v>1.5</v>
      </c>
    </row>
    <row r="1029" spans="1:6" x14ac:dyDescent="0.25">
      <c r="A1029" s="2">
        <v>44090</v>
      </c>
      <c r="B1029" s="3">
        <v>46</v>
      </c>
      <c r="C1029" s="3">
        <v>44</v>
      </c>
      <c r="D1029" s="3">
        <v>11.7</v>
      </c>
      <c r="E1029" s="3" t="s">
        <v>1147</v>
      </c>
      <c r="F1029" s="3">
        <v>11.7</v>
      </c>
    </row>
    <row r="1030" spans="1:6" x14ac:dyDescent="0.25">
      <c r="A1030" s="2">
        <v>44091</v>
      </c>
      <c r="B1030" s="3">
        <v>47</v>
      </c>
      <c r="C1030" s="3">
        <v>44</v>
      </c>
      <c r="D1030" s="3">
        <v>8</v>
      </c>
      <c r="E1030" s="3" t="s">
        <v>1148</v>
      </c>
      <c r="F1030" s="3">
        <v>8</v>
      </c>
    </row>
    <row r="1031" spans="1:6" x14ac:dyDescent="0.25">
      <c r="A1031" s="2">
        <v>44092</v>
      </c>
      <c r="B1031" s="3">
        <v>48</v>
      </c>
      <c r="C1031" s="3">
        <v>44</v>
      </c>
      <c r="D1031" s="3">
        <v>219</v>
      </c>
      <c r="E1031" s="3" t="s">
        <v>1149</v>
      </c>
      <c r="F1031" s="3">
        <v>219</v>
      </c>
    </row>
    <row r="1032" spans="1:6" x14ac:dyDescent="0.25">
      <c r="A1032" s="2">
        <v>44093</v>
      </c>
      <c r="B1032" s="3">
        <v>49</v>
      </c>
      <c r="C1032" s="3">
        <v>44</v>
      </c>
      <c r="D1032" s="3">
        <v>59.7</v>
      </c>
      <c r="E1032" s="3" t="s">
        <v>1150</v>
      </c>
      <c r="F1032" s="3">
        <v>59.7</v>
      </c>
    </row>
    <row r="1033" spans="1:6" x14ac:dyDescent="0.25">
      <c r="A1033" s="2">
        <v>44094</v>
      </c>
      <c r="B1033" s="3">
        <v>50</v>
      </c>
      <c r="C1033" s="3">
        <v>44</v>
      </c>
      <c r="D1033" s="3">
        <v>3108</v>
      </c>
      <c r="E1033" s="3" t="s">
        <v>1151</v>
      </c>
      <c r="F1033" s="3">
        <v>3108</v>
      </c>
    </row>
    <row r="1034" spans="1:6" x14ac:dyDescent="0.25">
      <c r="A1034" s="2">
        <v>44095</v>
      </c>
      <c r="B1034" s="3">
        <v>51</v>
      </c>
      <c r="C1034" s="3">
        <v>44</v>
      </c>
      <c r="D1034" s="3">
        <v>5914.8</v>
      </c>
      <c r="E1034" s="3" t="s">
        <v>1152</v>
      </c>
      <c r="F1034" s="3">
        <v>5914.8</v>
      </c>
    </row>
    <row r="1035" spans="1:6" x14ac:dyDescent="0.25">
      <c r="A1035" s="2">
        <v>44096</v>
      </c>
      <c r="B1035" s="3">
        <v>52</v>
      </c>
      <c r="C1035" s="3">
        <v>44</v>
      </c>
      <c r="D1035" s="3" t="s">
        <v>4</v>
      </c>
      <c r="E1035" s="3" t="s">
        <v>1153</v>
      </c>
      <c r="F1035" s="3" t="s">
        <v>4</v>
      </c>
    </row>
    <row r="1036" spans="1:6" x14ac:dyDescent="0.25">
      <c r="A1036" s="2">
        <v>44097</v>
      </c>
      <c r="B1036" s="3">
        <v>53</v>
      </c>
      <c r="C1036" s="3">
        <v>44</v>
      </c>
      <c r="D1036" s="3">
        <v>244512</v>
      </c>
      <c r="E1036" s="3" t="s">
        <v>1154</v>
      </c>
      <c r="F1036" s="3">
        <v>244512</v>
      </c>
    </row>
    <row r="1037" spans="1:6" x14ac:dyDescent="0.25">
      <c r="A1037" s="2">
        <v>44098</v>
      </c>
      <c r="B1037" s="3">
        <v>54</v>
      </c>
      <c r="C1037" s="3">
        <v>44</v>
      </c>
      <c r="D1037" s="3" t="s">
        <v>4</v>
      </c>
      <c r="E1037" s="3" t="s">
        <v>1155</v>
      </c>
      <c r="F1037" s="3" t="s">
        <v>4</v>
      </c>
    </row>
    <row r="1038" spans="1:6" x14ac:dyDescent="0.25">
      <c r="A1038" s="2">
        <v>44099</v>
      </c>
      <c r="B1038" s="3">
        <v>55</v>
      </c>
      <c r="C1038" s="3">
        <v>44</v>
      </c>
      <c r="D1038" s="3" t="s">
        <v>4</v>
      </c>
      <c r="E1038" s="3" t="s">
        <v>1156</v>
      </c>
      <c r="F1038" s="3" t="s">
        <v>4</v>
      </c>
    </row>
    <row r="1039" spans="1:6" x14ac:dyDescent="0.25">
      <c r="A1039" s="2">
        <v>44100</v>
      </c>
      <c r="B1039" s="3">
        <v>56</v>
      </c>
      <c r="C1039" s="3">
        <v>44</v>
      </c>
      <c r="D1039" s="3" t="s">
        <v>4</v>
      </c>
      <c r="E1039" s="3" t="s">
        <v>1157</v>
      </c>
      <c r="F1039" s="3" t="s">
        <v>4</v>
      </c>
    </row>
    <row r="1040" spans="1:6" x14ac:dyDescent="0.25">
      <c r="A1040" s="2">
        <v>44101</v>
      </c>
      <c r="B1040" s="3">
        <v>57</v>
      </c>
      <c r="C1040" s="3">
        <v>44</v>
      </c>
      <c r="D1040" s="3" t="s">
        <v>4</v>
      </c>
      <c r="E1040" s="3" t="s">
        <v>1158</v>
      </c>
      <c r="F1040" s="3" t="s">
        <v>4</v>
      </c>
    </row>
    <row r="1041" spans="1:6" x14ac:dyDescent="0.25">
      <c r="A1041" s="2">
        <v>44102</v>
      </c>
      <c r="B1041" s="3">
        <v>58</v>
      </c>
      <c r="C1041" s="3">
        <v>44</v>
      </c>
      <c r="D1041" s="3" t="s">
        <v>4</v>
      </c>
      <c r="E1041" s="3" t="s">
        <v>1159</v>
      </c>
      <c r="F1041" s="3" t="s">
        <v>4</v>
      </c>
    </row>
    <row r="1042" spans="1:6" x14ac:dyDescent="0.25">
      <c r="A1042" s="2">
        <v>44103</v>
      </c>
      <c r="B1042" s="3">
        <v>59</v>
      </c>
      <c r="C1042" s="3">
        <v>44</v>
      </c>
      <c r="D1042" s="3">
        <v>3390940.8</v>
      </c>
      <c r="E1042" s="3" t="s">
        <v>1160</v>
      </c>
      <c r="F1042" s="3">
        <v>3390940.8</v>
      </c>
    </row>
    <row r="1043" spans="1:6" x14ac:dyDescent="0.25">
      <c r="A1043" s="2">
        <v>44104</v>
      </c>
      <c r="B1043" s="3">
        <v>60</v>
      </c>
      <c r="C1043" s="3">
        <v>44</v>
      </c>
      <c r="D1043" s="3" t="s">
        <v>4</v>
      </c>
      <c r="E1043" s="3" t="s">
        <v>1161</v>
      </c>
      <c r="F1043" s="3" t="s">
        <v>4</v>
      </c>
    </row>
    <row r="1044" spans="1:6" x14ac:dyDescent="0.25">
      <c r="A1044" s="2">
        <v>44105</v>
      </c>
      <c r="B1044" s="3">
        <v>61</v>
      </c>
      <c r="C1044" s="3">
        <v>44</v>
      </c>
      <c r="D1044" s="3">
        <v>15984</v>
      </c>
      <c r="E1044" s="3" t="s">
        <v>1162</v>
      </c>
      <c r="F1044" s="3">
        <v>15984</v>
      </c>
    </row>
    <row r="1045" spans="1:6" x14ac:dyDescent="0.25">
      <c r="A1045" s="2">
        <v>44106</v>
      </c>
      <c r="B1045" s="3">
        <v>62</v>
      </c>
      <c r="C1045" s="3">
        <v>44</v>
      </c>
      <c r="D1045" s="3">
        <v>32123520</v>
      </c>
      <c r="E1045" s="3" t="s">
        <v>1163</v>
      </c>
      <c r="F1045" s="3">
        <v>32123520</v>
      </c>
    </row>
    <row r="1046" spans="1:6" x14ac:dyDescent="0.25">
      <c r="A1046" s="2">
        <v>44107</v>
      </c>
      <c r="B1046" s="3">
        <v>63</v>
      </c>
      <c r="C1046" s="3">
        <v>44</v>
      </c>
      <c r="D1046" s="3">
        <v>225</v>
      </c>
      <c r="E1046" s="3" t="s">
        <v>1164</v>
      </c>
      <c r="F1046" s="3">
        <v>225</v>
      </c>
    </row>
    <row r="1047" spans="1:6" x14ac:dyDescent="0.25">
      <c r="A1047" s="2">
        <v>44108</v>
      </c>
      <c r="B1047" s="3">
        <v>64</v>
      </c>
      <c r="C1047" s="3">
        <v>44</v>
      </c>
      <c r="D1047" s="3">
        <v>273</v>
      </c>
      <c r="E1047" s="3" t="s">
        <v>1165</v>
      </c>
      <c r="F1047" s="3">
        <v>273</v>
      </c>
    </row>
    <row r="1048" spans="1:6" x14ac:dyDescent="0.25">
      <c r="A1048" s="2">
        <v>44109</v>
      </c>
      <c r="B1048" s="3">
        <v>65</v>
      </c>
      <c r="C1048" s="3">
        <v>44</v>
      </c>
      <c r="D1048" s="3">
        <v>34.5</v>
      </c>
      <c r="E1048" s="3" t="s">
        <v>1166</v>
      </c>
      <c r="F1048" s="3">
        <v>34.5</v>
      </c>
    </row>
    <row r="1049" spans="1:6" x14ac:dyDescent="0.25">
      <c r="A1049" s="2">
        <v>44110</v>
      </c>
      <c r="B1049" s="3">
        <v>66</v>
      </c>
      <c r="C1049" s="3">
        <v>44</v>
      </c>
      <c r="D1049" s="3">
        <v>11.6</v>
      </c>
      <c r="E1049" s="3" t="s">
        <v>1167</v>
      </c>
      <c r="F1049" s="3">
        <v>11.6</v>
      </c>
    </row>
    <row r="1050" spans="1:6" x14ac:dyDescent="0.25">
      <c r="A1050" s="2">
        <v>44111</v>
      </c>
      <c r="B1050" s="3">
        <v>67</v>
      </c>
      <c r="C1050" s="3">
        <v>44</v>
      </c>
      <c r="D1050" s="3">
        <v>2.12</v>
      </c>
      <c r="E1050" s="3" t="s">
        <v>1168</v>
      </c>
      <c r="F1050" s="3">
        <v>2.12</v>
      </c>
    </row>
    <row r="1051" spans="1:6" x14ac:dyDescent="0.25">
      <c r="A1051" s="2">
        <v>44112</v>
      </c>
      <c r="B1051" s="3">
        <v>68</v>
      </c>
      <c r="C1051" s="3">
        <v>44</v>
      </c>
      <c r="D1051" s="3">
        <v>1.75</v>
      </c>
      <c r="E1051" s="3" t="s">
        <v>1169</v>
      </c>
      <c r="F1051" s="3">
        <v>1.75</v>
      </c>
    </row>
    <row r="1052" spans="1:6" x14ac:dyDescent="0.25">
      <c r="A1052" s="2">
        <v>44113</v>
      </c>
      <c r="B1052" s="3">
        <v>69</v>
      </c>
      <c r="C1052" s="3">
        <v>44</v>
      </c>
      <c r="D1052" s="3">
        <v>0.8</v>
      </c>
      <c r="E1052" s="3" t="s">
        <v>1170</v>
      </c>
      <c r="F1052" s="3">
        <v>0.8</v>
      </c>
    </row>
    <row r="1053" spans="1:6" x14ac:dyDescent="0.25">
      <c r="A1053" s="2">
        <v>44114</v>
      </c>
      <c r="B1053" s="3">
        <v>70</v>
      </c>
      <c r="C1053" s="3">
        <v>44</v>
      </c>
      <c r="D1053" s="3">
        <v>0.52</v>
      </c>
      <c r="E1053" s="3" t="s">
        <v>1171</v>
      </c>
      <c r="F1053" s="3">
        <v>0.52</v>
      </c>
    </row>
    <row r="1054" spans="1:6" x14ac:dyDescent="0.25">
      <c r="A1054" s="2">
        <v>44115</v>
      </c>
      <c r="B1054" s="3">
        <v>71</v>
      </c>
      <c r="C1054" s="3">
        <v>44</v>
      </c>
      <c r="D1054" s="3">
        <v>0.318</v>
      </c>
      <c r="E1054" s="3" t="s">
        <v>1172</v>
      </c>
      <c r="F1054" s="3">
        <v>0.318</v>
      </c>
    </row>
    <row r="1055" spans="1:6" x14ac:dyDescent="0.25">
      <c r="A1055" s="2">
        <v>44116</v>
      </c>
      <c r="B1055" s="3">
        <v>72</v>
      </c>
      <c r="C1055" s="3">
        <v>44</v>
      </c>
      <c r="D1055" s="3">
        <v>0.20399999999999999</v>
      </c>
      <c r="E1055" s="3" t="s">
        <v>1173</v>
      </c>
      <c r="F1055" s="3">
        <v>0.20399999999999999</v>
      </c>
    </row>
    <row r="1056" spans="1:6" x14ac:dyDescent="0.25">
      <c r="A1056" s="2">
        <v>44117</v>
      </c>
      <c r="B1056" s="3">
        <v>73</v>
      </c>
      <c r="C1056" s="3">
        <v>44</v>
      </c>
      <c r="D1056" s="3">
        <v>0.151</v>
      </c>
      <c r="E1056" s="3" t="s">
        <v>1174</v>
      </c>
      <c r="F1056" s="3">
        <v>0.151</v>
      </c>
    </row>
    <row r="1057" spans="1:6" x14ac:dyDescent="0.25">
      <c r="A1057" s="2">
        <v>44118</v>
      </c>
      <c r="B1057" s="3">
        <v>74</v>
      </c>
      <c r="C1057" s="3">
        <v>44</v>
      </c>
      <c r="D1057" s="3">
        <v>0.123</v>
      </c>
      <c r="E1057" s="3" t="s">
        <v>1175</v>
      </c>
      <c r="F1057" s="3">
        <v>0.123</v>
      </c>
    </row>
    <row r="1058" spans="1:6" x14ac:dyDescent="0.25">
      <c r="A1058" s="2">
        <v>44119</v>
      </c>
      <c r="B1058" s="3">
        <v>75</v>
      </c>
      <c r="C1058" s="3">
        <v>44</v>
      </c>
      <c r="D1058" s="3">
        <v>6.9500000000000006E-2</v>
      </c>
      <c r="E1058" s="3" t="s">
        <v>1176</v>
      </c>
      <c r="F1058" s="3">
        <v>6.9500000000000006E-2</v>
      </c>
    </row>
    <row r="1059" spans="1:6" x14ac:dyDescent="0.25">
      <c r="A1059" s="2">
        <v>44120</v>
      </c>
      <c r="B1059" s="3">
        <v>76</v>
      </c>
      <c r="C1059" s="3">
        <v>44</v>
      </c>
      <c r="D1059" s="3">
        <v>4.4999999999999998E-2</v>
      </c>
      <c r="E1059" s="3" t="s">
        <v>1177</v>
      </c>
      <c r="F1059" s="3">
        <v>4.4999999999999998E-2</v>
      </c>
    </row>
    <row r="1060" spans="1:6" x14ac:dyDescent="0.25">
      <c r="A1060" s="2">
        <v>44121</v>
      </c>
      <c r="B1060" s="3">
        <v>77</v>
      </c>
      <c r="C1060" s="3">
        <v>44</v>
      </c>
      <c r="D1060" s="3">
        <v>2.9000000000000001E-2</v>
      </c>
      <c r="E1060" s="3" t="s">
        <v>1178</v>
      </c>
      <c r="F1060" s="3">
        <v>2.9000000000000001E-2</v>
      </c>
    </row>
    <row r="1061" spans="1:6" x14ac:dyDescent="0.25">
      <c r="A1061" s="2">
        <v>44122</v>
      </c>
      <c r="B1061" s="3">
        <v>78</v>
      </c>
      <c r="C1061" s="3">
        <v>44</v>
      </c>
      <c r="D1061" s="3">
        <v>2.5000000000000001E-2</v>
      </c>
      <c r="E1061" s="3" t="s">
        <v>1179</v>
      </c>
      <c r="F1061" s="3">
        <v>2.5000000000000001E-2</v>
      </c>
    </row>
    <row r="1062" spans="1:6" x14ac:dyDescent="0.25">
      <c r="A1062" s="2">
        <v>44123</v>
      </c>
      <c r="B1062" s="3">
        <v>79</v>
      </c>
      <c r="C1062" s="3">
        <v>44</v>
      </c>
      <c r="D1062" s="3">
        <v>1.9E-2</v>
      </c>
      <c r="E1062" s="3" t="s">
        <v>1180</v>
      </c>
      <c r="F1062" s="3">
        <v>1.9E-2</v>
      </c>
    </row>
    <row r="1063" spans="1:6" x14ac:dyDescent="0.25">
      <c r="A1063" s="2">
        <v>44124</v>
      </c>
      <c r="B1063" s="3">
        <v>80</v>
      </c>
      <c r="C1063" s="3">
        <v>44</v>
      </c>
      <c r="D1063" s="3">
        <v>1.4999999999999999E-2</v>
      </c>
      <c r="E1063" s="3" t="s">
        <v>1181</v>
      </c>
      <c r="F1063" s="3">
        <v>1.4999999999999999E-2</v>
      </c>
    </row>
    <row r="1064" spans="1:6" x14ac:dyDescent="0.25">
      <c r="A1064" s="2">
        <v>45089</v>
      </c>
      <c r="B1064" s="3">
        <v>44</v>
      </c>
      <c r="C1064" s="3">
        <v>45</v>
      </c>
      <c r="D1064" s="3">
        <v>1.5E-6</v>
      </c>
      <c r="E1064" s="3" t="s">
        <v>1182</v>
      </c>
      <c r="F1064" s="3">
        <v>1.5E-6</v>
      </c>
    </row>
    <row r="1065" spans="1:6" x14ac:dyDescent="0.25">
      <c r="A1065" s="2">
        <v>45090</v>
      </c>
      <c r="B1065" s="3">
        <v>45</v>
      </c>
      <c r="C1065" s="3">
        <v>45</v>
      </c>
      <c r="D1065" s="3">
        <v>1.2E-2</v>
      </c>
      <c r="E1065" s="3" t="s">
        <v>1183</v>
      </c>
      <c r="F1065" s="3">
        <v>1.2E-2</v>
      </c>
    </row>
    <row r="1066" spans="1:6" x14ac:dyDescent="0.25">
      <c r="A1066" s="2">
        <v>45091</v>
      </c>
      <c r="B1066" s="3">
        <v>46</v>
      </c>
      <c r="C1066" s="3">
        <v>45</v>
      </c>
      <c r="D1066" s="3">
        <v>1.47</v>
      </c>
      <c r="E1066" s="3" t="s">
        <v>1184</v>
      </c>
      <c r="F1066" s="3">
        <v>1.47</v>
      </c>
    </row>
    <row r="1067" spans="1:6" x14ac:dyDescent="0.25">
      <c r="A1067" s="2">
        <v>45092</v>
      </c>
      <c r="B1067" s="3">
        <v>47</v>
      </c>
      <c r="C1067" s="3">
        <v>45</v>
      </c>
      <c r="D1067" s="3">
        <v>5.7</v>
      </c>
      <c r="E1067" s="3" t="s">
        <v>1185</v>
      </c>
      <c r="F1067" s="3">
        <v>5.7</v>
      </c>
    </row>
    <row r="1068" spans="1:6" x14ac:dyDescent="0.25">
      <c r="A1068" s="2">
        <v>45093</v>
      </c>
      <c r="B1068" s="3">
        <v>48</v>
      </c>
      <c r="C1068" s="3">
        <v>45</v>
      </c>
      <c r="D1068" s="3">
        <v>12.2</v>
      </c>
      <c r="E1068" s="3" t="s">
        <v>1186</v>
      </c>
      <c r="F1068" s="3">
        <v>12.2</v>
      </c>
    </row>
    <row r="1069" spans="1:6" x14ac:dyDescent="0.25">
      <c r="A1069" s="2">
        <v>45094</v>
      </c>
      <c r="B1069" s="3">
        <v>49</v>
      </c>
      <c r="C1069" s="3">
        <v>45</v>
      </c>
      <c r="D1069" s="3">
        <v>66</v>
      </c>
      <c r="E1069" s="3" t="s">
        <v>1187</v>
      </c>
      <c r="F1069" s="3">
        <v>66</v>
      </c>
    </row>
    <row r="1070" spans="1:6" x14ac:dyDescent="0.25">
      <c r="A1070" s="2">
        <v>45095</v>
      </c>
      <c r="B1070" s="3">
        <v>50</v>
      </c>
      <c r="C1070" s="3">
        <v>45</v>
      </c>
      <c r="D1070" s="3">
        <v>301.2</v>
      </c>
      <c r="E1070" s="3" t="s">
        <v>1188</v>
      </c>
      <c r="F1070" s="3">
        <v>301.2</v>
      </c>
    </row>
    <row r="1071" spans="1:6" x14ac:dyDescent="0.25">
      <c r="A1071" s="2">
        <v>45096</v>
      </c>
      <c r="B1071" s="3">
        <v>51</v>
      </c>
      <c r="C1071" s="3">
        <v>45</v>
      </c>
      <c r="D1071" s="3">
        <v>594</v>
      </c>
      <c r="E1071" s="3" t="s">
        <v>1189</v>
      </c>
      <c r="F1071" s="3">
        <v>594</v>
      </c>
    </row>
    <row r="1072" spans="1:6" x14ac:dyDescent="0.25">
      <c r="A1072" s="2">
        <v>45097</v>
      </c>
      <c r="B1072" s="3">
        <v>52</v>
      </c>
      <c r="C1072" s="3">
        <v>45</v>
      </c>
      <c r="D1072" s="3">
        <v>1842</v>
      </c>
      <c r="E1072" s="3" t="s">
        <v>1190</v>
      </c>
      <c r="F1072" s="3">
        <v>1842</v>
      </c>
    </row>
    <row r="1073" spans="1:6" x14ac:dyDescent="0.25">
      <c r="A1073" s="2">
        <v>45098</v>
      </c>
      <c r="B1073" s="3">
        <v>53</v>
      </c>
      <c r="C1073" s="3">
        <v>45</v>
      </c>
      <c r="D1073" s="3">
        <v>523.20000000000005</v>
      </c>
      <c r="E1073" s="3" t="s">
        <v>1191</v>
      </c>
      <c r="F1073" s="3">
        <v>523.20000000000005</v>
      </c>
    </row>
    <row r="1074" spans="1:6" x14ac:dyDescent="0.25">
      <c r="A1074" s="2">
        <v>45099</v>
      </c>
      <c r="B1074" s="3">
        <v>54</v>
      </c>
      <c r="C1074" s="3">
        <v>45</v>
      </c>
      <c r="D1074" s="3">
        <v>1391040</v>
      </c>
      <c r="E1074" s="3" t="s">
        <v>1192</v>
      </c>
      <c r="F1074" s="3">
        <v>1391040</v>
      </c>
    </row>
    <row r="1075" spans="1:6" x14ac:dyDescent="0.25">
      <c r="A1075" s="2">
        <v>45100</v>
      </c>
      <c r="B1075" s="3">
        <v>55</v>
      </c>
      <c r="C1075" s="3">
        <v>45</v>
      </c>
      <c r="D1075" s="3">
        <v>74880</v>
      </c>
      <c r="E1075" s="3" t="s">
        <v>1193</v>
      </c>
      <c r="F1075" s="3">
        <v>74880</v>
      </c>
    </row>
    <row r="1076" spans="1:6" x14ac:dyDescent="0.25">
      <c r="A1076" s="2">
        <v>45101</v>
      </c>
      <c r="B1076" s="3">
        <v>56</v>
      </c>
      <c r="C1076" s="3">
        <v>45</v>
      </c>
      <c r="D1076" s="3">
        <v>104140080</v>
      </c>
      <c r="E1076" s="3" t="s">
        <v>1194</v>
      </c>
      <c r="F1076" s="3">
        <v>104140080</v>
      </c>
    </row>
    <row r="1077" spans="1:6" x14ac:dyDescent="0.25">
      <c r="A1077" s="2">
        <v>45102</v>
      </c>
      <c r="B1077" s="3">
        <v>57</v>
      </c>
      <c r="C1077" s="3">
        <v>45</v>
      </c>
      <c r="D1077" s="3">
        <v>17910720</v>
      </c>
      <c r="E1077" s="3" t="s">
        <v>1195</v>
      </c>
      <c r="F1077" s="3">
        <v>17910720</v>
      </c>
    </row>
    <row r="1078" spans="1:6" x14ac:dyDescent="0.25">
      <c r="A1078" s="2">
        <v>45103</v>
      </c>
      <c r="B1078" s="3">
        <v>58</v>
      </c>
      <c r="C1078" s="3">
        <v>45</v>
      </c>
      <c r="D1078" s="3" t="s">
        <v>4</v>
      </c>
      <c r="E1078" s="3" t="s">
        <v>1196</v>
      </c>
      <c r="F1078" s="3" t="s">
        <v>4</v>
      </c>
    </row>
    <row r="1079" spans="1:6" x14ac:dyDescent="0.25">
      <c r="A1079" s="2">
        <v>45104</v>
      </c>
      <c r="B1079" s="3">
        <v>59</v>
      </c>
      <c r="C1079" s="3">
        <v>45</v>
      </c>
      <c r="D1079" s="3">
        <v>42.3</v>
      </c>
      <c r="E1079" s="3" t="s">
        <v>1197</v>
      </c>
      <c r="F1079" s="3">
        <v>42.3</v>
      </c>
    </row>
    <row r="1080" spans="1:6" x14ac:dyDescent="0.25">
      <c r="A1080" s="2">
        <v>45105</v>
      </c>
      <c r="B1080" s="3">
        <v>60</v>
      </c>
      <c r="C1080" s="3">
        <v>45</v>
      </c>
      <c r="D1080" s="3">
        <v>127296</v>
      </c>
      <c r="E1080" s="3" t="s">
        <v>1198</v>
      </c>
      <c r="F1080" s="3">
        <v>127296</v>
      </c>
    </row>
    <row r="1081" spans="1:6" x14ac:dyDescent="0.25">
      <c r="A1081" s="2">
        <v>45106</v>
      </c>
      <c r="B1081" s="3">
        <v>61</v>
      </c>
      <c r="C1081" s="3">
        <v>45</v>
      </c>
      <c r="D1081" s="3">
        <v>30.07</v>
      </c>
      <c r="E1081" s="3" t="s">
        <v>1199</v>
      </c>
      <c r="F1081" s="3">
        <v>30.07</v>
      </c>
    </row>
    <row r="1082" spans="1:6" x14ac:dyDescent="0.25">
      <c r="A1082" s="2">
        <v>45107</v>
      </c>
      <c r="B1082" s="3">
        <v>62</v>
      </c>
      <c r="C1082" s="3">
        <v>45</v>
      </c>
      <c r="D1082" s="3">
        <v>1302</v>
      </c>
      <c r="E1082" s="3" t="s">
        <v>1200</v>
      </c>
      <c r="F1082" s="3">
        <v>1302</v>
      </c>
    </row>
    <row r="1083" spans="1:6" x14ac:dyDescent="0.25">
      <c r="A1083" s="2">
        <v>45108</v>
      </c>
      <c r="B1083" s="3">
        <v>63</v>
      </c>
      <c r="C1083" s="3">
        <v>45</v>
      </c>
      <c r="D1083" s="3">
        <v>16.8</v>
      </c>
      <c r="E1083" s="3" t="s">
        <v>1201</v>
      </c>
      <c r="F1083" s="3">
        <v>16.8</v>
      </c>
    </row>
    <row r="1084" spans="1:6" x14ac:dyDescent="0.25">
      <c r="A1084" s="2">
        <v>45109</v>
      </c>
      <c r="B1084" s="3">
        <v>64</v>
      </c>
      <c r="C1084" s="3">
        <v>45</v>
      </c>
      <c r="D1084" s="3">
        <v>80</v>
      </c>
      <c r="E1084" s="3" t="s">
        <v>1202</v>
      </c>
      <c r="F1084" s="3">
        <v>80</v>
      </c>
    </row>
    <row r="1085" spans="1:6" x14ac:dyDescent="0.25">
      <c r="A1085" s="2">
        <v>45110</v>
      </c>
      <c r="B1085" s="3">
        <v>65</v>
      </c>
      <c r="C1085" s="3">
        <v>45</v>
      </c>
      <c r="D1085" s="3">
        <v>28.5</v>
      </c>
      <c r="E1085" s="3" t="s">
        <v>1203</v>
      </c>
      <c r="F1085" s="3">
        <v>28.5</v>
      </c>
    </row>
    <row r="1086" spans="1:6" x14ac:dyDescent="0.25">
      <c r="A1086" s="2">
        <v>45111</v>
      </c>
      <c r="B1086" s="3">
        <v>66</v>
      </c>
      <c r="C1086" s="3">
        <v>45</v>
      </c>
      <c r="D1086" s="3">
        <v>11</v>
      </c>
      <c r="E1086" s="3" t="s">
        <v>1204</v>
      </c>
      <c r="F1086" s="3">
        <v>11</v>
      </c>
    </row>
    <row r="1087" spans="1:6" x14ac:dyDescent="0.25">
      <c r="A1087" s="2">
        <v>45112</v>
      </c>
      <c r="B1087" s="3">
        <v>67</v>
      </c>
      <c r="C1087" s="3">
        <v>45</v>
      </c>
      <c r="D1087" s="3">
        <v>3.6</v>
      </c>
      <c r="E1087" s="3" t="s">
        <v>1205</v>
      </c>
      <c r="F1087" s="3">
        <v>3.6</v>
      </c>
    </row>
    <row r="1088" spans="1:6" x14ac:dyDescent="0.25">
      <c r="A1088" s="2">
        <v>45113</v>
      </c>
      <c r="B1088" s="3">
        <v>68</v>
      </c>
      <c r="C1088" s="3">
        <v>45</v>
      </c>
      <c r="D1088" s="3">
        <v>2.8</v>
      </c>
      <c r="E1088" s="3" t="s">
        <v>1206</v>
      </c>
      <c r="F1088" s="3">
        <v>2.8</v>
      </c>
    </row>
    <row r="1089" spans="1:6" x14ac:dyDescent="0.25">
      <c r="A1089" s="2">
        <v>45114</v>
      </c>
      <c r="B1089" s="3">
        <v>69</v>
      </c>
      <c r="C1089" s="3">
        <v>45</v>
      </c>
      <c r="D1089" s="3">
        <v>1.85</v>
      </c>
      <c r="E1089" s="3" t="s">
        <v>1207</v>
      </c>
      <c r="F1089" s="3">
        <v>1.85</v>
      </c>
    </row>
    <row r="1090" spans="1:6" x14ac:dyDescent="0.25">
      <c r="A1090" s="2">
        <v>45115</v>
      </c>
      <c r="B1090" s="3">
        <v>70</v>
      </c>
      <c r="C1090" s="3">
        <v>45</v>
      </c>
      <c r="D1090" s="3">
        <v>0.99</v>
      </c>
      <c r="E1090" s="3" t="s">
        <v>1208</v>
      </c>
      <c r="F1090" s="3">
        <v>0.99</v>
      </c>
    </row>
    <row r="1091" spans="1:6" x14ac:dyDescent="0.25">
      <c r="A1091" s="2">
        <v>45116</v>
      </c>
      <c r="B1091" s="3">
        <v>71</v>
      </c>
      <c r="C1091" s="3">
        <v>45</v>
      </c>
      <c r="D1091" s="3">
        <v>0.68</v>
      </c>
      <c r="E1091" s="3" t="s">
        <v>1209</v>
      </c>
      <c r="F1091" s="3">
        <v>0.68</v>
      </c>
    </row>
    <row r="1092" spans="1:6" x14ac:dyDescent="0.25">
      <c r="A1092" s="2">
        <v>45117</v>
      </c>
      <c r="B1092" s="3">
        <v>72</v>
      </c>
      <c r="C1092" s="3">
        <v>45</v>
      </c>
      <c r="D1092" s="3">
        <v>0.44</v>
      </c>
      <c r="E1092" s="3" t="s">
        <v>1210</v>
      </c>
      <c r="F1092" s="3">
        <v>0.44</v>
      </c>
    </row>
    <row r="1093" spans="1:6" x14ac:dyDescent="0.25">
      <c r="A1093" s="2">
        <v>45118</v>
      </c>
      <c r="B1093" s="3">
        <v>73</v>
      </c>
      <c r="C1093" s="3">
        <v>45</v>
      </c>
      <c r="D1093" s="3">
        <v>0.26600000000000001</v>
      </c>
      <c r="E1093" s="3" t="s">
        <v>1211</v>
      </c>
      <c r="F1093" s="3">
        <v>0.26600000000000001</v>
      </c>
    </row>
    <row r="1094" spans="1:6" x14ac:dyDescent="0.25">
      <c r="A1094" s="2">
        <v>45119</v>
      </c>
      <c r="B1094" s="3">
        <v>74</v>
      </c>
      <c r="C1094" s="3">
        <v>45</v>
      </c>
      <c r="D1094" s="3">
        <v>0.17100000000000001</v>
      </c>
      <c r="E1094" s="3" t="s">
        <v>1212</v>
      </c>
      <c r="F1094" s="3">
        <v>0.17100000000000001</v>
      </c>
    </row>
    <row r="1095" spans="1:6" x14ac:dyDescent="0.25">
      <c r="A1095" s="2">
        <v>45120</v>
      </c>
      <c r="B1095" s="3">
        <v>75</v>
      </c>
      <c r="C1095" s="3">
        <v>45</v>
      </c>
      <c r="D1095" s="3">
        <v>0.13600000000000001</v>
      </c>
      <c r="E1095" s="3" t="s">
        <v>1213</v>
      </c>
      <c r="F1095" s="3">
        <v>0.13600000000000001</v>
      </c>
    </row>
    <row r="1096" spans="1:6" x14ac:dyDescent="0.25">
      <c r="A1096" s="2">
        <v>45121</v>
      </c>
      <c r="B1096" s="3">
        <v>76</v>
      </c>
      <c r="C1096" s="3">
        <v>45</v>
      </c>
      <c r="D1096" s="3">
        <v>0.151</v>
      </c>
      <c r="E1096" s="3" t="s">
        <v>1214</v>
      </c>
      <c r="F1096" s="3">
        <v>0.151</v>
      </c>
    </row>
    <row r="1097" spans="1:6" x14ac:dyDescent="0.25">
      <c r="A1097" s="2">
        <v>45122</v>
      </c>
      <c r="B1097" s="3">
        <v>77</v>
      </c>
      <c r="C1097" s="3">
        <v>45</v>
      </c>
      <c r="D1097" s="3">
        <v>2.9999999999999999E-7</v>
      </c>
      <c r="E1097" s="3" t="s">
        <v>1215</v>
      </c>
      <c r="F1097" s="3">
        <v>2.9999999999999999E-7</v>
      </c>
    </row>
    <row r="1098" spans="1:6" x14ac:dyDescent="0.25">
      <c r="A1098" s="2">
        <v>45123</v>
      </c>
      <c r="B1098" s="3">
        <v>78</v>
      </c>
      <c r="C1098" s="3">
        <v>45</v>
      </c>
      <c r="D1098" s="3">
        <v>4.2000000000000003E-2</v>
      </c>
      <c r="E1098" s="3" t="s">
        <v>1216</v>
      </c>
      <c r="F1098" s="3">
        <v>4.2000000000000003E-2</v>
      </c>
    </row>
    <row r="1099" spans="1:6" x14ac:dyDescent="0.25">
      <c r="A1099" s="2">
        <v>45124</v>
      </c>
      <c r="B1099" s="3">
        <v>79</v>
      </c>
      <c r="C1099" s="3">
        <v>45</v>
      </c>
      <c r="D1099" s="3">
        <v>0.03</v>
      </c>
      <c r="E1099" s="3" t="s">
        <v>1217</v>
      </c>
      <c r="F1099" s="3">
        <v>0.03</v>
      </c>
    </row>
    <row r="1100" spans="1:6" x14ac:dyDescent="0.25">
      <c r="A1100" s="2">
        <v>45125</v>
      </c>
      <c r="B1100" s="3">
        <v>80</v>
      </c>
      <c r="C1100" s="3">
        <v>45</v>
      </c>
      <c r="D1100" s="3">
        <v>2.6499999999999999E-2</v>
      </c>
      <c r="E1100" s="3" t="s">
        <v>1218</v>
      </c>
      <c r="F1100" s="3">
        <v>2.6499999999999999E-2</v>
      </c>
    </row>
    <row r="1101" spans="1:6" x14ac:dyDescent="0.25">
      <c r="A1101" s="2">
        <v>45126</v>
      </c>
      <c r="B1101" s="3">
        <v>81</v>
      </c>
      <c r="C1101" s="3">
        <v>45</v>
      </c>
      <c r="D1101" s="3">
        <v>1.9E-2</v>
      </c>
      <c r="E1101" s="3" t="s">
        <v>1219</v>
      </c>
      <c r="F1101" s="3">
        <v>1.9E-2</v>
      </c>
    </row>
    <row r="1102" spans="1:6" x14ac:dyDescent="0.25">
      <c r="A1102" s="2">
        <v>45127</v>
      </c>
      <c r="B1102" s="3">
        <v>82</v>
      </c>
      <c r="C1102" s="3">
        <v>45</v>
      </c>
      <c r="D1102" s="3">
        <v>0.02</v>
      </c>
      <c r="E1102" s="3" t="s">
        <v>1220</v>
      </c>
      <c r="F1102" s="3">
        <v>0.02</v>
      </c>
    </row>
    <row r="1103" spans="1:6" x14ac:dyDescent="0.25">
      <c r="A1103" s="2">
        <v>46091</v>
      </c>
      <c r="B1103" s="3">
        <v>45</v>
      </c>
      <c r="C1103" s="3">
        <v>46</v>
      </c>
      <c r="D1103" s="3">
        <v>9.9999999999999995E-7</v>
      </c>
      <c r="E1103" s="3" t="s">
        <v>1221</v>
      </c>
      <c r="F1103" s="3">
        <v>9.9999999999999995E-7</v>
      </c>
    </row>
    <row r="1104" spans="1:6" x14ac:dyDescent="0.25">
      <c r="A1104" s="2">
        <v>46092</v>
      </c>
      <c r="B1104" s="3">
        <v>46</v>
      </c>
      <c r="C1104" s="3">
        <v>46</v>
      </c>
      <c r="D1104" s="3">
        <v>0.7</v>
      </c>
      <c r="E1104" s="3" t="s">
        <v>1222</v>
      </c>
      <c r="F1104" s="3">
        <v>0.7</v>
      </c>
    </row>
    <row r="1105" spans="1:6" x14ac:dyDescent="0.25">
      <c r="A1105" s="2">
        <v>46093</v>
      </c>
      <c r="B1105" s="3">
        <v>47</v>
      </c>
      <c r="C1105" s="3">
        <v>46</v>
      </c>
      <c r="D1105" s="3">
        <v>1</v>
      </c>
      <c r="E1105" s="3" t="s">
        <v>1223</v>
      </c>
      <c r="F1105" s="3">
        <v>1</v>
      </c>
    </row>
    <row r="1106" spans="1:6" x14ac:dyDescent="0.25">
      <c r="A1106" s="2">
        <v>46094</v>
      </c>
      <c r="B1106" s="3">
        <v>48</v>
      </c>
      <c r="C1106" s="3">
        <v>46</v>
      </c>
      <c r="D1106" s="3">
        <v>9.6</v>
      </c>
      <c r="E1106" s="3" t="s">
        <v>1224</v>
      </c>
      <c r="F1106" s="3">
        <v>9.6</v>
      </c>
    </row>
    <row r="1107" spans="1:6" x14ac:dyDescent="0.25">
      <c r="A1107" s="2">
        <v>46095</v>
      </c>
      <c r="B1107" s="3">
        <v>49</v>
      </c>
      <c r="C1107" s="3">
        <v>46</v>
      </c>
      <c r="D1107" s="3">
        <v>5</v>
      </c>
      <c r="E1107" s="3" t="s">
        <v>1225</v>
      </c>
      <c r="F1107" s="3">
        <v>5</v>
      </c>
    </row>
    <row r="1108" spans="1:6" x14ac:dyDescent="0.25">
      <c r="A1108" s="2">
        <v>46096</v>
      </c>
      <c r="B1108" s="3">
        <v>50</v>
      </c>
      <c r="C1108" s="3">
        <v>46</v>
      </c>
      <c r="D1108" s="3">
        <v>122</v>
      </c>
      <c r="E1108" s="3" t="s">
        <v>1226</v>
      </c>
      <c r="F1108" s="3">
        <v>122</v>
      </c>
    </row>
    <row r="1109" spans="1:6" x14ac:dyDescent="0.25">
      <c r="A1109" s="2">
        <v>46097</v>
      </c>
      <c r="B1109" s="3">
        <v>51</v>
      </c>
      <c r="C1109" s="3">
        <v>46</v>
      </c>
      <c r="D1109" s="3">
        <v>186</v>
      </c>
      <c r="E1109" s="3" t="s">
        <v>1227</v>
      </c>
      <c r="F1109" s="3">
        <v>186</v>
      </c>
    </row>
    <row r="1110" spans="1:6" x14ac:dyDescent="0.25">
      <c r="A1110" s="2">
        <v>46098</v>
      </c>
      <c r="B1110" s="3">
        <v>52</v>
      </c>
      <c r="C1110" s="3">
        <v>46</v>
      </c>
      <c r="D1110" s="3">
        <v>1062</v>
      </c>
      <c r="E1110" s="3" t="s">
        <v>1228</v>
      </c>
      <c r="F1110" s="3">
        <v>1062</v>
      </c>
    </row>
    <row r="1111" spans="1:6" x14ac:dyDescent="0.25">
      <c r="A1111" s="2">
        <v>46099</v>
      </c>
      <c r="B1111" s="3">
        <v>53</v>
      </c>
      <c r="C1111" s="3">
        <v>46</v>
      </c>
      <c r="D1111" s="3">
        <v>1284</v>
      </c>
      <c r="E1111" s="3" t="s">
        <v>1229</v>
      </c>
      <c r="F1111" s="3">
        <v>1284</v>
      </c>
    </row>
    <row r="1112" spans="1:6" x14ac:dyDescent="0.25">
      <c r="A1112" s="2">
        <v>46100</v>
      </c>
      <c r="B1112" s="3">
        <v>54</v>
      </c>
      <c r="C1112" s="3">
        <v>46</v>
      </c>
      <c r="D1112" s="3">
        <v>313632</v>
      </c>
      <c r="E1112" s="3" t="s">
        <v>1230</v>
      </c>
      <c r="F1112" s="3">
        <v>313632</v>
      </c>
    </row>
    <row r="1113" spans="1:6" x14ac:dyDescent="0.25">
      <c r="A1113" s="2">
        <v>46101</v>
      </c>
      <c r="B1113" s="3">
        <v>55</v>
      </c>
      <c r="C1113" s="3">
        <v>46</v>
      </c>
      <c r="D1113" s="3">
        <v>30492</v>
      </c>
      <c r="E1113" s="3" t="s">
        <v>1231</v>
      </c>
      <c r="F1113" s="3">
        <v>30492</v>
      </c>
    </row>
    <row r="1114" spans="1:6" x14ac:dyDescent="0.25">
      <c r="A1114" s="2">
        <v>46102</v>
      </c>
      <c r="B1114" s="3">
        <v>56</v>
      </c>
      <c r="C1114" s="3">
        <v>46</v>
      </c>
      <c r="D1114" s="3" t="s">
        <v>4</v>
      </c>
      <c r="E1114" s="3" t="s">
        <v>1232</v>
      </c>
      <c r="F1114" s="3" t="s">
        <v>4</v>
      </c>
    </row>
    <row r="1115" spans="1:6" x14ac:dyDescent="0.25">
      <c r="A1115" s="2">
        <v>46103</v>
      </c>
      <c r="B1115" s="3">
        <v>57</v>
      </c>
      <c r="C1115" s="3">
        <v>46</v>
      </c>
      <c r="D1115" s="3">
        <v>1468022.4</v>
      </c>
      <c r="E1115" s="3" t="s">
        <v>1233</v>
      </c>
      <c r="F1115" s="3">
        <v>1468022.4</v>
      </c>
    </row>
    <row r="1116" spans="1:6" x14ac:dyDescent="0.25">
      <c r="A1116" s="2">
        <v>46104</v>
      </c>
      <c r="B1116" s="3">
        <v>58</v>
      </c>
      <c r="C1116" s="3">
        <v>46</v>
      </c>
      <c r="D1116" s="3" t="s">
        <v>4</v>
      </c>
      <c r="E1116" s="3" t="s">
        <v>1234</v>
      </c>
      <c r="F1116" s="3" t="s">
        <v>4</v>
      </c>
    </row>
    <row r="1117" spans="1:6" x14ac:dyDescent="0.25">
      <c r="A1117" s="2">
        <v>46105</v>
      </c>
      <c r="B1117" s="3">
        <v>59</v>
      </c>
      <c r="C1117" s="3">
        <v>46</v>
      </c>
      <c r="D1117" s="3" t="s">
        <v>4</v>
      </c>
      <c r="E1117" s="3" t="s">
        <v>1235</v>
      </c>
      <c r="F1117" s="3" t="s">
        <v>4</v>
      </c>
    </row>
    <row r="1118" spans="1:6" x14ac:dyDescent="0.25">
      <c r="A1118" s="2">
        <v>46106</v>
      </c>
      <c r="B1118" s="3">
        <v>60</v>
      </c>
      <c r="C1118" s="3">
        <v>46</v>
      </c>
      <c r="D1118" s="3" t="s">
        <v>4</v>
      </c>
      <c r="E1118" s="3" t="s">
        <v>1236</v>
      </c>
      <c r="F1118" s="3" t="s">
        <v>4</v>
      </c>
    </row>
    <row r="1119" spans="1:6" x14ac:dyDescent="0.25">
      <c r="A1119" s="2">
        <v>46107</v>
      </c>
      <c r="B1119" s="3">
        <v>61</v>
      </c>
      <c r="C1119" s="3">
        <v>46</v>
      </c>
      <c r="D1119" s="3">
        <v>205124400000000</v>
      </c>
      <c r="E1119" s="3" t="s">
        <v>1237</v>
      </c>
      <c r="F1119" s="3">
        <v>205124400000000</v>
      </c>
    </row>
    <row r="1120" spans="1:6" x14ac:dyDescent="0.25">
      <c r="A1120" s="2">
        <v>46108</v>
      </c>
      <c r="B1120" s="3">
        <v>62</v>
      </c>
      <c r="C1120" s="3">
        <v>46</v>
      </c>
      <c r="D1120" s="3" t="s">
        <v>4</v>
      </c>
      <c r="E1120" s="3" t="s">
        <v>1238</v>
      </c>
      <c r="F1120" s="3" t="s">
        <v>4</v>
      </c>
    </row>
    <row r="1121" spans="1:6" x14ac:dyDescent="0.25">
      <c r="A1121" s="2">
        <v>46109</v>
      </c>
      <c r="B1121" s="3">
        <v>63</v>
      </c>
      <c r="C1121" s="3">
        <v>46</v>
      </c>
      <c r="D1121" s="3">
        <v>49324.32</v>
      </c>
      <c r="E1121" s="3" t="s">
        <v>1239</v>
      </c>
      <c r="F1121" s="3">
        <v>49324.32</v>
      </c>
    </row>
    <row r="1122" spans="1:6" x14ac:dyDescent="0.25">
      <c r="A1122" s="2">
        <v>46110</v>
      </c>
      <c r="B1122" s="3">
        <v>64</v>
      </c>
      <c r="C1122" s="3">
        <v>46</v>
      </c>
      <c r="D1122" s="3" t="s">
        <v>4</v>
      </c>
      <c r="E1122" s="3" t="s">
        <v>1240</v>
      </c>
      <c r="F1122" s="3" t="s">
        <v>4</v>
      </c>
    </row>
    <row r="1123" spans="1:6" x14ac:dyDescent="0.25">
      <c r="A1123" s="2">
        <v>46111</v>
      </c>
      <c r="B1123" s="3">
        <v>65</v>
      </c>
      <c r="C1123" s="3">
        <v>46</v>
      </c>
      <c r="D1123" s="3">
        <v>1404</v>
      </c>
      <c r="E1123" s="3" t="s">
        <v>1241</v>
      </c>
      <c r="F1123" s="3">
        <v>1404</v>
      </c>
    </row>
    <row r="1124" spans="1:6" x14ac:dyDescent="0.25">
      <c r="A1124" s="2">
        <v>46112</v>
      </c>
      <c r="B1124" s="3">
        <v>66</v>
      </c>
      <c r="C1124" s="3">
        <v>46</v>
      </c>
      <c r="D1124" s="3">
        <v>75744</v>
      </c>
      <c r="E1124" s="3" t="s">
        <v>1242</v>
      </c>
      <c r="F1124" s="3">
        <v>75744</v>
      </c>
    </row>
    <row r="1125" spans="1:6" x14ac:dyDescent="0.25">
      <c r="A1125" s="2">
        <v>46113</v>
      </c>
      <c r="B1125" s="3">
        <v>67</v>
      </c>
      <c r="C1125" s="3">
        <v>46</v>
      </c>
      <c r="D1125" s="3">
        <v>93</v>
      </c>
      <c r="E1125" s="3" t="s">
        <v>1243</v>
      </c>
      <c r="F1125" s="3">
        <v>93</v>
      </c>
    </row>
    <row r="1126" spans="1:6" x14ac:dyDescent="0.25">
      <c r="A1126" s="2">
        <v>46114</v>
      </c>
      <c r="B1126" s="3">
        <v>68</v>
      </c>
      <c r="C1126" s="3">
        <v>46</v>
      </c>
      <c r="D1126" s="3">
        <v>145.19999999999999</v>
      </c>
      <c r="E1126" s="3" t="s">
        <v>1244</v>
      </c>
      <c r="F1126" s="3">
        <v>145.19999999999999</v>
      </c>
    </row>
    <row r="1127" spans="1:6" x14ac:dyDescent="0.25">
      <c r="A1127" s="2">
        <v>46115</v>
      </c>
      <c r="B1127" s="3">
        <v>69</v>
      </c>
      <c r="C1127" s="3">
        <v>46</v>
      </c>
      <c r="D1127" s="3">
        <v>25</v>
      </c>
      <c r="E1127" s="3" t="s">
        <v>1245</v>
      </c>
      <c r="F1127" s="3">
        <v>25</v>
      </c>
    </row>
    <row r="1128" spans="1:6" x14ac:dyDescent="0.25">
      <c r="A1128" s="2">
        <v>46116</v>
      </c>
      <c r="B1128" s="3">
        <v>70</v>
      </c>
      <c r="C1128" s="3">
        <v>46</v>
      </c>
      <c r="D1128" s="3">
        <v>11.8</v>
      </c>
      <c r="E1128" s="3" t="s">
        <v>1246</v>
      </c>
      <c r="F1128" s="3">
        <v>11.8</v>
      </c>
    </row>
    <row r="1129" spans="1:6" x14ac:dyDescent="0.25">
      <c r="A1129" s="2">
        <v>46117</v>
      </c>
      <c r="B1129" s="3">
        <v>71</v>
      </c>
      <c r="C1129" s="3">
        <v>46</v>
      </c>
      <c r="D1129" s="3">
        <v>4.3</v>
      </c>
      <c r="E1129" s="3" t="s">
        <v>1247</v>
      </c>
      <c r="F1129" s="3">
        <v>4.3</v>
      </c>
    </row>
    <row r="1130" spans="1:6" x14ac:dyDescent="0.25">
      <c r="A1130" s="2">
        <v>46118</v>
      </c>
      <c r="B1130" s="3">
        <v>72</v>
      </c>
      <c r="C1130" s="3">
        <v>46</v>
      </c>
      <c r="D1130" s="3">
        <v>1.9</v>
      </c>
      <c r="E1130" s="3" t="s">
        <v>1248</v>
      </c>
      <c r="F1130" s="3">
        <v>1.9</v>
      </c>
    </row>
    <row r="1131" spans="1:6" x14ac:dyDescent="0.25">
      <c r="A1131" s="2">
        <v>46119</v>
      </c>
      <c r="B1131" s="3">
        <v>73</v>
      </c>
      <c r="C1131" s="3">
        <v>46</v>
      </c>
      <c r="D1131" s="3">
        <v>0.92</v>
      </c>
      <c r="E1131" s="3" t="s">
        <v>1249</v>
      </c>
      <c r="F1131" s="3">
        <v>0.92</v>
      </c>
    </row>
    <row r="1132" spans="1:6" x14ac:dyDescent="0.25">
      <c r="A1132" s="2">
        <v>46120</v>
      </c>
      <c r="B1132" s="3">
        <v>74</v>
      </c>
      <c r="C1132" s="3">
        <v>46</v>
      </c>
      <c r="D1132" s="3">
        <v>0.49199999999999999</v>
      </c>
      <c r="E1132" s="3" t="s">
        <v>1250</v>
      </c>
      <c r="F1132" s="3">
        <v>0.49199999999999999</v>
      </c>
    </row>
    <row r="1133" spans="1:6" x14ac:dyDescent="0.25">
      <c r="A1133" s="2">
        <v>46121</v>
      </c>
      <c r="B1133" s="3">
        <v>75</v>
      </c>
      <c r="C1133" s="3">
        <v>46</v>
      </c>
      <c r="D1133" s="3">
        <v>0.28499999999999998</v>
      </c>
      <c r="E1133" s="3" t="s">
        <v>1251</v>
      </c>
      <c r="F1133" s="3">
        <v>0.28499999999999998</v>
      </c>
    </row>
    <row r="1134" spans="1:6" x14ac:dyDescent="0.25">
      <c r="A1134" s="2">
        <v>46122</v>
      </c>
      <c r="B1134" s="3">
        <v>76</v>
      </c>
      <c r="C1134" s="3">
        <v>46</v>
      </c>
      <c r="D1134" s="3">
        <v>0.17499999999999999</v>
      </c>
      <c r="E1134" s="3" t="s">
        <v>1252</v>
      </c>
      <c r="F1134" s="3">
        <v>0.17499999999999999</v>
      </c>
    </row>
    <row r="1135" spans="1:6" x14ac:dyDescent="0.25">
      <c r="A1135" s="2">
        <v>46123</v>
      </c>
      <c r="B1135" s="3">
        <v>77</v>
      </c>
      <c r="C1135" s="3">
        <v>46</v>
      </c>
      <c r="D1135" s="3">
        <v>0.108</v>
      </c>
      <c r="E1135" s="3" t="s">
        <v>1253</v>
      </c>
      <c r="F1135" s="3">
        <v>0.108</v>
      </c>
    </row>
    <row r="1136" spans="1:6" x14ac:dyDescent="0.25">
      <c r="A1136" s="2">
        <v>46124</v>
      </c>
      <c r="B1136" s="3">
        <v>78</v>
      </c>
      <c r="C1136" s="3">
        <v>46</v>
      </c>
      <c r="D1136" s="3">
        <v>3.7999999999999999E-2</v>
      </c>
      <c r="E1136" s="3" t="s">
        <v>1254</v>
      </c>
      <c r="F1136" s="3">
        <v>3.7999999999999999E-2</v>
      </c>
    </row>
    <row r="1137" spans="1:6" x14ac:dyDescent="0.25">
      <c r="A1137" s="2">
        <v>46125</v>
      </c>
      <c r="B1137" s="3">
        <v>79</v>
      </c>
      <c r="C1137" s="3">
        <v>46</v>
      </c>
      <c r="D1137" s="3">
        <v>5.7000000000000002E-2</v>
      </c>
      <c r="E1137" s="3" t="s">
        <v>1255</v>
      </c>
      <c r="F1137" s="3">
        <v>5.7000000000000002E-2</v>
      </c>
    </row>
    <row r="1138" spans="1:6" x14ac:dyDescent="0.25">
      <c r="A1138" s="2">
        <v>46126</v>
      </c>
      <c r="B1138" s="3">
        <v>80</v>
      </c>
      <c r="C1138" s="3">
        <v>46</v>
      </c>
      <c r="D1138" s="3">
        <v>4.8599999999999997E-2</v>
      </c>
      <c r="E1138" s="3" t="s">
        <v>1256</v>
      </c>
      <c r="F1138" s="3">
        <v>4.8599999999999997E-2</v>
      </c>
    </row>
    <row r="1139" spans="1:6" x14ac:dyDescent="0.25">
      <c r="A1139" s="2">
        <v>46127</v>
      </c>
      <c r="B1139" s="3">
        <v>81</v>
      </c>
      <c r="C1139" s="3">
        <v>46</v>
      </c>
      <c r="D1139" s="3">
        <v>3.7999999999999999E-2</v>
      </c>
      <c r="E1139" s="3" t="s">
        <v>1257</v>
      </c>
      <c r="F1139" s="3">
        <v>3.7999999999999999E-2</v>
      </c>
    </row>
    <row r="1140" spans="1:6" x14ac:dyDescent="0.25">
      <c r="A1140" s="2">
        <v>46128</v>
      </c>
      <c r="B1140" s="3">
        <v>82</v>
      </c>
      <c r="C1140" s="3">
        <v>46</v>
      </c>
      <c r="D1140" s="3">
        <v>3.5000000000000003E-2</v>
      </c>
      <c r="E1140" s="3" t="s">
        <v>1258</v>
      </c>
      <c r="F1140" s="3">
        <v>3.5000000000000003E-2</v>
      </c>
    </row>
    <row r="1141" spans="1:6" x14ac:dyDescent="0.25">
      <c r="A1141" s="2">
        <v>47094</v>
      </c>
      <c r="B1141" s="3">
        <v>47</v>
      </c>
      <c r="C1141" s="3">
        <v>47</v>
      </c>
      <c r="D1141" s="3">
        <v>2.5999999999999999E-2</v>
      </c>
      <c r="E1141" s="3" t="s">
        <v>1259</v>
      </c>
      <c r="F1141" s="3">
        <v>2.5999999999999999E-2</v>
      </c>
    </row>
    <row r="1142" spans="1:6" x14ac:dyDescent="0.25">
      <c r="A1142" s="2">
        <v>47095</v>
      </c>
      <c r="B1142" s="3">
        <v>48</v>
      </c>
      <c r="C1142" s="3">
        <v>47</v>
      </c>
      <c r="D1142" s="3">
        <v>1.75</v>
      </c>
      <c r="E1142" s="3" t="s">
        <v>1260</v>
      </c>
      <c r="F1142" s="3">
        <v>1.75</v>
      </c>
    </row>
    <row r="1143" spans="1:6" x14ac:dyDescent="0.25">
      <c r="A1143" s="2">
        <v>47096</v>
      </c>
      <c r="B1143" s="3">
        <v>49</v>
      </c>
      <c r="C1143" s="3">
        <v>47</v>
      </c>
      <c r="D1143" s="3">
        <v>4.4000000000000004</v>
      </c>
      <c r="E1143" s="3" t="s">
        <v>1261</v>
      </c>
      <c r="F1143" s="3">
        <v>4.4000000000000004</v>
      </c>
    </row>
    <row r="1144" spans="1:6" x14ac:dyDescent="0.25">
      <c r="A1144" s="2">
        <v>47097</v>
      </c>
      <c r="B1144" s="3">
        <v>50</v>
      </c>
      <c r="C1144" s="3">
        <v>47</v>
      </c>
      <c r="D1144" s="3">
        <v>25.5</v>
      </c>
      <c r="E1144" s="3" t="s">
        <v>1262</v>
      </c>
      <c r="F1144" s="3">
        <v>25.5</v>
      </c>
    </row>
    <row r="1145" spans="1:6" x14ac:dyDescent="0.25">
      <c r="A1145" s="2">
        <v>47098</v>
      </c>
      <c r="B1145" s="3">
        <v>51</v>
      </c>
      <c r="C1145" s="3">
        <v>47</v>
      </c>
      <c r="D1145" s="3">
        <v>47.5</v>
      </c>
      <c r="E1145" s="3" t="s">
        <v>1263</v>
      </c>
      <c r="F1145" s="3">
        <v>47.5</v>
      </c>
    </row>
    <row r="1146" spans="1:6" x14ac:dyDescent="0.25">
      <c r="A1146" s="2">
        <v>47099</v>
      </c>
      <c r="B1146" s="3">
        <v>52</v>
      </c>
      <c r="C1146" s="3">
        <v>47</v>
      </c>
      <c r="D1146" s="3">
        <v>124</v>
      </c>
      <c r="E1146" s="3" t="s">
        <v>1264</v>
      </c>
      <c r="F1146" s="3">
        <v>124</v>
      </c>
    </row>
    <row r="1147" spans="1:6" x14ac:dyDescent="0.25">
      <c r="A1147" s="2">
        <v>47100</v>
      </c>
      <c r="B1147" s="3">
        <v>53</v>
      </c>
      <c r="C1147" s="3">
        <v>47</v>
      </c>
      <c r="D1147" s="3">
        <v>120.6</v>
      </c>
      <c r="E1147" s="3" t="s">
        <v>1265</v>
      </c>
      <c r="F1147" s="3">
        <v>120.6</v>
      </c>
    </row>
    <row r="1148" spans="1:6" x14ac:dyDescent="0.25">
      <c r="A1148" s="2">
        <v>47101</v>
      </c>
      <c r="B1148" s="3">
        <v>54</v>
      </c>
      <c r="C1148" s="3">
        <v>47</v>
      </c>
      <c r="D1148" s="3">
        <v>666</v>
      </c>
      <c r="E1148" s="3" t="s">
        <v>1266</v>
      </c>
      <c r="F1148" s="3">
        <v>666</v>
      </c>
    </row>
    <row r="1149" spans="1:6" x14ac:dyDescent="0.25">
      <c r="A1149" s="2">
        <v>47102</v>
      </c>
      <c r="B1149" s="3">
        <v>55</v>
      </c>
      <c r="C1149" s="3">
        <v>47</v>
      </c>
      <c r="D1149" s="3">
        <v>774</v>
      </c>
      <c r="E1149" s="3" t="s">
        <v>1267</v>
      </c>
      <c r="F1149" s="3">
        <v>774</v>
      </c>
    </row>
    <row r="1150" spans="1:6" x14ac:dyDescent="0.25">
      <c r="A1150" s="2">
        <v>47103</v>
      </c>
      <c r="B1150" s="3">
        <v>56</v>
      </c>
      <c r="C1150" s="3">
        <v>47</v>
      </c>
      <c r="D1150" s="3">
        <v>3942</v>
      </c>
      <c r="E1150" s="3" t="s">
        <v>1268</v>
      </c>
      <c r="F1150" s="3">
        <v>3942</v>
      </c>
    </row>
    <row r="1151" spans="1:6" x14ac:dyDescent="0.25">
      <c r="A1151" s="2">
        <v>47104</v>
      </c>
      <c r="B1151" s="3">
        <v>57</v>
      </c>
      <c r="C1151" s="3">
        <v>47</v>
      </c>
      <c r="D1151" s="3">
        <v>4152</v>
      </c>
      <c r="E1151" s="3" t="s">
        <v>1269</v>
      </c>
      <c r="F1151" s="3">
        <v>4152</v>
      </c>
    </row>
    <row r="1152" spans="1:6" x14ac:dyDescent="0.25">
      <c r="A1152" s="2">
        <v>47105</v>
      </c>
      <c r="B1152" s="3">
        <v>58</v>
      </c>
      <c r="C1152" s="3">
        <v>47</v>
      </c>
      <c r="D1152" s="3">
        <v>3567456</v>
      </c>
      <c r="E1152" s="3" t="s">
        <v>1270</v>
      </c>
      <c r="F1152" s="3">
        <v>3567456</v>
      </c>
    </row>
    <row r="1153" spans="1:6" x14ac:dyDescent="0.25">
      <c r="A1153" s="2">
        <v>47106</v>
      </c>
      <c r="B1153" s="3">
        <v>59</v>
      </c>
      <c r="C1153" s="3">
        <v>47</v>
      </c>
      <c r="D1153" s="3">
        <v>1437.6</v>
      </c>
      <c r="E1153" s="3" t="s">
        <v>1271</v>
      </c>
      <c r="F1153" s="3">
        <v>1437.6</v>
      </c>
    </row>
    <row r="1154" spans="1:6" x14ac:dyDescent="0.25">
      <c r="A1154" s="2">
        <v>47107</v>
      </c>
      <c r="B1154" s="3">
        <v>60</v>
      </c>
      <c r="C1154" s="3">
        <v>47</v>
      </c>
      <c r="D1154" s="3" t="s">
        <v>4</v>
      </c>
      <c r="E1154" s="3" t="s">
        <v>1272</v>
      </c>
      <c r="F1154" s="3" t="s">
        <v>4</v>
      </c>
    </row>
    <row r="1155" spans="1:6" x14ac:dyDescent="0.25">
      <c r="A1155" s="2">
        <v>47108</v>
      </c>
      <c r="B1155" s="3">
        <v>61</v>
      </c>
      <c r="C1155" s="3">
        <v>47</v>
      </c>
      <c r="D1155" s="3">
        <v>142.91999999999999</v>
      </c>
      <c r="E1155" s="3" t="s">
        <v>1273</v>
      </c>
      <c r="F1155" s="3">
        <v>142.91999999999999</v>
      </c>
    </row>
    <row r="1156" spans="1:6" x14ac:dyDescent="0.25">
      <c r="A1156" s="2">
        <v>47109</v>
      </c>
      <c r="B1156" s="3">
        <v>62</v>
      </c>
      <c r="C1156" s="3">
        <v>47</v>
      </c>
      <c r="D1156" s="3" t="s">
        <v>4</v>
      </c>
      <c r="E1156" s="3" t="s">
        <v>1274</v>
      </c>
      <c r="F1156" s="3" t="s">
        <v>4</v>
      </c>
    </row>
    <row r="1157" spans="1:6" x14ac:dyDescent="0.25">
      <c r="A1157" s="2">
        <v>47110</v>
      </c>
      <c r="B1157" s="3">
        <v>63</v>
      </c>
      <c r="C1157" s="3">
        <v>47</v>
      </c>
      <c r="D1157" s="3">
        <v>24.6</v>
      </c>
      <c r="E1157" s="3" t="s">
        <v>1275</v>
      </c>
      <c r="F1157" s="3">
        <v>24.6</v>
      </c>
    </row>
    <row r="1158" spans="1:6" x14ac:dyDescent="0.25">
      <c r="A1158" s="2">
        <v>47111</v>
      </c>
      <c r="B1158" s="3">
        <v>64</v>
      </c>
      <c r="C1158" s="3">
        <v>47</v>
      </c>
      <c r="D1158" s="3">
        <v>643680</v>
      </c>
      <c r="E1158" s="3" t="s">
        <v>1276</v>
      </c>
      <c r="F1158" s="3">
        <v>643680</v>
      </c>
    </row>
    <row r="1159" spans="1:6" x14ac:dyDescent="0.25">
      <c r="A1159" s="2">
        <v>47112</v>
      </c>
      <c r="B1159" s="3">
        <v>65</v>
      </c>
      <c r="C1159" s="3">
        <v>47</v>
      </c>
      <c r="D1159" s="3">
        <v>11268</v>
      </c>
      <c r="E1159" s="3" t="s">
        <v>1277</v>
      </c>
      <c r="F1159" s="3">
        <v>11268</v>
      </c>
    </row>
    <row r="1160" spans="1:6" x14ac:dyDescent="0.25">
      <c r="A1160" s="2">
        <v>47113</v>
      </c>
      <c r="B1160" s="3">
        <v>66</v>
      </c>
      <c r="C1160" s="3">
        <v>47</v>
      </c>
      <c r="D1160" s="3">
        <v>19332</v>
      </c>
      <c r="E1160" s="3" t="s">
        <v>1278</v>
      </c>
      <c r="F1160" s="3">
        <v>19332</v>
      </c>
    </row>
    <row r="1161" spans="1:6" x14ac:dyDescent="0.25">
      <c r="A1161" s="2">
        <v>47114</v>
      </c>
      <c r="B1161" s="3">
        <v>67</v>
      </c>
      <c r="C1161" s="3">
        <v>47</v>
      </c>
      <c r="D1161" s="3">
        <v>4.5999999999999996</v>
      </c>
      <c r="E1161" s="3" t="s">
        <v>1279</v>
      </c>
      <c r="F1161" s="3">
        <v>4.5999999999999996</v>
      </c>
    </row>
    <row r="1162" spans="1:6" x14ac:dyDescent="0.25">
      <c r="A1162" s="2">
        <v>47115</v>
      </c>
      <c r="B1162" s="3">
        <v>68</v>
      </c>
      <c r="C1162" s="3">
        <v>47</v>
      </c>
      <c r="D1162" s="3">
        <v>1200</v>
      </c>
      <c r="E1162" s="3" t="s">
        <v>1280</v>
      </c>
      <c r="F1162" s="3">
        <v>1200</v>
      </c>
    </row>
    <row r="1163" spans="1:6" x14ac:dyDescent="0.25">
      <c r="A1163" s="2">
        <v>47116</v>
      </c>
      <c r="B1163" s="3">
        <v>69</v>
      </c>
      <c r="C1163" s="3">
        <v>47</v>
      </c>
      <c r="D1163" s="3">
        <v>237</v>
      </c>
      <c r="E1163" s="3" t="s">
        <v>1281</v>
      </c>
      <c r="F1163" s="3">
        <v>237</v>
      </c>
    </row>
    <row r="1164" spans="1:6" x14ac:dyDescent="0.25">
      <c r="A1164" s="2">
        <v>47117</v>
      </c>
      <c r="B1164" s="3">
        <v>70</v>
      </c>
      <c r="C1164" s="3">
        <v>47</v>
      </c>
      <c r="D1164" s="3">
        <v>72.8</v>
      </c>
      <c r="E1164" s="3" t="s">
        <v>1282</v>
      </c>
      <c r="F1164" s="3">
        <v>72.8</v>
      </c>
    </row>
    <row r="1165" spans="1:6" x14ac:dyDescent="0.25">
      <c r="A1165" s="2">
        <v>47118</v>
      </c>
      <c r="B1165" s="3">
        <v>71</v>
      </c>
      <c r="C1165" s="3">
        <v>47</v>
      </c>
      <c r="D1165" s="3">
        <v>3.76</v>
      </c>
      <c r="E1165" s="3" t="s">
        <v>1283</v>
      </c>
      <c r="F1165" s="3">
        <v>3.76</v>
      </c>
    </row>
    <row r="1166" spans="1:6" x14ac:dyDescent="0.25">
      <c r="A1166" s="2">
        <v>47119</v>
      </c>
      <c r="B1166" s="3">
        <v>72</v>
      </c>
      <c r="C1166" s="3">
        <v>47</v>
      </c>
      <c r="D1166" s="3">
        <v>6</v>
      </c>
      <c r="E1166" s="3" t="s">
        <v>1284</v>
      </c>
      <c r="F1166" s="3">
        <v>6</v>
      </c>
    </row>
    <row r="1167" spans="1:6" x14ac:dyDescent="0.25">
      <c r="A1167" s="2">
        <v>47120</v>
      </c>
      <c r="B1167" s="3">
        <v>73</v>
      </c>
      <c r="C1167" s="3">
        <v>47</v>
      </c>
      <c r="D1167" s="3">
        <v>1.23</v>
      </c>
      <c r="E1167" s="3" t="s">
        <v>1285</v>
      </c>
      <c r="F1167" s="3">
        <v>1.23</v>
      </c>
    </row>
    <row r="1168" spans="1:6" x14ac:dyDescent="0.25">
      <c r="A1168" s="2">
        <v>47121</v>
      </c>
      <c r="B1168" s="3">
        <v>74</v>
      </c>
      <c r="C1168" s="3">
        <v>47</v>
      </c>
      <c r="D1168" s="3">
        <v>0.78</v>
      </c>
      <c r="E1168" s="3" t="s">
        <v>1286</v>
      </c>
      <c r="F1168" s="3">
        <v>0.78</v>
      </c>
    </row>
    <row r="1169" spans="1:6" x14ac:dyDescent="0.25">
      <c r="A1169" s="2">
        <v>47122</v>
      </c>
      <c r="B1169" s="3">
        <v>75</v>
      </c>
      <c r="C1169" s="3">
        <v>47</v>
      </c>
      <c r="D1169" s="3">
        <v>0.52900000000000003</v>
      </c>
      <c r="E1169" s="3" t="s">
        <v>1287</v>
      </c>
      <c r="F1169" s="3">
        <v>0.52900000000000003</v>
      </c>
    </row>
    <row r="1170" spans="1:6" x14ac:dyDescent="0.25">
      <c r="A1170" s="2">
        <v>47123</v>
      </c>
      <c r="B1170" s="3">
        <v>76</v>
      </c>
      <c r="C1170" s="3">
        <v>47</v>
      </c>
      <c r="D1170" s="3">
        <v>0.3</v>
      </c>
      <c r="E1170" s="3" t="s">
        <v>1288</v>
      </c>
      <c r="F1170" s="3">
        <v>0.3</v>
      </c>
    </row>
    <row r="1171" spans="1:6" x14ac:dyDescent="0.25">
      <c r="A1171" s="2">
        <v>47124</v>
      </c>
      <c r="B1171" s="3">
        <v>77</v>
      </c>
      <c r="C1171" s="3">
        <v>47</v>
      </c>
      <c r="D1171" s="3">
        <v>0.191</v>
      </c>
      <c r="E1171" s="3" t="s">
        <v>1289</v>
      </c>
      <c r="F1171" s="3">
        <v>0.191</v>
      </c>
    </row>
    <row r="1172" spans="1:6" x14ac:dyDescent="0.25">
      <c r="A1172" s="2">
        <v>47125</v>
      </c>
      <c r="B1172" s="3">
        <v>78</v>
      </c>
      <c r="C1172" s="3">
        <v>47</v>
      </c>
      <c r="D1172" s="3">
        <v>0.159</v>
      </c>
      <c r="E1172" s="3" t="s">
        <v>1290</v>
      </c>
      <c r="F1172" s="3">
        <v>0.159</v>
      </c>
    </row>
    <row r="1173" spans="1:6" x14ac:dyDescent="0.25">
      <c r="A1173" s="2">
        <v>47126</v>
      </c>
      <c r="B1173" s="3">
        <v>79</v>
      </c>
      <c r="C1173" s="3">
        <v>47</v>
      </c>
      <c r="D1173" s="3">
        <v>5.1999999999999998E-2</v>
      </c>
      <c r="E1173" s="3" t="s">
        <v>1291</v>
      </c>
      <c r="F1173" s="3">
        <v>5.1999999999999998E-2</v>
      </c>
    </row>
    <row r="1174" spans="1:6" x14ac:dyDescent="0.25">
      <c r="A1174" s="2">
        <v>47127</v>
      </c>
      <c r="B1174" s="3">
        <v>80</v>
      </c>
      <c r="C1174" s="3">
        <v>47</v>
      </c>
      <c r="D1174" s="3">
        <v>0.109</v>
      </c>
      <c r="E1174" s="3" t="s">
        <v>1292</v>
      </c>
      <c r="F1174" s="3">
        <v>0.109</v>
      </c>
    </row>
    <row r="1175" spans="1:6" x14ac:dyDescent="0.25">
      <c r="A1175" s="2">
        <v>47128</v>
      </c>
      <c r="B1175" s="3">
        <v>81</v>
      </c>
      <c r="C1175" s="3">
        <v>47</v>
      </c>
      <c r="D1175" s="3">
        <v>5.8000000000000003E-2</v>
      </c>
      <c r="E1175" s="3" t="s">
        <v>1293</v>
      </c>
      <c r="F1175" s="3">
        <v>5.8000000000000003E-2</v>
      </c>
    </row>
    <row r="1176" spans="1:6" x14ac:dyDescent="0.25">
      <c r="A1176" s="2">
        <v>47129</v>
      </c>
      <c r="B1176" s="3">
        <v>82</v>
      </c>
      <c r="C1176" s="3">
        <v>47</v>
      </c>
      <c r="D1176" s="3">
        <v>4.5999999999999999E-2</v>
      </c>
      <c r="E1176" s="3" t="s">
        <v>1294</v>
      </c>
      <c r="F1176" s="3">
        <v>4.5999999999999999E-2</v>
      </c>
    </row>
    <row r="1177" spans="1:6" x14ac:dyDescent="0.25">
      <c r="A1177" s="2">
        <v>47130</v>
      </c>
      <c r="B1177" s="3">
        <v>83</v>
      </c>
      <c r="C1177" s="3">
        <v>47</v>
      </c>
      <c r="D1177" s="3">
        <v>4.2000000000000003E-2</v>
      </c>
      <c r="E1177" s="3" t="s">
        <v>1295</v>
      </c>
      <c r="F1177" s="3">
        <v>4.2000000000000003E-2</v>
      </c>
    </row>
    <row r="1178" spans="1:6" x14ac:dyDescent="0.25">
      <c r="A1178" s="2">
        <v>47131</v>
      </c>
      <c r="B1178" s="3">
        <v>84</v>
      </c>
      <c r="C1178" s="3">
        <v>47</v>
      </c>
      <c r="D1178" s="3">
        <v>3.5000000000000003E-2</v>
      </c>
      <c r="E1178" s="3" t="s">
        <v>1296</v>
      </c>
      <c r="F1178" s="3">
        <v>3.5000000000000003E-2</v>
      </c>
    </row>
    <row r="1179" spans="1:6" x14ac:dyDescent="0.25">
      <c r="A1179" s="2">
        <v>47132</v>
      </c>
      <c r="B1179" s="3">
        <v>85</v>
      </c>
      <c r="C1179" s="3">
        <v>47</v>
      </c>
      <c r="D1179" s="3">
        <v>2.8000000000000001E-2</v>
      </c>
      <c r="E1179" s="3" t="s">
        <v>1297</v>
      </c>
      <c r="F1179" s="3">
        <v>2.8000000000000001E-2</v>
      </c>
    </row>
    <row r="1180" spans="1:6" x14ac:dyDescent="0.25">
      <c r="A1180" s="2">
        <v>48096</v>
      </c>
      <c r="B1180" s="3">
        <v>48</v>
      </c>
      <c r="C1180" s="3">
        <v>48</v>
      </c>
      <c r="D1180" s="3">
        <v>1.03</v>
      </c>
      <c r="E1180" s="3" t="s">
        <v>1298</v>
      </c>
      <c r="F1180" s="3">
        <v>1.03</v>
      </c>
    </row>
    <row r="1181" spans="1:6" x14ac:dyDescent="0.25">
      <c r="A1181" s="2">
        <v>48097</v>
      </c>
      <c r="B1181" s="3">
        <v>49</v>
      </c>
      <c r="C1181" s="3">
        <v>48</v>
      </c>
      <c r="D1181" s="3">
        <v>1.1000000000000001</v>
      </c>
      <c r="E1181" s="3" t="s">
        <v>1299</v>
      </c>
      <c r="F1181" s="3">
        <v>1.1000000000000001</v>
      </c>
    </row>
    <row r="1182" spans="1:6" x14ac:dyDescent="0.25">
      <c r="A1182" s="2">
        <v>48098</v>
      </c>
      <c r="B1182" s="3">
        <v>50</v>
      </c>
      <c r="C1182" s="3">
        <v>48</v>
      </c>
      <c r="D1182" s="3">
        <v>9.1999999999999993</v>
      </c>
      <c r="E1182" s="3" t="s">
        <v>1300</v>
      </c>
      <c r="F1182" s="3">
        <v>9.1999999999999993</v>
      </c>
    </row>
    <row r="1183" spans="1:6" x14ac:dyDescent="0.25">
      <c r="A1183" s="2">
        <v>48099</v>
      </c>
      <c r="B1183" s="3">
        <v>51</v>
      </c>
      <c r="C1183" s="3">
        <v>48</v>
      </c>
      <c r="D1183" s="3">
        <v>16</v>
      </c>
      <c r="E1183" s="3" t="s">
        <v>1301</v>
      </c>
      <c r="F1183" s="3">
        <v>16</v>
      </c>
    </row>
    <row r="1184" spans="1:6" x14ac:dyDescent="0.25">
      <c r="A1184" s="2">
        <v>48100</v>
      </c>
      <c r="B1184" s="3">
        <v>52</v>
      </c>
      <c r="C1184" s="3">
        <v>48</v>
      </c>
      <c r="D1184" s="3">
        <v>49.1</v>
      </c>
      <c r="E1184" s="3" t="s">
        <v>1302</v>
      </c>
      <c r="F1184" s="3">
        <v>49.1</v>
      </c>
    </row>
    <row r="1185" spans="1:6" x14ac:dyDescent="0.25">
      <c r="A1185" s="2">
        <v>48101</v>
      </c>
      <c r="B1185" s="3">
        <v>53</v>
      </c>
      <c r="C1185" s="3">
        <v>48</v>
      </c>
      <c r="D1185" s="3">
        <v>81.599999999999994</v>
      </c>
      <c r="E1185" s="3" t="s">
        <v>1303</v>
      </c>
      <c r="F1185" s="3">
        <v>81.599999999999994</v>
      </c>
    </row>
    <row r="1186" spans="1:6" x14ac:dyDescent="0.25">
      <c r="A1186" s="2">
        <v>48102</v>
      </c>
      <c r="B1186" s="3">
        <v>54</v>
      </c>
      <c r="C1186" s="3">
        <v>48</v>
      </c>
      <c r="D1186" s="3">
        <v>330</v>
      </c>
      <c r="E1186" s="3" t="s">
        <v>1304</v>
      </c>
      <c r="F1186" s="3">
        <v>330</v>
      </c>
    </row>
    <row r="1187" spans="1:6" x14ac:dyDescent="0.25">
      <c r="A1187" s="2">
        <v>48103</v>
      </c>
      <c r="B1187" s="3">
        <v>55</v>
      </c>
      <c r="C1187" s="3">
        <v>48</v>
      </c>
      <c r="D1187" s="3">
        <v>438</v>
      </c>
      <c r="E1187" s="3" t="s">
        <v>1305</v>
      </c>
      <c r="F1187" s="3">
        <v>438</v>
      </c>
    </row>
    <row r="1188" spans="1:6" x14ac:dyDescent="0.25">
      <c r="A1188" s="2">
        <v>48104</v>
      </c>
      <c r="B1188" s="3">
        <v>56</v>
      </c>
      <c r="C1188" s="3">
        <v>48</v>
      </c>
      <c r="D1188" s="3">
        <v>3462</v>
      </c>
      <c r="E1188" s="3" t="s">
        <v>1306</v>
      </c>
      <c r="F1188" s="3">
        <v>3462</v>
      </c>
    </row>
    <row r="1189" spans="1:6" x14ac:dyDescent="0.25">
      <c r="A1189" s="2">
        <v>48105</v>
      </c>
      <c r="B1189" s="3">
        <v>57</v>
      </c>
      <c r="C1189" s="3">
        <v>48</v>
      </c>
      <c r="D1189" s="3">
        <v>3330</v>
      </c>
      <c r="E1189" s="3" t="s">
        <v>1307</v>
      </c>
      <c r="F1189" s="3">
        <v>3330</v>
      </c>
    </row>
    <row r="1190" spans="1:6" x14ac:dyDescent="0.25">
      <c r="A1190" s="2">
        <v>48106</v>
      </c>
      <c r="B1190" s="3">
        <v>58</v>
      </c>
      <c r="C1190" s="3">
        <v>48</v>
      </c>
      <c r="D1190" s="3">
        <v>1.1360736E+28</v>
      </c>
      <c r="E1190" s="3" t="s">
        <v>1308</v>
      </c>
      <c r="F1190" s="3">
        <v>1.1360736E+28</v>
      </c>
    </row>
    <row r="1191" spans="1:6" x14ac:dyDescent="0.25">
      <c r="A1191" s="2">
        <v>48107</v>
      </c>
      <c r="B1191" s="3">
        <v>59</v>
      </c>
      <c r="C1191" s="3">
        <v>48</v>
      </c>
      <c r="D1191" s="3">
        <v>23400</v>
      </c>
      <c r="E1191" s="3" t="s">
        <v>1309</v>
      </c>
      <c r="F1191" s="3">
        <v>23400</v>
      </c>
    </row>
    <row r="1192" spans="1:6" x14ac:dyDescent="0.25">
      <c r="A1192" s="2">
        <v>48108</v>
      </c>
      <c r="B1192" s="3">
        <v>60</v>
      </c>
      <c r="C1192" s="3">
        <v>48</v>
      </c>
      <c r="D1192" s="3">
        <v>5.9959439999999997E+25</v>
      </c>
      <c r="E1192" s="3" t="s">
        <v>1310</v>
      </c>
      <c r="F1192" s="3">
        <v>5.9959439999999997E+25</v>
      </c>
    </row>
    <row r="1193" spans="1:6" x14ac:dyDescent="0.25">
      <c r="A1193" s="2">
        <v>48109</v>
      </c>
      <c r="B1193" s="3">
        <v>61</v>
      </c>
      <c r="C1193" s="3">
        <v>48</v>
      </c>
      <c r="D1193" s="3">
        <v>39864960</v>
      </c>
      <c r="E1193" s="3" t="s">
        <v>1311</v>
      </c>
      <c r="F1193" s="3">
        <v>39864960</v>
      </c>
    </row>
    <row r="1194" spans="1:6" x14ac:dyDescent="0.25">
      <c r="A1194" s="2">
        <v>48110</v>
      </c>
      <c r="B1194" s="3">
        <v>62</v>
      </c>
      <c r="C1194" s="3">
        <v>48</v>
      </c>
      <c r="D1194" s="3" t="s">
        <v>4</v>
      </c>
      <c r="E1194" s="3" t="s">
        <v>1312</v>
      </c>
      <c r="F1194" s="3" t="s">
        <v>4</v>
      </c>
    </row>
    <row r="1195" spans="1:6" x14ac:dyDescent="0.25">
      <c r="A1195" s="2">
        <v>48111</v>
      </c>
      <c r="B1195" s="3">
        <v>63</v>
      </c>
      <c r="C1195" s="3">
        <v>48</v>
      </c>
      <c r="D1195" s="3" t="s">
        <v>4</v>
      </c>
      <c r="E1195" s="3" t="s">
        <v>1313</v>
      </c>
      <c r="F1195" s="3" t="s">
        <v>4</v>
      </c>
    </row>
    <row r="1196" spans="1:6" x14ac:dyDescent="0.25">
      <c r="A1196" s="2">
        <v>48112</v>
      </c>
      <c r="B1196" s="3">
        <v>64</v>
      </c>
      <c r="C1196" s="3">
        <v>48</v>
      </c>
      <c r="D1196" s="3" t="s">
        <v>4</v>
      </c>
      <c r="E1196" s="3" t="s">
        <v>1314</v>
      </c>
      <c r="F1196" s="3" t="s">
        <v>4</v>
      </c>
    </row>
    <row r="1197" spans="1:6" x14ac:dyDescent="0.25">
      <c r="A1197" s="2">
        <v>48113</v>
      </c>
      <c r="B1197" s="3">
        <v>65</v>
      </c>
      <c r="C1197" s="3">
        <v>48</v>
      </c>
      <c r="D1197" s="3">
        <v>2.5246080000000001E+23</v>
      </c>
      <c r="E1197" s="3" t="s">
        <v>1315</v>
      </c>
      <c r="F1197" s="3">
        <v>2.5246080000000001E+23</v>
      </c>
    </row>
    <row r="1198" spans="1:6" x14ac:dyDescent="0.25">
      <c r="A1198" s="2">
        <v>48114</v>
      </c>
      <c r="B1198" s="3">
        <v>66</v>
      </c>
      <c r="C1198" s="3">
        <v>48</v>
      </c>
      <c r="D1198" s="3">
        <v>6.627096E+25</v>
      </c>
      <c r="E1198" s="3" t="s">
        <v>1316</v>
      </c>
      <c r="F1198" s="3">
        <v>6.627096E+25</v>
      </c>
    </row>
    <row r="1199" spans="1:6" x14ac:dyDescent="0.25">
      <c r="A1199" s="2">
        <v>48115</v>
      </c>
      <c r="B1199" s="3">
        <v>67</v>
      </c>
      <c r="C1199" s="3">
        <v>48</v>
      </c>
      <c r="D1199" s="3">
        <v>192456</v>
      </c>
      <c r="E1199" s="3" t="s">
        <v>1317</v>
      </c>
      <c r="F1199" s="3">
        <v>192456</v>
      </c>
    </row>
    <row r="1200" spans="1:6" x14ac:dyDescent="0.25">
      <c r="A1200" s="2">
        <v>48116</v>
      </c>
      <c r="B1200" s="3">
        <v>68</v>
      </c>
      <c r="C1200" s="3">
        <v>48</v>
      </c>
      <c r="D1200" s="3">
        <v>1.0414008E+27</v>
      </c>
      <c r="E1200" s="3" t="s">
        <v>1318</v>
      </c>
      <c r="F1200" s="3">
        <v>1.0414008E+27</v>
      </c>
    </row>
    <row r="1201" spans="1:6" x14ac:dyDescent="0.25">
      <c r="A1201" s="2">
        <v>48117</v>
      </c>
      <c r="B1201" s="3">
        <v>69</v>
      </c>
      <c r="C1201" s="3">
        <v>48</v>
      </c>
      <c r="D1201" s="3">
        <v>8964</v>
      </c>
      <c r="E1201" s="3" t="s">
        <v>1319</v>
      </c>
      <c r="F1201" s="3">
        <v>8964</v>
      </c>
    </row>
    <row r="1202" spans="1:6" x14ac:dyDescent="0.25">
      <c r="A1202" s="2">
        <v>48118</v>
      </c>
      <c r="B1202" s="3">
        <v>70</v>
      </c>
      <c r="C1202" s="3">
        <v>48</v>
      </c>
      <c r="D1202" s="3">
        <v>3018</v>
      </c>
      <c r="E1202" s="3" t="s">
        <v>1320</v>
      </c>
      <c r="F1202" s="3">
        <v>3018</v>
      </c>
    </row>
    <row r="1203" spans="1:6" x14ac:dyDescent="0.25">
      <c r="A1203" s="2">
        <v>48119</v>
      </c>
      <c r="B1203" s="3">
        <v>71</v>
      </c>
      <c r="C1203" s="3">
        <v>48</v>
      </c>
      <c r="D1203" s="3">
        <v>161.4</v>
      </c>
      <c r="E1203" s="3" t="s">
        <v>1321</v>
      </c>
      <c r="F1203" s="3">
        <v>161.4</v>
      </c>
    </row>
    <row r="1204" spans="1:6" x14ac:dyDescent="0.25">
      <c r="A1204" s="2">
        <v>48120</v>
      </c>
      <c r="B1204" s="3">
        <v>72</v>
      </c>
      <c r="C1204" s="3">
        <v>48</v>
      </c>
      <c r="D1204" s="3">
        <v>50.8</v>
      </c>
      <c r="E1204" s="3" t="s">
        <v>1322</v>
      </c>
      <c r="F1204" s="3">
        <v>50.8</v>
      </c>
    </row>
    <row r="1205" spans="1:6" x14ac:dyDescent="0.25">
      <c r="A1205" s="2">
        <v>48121</v>
      </c>
      <c r="B1205" s="3">
        <v>73</v>
      </c>
      <c r="C1205" s="3">
        <v>48</v>
      </c>
      <c r="D1205" s="3">
        <v>13.5</v>
      </c>
      <c r="E1205" s="3" t="s">
        <v>1323</v>
      </c>
      <c r="F1205" s="3">
        <v>13.5</v>
      </c>
    </row>
    <row r="1206" spans="1:6" x14ac:dyDescent="0.25">
      <c r="A1206" s="2">
        <v>48122</v>
      </c>
      <c r="B1206" s="3">
        <v>74</v>
      </c>
      <c r="C1206" s="3">
        <v>48</v>
      </c>
      <c r="D1206" s="3">
        <v>5.24</v>
      </c>
      <c r="E1206" s="3" t="s">
        <v>1324</v>
      </c>
      <c r="F1206" s="3">
        <v>5.24</v>
      </c>
    </row>
    <row r="1207" spans="1:6" x14ac:dyDescent="0.25">
      <c r="A1207" s="2">
        <v>48123</v>
      </c>
      <c r="B1207" s="3">
        <v>75</v>
      </c>
      <c r="C1207" s="3">
        <v>48</v>
      </c>
      <c r="D1207" s="3">
        <v>2.1</v>
      </c>
      <c r="E1207" s="3" t="s">
        <v>1325</v>
      </c>
      <c r="F1207" s="3">
        <v>2.1</v>
      </c>
    </row>
    <row r="1208" spans="1:6" x14ac:dyDescent="0.25">
      <c r="A1208" s="2">
        <v>48124</v>
      </c>
      <c r="B1208" s="3">
        <v>76</v>
      </c>
      <c r="C1208" s="3">
        <v>48</v>
      </c>
      <c r="D1208" s="3">
        <v>1.25</v>
      </c>
      <c r="E1208" s="3" t="s">
        <v>1326</v>
      </c>
      <c r="F1208" s="3">
        <v>1.25</v>
      </c>
    </row>
    <row r="1209" spans="1:6" x14ac:dyDescent="0.25">
      <c r="A1209" s="2">
        <v>48125</v>
      </c>
      <c r="B1209" s="3">
        <v>77</v>
      </c>
      <c r="C1209" s="3">
        <v>48</v>
      </c>
      <c r="D1209" s="3">
        <v>0.68</v>
      </c>
      <c r="E1209" s="3" t="s">
        <v>1327</v>
      </c>
      <c r="F1209" s="3">
        <v>0.68</v>
      </c>
    </row>
    <row r="1210" spans="1:6" x14ac:dyDescent="0.25">
      <c r="A1210" s="2">
        <v>48126</v>
      </c>
      <c r="B1210" s="3">
        <v>78</v>
      </c>
      <c r="C1210" s="3">
        <v>48</v>
      </c>
      <c r="D1210" s="3">
        <v>0.51500000000000001</v>
      </c>
      <c r="E1210" s="3" t="s">
        <v>1328</v>
      </c>
      <c r="F1210" s="3">
        <v>0.51500000000000001</v>
      </c>
    </row>
    <row r="1211" spans="1:6" x14ac:dyDescent="0.25">
      <c r="A1211" s="2">
        <v>48127</v>
      </c>
      <c r="B1211" s="3">
        <v>79</v>
      </c>
      <c r="C1211" s="3">
        <v>48</v>
      </c>
      <c r="D1211" s="3">
        <v>0.37</v>
      </c>
      <c r="E1211" s="3" t="s">
        <v>1329</v>
      </c>
      <c r="F1211" s="3">
        <v>0.37</v>
      </c>
    </row>
    <row r="1212" spans="1:6" x14ac:dyDescent="0.25">
      <c r="A1212" s="2">
        <v>48128</v>
      </c>
      <c r="B1212" s="3">
        <v>80</v>
      </c>
      <c r="C1212" s="3">
        <v>48</v>
      </c>
      <c r="D1212" s="3">
        <v>0.28000000000000003</v>
      </c>
      <c r="E1212" s="3" t="s">
        <v>1330</v>
      </c>
      <c r="F1212" s="3">
        <v>0.28000000000000003</v>
      </c>
    </row>
    <row r="1213" spans="1:6" x14ac:dyDescent="0.25">
      <c r="A1213" s="2">
        <v>48129</v>
      </c>
      <c r="B1213" s="3">
        <v>81</v>
      </c>
      <c r="C1213" s="3">
        <v>48</v>
      </c>
      <c r="D1213" s="3">
        <v>0.154</v>
      </c>
      <c r="E1213" s="3" t="s">
        <v>1331</v>
      </c>
      <c r="F1213" s="3">
        <v>0.154</v>
      </c>
    </row>
    <row r="1214" spans="1:6" x14ac:dyDescent="0.25">
      <c r="A1214" s="2">
        <v>48130</v>
      </c>
      <c r="B1214" s="3">
        <v>82</v>
      </c>
      <c r="C1214" s="3">
        <v>48</v>
      </c>
      <c r="D1214" s="3">
        <v>0.16200000000000001</v>
      </c>
      <c r="E1214" s="3" t="s">
        <v>1332</v>
      </c>
      <c r="F1214" s="3">
        <v>0.16200000000000001</v>
      </c>
    </row>
    <row r="1215" spans="1:6" x14ac:dyDescent="0.25">
      <c r="A1215" s="2">
        <v>48131</v>
      </c>
      <c r="B1215" s="3">
        <v>83</v>
      </c>
      <c r="C1215" s="3">
        <v>48</v>
      </c>
      <c r="D1215" s="3">
        <v>6.8000000000000005E-2</v>
      </c>
      <c r="E1215" s="3" t="s">
        <v>1333</v>
      </c>
      <c r="F1215" s="3">
        <v>6.8000000000000005E-2</v>
      </c>
    </row>
    <row r="1216" spans="1:6" x14ac:dyDescent="0.25">
      <c r="A1216" s="2">
        <v>48132</v>
      </c>
      <c r="B1216" s="3">
        <v>84</v>
      </c>
      <c r="C1216" s="3">
        <v>48</v>
      </c>
      <c r="D1216" s="3">
        <v>9.7000000000000003E-2</v>
      </c>
      <c r="E1216" s="3" t="s">
        <v>1334</v>
      </c>
      <c r="F1216" s="3">
        <v>9.7000000000000003E-2</v>
      </c>
    </row>
    <row r="1217" spans="1:6" x14ac:dyDescent="0.25">
      <c r="A1217" s="2">
        <v>48133</v>
      </c>
      <c r="B1217" s="3">
        <v>85</v>
      </c>
      <c r="C1217" s="3">
        <v>48</v>
      </c>
      <c r="D1217" s="3">
        <v>5.7000000000000002E-2</v>
      </c>
      <c r="E1217" s="3" t="s">
        <v>1335</v>
      </c>
      <c r="F1217" s="3">
        <v>5.7000000000000002E-2</v>
      </c>
    </row>
    <row r="1218" spans="1:6" x14ac:dyDescent="0.25">
      <c r="A1218" s="2">
        <v>48134</v>
      </c>
      <c r="B1218" s="3">
        <v>86</v>
      </c>
      <c r="C1218" s="3">
        <v>48</v>
      </c>
      <c r="D1218" s="3">
        <v>6.5000000000000002E-2</v>
      </c>
      <c r="E1218" s="3" t="s">
        <v>1336</v>
      </c>
      <c r="F1218" s="3">
        <v>6.5000000000000002E-2</v>
      </c>
    </row>
    <row r="1219" spans="1:6" x14ac:dyDescent="0.25">
      <c r="A1219" s="2">
        <v>49098</v>
      </c>
      <c r="B1219" s="3">
        <v>49</v>
      </c>
      <c r="C1219" s="3">
        <v>49</v>
      </c>
      <c r="D1219" s="3">
        <v>3.2000000000000001E-2</v>
      </c>
      <c r="E1219" s="3" t="s">
        <v>1337</v>
      </c>
      <c r="F1219" s="3">
        <v>3.2000000000000001E-2</v>
      </c>
    </row>
    <row r="1220" spans="1:6" x14ac:dyDescent="0.25">
      <c r="A1220" s="2">
        <v>49099</v>
      </c>
      <c r="B1220" s="3">
        <v>50</v>
      </c>
      <c r="C1220" s="3">
        <v>49</v>
      </c>
      <c r="D1220" s="3">
        <v>3</v>
      </c>
      <c r="E1220" s="3" t="s">
        <v>1338</v>
      </c>
      <c r="F1220" s="3">
        <v>3</v>
      </c>
    </row>
    <row r="1221" spans="1:6" x14ac:dyDescent="0.25">
      <c r="A1221" s="2">
        <v>49100</v>
      </c>
      <c r="B1221" s="3">
        <v>51</v>
      </c>
      <c r="C1221" s="3">
        <v>49</v>
      </c>
      <c r="D1221" s="3">
        <v>5.8</v>
      </c>
      <c r="E1221" s="3" t="s">
        <v>1339</v>
      </c>
      <c r="F1221" s="3">
        <v>5.8</v>
      </c>
    </row>
    <row r="1222" spans="1:6" x14ac:dyDescent="0.25">
      <c r="A1222" s="2">
        <v>49101</v>
      </c>
      <c r="B1222" s="3">
        <v>52</v>
      </c>
      <c r="C1222" s="3">
        <v>49</v>
      </c>
      <c r="D1222" s="3">
        <v>15.1</v>
      </c>
      <c r="E1222" s="3" t="s">
        <v>1340</v>
      </c>
      <c r="F1222" s="3">
        <v>15.1</v>
      </c>
    </row>
    <row r="1223" spans="1:6" x14ac:dyDescent="0.25">
      <c r="A1223" s="2">
        <v>49102</v>
      </c>
      <c r="B1223" s="3">
        <v>53</v>
      </c>
      <c r="C1223" s="3">
        <v>49</v>
      </c>
      <c r="D1223" s="3">
        <v>23.3</v>
      </c>
      <c r="E1223" s="3" t="s">
        <v>1341</v>
      </c>
      <c r="F1223" s="3">
        <v>23.3</v>
      </c>
    </row>
    <row r="1224" spans="1:6" x14ac:dyDescent="0.25">
      <c r="A1224" s="2">
        <v>49103</v>
      </c>
      <c r="B1224" s="3">
        <v>54</v>
      </c>
      <c r="C1224" s="3">
        <v>49</v>
      </c>
      <c r="D1224" s="3">
        <v>65</v>
      </c>
      <c r="E1224" s="3" t="s">
        <v>1342</v>
      </c>
      <c r="F1224" s="3">
        <v>65</v>
      </c>
    </row>
    <row r="1225" spans="1:6" x14ac:dyDescent="0.25">
      <c r="A1225" s="2">
        <v>49104</v>
      </c>
      <c r="B1225" s="3">
        <v>55</v>
      </c>
      <c r="C1225" s="3">
        <v>49</v>
      </c>
      <c r="D1225" s="3">
        <v>108</v>
      </c>
      <c r="E1225" s="3" t="s">
        <v>1343</v>
      </c>
      <c r="F1225" s="3">
        <v>108</v>
      </c>
    </row>
    <row r="1226" spans="1:6" x14ac:dyDescent="0.25">
      <c r="A1226" s="2">
        <v>49105</v>
      </c>
      <c r="B1226" s="3">
        <v>56</v>
      </c>
      <c r="C1226" s="3">
        <v>49</v>
      </c>
      <c r="D1226" s="3">
        <v>304.2</v>
      </c>
      <c r="E1226" s="3" t="s">
        <v>1344</v>
      </c>
      <c r="F1226" s="3">
        <v>304.2</v>
      </c>
    </row>
    <row r="1227" spans="1:6" x14ac:dyDescent="0.25">
      <c r="A1227" s="2">
        <v>49106</v>
      </c>
      <c r="B1227" s="3">
        <v>57</v>
      </c>
      <c r="C1227" s="3">
        <v>49</v>
      </c>
      <c r="D1227" s="3">
        <v>372</v>
      </c>
      <c r="E1227" s="3" t="s">
        <v>1345</v>
      </c>
      <c r="F1227" s="3">
        <v>372</v>
      </c>
    </row>
    <row r="1228" spans="1:6" x14ac:dyDescent="0.25">
      <c r="A1228" s="2">
        <v>49107</v>
      </c>
      <c r="B1228" s="3">
        <v>58</v>
      </c>
      <c r="C1228" s="3">
        <v>49</v>
      </c>
      <c r="D1228" s="3">
        <v>1944</v>
      </c>
      <c r="E1228" s="3" t="s">
        <v>1346</v>
      </c>
      <c r="F1228" s="3">
        <v>1944</v>
      </c>
    </row>
    <row r="1229" spans="1:6" x14ac:dyDescent="0.25">
      <c r="A1229" s="2">
        <v>49108</v>
      </c>
      <c r="B1229" s="3">
        <v>59</v>
      </c>
      <c r="C1229" s="3">
        <v>49</v>
      </c>
      <c r="D1229" s="3">
        <v>3480</v>
      </c>
      <c r="E1229" s="3" t="s">
        <v>1347</v>
      </c>
      <c r="F1229" s="3">
        <v>3480</v>
      </c>
    </row>
    <row r="1230" spans="1:6" x14ac:dyDescent="0.25">
      <c r="A1230" s="2">
        <v>49109</v>
      </c>
      <c r="B1230" s="3">
        <v>60</v>
      </c>
      <c r="C1230" s="3">
        <v>49</v>
      </c>
      <c r="D1230" s="3">
        <v>15001.199999999901</v>
      </c>
      <c r="E1230" s="3" t="s">
        <v>1348</v>
      </c>
      <c r="F1230" s="3">
        <v>15001.199999999901</v>
      </c>
    </row>
    <row r="1231" spans="1:6" x14ac:dyDescent="0.25">
      <c r="A1231" s="2">
        <v>49110</v>
      </c>
      <c r="B1231" s="3">
        <v>61</v>
      </c>
      <c r="C1231" s="3">
        <v>49</v>
      </c>
      <c r="D1231" s="3">
        <v>17640</v>
      </c>
      <c r="E1231" s="3" t="s">
        <v>1349</v>
      </c>
      <c r="F1231" s="3">
        <v>17640</v>
      </c>
    </row>
    <row r="1232" spans="1:6" x14ac:dyDescent="0.25">
      <c r="A1232" s="2">
        <v>49111</v>
      </c>
      <c r="B1232" s="3">
        <v>62</v>
      </c>
      <c r="C1232" s="3">
        <v>49</v>
      </c>
      <c r="D1232" s="3">
        <v>242326.08</v>
      </c>
      <c r="E1232" s="3" t="s">
        <v>1350</v>
      </c>
      <c r="F1232" s="3">
        <v>242326.08</v>
      </c>
    </row>
    <row r="1233" spans="1:6" x14ac:dyDescent="0.25">
      <c r="A1233" s="2">
        <v>49112</v>
      </c>
      <c r="B1233" s="3">
        <v>63</v>
      </c>
      <c r="C1233" s="3">
        <v>49</v>
      </c>
      <c r="D1233" s="3">
        <v>892.8</v>
      </c>
      <c r="E1233" s="3" t="s">
        <v>1351</v>
      </c>
      <c r="F1233" s="3">
        <v>892.8</v>
      </c>
    </row>
    <row r="1234" spans="1:6" x14ac:dyDescent="0.25">
      <c r="A1234" s="2">
        <v>49113</v>
      </c>
      <c r="B1234" s="3">
        <v>64</v>
      </c>
      <c r="C1234" s="3">
        <v>49</v>
      </c>
      <c r="D1234" s="3" t="s">
        <v>4</v>
      </c>
      <c r="E1234" s="3" t="s">
        <v>1352</v>
      </c>
      <c r="F1234" s="3" t="s">
        <v>4</v>
      </c>
    </row>
    <row r="1235" spans="1:6" x14ac:dyDescent="0.25">
      <c r="A1235" s="2">
        <v>49114</v>
      </c>
      <c r="B1235" s="3">
        <v>65</v>
      </c>
      <c r="C1235" s="3">
        <v>49</v>
      </c>
      <c r="D1235" s="3">
        <v>71.900000000000006</v>
      </c>
      <c r="E1235" s="3" t="s">
        <v>1353</v>
      </c>
      <c r="F1235" s="3">
        <v>71.900000000000006</v>
      </c>
    </row>
    <row r="1236" spans="1:6" x14ac:dyDescent="0.25">
      <c r="A1236" s="2">
        <v>49115</v>
      </c>
      <c r="B1236" s="3">
        <v>66</v>
      </c>
      <c r="C1236" s="3">
        <v>49</v>
      </c>
      <c r="D1236" s="3">
        <v>1.3916901599999999E+22</v>
      </c>
      <c r="E1236" s="3" t="s">
        <v>1354</v>
      </c>
      <c r="F1236" s="3">
        <v>1.3916901599999999E+22</v>
      </c>
    </row>
    <row r="1237" spans="1:6" x14ac:dyDescent="0.25">
      <c r="A1237" s="2">
        <v>49116</v>
      </c>
      <c r="B1237" s="3">
        <v>67</v>
      </c>
      <c r="C1237" s="3">
        <v>49</v>
      </c>
      <c r="D1237" s="3">
        <v>14.1</v>
      </c>
      <c r="E1237" s="3" t="s">
        <v>1355</v>
      </c>
      <c r="F1237" s="3">
        <v>14.1</v>
      </c>
    </row>
    <row r="1238" spans="1:6" x14ac:dyDescent="0.25">
      <c r="A1238" s="2">
        <v>49117</v>
      </c>
      <c r="B1238" s="3">
        <v>68</v>
      </c>
      <c r="C1238" s="3">
        <v>49</v>
      </c>
      <c r="D1238" s="3">
        <v>2592</v>
      </c>
      <c r="E1238" s="3" t="s">
        <v>1356</v>
      </c>
      <c r="F1238" s="3">
        <v>2592</v>
      </c>
    </row>
    <row r="1239" spans="1:6" x14ac:dyDescent="0.25">
      <c r="A1239" s="2">
        <v>49118</v>
      </c>
      <c r="B1239" s="3">
        <v>69</v>
      </c>
      <c r="C1239" s="3">
        <v>49</v>
      </c>
      <c r="D1239" s="3">
        <v>5</v>
      </c>
      <c r="E1239" s="3" t="s">
        <v>1357</v>
      </c>
      <c r="F1239" s="3">
        <v>5</v>
      </c>
    </row>
    <row r="1240" spans="1:6" x14ac:dyDescent="0.25">
      <c r="A1240" s="2">
        <v>49119</v>
      </c>
      <c r="B1240" s="3">
        <v>70</v>
      </c>
      <c r="C1240" s="3">
        <v>49</v>
      </c>
      <c r="D1240" s="3">
        <v>144</v>
      </c>
      <c r="E1240" s="3" t="s">
        <v>1358</v>
      </c>
      <c r="F1240" s="3">
        <v>144</v>
      </c>
    </row>
    <row r="1241" spans="1:6" x14ac:dyDescent="0.25">
      <c r="A1241" s="2">
        <v>49120</v>
      </c>
      <c r="B1241" s="3">
        <v>71</v>
      </c>
      <c r="C1241" s="3">
        <v>49</v>
      </c>
      <c r="D1241" s="3">
        <v>3.08</v>
      </c>
      <c r="E1241" s="3" t="s">
        <v>1359</v>
      </c>
      <c r="F1241" s="3">
        <v>3.08</v>
      </c>
    </row>
    <row r="1242" spans="1:6" x14ac:dyDescent="0.25">
      <c r="A1242" s="2">
        <v>49121</v>
      </c>
      <c r="B1242" s="3">
        <v>72</v>
      </c>
      <c r="C1242" s="3">
        <v>49</v>
      </c>
      <c r="D1242" s="3">
        <v>23.1</v>
      </c>
      <c r="E1242" s="3" t="s">
        <v>1360</v>
      </c>
      <c r="F1242" s="3">
        <v>23.1</v>
      </c>
    </row>
    <row r="1243" spans="1:6" x14ac:dyDescent="0.25">
      <c r="A1243" s="2">
        <v>49122</v>
      </c>
      <c r="B1243" s="3">
        <v>73</v>
      </c>
      <c r="C1243" s="3">
        <v>49</v>
      </c>
      <c r="D1243" s="3">
        <v>1.5</v>
      </c>
      <c r="E1243" s="3" t="s">
        <v>1361</v>
      </c>
      <c r="F1243" s="3">
        <v>1.5</v>
      </c>
    </row>
    <row r="1244" spans="1:6" x14ac:dyDescent="0.25">
      <c r="A1244" s="2">
        <v>49123</v>
      </c>
      <c r="B1244" s="3">
        <v>74</v>
      </c>
      <c r="C1244" s="3">
        <v>49</v>
      </c>
      <c r="D1244" s="3">
        <v>6.17</v>
      </c>
      <c r="E1244" s="3" t="s">
        <v>1362</v>
      </c>
      <c r="F1244" s="3">
        <v>6.17</v>
      </c>
    </row>
    <row r="1245" spans="1:6" x14ac:dyDescent="0.25">
      <c r="A1245" s="2">
        <v>49124</v>
      </c>
      <c r="B1245" s="3">
        <v>75</v>
      </c>
      <c r="C1245" s="3">
        <v>49</v>
      </c>
      <c r="D1245" s="3">
        <v>3.12</v>
      </c>
      <c r="E1245" s="3" t="s">
        <v>1363</v>
      </c>
      <c r="F1245" s="3">
        <v>3.12</v>
      </c>
    </row>
    <row r="1246" spans="1:6" x14ac:dyDescent="0.25">
      <c r="A1246" s="2">
        <v>49125</v>
      </c>
      <c r="B1246" s="3">
        <v>76</v>
      </c>
      <c r="C1246" s="3">
        <v>49</v>
      </c>
      <c r="D1246" s="3">
        <v>2.36</v>
      </c>
      <c r="E1246" s="3" t="s">
        <v>1364</v>
      </c>
      <c r="F1246" s="3">
        <v>2.36</v>
      </c>
    </row>
    <row r="1247" spans="1:6" x14ac:dyDescent="0.25">
      <c r="A1247" s="2">
        <v>49126</v>
      </c>
      <c r="B1247" s="3">
        <v>77</v>
      </c>
      <c r="C1247" s="3">
        <v>49</v>
      </c>
      <c r="D1247" s="3">
        <v>1.53</v>
      </c>
      <c r="E1247" s="3" t="s">
        <v>1365</v>
      </c>
      <c r="F1247" s="3">
        <v>1.53</v>
      </c>
    </row>
    <row r="1248" spans="1:6" x14ac:dyDescent="0.25">
      <c r="A1248" s="2">
        <v>49127</v>
      </c>
      <c r="B1248" s="3">
        <v>78</v>
      </c>
      <c r="C1248" s="3">
        <v>49</v>
      </c>
      <c r="D1248" s="3">
        <v>1.0900000000000001</v>
      </c>
      <c r="E1248" s="3" t="s">
        <v>1366</v>
      </c>
      <c r="F1248" s="3">
        <v>1.0900000000000001</v>
      </c>
    </row>
    <row r="1249" spans="1:6" x14ac:dyDescent="0.25">
      <c r="A1249" s="2">
        <v>49128</v>
      </c>
      <c r="B1249" s="3">
        <v>79</v>
      </c>
      <c r="C1249" s="3">
        <v>49</v>
      </c>
      <c r="D1249" s="3">
        <v>0.84</v>
      </c>
      <c r="E1249" s="3" t="s">
        <v>1367</v>
      </c>
      <c r="F1249" s="3">
        <v>0.84</v>
      </c>
    </row>
    <row r="1250" spans="1:6" x14ac:dyDescent="0.25">
      <c r="A1250" s="2">
        <v>49129</v>
      </c>
      <c r="B1250" s="3">
        <v>80</v>
      </c>
      <c r="C1250" s="3">
        <v>49</v>
      </c>
      <c r="D1250" s="3">
        <v>0.61099999999999999</v>
      </c>
      <c r="E1250" s="3" t="s">
        <v>1368</v>
      </c>
      <c r="F1250" s="3">
        <v>0.61099999999999999</v>
      </c>
    </row>
    <row r="1251" spans="1:6" x14ac:dyDescent="0.25">
      <c r="A1251" s="2">
        <v>49130</v>
      </c>
      <c r="B1251" s="3">
        <v>81</v>
      </c>
      <c r="C1251" s="3">
        <v>49</v>
      </c>
      <c r="D1251" s="3">
        <v>0.28999999999999998</v>
      </c>
      <c r="E1251" s="3" t="s">
        <v>1369</v>
      </c>
      <c r="F1251" s="3">
        <v>0.28999999999999998</v>
      </c>
    </row>
    <row r="1252" spans="1:6" x14ac:dyDescent="0.25">
      <c r="A1252" s="2">
        <v>49131</v>
      </c>
      <c r="B1252" s="3">
        <v>82</v>
      </c>
      <c r="C1252" s="3">
        <v>49</v>
      </c>
      <c r="D1252" s="3">
        <v>0.28000000000000003</v>
      </c>
      <c r="E1252" s="3" t="s">
        <v>1370</v>
      </c>
      <c r="F1252" s="3">
        <v>0.28000000000000003</v>
      </c>
    </row>
    <row r="1253" spans="1:6" x14ac:dyDescent="0.25">
      <c r="A1253" s="2">
        <v>49132</v>
      </c>
      <c r="B1253" s="3">
        <v>83</v>
      </c>
      <c r="C1253" s="3">
        <v>49</v>
      </c>
      <c r="D1253" s="3">
        <v>0.20699999999999999</v>
      </c>
      <c r="E1253" s="3" t="s">
        <v>1371</v>
      </c>
      <c r="F1253" s="3">
        <v>0.20699999999999999</v>
      </c>
    </row>
    <row r="1254" spans="1:6" x14ac:dyDescent="0.25">
      <c r="A1254" s="2">
        <v>49133</v>
      </c>
      <c r="B1254" s="3">
        <v>84</v>
      </c>
      <c r="C1254" s="3">
        <v>49</v>
      </c>
      <c r="D1254" s="3">
        <v>0.16500000000000001</v>
      </c>
      <c r="E1254" s="3" t="s">
        <v>1372</v>
      </c>
      <c r="F1254" s="3">
        <v>0.16500000000000001</v>
      </c>
    </row>
    <row r="1255" spans="1:6" x14ac:dyDescent="0.25">
      <c r="A1255" s="2">
        <v>49134</v>
      </c>
      <c r="B1255" s="3">
        <v>85</v>
      </c>
      <c r="C1255" s="3">
        <v>49</v>
      </c>
      <c r="D1255" s="3">
        <v>0.14000000000000001</v>
      </c>
      <c r="E1255" s="3" t="s">
        <v>1373</v>
      </c>
      <c r="F1255" s="3">
        <v>0.14000000000000001</v>
      </c>
    </row>
    <row r="1256" spans="1:6" x14ac:dyDescent="0.25">
      <c r="A1256" s="2">
        <v>49135</v>
      </c>
      <c r="B1256" s="3">
        <v>86</v>
      </c>
      <c r="C1256" s="3">
        <v>49</v>
      </c>
      <c r="D1256" s="3">
        <v>9.1999999999999998E-2</v>
      </c>
      <c r="E1256" s="3" t="s">
        <v>1374</v>
      </c>
      <c r="F1256" s="3">
        <v>9.1999999999999998E-2</v>
      </c>
    </row>
    <row r="1257" spans="1:6" x14ac:dyDescent="0.25">
      <c r="A1257" s="2">
        <v>49136</v>
      </c>
      <c r="B1257" s="3">
        <v>87</v>
      </c>
      <c r="C1257" s="3">
        <v>49</v>
      </c>
      <c r="D1257" s="3">
        <v>8.5000000000000006E-2</v>
      </c>
      <c r="E1257" s="3" t="s">
        <v>1375</v>
      </c>
      <c r="F1257" s="3">
        <v>8.5000000000000006E-2</v>
      </c>
    </row>
    <row r="1258" spans="1:6" x14ac:dyDescent="0.25">
      <c r="A1258" s="2">
        <v>49137</v>
      </c>
      <c r="B1258" s="3">
        <v>88</v>
      </c>
      <c r="C1258" s="3">
        <v>49</v>
      </c>
      <c r="D1258" s="3">
        <v>6.5000000000000002E-2</v>
      </c>
      <c r="E1258" s="3" t="s">
        <v>1376</v>
      </c>
      <c r="F1258" s="3">
        <v>6.5000000000000002E-2</v>
      </c>
    </row>
    <row r="1259" spans="1:6" x14ac:dyDescent="0.25">
      <c r="A1259" s="2">
        <v>50100</v>
      </c>
      <c r="B1259" s="3">
        <v>50</v>
      </c>
      <c r="C1259" s="3">
        <v>50</v>
      </c>
      <c r="D1259" s="3">
        <v>1.1599999999999999</v>
      </c>
      <c r="E1259" s="3" t="s">
        <v>1377</v>
      </c>
      <c r="F1259" s="3">
        <v>1.1599999999999999</v>
      </c>
    </row>
    <row r="1260" spans="1:6" x14ac:dyDescent="0.25">
      <c r="A1260" s="2">
        <v>50101</v>
      </c>
      <c r="B1260" s="3">
        <v>51</v>
      </c>
      <c r="C1260" s="3">
        <v>50</v>
      </c>
      <c r="D1260" s="3">
        <v>1.7</v>
      </c>
      <c r="E1260" s="3" t="s">
        <v>1378</v>
      </c>
      <c r="F1260" s="3">
        <v>1.7</v>
      </c>
    </row>
    <row r="1261" spans="1:6" x14ac:dyDescent="0.25">
      <c r="A1261" s="2">
        <v>50102</v>
      </c>
      <c r="B1261" s="3">
        <v>52</v>
      </c>
      <c r="C1261" s="3">
        <v>50</v>
      </c>
      <c r="D1261" s="3">
        <v>3.8</v>
      </c>
      <c r="E1261" s="3" t="s">
        <v>1379</v>
      </c>
      <c r="F1261" s="3">
        <v>3.8</v>
      </c>
    </row>
    <row r="1262" spans="1:6" x14ac:dyDescent="0.25">
      <c r="A1262" s="2">
        <v>50103</v>
      </c>
      <c r="B1262" s="3">
        <v>53</v>
      </c>
      <c r="C1262" s="3">
        <v>50</v>
      </c>
      <c r="D1262" s="3">
        <v>7</v>
      </c>
      <c r="E1262" s="3" t="s">
        <v>1380</v>
      </c>
      <c r="F1262" s="3">
        <v>7</v>
      </c>
    </row>
    <row r="1263" spans="1:6" x14ac:dyDescent="0.25">
      <c r="A1263" s="2">
        <v>50104</v>
      </c>
      <c r="B1263" s="3">
        <v>54</v>
      </c>
      <c r="C1263" s="3">
        <v>50</v>
      </c>
      <c r="D1263" s="3">
        <v>20.8</v>
      </c>
      <c r="E1263" s="3" t="s">
        <v>1381</v>
      </c>
      <c r="F1263" s="3">
        <v>20.8</v>
      </c>
    </row>
    <row r="1264" spans="1:6" x14ac:dyDescent="0.25">
      <c r="A1264" s="2">
        <v>50105</v>
      </c>
      <c r="B1264" s="3">
        <v>55</v>
      </c>
      <c r="C1264" s="3">
        <v>50</v>
      </c>
      <c r="D1264" s="3">
        <v>32.700000000000003</v>
      </c>
      <c r="E1264" s="3" t="s">
        <v>1382</v>
      </c>
      <c r="F1264" s="3">
        <v>32.700000000000003</v>
      </c>
    </row>
    <row r="1265" spans="1:6" x14ac:dyDescent="0.25">
      <c r="A1265" s="2">
        <v>50106</v>
      </c>
      <c r="B1265" s="3">
        <v>56</v>
      </c>
      <c r="C1265" s="3">
        <v>50</v>
      </c>
      <c r="D1265" s="3">
        <v>115</v>
      </c>
      <c r="E1265" s="3" t="s">
        <v>1383</v>
      </c>
      <c r="F1265" s="3">
        <v>115</v>
      </c>
    </row>
    <row r="1266" spans="1:6" x14ac:dyDescent="0.25">
      <c r="A1266" s="2">
        <v>50107</v>
      </c>
      <c r="B1266" s="3">
        <v>57</v>
      </c>
      <c r="C1266" s="3">
        <v>50</v>
      </c>
      <c r="D1266" s="3">
        <v>174</v>
      </c>
      <c r="E1266" s="3" t="s">
        <v>1384</v>
      </c>
      <c r="F1266" s="3">
        <v>174</v>
      </c>
    </row>
    <row r="1267" spans="1:6" x14ac:dyDescent="0.25">
      <c r="A1267" s="2">
        <v>50108</v>
      </c>
      <c r="B1267" s="3">
        <v>58</v>
      </c>
      <c r="C1267" s="3">
        <v>50</v>
      </c>
      <c r="D1267" s="3">
        <v>618</v>
      </c>
      <c r="E1267" s="3" t="s">
        <v>1385</v>
      </c>
      <c r="F1267" s="3">
        <v>618</v>
      </c>
    </row>
    <row r="1268" spans="1:6" x14ac:dyDescent="0.25">
      <c r="A1268" s="2">
        <v>50109</v>
      </c>
      <c r="B1268" s="3">
        <v>59</v>
      </c>
      <c r="C1268" s="3">
        <v>50</v>
      </c>
      <c r="D1268" s="3">
        <v>1080</v>
      </c>
      <c r="E1268" s="3" t="s">
        <v>1386</v>
      </c>
      <c r="F1268" s="3">
        <v>1080</v>
      </c>
    </row>
    <row r="1269" spans="1:6" x14ac:dyDescent="0.25">
      <c r="A1269" s="2">
        <v>50110</v>
      </c>
      <c r="B1269" s="3">
        <v>60</v>
      </c>
      <c r="C1269" s="3">
        <v>50</v>
      </c>
      <c r="D1269" s="3">
        <v>14796</v>
      </c>
      <c r="E1269" s="3" t="s">
        <v>1387</v>
      </c>
      <c r="F1269" s="3">
        <v>14796</v>
      </c>
    </row>
    <row r="1270" spans="1:6" x14ac:dyDescent="0.25">
      <c r="A1270" s="2">
        <v>50111</v>
      </c>
      <c r="B1270" s="3">
        <v>61</v>
      </c>
      <c r="C1270" s="3">
        <v>50</v>
      </c>
      <c r="D1270" s="3">
        <v>2118</v>
      </c>
      <c r="E1270" s="3" t="s">
        <v>1388</v>
      </c>
      <c r="F1270" s="3">
        <v>2118</v>
      </c>
    </row>
    <row r="1271" spans="1:6" x14ac:dyDescent="0.25">
      <c r="A1271" s="2">
        <v>50113</v>
      </c>
      <c r="B1271" s="3">
        <v>63</v>
      </c>
      <c r="C1271" s="3">
        <v>50</v>
      </c>
      <c r="D1271" s="3">
        <v>9943776</v>
      </c>
      <c r="E1271" s="3" t="s">
        <v>1389</v>
      </c>
      <c r="F1271" s="3">
        <v>9943776</v>
      </c>
    </row>
    <row r="1272" spans="1:6" x14ac:dyDescent="0.25">
      <c r="A1272" s="2">
        <v>50114</v>
      </c>
      <c r="B1272" s="3">
        <v>64</v>
      </c>
      <c r="C1272" s="3">
        <v>50</v>
      </c>
      <c r="D1272" s="3" t="s">
        <v>4</v>
      </c>
      <c r="E1272" s="3" t="s">
        <v>1390</v>
      </c>
      <c r="F1272" s="3" t="s">
        <v>4</v>
      </c>
    </row>
    <row r="1273" spans="1:6" x14ac:dyDescent="0.25">
      <c r="A1273" s="2">
        <v>50115</v>
      </c>
      <c r="B1273" s="3">
        <v>65</v>
      </c>
      <c r="C1273" s="3">
        <v>50</v>
      </c>
      <c r="D1273" s="3" t="s">
        <v>4</v>
      </c>
      <c r="E1273" s="3" t="s">
        <v>1391</v>
      </c>
      <c r="F1273" s="3" t="s">
        <v>4</v>
      </c>
    </row>
    <row r="1274" spans="1:6" x14ac:dyDescent="0.25">
      <c r="A1274" s="2">
        <v>50116</v>
      </c>
      <c r="B1274" s="3">
        <v>66</v>
      </c>
      <c r="C1274" s="3">
        <v>50</v>
      </c>
      <c r="D1274" s="3" t="s">
        <v>4</v>
      </c>
      <c r="E1274" s="3" t="s">
        <v>1392</v>
      </c>
      <c r="F1274" s="3" t="s">
        <v>4</v>
      </c>
    </row>
    <row r="1275" spans="1:6" x14ac:dyDescent="0.25">
      <c r="A1275" s="2">
        <v>50117</v>
      </c>
      <c r="B1275" s="3">
        <v>67</v>
      </c>
      <c r="C1275" s="3">
        <v>50</v>
      </c>
      <c r="D1275" s="3" t="s">
        <v>4</v>
      </c>
      <c r="E1275" s="3" t="s">
        <v>1393</v>
      </c>
      <c r="F1275" s="3" t="s">
        <v>4</v>
      </c>
    </row>
    <row r="1276" spans="1:6" x14ac:dyDescent="0.25">
      <c r="A1276" s="2">
        <v>50118</v>
      </c>
      <c r="B1276" s="3">
        <v>68</v>
      </c>
      <c r="C1276" s="3">
        <v>50</v>
      </c>
      <c r="D1276" s="3" t="s">
        <v>4</v>
      </c>
      <c r="E1276" s="3" t="s">
        <v>1394</v>
      </c>
      <c r="F1276" s="3" t="s">
        <v>4</v>
      </c>
    </row>
    <row r="1277" spans="1:6" x14ac:dyDescent="0.25">
      <c r="A1277" s="2">
        <v>50119</v>
      </c>
      <c r="B1277" s="3">
        <v>69</v>
      </c>
      <c r="C1277" s="3">
        <v>50</v>
      </c>
      <c r="D1277" s="3" t="s">
        <v>4</v>
      </c>
      <c r="E1277" s="3" t="s">
        <v>1395</v>
      </c>
      <c r="F1277" s="3" t="s">
        <v>4</v>
      </c>
    </row>
    <row r="1278" spans="1:6" x14ac:dyDescent="0.25">
      <c r="A1278" s="2">
        <v>50120</v>
      </c>
      <c r="B1278" s="3">
        <v>70</v>
      </c>
      <c r="C1278" s="3">
        <v>50</v>
      </c>
      <c r="D1278" s="3" t="s">
        <v>4</v>
      </c>
      <c r="E1278" s="3" t="s">
        <v>1396</v>
      </c>
      <c r="F1278" s="3" t="s">
        <v>4</v>
      </c>
    </row>
    <row r="1279" spans="1:6" x14ac:dyDescent="0.25">
      <c r="A1279" s="2">
        <v>50121</v>
      </c>
      <c r="B1279" s="3">
        <v>71</v>
      </c>
      <c r="C1279" s="3">
        <v>50</v>
      </c>
      <c r="D1279" s="3">
        <v>97308</v>
      </c>
      <c r="E1279" s="3" t="s">
        <v>1397</v>
      </c>
      <c r="F1279" s="3">
        <v>97308</v>
      </c>
    </row>
    <row r="1280" spans="1:6" x14ac:dyDescent="0.25">
      <c r="A1280" s="2">
        <v>50122</v>
      </c>
      <c r="B1280" s="3">
        <v>72</v>
      </c>
      <c r="C1280" s="3">
        <v>50</v>
      </c>
      <c r="D1280" s="3" t="s">
        <v>4</v>
      </c>
      <c r="E1280" s="3" t="s">
        <v>1398</v>
      </c>
      <c r="F1280" s="3" t="s">
        <v>4</v>
      </c>
    </row>
    <row r="1281" spans="1:6" x14ac:dyDescent="0.25">
      <c r="A1281" s="2">
        <v>50123</v>
      </c>
      <c r="B1281" s="3">
        <v>73</v>
      </c>
      <c r="C1281" s="3">
        <v>50</v>
      </c>
      <c r="D1281" s="3">
        <v>11162879.999999899</v>
      </c>
      <c r="E1281" s="3" t="s">
        <v>1399</v>
      </c>
      <c r="F1281" s="3">
        <v>11162879.999999899</v>
      </c>
    </row>
    <row r="1282" spans="1:6" x14ac:dyDescent="0.25">
      <c r="A1282" s="2">
        <v>50124</v>
      </c>
      <c r="B1282" s="3">
        <v>74</v>
      </c>
      <c r="C1282" s="3">
        <v>50</v>
      </c>
      <c r="D1282" s="3">
        <v>3.786912E+28</v>
      </c>
      <c r="E1282" s="3" t="s">
        <v>1400</v>
      </c>
      <c r="F1282" s="3">
        <v>3.786912E+28</v>
      </c>
    </row>
    <row r="1283" spans="1:6" x14ac:dyDescent="0.25">
      <c r="A1283" s="2">
        <v>50125</v>
      </c>
      <c r="B1283" s="3">
        <v>75</v>
      </c>
      <c r="C1283" s="3">
        <v>50</v>
      </c>
      <c r="D1283" s="3">
        <v>832896</v>
      </c>
      <c r="E1283" s="3" t="s">
        <v>1401</v>
      </c>
      <c r="F1283" s="3">
        <v>832896</v>
      </c>
    </row>
    <row r="1284" spans="1:6" x14ac:dyDescent="0.25">
      <c r="A1284" s="2">
        <v>50126</v>
      </c>
      <c r="B1284" s="3">
        <v>76</v>
      </c>
      <c r="C1284" s="3">
        <v>50</v>
      </c>
      <c r="D1284" s="3">
        <v>7258248000000</v>
      </c>
      <c r="E1284" s="3" t="s">
        <v>1402</v>
      </c>
      <c r="F1284" s="3">
        <v>7258248000000</v>
      </c>
    </row>
    <row r="1285" spans="1:6" x14ac:dyDescent="0.25">
      <c r="A1285" s="2">
        <v>50127</v>
      </c>
      <c r="B1285" s="3">
        <v>77</v>
      </c>
      <c r="C1285" s="3">
        <v>50</v>
      </c>
      <c r="D1285" s="3">
        <v>7560</v>
      </c>
      <c r="E1285" s="3" t="s">
        <v>1403</v>
      </c>
      <c r="F1285" s="3">
        <v>7560</v>
      </c>
    </row>
    <row r="1286" spans="1:6" x14ac:dyDescent="0.25">
      <c r="A1286" s="2">
        <v>50128</v>
      </c>
      <c r="B1286" s="3">
        <v>78</v>
      </c>
      <c r="C1286" s="3">
        <v>50</v>
      </c>
      <c r="D1286" s="3">
        <v>3544.2</v>
      </c>
      <c r="E1286" s="3" t="s">
        <v>1404</v>
      </c>
      <c r="F1286" s="3">
        <v>3544.2</v>
      </c>
    </row>
    <row r="1287" spans="1:6" x14ac:dyDescent="0.25">
      <c r="A1287" s="2">
        <v>50129</v>
      </c>
      <c r="B1287" s="3">
        <v>79</v>
      </c>
      <c r="C1287" s="3">
        <v>50</v>
      </c>
      <c r="D1287" s="3">
        <v>133.80000000000001</v>
      </c>
      <c r="E1287" s="3" t="s">
        <v>1405</v>
      </c>
      <c r="F1287" s="3">
        <v>133.80000000000001</v>
      </c>
    </row>
    <row r="1288" spans="1:6" x14ac:dyDescent="0.25">
      <c r="A1288" s="2">
        <v>50130</v>
      </c>
      <c r="B1288" s="3">
        <v>80</v>
      </c>
      <c r="C1288" s="3">
        <v>50</v>
      </c>
      <c r="D1288" s="3">
        <v>223.2</v>
      </c>
      <c r="E1288" s="3" t="s">
        <v>1406</v>
      </c>
      <c r="F1288" s="3">
        <v>223.2</v>
      </c>
    </row>
    <row r="1289" spans="1:6" x14ac:dyDescent="0.25">
      <c r="A1289" s="2">
        <v>50131</v>
      </c>
      <c r="B1289" s="3">
        <v>81</v>
      </c>
      <c r="C1289" s="3">
        <v>50</v>
      </c>
      <c r="D1289" s="3">
        <v>56</v>
      </c>
      <c r="E1289" s="3" t="s">
        <v>1407</v>
      </c>
      <c r="F1289" s="3">
        <v>56</v>
      </c>
    </row>
    <row r="1290" spans="1:6" x14ac:dyDescent="0.25">
      <c r="A1290" s="2">
        <v>50132</v>
      </c>
      <c r="B1290" s="3">
        <v>82</v>
      </c>
      <c r="C1290" s="3">
        <v>50</v>
      </c>
      <c r="D1290" s="3">
        <v>39.700000000000003</v>
      </c>
      <c r="E1290" s="3" t="s">
        <v>1408</v>
      </c>
      <c r="F1290" s="3">
        <v>39.700000000000003</v>
      </c>
    </row>
    <row r="1291" spans="1:6" x14ac:dyDescent="0.25">
      <c r="A1291" s="2">
        <v>50133</v>
      </c>
      <c r="B1291" s="3">
        <v>83</v>
      </c>
      <c r="C1291" s="3">
        <v>50</v>
      </c>
      <c r="D1291" s="3">
        <v>1.46</v>
      </c>
      <c r="E1291" s="3" t="s">
        <v>1409</v>
      </c>
      <c r="F1291" s="3">
        <v>1.46</v>
      </c>
    </row>
    <row r="1292" spans="1:6" x14ac:dyDescent="0.25">
      <c r="A1292" s="2">
        <v>50134</v>
      </c>
      <c r="B1292" s="3">
        <v>84</v>
      </c>
      <c r="C1292" s="3">
        <v>50</v>
      </c>
      <c r="D1292" s="3">
        <v>1.05</v>
      </c>
      <c r="E1292" s="3" t="s">
        <v>1410</v>
      </c>
      <c r="F1292" s="3">
        <v>1.05</v>
      </c>
    </row>
    <row r="1293" spans="1:6" x14ac:dyDescent="0.25">
      <c r="A1293" s="2">
        <v>50135</v>
      </c>
      <c r="B1293" s="3">
        <v>85</v>
      </c>
      <c r="C1293" s="3">
        <v>50</v>
      </c>
      <c r="D1293" s="3">
        <v>0.53</v>
      </c>
      <c r="E1293" s="3" t="s">
        <v>1411</v>
      </c>
      <c r="F1293" s="3">
        <v>0.53</v>
      </c>
    </row>
    <row r="1294" spans="1:6" x14ac:dyDescent="0.25">
      <c r="A1294" s="2">
        <v>50136</v>
      </c>
      <c r="B1294" s="3">
        <v>86</v>
      </c>
      <c r="C1294" s="3">
        <v>50</v>
      </c>
      <c r="D1294" s="3">
        <v>0.28999999999999998</v>
      </c>
      <c r="E1294" s="3" t="s">
        <v>1412</v>
      </c>
      <c r="F1294" s="3">
        <v>0.28999999999999998</v>
      </c>
    </row>
    <row r="1295" spans="1:6" x14ac:dyDescent="0.25">
      <c r="A1295" s="2">
        <v>50137</v>
      </c>
      <c r="B1295" s="3">
        <v>87</v>
      </c>
      <c r="C1295" s="3">
        <v>50</v>
      </c>
      <c r="D1295" s="3">
        <v>0.19</v>
      </c>
      <c r="E1295" s="3" t="s">
        <v>1413</v>
      </c>
      <c r="F1295" s="3">
        <v>0.19</v>
      </c>
    </row>
    <row r="1296" spans="1:6" x14ac:dyDescent="0.25">
      <c r="A1296" s="2">
        <v>50138</v>
      </c>
      <c r="B1296" s="3">
        <v>88</v>
      </c>
      <c r="C1296" s="3">
        <v>50</v>
      </c>
      <c r="D1296" s="3">
        <v>0.14000000000000001</v>
      </c>
      <c r="E1296" s="3" t="s">
        <v>1414</v>
      </c>
      <c r="F1296" s="3">
        <v>0.14000000000000001</v>
      </c>
    </row>
    <row r="1297" spans="1:6" x14ac:dyDescent="0.25">
      <c r="A1297" s="2">
        <v>50139</v>
      </c>
      <c r="B1297" s="3">
        <v>89</v>
      </c>
      <c r="C1297" s="3">
        <v>50</v>
      </c>
      <c r="D1297" s="3">
        <v>0.13</v>
      </c>
      <c r="E1297" s="3" t="s">
        <v>1415</v>
      </c>
      <c r="F1297" s="3">
        <v>0.13</v>
      </c>
    </row>
    <row r="1298" spans="1:6" x14ac:dyDescent="0.25">
      <c r="A1298" s="2">
        <v>51103</v>
      </c>
      <c r="B1298" s="3">
        <v>52</v>
      </c>
      <c r="C1298" s="3">
        <v>51</v>
      </c>
      <c r="D1298" s="3">
        <v>1.5E-6</v>
      </c>
      <c r="E1298" s="3" t="s">
        <v>1416</v>
      </c>
      <c r="F1298" s="3">
        <v>1.5E-6</v>
      </c>
    </row>
    <row r="1299" spans="1:6" x14ac:dyDescent="0.25">
      <c r="A1299" s="2">
        <v>51104</v>
      </c>
      <c r="B1299" s="3">
        <v>53</v>
      </c>
      <c r="C1299" s="3">
        <v>51</v>
      </c>
      <c r="D1299" s="3">
        <v>0.44</v>
      </c>
      <c r="E1299" s="3" t="s">
        <v>1417</v>
      </c>
      <c r="F1299" s="3">
        <v>0.44</v>
      </c>
    </row>
    <row r="1300" spans="1:6" x14ac:dyDescent="0.25">
      <c r="A1300" s="2">
        <v>51105</v>
      </c>
      <c r="B1300" s="3">
        <v>54</v>
      </c>
      <c r="C1300" s="3">
        <v>51</v>
      </c>
      <c r="D1300" s="3">
        <v>1.22</v>
      </c>
      <c r="E1300" s="3" t="s">
        <v>1418</v>
      </c>
      <c r="F1300" s="3">
        <v>1.22</v>
      </c>
    </row>
    <row r="1301" spans="1:6" x14ac:dyDescent="0.25">
      <c r="A1301" s="2">
        <v>51106</v>
      </c>
      <c r="B1301" s="3">
        <v>55</v>
      </c>
      <c r="C1301" s="3">
        <v>51</v>
      </c>
      <c r="D1301" s="3">
        <v>0.6</v>
      </c>
      <c r="E1301" s="3" t="s">
        <v>1419</v>
      </c>
      <c r="F1301" s="3">
        <v>0.6</v>
      </c>
    </row>
    <row r="1302" spans="1:6" x14ac:dyDescent="0.25">
      <c r="A1302" s="2">
        <v>51107</v>
      </c>
      <c r="B1302" s="3">
        <v>56</v>
      </c>
      <c r="C1302" s="3">
        <v>51</v>
      </c>
      <c r="D1302" s="3">
        <v>4</v>
      </c>
      <c r="E1302" s="3" t="s">
        <v>1420</v>
      </c>
      <c r="F1302" s="3">
        <v>4</v>
      </c>
    </row>
    <row r="1303" spans="1:6" x14ac:dyDescent="0.25">
      <c r="A1303" s="2">
        <v>51108</v>
      </c>
      <c r="B1303" s="3">
        <v>57</v>
      </c>
      <c r="C1303" s="3">
        <v>51</v>
      </c>
      <c r="D1303" s="3">
        <v>7.4</v>
      </c>
      <c r="E1303" s="3" t="s">
        <v>1421</v>
      </c>
      <c r="F1303" s="3">
        <v>7.4</v>
      </c>
    </row>
    <row r="1304" spans="1:6" x14ac:dyDescent="0.25">
      <c r="A1304" s="2">
        <v>51109</v>
      </c>
      <c r="B1304" s="3">
        <v>58</v>
      </c>
      <c r="C1304" s="3">
        <v>51</v>
      </c>
      <c r="D1304" s="3">
        <v>17</v>
      </c>
      <c r="E1304" s="3" t="s">
        <v>1422</v>
      </c>
      <c r="F1304" s="3">
        <v>17</v>
      </c>
    </row>
    <row r="1305" spans="1:6" x14ac:dyDescent="0.25">
      <c r="A1305" s="2">
        <v>51110</v>
      </c>
      <c r="B1305" s="3">
        <v>59</v>
      </c>
      <c r="C1305" s="3">
        <v>51</v>
      </c>
      <c r="D1305" s="3">
        <v>23</v>
      </c>
      <c r="E1305" s="3" t="s">
        <v>1423</v>
      </c>
      <c r="F1305" s="3">
        <v>23</v>
      </c>
    </row>
    <row r="1306" spans="1:6" x14ac:dyDescent="0.25">
      <c r="A1306" s="2">
        <v>51111</v>
      </c>
      <c r="B1306" s="3">
        <v>60</v>
      </c>
      <c r="C1306" s="3">
        <v>51</v>
      </c>
      <c r="D1306" s="3">
        <v>75</v>
      </c>
      <c r="E1306" s="3" t="s">
        <v>1424</v>
      </c>
      <c r="F1306" s="3">
        <v>75</v>
      </c>
    </row>
    <row r="1307" spans="1:6" x14ac:dyDescent="0.25">
      <c r="A1307" s="2">
        <v>51112</v>
      </c>
      <c r="B1307" s="3">
        <v>61</v>
      </c>
      <c r="C1307" s="3">
        <v>51</v>
      </c>
      <c r="D1307" s="3">
        <v>53.5</v>
      </c>
      <c r="E1307" s="3" t="s">
        <v>1425</v>
      </c>
      <c r="F1307" s="3">
        <v>53.5</v>
      </c>
    </row>
    <row r="1308" spans="1:6" x14ac:dyDescent="0.25">
      <c r="A1308" s="2">
        <v>51113</v>
      </c>
      <c r="B1308" s="3">
        <v>62</v>
      </c>
      <c r="C1308" s="3">
        <v>51</v>
      </c>
      <c r="D1308" s="3">
        <v>400.2</v>
      </c>
      <c r="E1308" s="3" t="s">
        <v>1426</v>
      </c>
      <c r="F1308" s="3">
        <v>400.2</v>
      </c>
    </row>
    <row r="1309" spans="1:6" x14ac:dyDescent="0.25">
      <c r="A1309" s="2">
        <v>51114</v>
      </c>
      <c r="B1309" s="3">
        <v>63</v>
      </c>
      <c r="C1309" s="3">
        <v>51</v>
      </c>
      <c r="D1309" s="3">
        <v>209.4</v>
      </c>
      <c r="E1309" s="3" t="s">
        <v>1427</v>
      </c>
      <c r="F1309" s="3">
        <v>209.4</v>
      </c>
    </row>
    <row r="1310" spans="1:6" x14ac:dyDescent="0.25">
      <c r="A1310" s="2">
        <v>51115</v>
      </c>
      <c r="B1310" s="3">
        <v>64</v>
      </c>
      <c r="C1310" s="3">
        <v>51</v>
      </c>
      <c r="D1310" s="3">
        <v>1926</v>
      </c>
      <c r="E1310" s="3" t="s">
        <v>1428</v>
      </c>
      <c r="F1310" s="3">
        <v>1926</v>
      </c>
    </row>
    <row r="1311" spans="1:6" x14ac:dyDescent="0.25">
      <c r="A1311" s="2">
        <v>51116</v>
      </c>
      <c r="B1311" s="3">
        <v>65</v>
      </c>
      <c r="C1311" s="3">
        <v>51</v>
      </c>
      <c r="D1311" s="3">
        <v>948</v>
      </c>
      <c r="E1311" s="3" t="s">
        <v>1429</v>
      </c>
      <c r="F1311" s="3">
        <v>948</v>
      </c>
    </row>
    <row r="1312" spans="1:6" x14ac:dyDescent="0.25">
      <c r="A1312" s="2">
        <v>51117</v>
      </c>
      <c r="B1312" s="3">
        <v>66</v>
      </c>
      <c r="C1312" s="3">
        <v>51</v>
      </c>
      <c r="D1312" s="3">
        <v>10080</v>
      </c>
      <c r="E1312" s="3" t="s">
        <v>1430</v>
      </c>
      <c r="F1312" s="3">
        <v>10080</v>
      </c>
    </row>
    <row r="1313" spans="1:6" x14ac:dyDescent="0.25">
      <c r="A1313" s="2">
        <v>51118</v>
      </c>
      <c r="B1313" s="3">
        <v>67</v>
      </c>
      <c r="C1313" s="3">
        <v>51</v>
      </c>
      <c r="D1313" s="3">
        <v>216</v>
      </c>
      <c r="E1313" s="3" t="s">
        <v>1431</v>
      </c>
      <c r="F1313" s="3">
        <v>216</v>
      </c>
    </row>
    <row r="1314" spans="1:6" x14ac:dyDescent="0.25">
      <c r="A1314" s="2">
        <v>51119</v>
      </c>
      <c r="B1314" s="3">
        <v>68</v>
      </c>
      <c r="C1314" s="3">
        <v>51</v>
      </c>
      <c r="D1314" s="3">
        <v>137484</v>
      </c>
      <c r="E1314" s="3" t="s">
        <v>1432</v>
      </c>
      <c r="F1314" s="3">
        <v>137484</v>
      </c>
    </row>
    <row r="1315" spans="1:6" x14ac:dyDescent="0.25">
      <c r="A1315" s="2">
        <v>51120</v>
      </c>
      <c r="B1315" s="3">
        <v>69</v>
      </c>
      <c r="C1315" s="3">
        <v>51</v>
      </c>
      <c r="D1315" s="3">
        <v>953.4</v>
      </c>
      <c r="E1315" s="3" t="s">
        <v>1433</v>
      </c>
      <c r="F1315" s="3">
        <v>953.4</v>
      </c>
    </row>
    <row r="1316" spans="1:6" x14ac:dyDescent="0.25">
      <c r="A1316" s="2">
        <v>51121</v>
      </c>
      <c r="B1316" s="3">
        <v>70</v>
      </c>
      <c r="C1316" s="3">
        <v>51</v>
      </c>
      <c r="D1316" s="3" t="s">
        <v>4</v>
      </c>
      <c r="E1316" s="3" t="s">
        <v>1434</v>
      </c>
      <c r="F1316" s="3" t="s">
        <v>4</v>
      </c>
    </row>
    <row r="1317" spans="1:6" x14ac:dyDescent="0.25">
      <c r="A1317" s="2">
        <v>51122</v>
      </c>
      <c r="B1317" s="3">
        <v>71</v>
      </c>
      <c r="C1317" s="3">
        <v>51</v>
      </c>
      <c r="D1317" s="3">
        <v>235336.32000000001</v>
      </c>
      <c r="E1317" s="3" t="s">
        <v>1435</v>
      </c>
      <c r="F1317" s="3">
        <v>235336.32000000001</v>
      </c>
    </row>
    <row r="1318" spans="1:6" x14ac:dyDescent="0.25">
      <c r="A1318" s="2">
        <v>51123</v>
      </c>
      <c r="B1318" s="3">
        <v>72</v>
      </c>
      <c r="C1318" s="3">
        <v>51</v>
      </c>
      <c r="D1318" s="3" t="s">
        <v>4</v>
      </c>
      <c r="E1318" s="3" t="s">
        <v>1436</v>
      </c>
      <c r="F1318" s="3" t="s">
        <v>4</v>
      </c>
    </row>
    <row r="1319" spans="1:6" x14ac:dyDescent="0.25">
      <c r="A1319" s="2">
        <v>51124</v>
      </c>
      <c r="B1319" s="3">
        <v>73</v>
      </c>
      <c r="C1319" s="3">
        <v>51</v>
      </c>
      <c r="D1319" s="3">
        <v>5201280</v>
      </c>
      <c r="E1319" s="3" t="s">
        <v>1437</v>
      </c>
      <c r="F1319" s="3">
        <v>5201280</v>
      </c>
    </row>
    <row r="1320" spans="1:6" x14ac:dyDescent="0.25">
      <c r="A1320" s="2">
        <v>51125</v>
      </c>
      <c r="B1320" s="3">
        <v>74</v>
      </c>
      <c r="C1320" s="3">
        <v>51</v>
      </c>
      <c r="D1320" s="3">
        <v>87053533.055999994</v>
      </c>
      <c r="E1320" s="3" t="s">
        <v>1438</v>
      </c>
      <c r="F1320" s="3">
        <v>87053533.055999994</v>
      </c>
    </row>
    <row r="1321" spans="1:6" x14ac:dyDescent="0.25">
      <c r="A1321" s="2">
        <v>51126</v>
      </c>
      <c r="B1321" s="3">
        <v>75</v>
      </c>
      <c r="C1321" s="3">
        <v>51</v>
      </c>
      <c r="D1321" s="3">
        <v>1067040</v>
      </c>
      <c r="E1321" s="3" t="s">
        <v>1439</v>
      </c>
      <c r="F1321" s="3">
        <v>1067040</v>
      </c>
    </row>
    <row r="1322" spans="1:6" x14ac:dyDescent="0.25">
      <c r="A1322" s="2">
        <v>51127</v>
      </c>
      <c r="B1322" s="3">
        <v>76</v>
      </c>
      <c r="C1322" s="3">
        <v>51</v>
      </c>
      <c r="D1322" s="3">
        <v>332640</v>
      </c>
      <c r="E1322" s="3" t="s">
        <v>1440</v>
      </c>
      <c r="F1322" s="3">
        <v>332640</v>
      </c>
    </row>
    <row r="1323" spans="1:6" x14ac:dyDescent="0.25">
      <c r="A1323" s="2">
        <v>51128</v>
      </c>
      <c r="B1323" s="3">
        <v>77</v>
      </c>
      <c r="C1323" s="3">
        <v>51</v>
      </c>
      <c r="D1323" s="3">
        <v>32580</v>
      </c>
      <c r="E1323" s="3" t="s">
        <v>1441</v>
      </c>
      <c r="F1323" s="3">
        <v>32580</v>
      </c>
    </row>
    <row r="1324" spans="1:6" x14ac:dyDescent="0.25">
      <c r="A1324" s="2">
        <v>51129</v>
      </c>
      <c r="B1324" s="3">
        <v>78</v>
      </c>
      <c r="C1324" s="3">
        <v>51</v>
      </c>
      <c r="D1324" s="3">
        <v>15717.5999999999</v>
      </c>
      <c r="E1324" s="3" t="s">
        <v>1442</v>
      </c>
      <c r="F1324" s="3">
        <v>15717.5999999999</v>
      </c>
    </row>
    <row r="1325" spans="1:6" x14ac:dyDescent="0.25">
      <c r="A1325" s="2">
        <v>51130</v>
      </c>
      <c r="B1325" s="3">
        <v>79</v>
      </c>
      <c r="C1325" s="3">
        <v>51</v>
      </c>
      <c r="D1325" s="3">
        <v>2370</v>
      </c>
      <c r="E1325" s="3" t="s">
        <v>1443</v>
      </c>
      <c r="F1325" s="3">
        <v>2370</v>
      </c>
    </row>
    <row r="1326" spans="1:6" x14ac:dyDescent="0.25">
      <c r="A1326" s="2">
        <v>51131</v>
      </c>
      <c r="B1326" s="3">
        <v>80</v>
      </c>
      <c r="C1326" s="3">
        <v>51</v>
      </c>
      <c r="D1326" s="3">
        <v>1381.8</v>
      </c>
      <c r="E1326" s="3" t="s">
        <v>1444</v>
      </c>
      <c r="F1326" s="3">
        <v>1381.8</v>
      </c>
    </row>
    <row r="1327" spans="1:6" x14ac:dyDescent="0.25">
      <c r="A1327" s="2">
        <v>51132</v>
      </c>
      <c r="B1327" s="3">
        <v>81</v>
      </c>
      <c r="C1327" s="3">
        <v>51</v>
      </c>
      <c r="D1327" s="3">
        <v>167.4</v>
      </c>
      <c r="E1327" s="3" t="s">
        <v>1445</v>
      </c>
      <c r="F1327" s="3">
        <v>167.4</v>
      </c>
    </row>
    <row r="1328" spans="1:6" x14ac:dyDescent="0.25">
      <c r="A1328" s="2">
        <v>51133</v>
      </c>
      <c r="B1328" s="3">
        <v>82</v>
      </c>
      <c r="C1328" s="3">
        <v>51</v>
      </c>
      <c r="D1328" s="3">
        <v>140.39999999999901</v>
      </c>
      <c r="E1328" s="3" t="s">
        <v>1446</v>
      </c>
      <c r="F1328" s="3">
        <v>140.39999999999901</v>
      </c>
    </row>
    <row r="1329" spans="1:6" x14ac:dyDescent="0.25">
      <c r="A1329" s="2">
        <v>51134</v>
      </c>
      <c r="B1329" s="3">
        <v>83</v>
      </c>
      <c r="C1329" s="3">
        <v>51</v>
      </c>
      <c r="D1329" s="3">
        <v>0.78</v>
      </c>
      <c r="E1329" s="3" t="s">
        <v>1447</v>
      </c>
      <c r="F1329" s="3">
        <v>0.78</v>
      </c>
    </row>
    <row r="1330" spans="1:6" x14ac:dyDescent="0.25">
      <c r="A1330" s="2">
        <v>51135</v>
      </c>
      <c r="B1330" s="3">
        <v>84</v>
      </c>
      <c r="C1330" s="3">
        <v>51</v>
      </c>
      <c r="D1330" s="3">
        <v>1.679</v>
      </c>
      <c r="E1330" s="3" t="s">
        <v>1448</v>
      </c>
      <c r="F1330" s="3">
        <v>1.679</v>
      </c>
    </row>
    <row r="1331" spans="1:6" x14ac:dyDescent="0.25">
      <c r="A1331" s="2">
        <v>51136</v>
      </c>
      <c r="B1331" s="3">
        <v>85</v>
      </c>
      <c r="C1331" s="3">
        <v>51</v>
      </c>
      <c r="D1331" s="3">
        <v>0.92300000000000004</v>
      </c>
      <c r="E1331" s="3" t="s">
        <v>1449</v>
      </c>
      <c r="F1331" s="3">
        <v>0.92300000000000004</v>
      </c>
    </row>
    <row r="1332" spans="1:6" x14ac:dyDescent="0.25">
      <c r="A1332" s="2">
        <v>51137</v>
      </c>
      <c r="B1332" s="3">
        <v>86</v>
      </c>
      <c r="C1332" s="3">
        <v>51</v>
      </c>
      <c r="D1332" s="3">
        <v>0.49199999999999999</v>
      </c>
      <c r="E1332" s="3" t="s">
        <v>1450</v>
      </c>
      <c r="F1332" s="3">
        <v>0.49199999999999999</v>
      </c>
    </row>
    <row r="1333" spans="1:6" x14ac:dyDescent="0.25">
      <c r="A1333" s="2">
        <v>51138</v>
      </c>
      <c r="B1333" s="3">
        <v>87</v>
      </c>
      <c r="C1333" s="3">
        <v>51</v>
      </c>
      <c r="D1333" s="3">
        <v>0.34799999999999998</v>
      </c>
      <c r="E1333" s="3" t="s">
        <v>1451</v>
      </c>
      <c r="F1333" s="3">
        <v>0.34799999999999998</v>
      </c>
    </row>
    <row r="1334" spans="1:6" x14ac:dyDescent="0.25">
      <c r="A1334" s="2">
        <v>51139</v>
      </c>
      <c r="B1334" s="3">
        <v>88</v>
      </c>
      <c r="C1334" s="3">
        <v>51</v>
      </c>
      <c r="D1334" s="3">
        <v>9.2999999999999999E-2</v>
      </c>
      <c r="E1334" s="3" t="s">
        <v>1452</v>
      </c>
      <c r="F1334" s="3">
        <v>9.2999999999999999E-2</v>
      </c>
    </row>
    <row r="1335" spans="1:6" x14ac:dyDescent="0.25">
      <c r="A1335" s="2">
        <v>51140</v>
      </c>
      <c r="B1335" s="3">
        <v>89</v>
      </c>
      <c r="C1335" s="3">
        <v>51</v>
      </c>
      <c r="D1335" s="3">
        <v>4.0699999999999998E-7</v>
      </c>
      <c r="E1335" s="3" t="s">
        <v>1453</v>
      </c>
      <c r="F1335" s="3">
        <v>4.0699999999999998E-7</v>
      </c>
    </row>
    <row r="1336" spans="1:6" x14ac:dyDescent="0.25">
      <c r="A1336" s="2">
        <v>52105</v>
      </c>
      <c r="B1336" s="3">
        <v>53</v>
      </c>
      <c r="C1336" s="3">
        <v>52</v>
      </c>
      <c r="D1336" s="3">
        <v>6.1999999999999999E-7</v>
      </c>
      <c r="E1336" s="3" t="s">
        <v>1454</v>
      </c>
      <c r="F1336" s="3">
        <v>6.1999999999999999E-7</v>
      </c>
    </row>
    <row r="1337" spans="1:6" x14ac:dyDescent="0.25">
      <c r="A1337" s="2">
        <v>52106</v>
      </c>
      <c r="B1337" s="3">
        <v>54</v>
      </c>
      <c r="C1337" s="3">
        <v>52</v>
      </c>
      <c r="D1337" s="3">
        <v>6.9999999999999994E-5</v>
      </c>
      <c r="E1337" s="3" t="s">
        <v>1455</v>
      </c>
      <c r="F1337" s="3">
        <v>6.9999999999999994E-5</v>
      </c>
    </row>
    <row r="1338" spans="1:6" x14ac:dyDescent="0.25">
      <c r="A1338" s="2">
        <v>52107</v>
      </c>
      <c r="B1338" s="3">
        <v>55</v>
      </c>
      <c r="C1338" s="3">
        <v>52</v>
      </c>
      <c r="D1338" s="3">
        <v>3.0999999999999999E-3</v>
      </c>
      <c r="E1338" s="3" t="s">
        <v>1456</v>
      </c>
      <c r="F1338" s="3">
        <v>3.0999999999999999E-3</v>
      </c>
    </row>
    <row r="1339" spans="1:6" x14ac:dyDescent="0.25">
      <c r="A1339" s="2">
        <v>52108</v>
      </c>
      <c r="B1339" s="3">
        <v>56</v>
      </c>
      <c r="C1339" s="3">
        <v>52</v>
      </c>
      <c r="D1339" s="3">
        <v>2.1</v>
      </c>
      <c r="E1339" s="3" t="s">
        <v>1457</v>
      </c>
      <c r="F1339" s="3">
        <v>2.1</v>
      </c>
    </row>
    <row r="1340" spans="1:6" x14ac:dyDescent="0.25">
      <c r="A1340" s="2">
        <v>52109</v>
      </c>
      <c r="B1340" s="3">
        <v>57</v>
      </c>
      <c r="C1340" s="3">
        <v>52</v>
      </c>
      <c r="D1340" s="3">
        <v>4.5999999999999996</v>
      </c>
      <c r="E1340" s="3" t="s">
        <v>1458</v>
      </c>
      <c r="F1340" s="3">
        <v>4.5999999999999996</v>
      </c>
    </row>
    <row r="1341" spans="1:6" x14ac:dyDescent="0.25">
      <c r="A1341" s="2">
        <v>52110</v>
      </c>
      <c r="B1341" s="3">
        <v>58</v>
      </c>
      <c r="C1341" s="3">
        <v>52</v>
      </c>
      <c r="D1341" s="3">
        <v>18.600000000000001</v>
      </c>
      <c r="E1341" s="3" t="s">
        <v>1459</v>
      </c>
      <c r="F1341" s="3">
        <v>18.600000000000001</v>
      </c>
    </row>
    <row r="1342" spans="1:6" x14ac:dyDescent="0.25">
      <c r="A1342" s="2">
        <v>52111</v>
      </c>
      <c r="B1342" s="3">
        <v>59</v>
      </c>
      <c r="C1342" s="3">
        <v>52</v>
      </c>
      <c r="D1342" s="3">
        <v>19.3</v>
      </c>
      <c r="E1342" s="3" t="s">
        <v>1460</v>
      </c>
      <c r="F1342" s="3">
        <v>19.3</v>
      </c>
    </row>
    <row r="1343" spans="1:6" x14ac:dyDescent="0.25">
      <c r="A1343" s="2">
        <v>52112</v>
      </c>
      <c r="B1343" s="3">
        <v>60</v>
      </c>
      <c r="C1343" s="3">
        <v>52</v>
      </c>
      <c r="D1343" s="3">
        <v>120</v>
      </c>
      <c r="E1343" s="3" t="s">
        <v>1461</v>
      </c>
      <c r="F1343" s="3">
        <v>120</v>
      </c>
    </row>
    <row r="1344" spans="1:6" x14ac:dyDescent="0.25">
      <c r="A1344" s="2">
        <v>52113</v>
      </c>
      <c r="B1344" s="3">
        <v>61</v>
      </c>
      <c r="C1344" s="3">
        <v>52</v>
      </c>
      <c r="D1344" s="3">
        <v>102</v>
      </c>
      <c r="E1344" s="3" t="s">
        <v>1462</v>
      </c>
      <c r="F1344" s="3">
        <v>102</v>
      </c>
    </row>
    <row r="1345" spans="1:6" x14ac:dyDescent="0.25">
      <c r="A1345" s="2">
        <v>52114</v>
      </c>
      <c r="B1345" s="3">
        <v>62</v>
      </c>
      <c r="C1345" s="3">
        <v>52</v>
      </c>
      <c r="D1345" s="3">
        <v>912</v>
      </c>
      <c r="E1345" s="3" t="s">
        <v>1463</v>
      </c>
      <c r="F1345" s="3">
        <v>912</v>
      </c>
    </row>
    <row r="1346" spans="1:6" x14ac:dyDescent="0.25">
      <c r="A1346" s="2">
        <v>52115</v>
      </c>
      <c r="B1346" s="3">
        <v>63</v>
      </c>
      <c r="C1346" s="3">
        <v>52</v>
      </c>
      <c r="D1346" s="3">
        <v>348</v>
      </c>
      <c r="E1346" s="3" t="s">
        <v>1464</v>
      </c>
      <c r="F1346" s="3">
        <v>348</v>
      </c>
    </row>
    <row r="1347" spans="1:6" x14ac:dyDescent="0.25">
      <c r="A1347" s="2">
        <v>52116</v>
      </c>
      <c r="B1347" s="3">
        <v>64</v>
      </c>
      <c r="C1347" s="3">
        <v>52</v>
      </c>
      <c r="D1347" s="3">
        <v>8964</v>
      </c>
      <c r="E1347" s="3" t="s">
        <v>1465</v>
      </c>
      <c r="F1347" s="3">
        <v>8964</v>
      </c>
    </row>
    <row r="1348" spans="1:6" x14ac:dyDescent="0.25">
      <c r="A1348" s="2">
        <v>52117</v>
      </c>
      <c r="B1348" s="3">
        <v>65</v>
      </c>
      <c r="C1348" s="3">
        <v>52</v>
      </c>
      <c r="D1348" s="3">
        <v>3720</v>
      </c>
      <c r="E1348" s="3" t="s">
        <v>1466</v>
      </c>
      <c r="F1348" s="3">
        <v>3720</v>
      </c>
    </row>
    <row r="1349" spans="1:6" x14ac:dyDescent="0.25">
      <c r="A1349" s="2">
        <v>52118</v>
      </c>
      <c r="B1349" s="3">
        <v>66</v>
      </c>
      <c r="C1349" s="3">
        <v>52</v>
      </c>
      <c r="D1349" s="3">
        <v>518400</v>
      </c>
      <c r="E1349" s="3" t="s">
        <v>1467</v>
      </c>
      <c r="F1349" s="3">
        <v>518400</v>
      </c>
    </row>
    <row r="1350" spans="1:6" x14ac:dyDescent="0.25">
      <c r="A1350" s="2">
        <v>52119</v>
      </c>
      <c r="B1350" s="3">
        <v>67</v>
      </c>
      <c r="C1350" s="3">
        <v>52</v>
      </c>
      <c r="D1350" s="3">
        <v>57780</v>
      </c>
      <c r="E1350" s="3" t="s">
        <v>1468</v>
      </c>
      <c r="F1350" s="3">
        <v>57780</v>
      </c>
    </row>
    <row r="1351" spans="1:6" x14ac:dyDescent="0.25">
      <c r="A1351" s="2">
        <v>52120</v>
      </c>
      <c r="B1351" s="3">
        <v>68</v>
      </c>
      <c r="C1351" s="3">
        <v>52</v>
      </c>
      <c r="D1351" s="3" t="s">
        <v>4</v>
      </c>
      <c r="E1351" s="3" t="s">
        <v>1469</v>
      </c>
      <c r="F1351" s="3" t="s">
        <v>4</v>
      </c>
    </row>
    <row r="1352" spans="1:6" x14ac:dyDescent="0.25">
      <c r="A1352" s="2">
        <v>52121</v>
      </c>
      <c r="B1352" s="3">
        <v>69</v>
      </c>
      <c r="C1352" s="3">
        <v>52</v>
      </c>
      <c r="D1352" s="3">
        <v>1656288</v>
      </c>
      <c r="E1352" s="3" t="s">
        <v>1470</v>
      </c>
      <c r="F1352" s="3">
        <v>1656288</v>
      </c>
    </row>
    <row r="1353" spans="1:6" x14ac:dyDescent="0.25">
      <c r="A1353" s="2">
        <v>52122</v>
      </c>
      <c r="B1353" s="3">
        <v>70</v>
      </c>
      <c r="C1353" s="3">
        <v>52</v>
      </c>
      <c r="D1353" s="3" t="s">
        <v>4</v>
      </c>
      <c r="E1353" s="3" t="s">
        <v>1471</v>
      </c>
      <c r="F1353" s="3" t="s">
        <v>4</v>
      </c>
    </row>
    <row r="1354" spans="1:6" x14ac:dyDescent="0.25">
      <c r="A1354" s="2">
        <v>52123</v>
      </c>
      <c r="B1354" s="3">
        <v>71</v>
      </c>
      <c r="C1354" s="3">
        <v>52</v>
      </c>
      <c r="D1354" s="3">
        <v>2.9032991999999999E+24</v>
      </c>
      <c r="E1354" s="3" t="s">
        <v>1472</v>
      </c>
      <c r="F1354" s="3">
        <v>2.9032991999999999E+24</v>
      </c>
    </row>
    <row r="1355" spans="1:6" x14ac:dyDescent="0.25">
      <c r="A1355" s="2">
        <v>52124</v>
      </c>
      <c r="B1355" s="3">
        <v>72</v>
      </c>
      <c r="C1355" s="3">
        <v>52</v>
      </c>
      <c r="D1355" s="3" t="s">
        <v>4</v>
      </c>
      <c r="E1355" s="3" t="s">
        <v>1473</v>
      </c>
      <c r="F1355" s="3" t="s">
        <v>4</v>
      </c>
    </row>
    <row r="1356" spans="1:6" x14ac:dyDescent="0.25">
      <c r="A1356" s="2">
        <v>52125</v>
      </c>
      <c r="B1356" s="3">
        <v>73</v>
      </c>
      <c r="C1356" s="3">
        <v>52</v>
      </c>
      <c r="D1356" s="3" t="s">
        <v>4</v>
      </c>
      <c r="E1356" s="3" t="s">
        <v>1474</v>
      </c>
      <c r="F1356" s="3" t="s">
        <v>4</v>
      </c>
    </row>
    <row r="1357" spans="1:6" x14ac:dyDescent="0.25">
      <c r="A1357" s="2">
        <v>52126</v>
      </c>
      <c r="B1357" s="3">
        <v>74</v>
      </c>
      <c r="C1357" s="3">
        <v>52</v>
      </c>
      <c r="D1357" s="3" t="s">
        <v>4</v>
      </c>
      <c r="E1357" s="3" t="s">
        <v>1475</v>
      </c>
      <c r="F1357" s="3" t="s">
        <v>4</v>
      </c>
    </row>
    <row r="1358" spans="1:6" x14ac:dyDescent="0.25">
      <c r="A1358" s="2">
        <v>52127</v>
      </c>
      <c r="B1358" s="3">
        <v>75</v>
      </c>
      <c r="C1358" s="3">
        <v>52</v>
      </c>
      <c r="D1358" s="3">
        <v>33660</v>
      </c>
      <c r="E1358" s="3" t="s">
        <v>1476</v>
      </c>
      <c r="F1358" s="3">
        <v>33660</v>
      </c>
    </row>
    <row r="1359" spans="1:6" x14ac:dyDescent="0.25">
      <c r="A1359" s="2">
        <v>52128</v>
      </c>
      <c r="B1359" s="3">
        <v>76</v>
      </c>
      <c r="C1359" s="3">
        <v>52</v>
      </c>
      <c r="D1359" s="3">
        <v>7.6053815999999996E+31</v>
      </c>
      <c r="E1359" s="3" t="s">
        <v>1477</v>
      </c>
      <c r="F1359" s="3">
        <v>7.6053815999999996E+31</v>
      </c>
    </row>
    <row r="1360" spans="1:6" x14ac:dyDescent="0.25">
      <c r="A1360" s="2">
        <v>52129</v>
      </c>
      <c r="B1360" s="3">
        <v>77</v>
      </c>
      <c r="C1360" s="3">
        <v>52</v>
      </c>
      <c r="D1360" s="3">
        <v>4194</v>
      </c>
      <c r="E1360" s="3" t="s">
        <v>1478</v>
      </c>
      <c r="F1360" s="3">
        <v>4194</v>
      </c>
    </row>
    <row r="1361" spans="1:6" x14ac:dyDescent="0.25">
      <c r="A1361" s="2">
        <v>52130</v>
      </c>
      <c r="B1361" s="3">
        <v>78</v>
      </c>
      <c r="C1361" s="3">
        <v>52</v>
      </c>
      <c r="D1361" s="3">
        <v>9.46728E+31</v>
      </c>
      <c r="E1361" s="3" t="s">
        <v>1479</v>
      </c>
      <c r="F1361" s="3">
        <v>9.46728E+31</v>
      </c>
    </row>
    <row r="1362" spans="1:6" x14ac:dyDescent="0.25">
      <c r="A1362" s="2">
        <v>52131</v>
      </c>
      <c r="B1362" s="3">
        <v>79</v>
      </c>
      <c r="C1362" s="3">
        <v>52</v>
      </c>
      <c r="D1362" s="3">
        <v>1500</v>
      </c>
      <c r="E1362" s="3" t="s">
        <v>1480</v>
      </c>
      <c r="F1362" s="3">
        <v>1500</v>
      </c>
    </row>
    <row r="1363" spans="1:6" x14ac:dyDescent="0.25">
      <c r="A1363" s="2">
        <v>52132</v>
      </c>
      <c r="B1363" s="3">
        <v>80</v>
      </c>
      <c r="C1363" s="3">
        <v>52</v>
      </c>
      <c r="D1363" s="3">
        <v>276825.59999999998</v>
      </c>
      <c r="E1363" s="3" t="s">
        <v>1481</v>
      </c>
      <c r="F1363" s="3">
        <v>276825.59999999998</v>
      </c>
    </row>
    <row r="1364" spans="1:6" x14ac:dyDescent="0.25">
      <c r="A1364" s="2">
        <v>52133</v>
      </c>
      <c r="B1364" s="3">
        <v>81</v>
      </c>
      <c r="C1364" s="3">
        <v>52</v>
      </c>
      <c r="D1364" s="3">
        <v>750</v>
      </c>
      <c r="E1364" s="3" t="s">
        <v>1482</v>
      </c>
      <c r="F1364" s="3">
        <v>750</v>
      </c>
    </row>
    <row r="1365" spans="1:6" x14ac:dyDescent="0.25">
      <c r="A1365" s="2">
        <v>52134</v>
      </c>
      <c r="B1365" s="3">
        <v>82</v>
      </c>
      <c r="C1365" s="3">
        <v>52</v>
      </c>
      <c r="D1365" s="3">
        <v>2508</v>
      </c>
      <c r="E1365" s="3" t="s">
        <v>1483</v>
      </c>
      <c r="F1365" s="3">
        <v>2508</v>
      </c>
    </row>
    <row r="1366" spans="1:6" x14ac:dyDescent="0.25">
      <c r="A1366" s="2">
        <v>52135</v>
      </c>
      <c r="B1366" s="3">
        <v>83</v>
      </c>
      <c r="C1366" s="3">
        <v>52</v>
      </c>
      <c r="D1366" s="3">
        <v>19</v>
      </c>
      <c r="E1366" s="3" t="s">
        <v>1484</v>
      </c>
      <c r="F1366" s="3">
        <v>19</v>
      </c>
    </row>
    <row r="1367" spans="1:6" x14ac:dyDescent="0.25">
      <c r="A1367" s="2">
        <v>52136</v>
      </c>
      <c r="B1367" s="3">
        <v>84</v>
      </c>
      <c r="C1367" s="3">
        <v>52</v>
      </c>
      <c r="D1367" s="3">
        <v>17.63</v>
      </c>
      <c r="E1367" s="3" t="s">
        <v>1485</v>
      </c>
      <c r="F1367" s="3">
        <v>17.63</v>
      </c>
    </row>
    <row r="1368" spans="1:6" x14ac:dyDescent="0.25">
      <c r="A1368" s="2">
        <v>52137</v>
      </c>
      <c r="B1368" s="3">
        <v>85</v>
      </c>
      <c r="C1368" s="3">
        <v>52</v>
      </c>
      <c r="D1368" s="3">
        <v>2.4900000000000002</v>
      </c>
      <c r="E1368" s="3" t="s">
        <v>1486</v>
      </c>
      <c r="F1368" s="3">
        <v>2.4900000000000002</v>
      </c>
    </row>
    <row r="1369" spans="1:6" x14ac:dyDescent="0.25">
      <c r="A1369" s="2">
        <v>52138</v>
      </c>
      <c r="B1369" s="3">
        <v>86</v>
      </c>
      <c r="C1369" s="3">
        <v>52</v>
      </c>
      <c r="D1369" s="3">
        <v>1.4</v>
      </c>
      <c r="E1369" s="3" t="s">
        <v>1487</v>
      </c>
      <c r="F1369" s="3">
        <v>1.4</v>
      </c>
    </row>
    <row r="1370" spans="1:6" x14ac:dyDescent="0.25">
      <c r="A1370" s="2">
        <v>52139</v>
      </c>
      <c r="B1370" s="3">
        <v>87</v>
      </c>
      <c r="C1370" s="3">
        <v>52</v>
      </c>
      <c r="D1370" s="3">
        <v>1.4999999999999999E-7</v>
      </c>
      <c r="E1370" s="3" t="s">
        <v>1488</v>
      </c>
      <c r="F1370" s="3">
        <v>1.4999999999999999E-7</v>
      </c>
    </row>
    <row r="1371" spans="1:6" x14ac:dyDescent="0.25">
      <c r="A1371" s="2">
        <v>52140</v>
      </c>
      <c r="B1371" s="3">
        <v>88</v>
      </c>
      <c r="C1371" s="3">
        <v>52</v>
      </c>
      <c r="D1371" s="3">
        <v>2.9999999999999999E-7</v>
      </c>
      <c r="E1371" s="3" t="s">
        <v>1489</v>
      </c>
      <c r="F1371" s="3">
        <v>2.9999999999999999E-7</v>
      </c>
    </row>
    <row r="1372" spans="1:6" x14ac:dyDescent="0.25">
      <c r="A1372" s="2">
        <v>52141</v>
      </c>
      <c r="B1372" s="3">
        <v>89</v>
      </c>
      <c r="C1372" s="3">
        <v>52</v>
      </c>
      <c r="D1372" s="3">
        <v>1.4999999999999999E-7</v>
      </c>
      <c r="E1372" s="3" t="s">
        <v>1490</v>
      </c>
      <c r="F1372" s="3">
        <v>1.4999999999999999E-7</v>
      </c>
    </row>
    <row r="1373" spans="1:6" x14ac:dyDescent="0.25">
      <c r="A1373" s="2">
        <v>52143</v>
      </c>
      <c r="B1373" s="3">
        <v>91</v>
      </c>
      <c r="C1373" s="3">
        <v>52</v>
      </c>
      <c r="D1373" s="3">
        <v>4.08E-7</v>
      </c>
      <c r="E1373" s="3" t="s">
        <v>1491</v>
      </c>
      <c r="F1373" s="3">
        <v>4.08E-7</v>
      </c>
    </row>
    <row r="1374" spans="1:6" x14ac:dyDescent="0.25">
      <c r="A1374" s="2">
        <v>53108</v>
      </c>
      <c r="B1374" s="3">
        <v>55</v>
      </c>
      <c r="C1374" s="3">
        <v>53</v>
      </c>
      <c r="D1374" s="3">
        <v>3.5999999999999997E-2</v>
      </c>
      <c r="E1374" s="3" t="s">
        <v>1492</v>
      </c>
      <c r="F1374" s="3">
        <v>3.5999999999999997E-2</v>
      </c>
    </row>
    <row r="1375" spans="1:6" x14ac:dyDescent="0.25">
      <c r="A1375" s="2">
        <v>53109</v>
      </c>
      <c r="B1375" s="3">
        <v>56</v>
      </c>
      <c r="C1375" s="3">
        <v>53</v>
      </c>
      <c r="D1375" s="3">
        <v>9.3499999999999996E-5</v>
      </c>
      <c r="E1375" s="3" t="s">
        <v>1493</v>
      </c>
      <c r="F1375" s="3">
        <v>9.3499999999999996E-5</v>
      </c>
    </row>
    <row r="1376" spans="1:6" x14ac:dyDescent="0.25">
      <c r="A1376" s="2">
        <v>53110</v>
      </c>
      <c r="B1376" s="3">
        <v>57</v>
      </c>
      <c r="C1376" s="3">
        <v>53</v>
      </c>
      <c r="D1376" s="3">
        <v>0.65</v>
      </c>
      <c r="E1376" s="3" t="s">
        <v>1494</v>
      </c>
      <c r="F1376" s="3">
        <v>0.65</v>
      </c>
    </row>
    <row r="1377" spans="1:6" x14ac:dyDescent="0.25">
      <c r="A1377" s="2">
        <v>53111</v>
      </c>
      <c r="B1377" s="3">
        <v>58</v>
      </c>
      <c r="C1377" s="3">
        <v>53</v>
      </c>
      <c r="D1377" s="3">
        <v>2.5</v>
      </c>
      <c r="E1377" s="3" t="s">
        <v>1495</v>
      </c>
      <c r="F1377" s="3">
        <v>2.5</v>
      </c>
    </row>
    <row r="1378" spans="1:6" x14ac:dyDescent="0.25">
      <c r="A1378" s="2">
        <v>53112</v>
      </c>
      <c r="B1378" s="3">
        <v>59</v>
      </c>
      <c r="C1378" s="3">
        <v>53</v>
      </c>
      <c r="D1378" s="3">
        <v>3.34</v>
      </c>
      <c r="E1378" s="3" t="s">
        <v>1496</v>
      </c>
      <c r="F1378" s="3">
        <v>3.34</v>
      </c>
    </row>
    <row r="1379" spans="1:6" x14ac:dyDescent="0.25">
      <c r="A1379" s="2">
        <v>53113</v>
      </c>
      <c r="B1379" s="3">
        <v>60</v>
      </c>
      <c r="C1379" s="3">
        <v>53</v>
      </c>
      <c r="D1379" s="3">
        <v>6.6</v>
      </c>
      <c r="E1379" s="3" t="s">
        <v>1497</v>
      </c>
      <c r="F1379" s="3">
        <v>6.6</v>
      </c>
    </row>
    <row r="1380" spans="1:6" x14ac:dyDescent="0.25">
      <c r="A1380" s="2">
        <v>53114</v>
      </c>
      <c r="B1380" s="3">
        <v>61</v>
      </c>
      <c r="C1380" s="3">
        <v>53</v>
      </c>
      <c r="D1380" s="3">
        <v>2.1</v>
      </c>
      <c r="E1380" s="3" t="s">
        <v>1498</v>
      </c>
      <c r="F1380" s="3">
        <v>2.1</v>
      </c>
    </row>
    <row r="1381" spans="1:6" x14ac:dyDescent="0.25">
      <c r="A1381" s="2">
        <v>53115</v>
      </c>
      <c r="B1381" s="3">
        <v>62</v>
      </c>
      <c r="C1381" s="3">
        <v>53</v>
      </c>
      <c r="D1381" s="3">
        <v>78</v>
      </c>
      <c r="E1381" s="3" t="s">
        <v>1499</v>
      </c>
      <c r="F1381" s="3">
        <v>78</v>
      </c>
    </row>
    <row r="1382" spans="1:6" x14ac:dyDescent="0.25">
      <c r="A1382" s="2">
        <v>53116</v>
      </c>
      <c r="B1382" s="3">
        <v>63</v>
      </c>
      <c r="C1382" s="3">
        <v>53</v>
      </c>
      <c r="D1382" s="3">
        <v>2.91</v>
      </c>
      <c r="E1382" s="3" t="s">
        <v>1500</v>
      </c>
      <c r="F1382" s="3">
        <v>2.91</v>
      </c>
    </row>
    <row r="1383" spans="1:6" x14ac:dyDescent="0.25">
      <c r="A1383" s="2">
        <v>53117</v>
      </c>
      <c r="B1383" s="3">
        <v>64</v>
      </c>
      <c r="C1383" s="3">
        <v>53</v>
      </c>
      <c r="D1383" s="3">
        <v>133.19999999999999</v>
      </c>
      <c r="E1383" s="3" t="s">
        <v>1501</v>
      </c>
      <c r="F1383" s="3">
        <v>133.19999999999999</v>
      </c>
    </row>
    <row r="1384" spans="1:6" x14ac:dyDescent="0.25">
      <c r="A1384" s="2">
        <v>53118</v>
      </c>
      <c r="B1384" s="3">
        <v>65</v>
      </c>
      <c r="C1384" s="3">
        <v>53</v>
      </c>
      <c r="D1384" s="3">
        <v>822</v>
      </c>
      <c r="E1384" s="3" t="s">
        <v>1502</v>
      </c>
      <c r="F1384" s="3">
        <v>822</v>
      </c>
    </row>
    <row r="1385" spans="1:6" x14ac:dyDescent="0.25">
      <c r="A1385" s="2">
        <v>53119</v>
      </c>
      <c r="B1385" s="3">
        <v>66</v>
      </c>
      <c r="C1385" s="3">
        <v>53</v>
      </c>
      <c r="D1385" s="3">
        <v>1146</v>
      </c>
      <c r="E1385" s="3" t="s">
        <v>1503</v>
      </c>
      <c r="F1385" s="3">
        <v>1146</v>
      </c>
    </row>
    <row r="1386" spans="1:6" x14ac:dyDescent="0.25">
      <c r="A1386" s="2">
        <v>53120</v>
      </c>
      <c r="B1386" s="3">
        <v>67</v>
      </c>
      <c r="C1386" s="3">
        <v>53</v>
      </c>
      <c r="D1386" s="3">
        <v>4896</v>
      </c>
      <c r="E1386" s="3" t="s">
        <v>1504</v>
      </c>
      <c r="F1386" s="3">
        <v>4896</v>
      </c>
    </row>
    <row r="1387" spans="1:6" x14ac:dyDescent="0.25">
      <c r="A1387" s="2">
        <v>53121</v>
      </c>
      <c r="B1387" s="3">
        <v>68</v>
      </c>
      <c r="C1387" s="3">
        <v>53</v>
      </c>
      <c r="D1387" s="3">
        <v>7632</v>
      </c>
      <c r="E1387" s="3" t="s">
        <v>1505</v>
      </c>
      <c r="F1387" s="3">
        <v>7632</v>
      </c>
    </row>
    <row r="1388" spans="1:6" x14ac:dyDescent="0.25">
      <c r="A1388" s="2">
        <v>53122</v>
      </c>
      <c r="B1388" s="3">
        <v>69</v>
      </c>
      <c r="C1388" s="3">
        <v>53</v>
      </c>
      <c r="D1388" s="3">
        <v>217.79999999999899</v>
      </c>
      <c r="E1388" s="3" t="s">
        <v>1506</v>
      </c>
      <c r="F1388" s="3">
        <v>217.79999999999899</v>
      </c>
    </row>
    <row r="1389" spans="1:6" x14ac:dyDescent="0.25">
      <c r="A1389" s="2">
        <v>53123</v>
      </c>
      <c r="B1389" s="3">
        <v>70</v>
      </c>
      <c r="C1389" s="3">
        <v>53</v>
      </c>
      <c r="D1389" s="3">
        <v>47604.6</v>
      </c>
      <c r="E1389" s="3" t="s">
        <v>1507</v>
      </c>
      <c r="F1389" s="3">
        <v>47604.6</v>
      </c>
    </row>
    <row r="1390" spans="1:6" x14ac:dyDescent="0.25">
      <c r="A1390" s="2">
        <v>53124</v>
      </c>
      <c r="B1390" s="3">
        <v>71</v>
      </c>
      <c r="C1390" s="3">
        <v>53</v>
      </c>
      <c r="D1390" s="3">
        <v>360806.40000000002</v>
      </c>
      <c r="E1390" s="3" t="s">
        <v>1508</v>
      </c>
      <c r="F1390" s="3">
        <v>360806.40000000002</v>
      </c>
    </row>
    <row r="1391" spans="1:6" x14ac:dyDescent="0.25">
      <c r="A1391" s="2">
        <v>53125</v>
      </c>
      <c r="B1391" s="3">
        <v>72</v>
      </c>
      <c r="C1391" s="3">
        <v>53</v>
      </c>
      <c r="D1391" s="3">
        <v>5132764.8</v>
      </c>
      <c r="E1391" s="3" t="s">
        <v>1509</v>
      </c>
      <c r="F1391" s="3">
        <v>5132764.8</v>
      </c>
    </row>
    <row r="1392" spans="1:6" x14ac:dyDescent="0.25">
      <c r="A1392" s="2">
        <v>53126</v>
      </c>
      <c r="B1392" s="3">
        <v>73</v>
      </c>
      <c r="C1392" s="3">
        <v>53</v>
      </c>
      <c r="D1392" s="3">
        <v>1117152</v>
      </c>
      <c r="E1392" s="3" t="s">
        <v>1510</v>
      </c>
      <c r="F1392" s="3">
        <v>1117152</v>
      </c>
    </row>
    <row r="1393" spans="1:6" x14ac:dyDescent="0.25">
      <c r="A1393" s="2">
        <v>53127</v>
      </c>
      <c r="B1393" s="3">
        <v>74</v>
      </c>
      <c r="C1393" s="3">
        <v>53</v>
      </c>
      <c r="D1393" s="3" t="s">
        <v>4</v>
      </c>
      <c r="E1393" s="3" t="s">
        <v>1511</v>
      </c>
      <c r="F1393" s="3" t="s">
        <v>4</v>
      </c>
    </row>
    <row r="1394" spans="1:6" x14ac:dyDescent="0.25">
      <c r="A1394" s="2">
        <v>53128</v>
      </c>
      <c r="B1394" s="3">
        <v>75</v>
      </c>
      <c r="C1394" s="3">
        <v>53</v>
      </c>
      <c r="D1394" s="3">
        <v>1499.3999999999901</v>
      </c>
      <c r="E1394" s="3" t="s">
        <v>1512</v>
      </c>
      <c r="F1394" s="3">
        <v>1499.3999999999901</v>
      </c>
    </row>
    <row r="1395" spans="1:6" x14ac:dyDescent="0.25">
      <c r="A1395" s="2">
        <v>53129</v>
      </c>
      <c r="B1395" s="3">
        <v>76</v>
      </c>
      <c r="C1395" s="3">
        <v>53</v>
      </c>
      <c r="D1395" s="3">
        <v>495454320000000</v>
      </c>
      <c r="E1395" s="3" t="s">
        <v>1513</v>
      </c>
      <c r="F1395" s="3">
        <v>495454320000000</v>
      </c>
    </row>
    <row r="1396" spans="1:6" x14ac:dyDescent="0.25">
      <c r="A1396" s="2">
        <v>53130</v>
      </c>
      <c r="B1396" s="3">
        <v>77</v>
      </c>
      <c r="C1396" s="3">
        <v>53</v>
      </c>
      <c r="D1396" s="3">
        <v>44496</v>
      </c>
      <c r="E1396" s="3" t="s">
        <v>1514</v>
      </c>
      <c r="F1396" s="3">
        <v>44496</v>
      </c>
    </row>
    <row r="1397" spans="1:6" x14ac:dyDescent="0.25">
      <c r="A1397" s="2">
        <v>53131</v>
      </c>
      <c r="B1397" s="3">
        <v>78</v>
      </c>
      <c r="C1397" s="3">
        <v>53</v>
      </c>
      <c r="D1397" s="3">
        <v>693377.28</v>
      </c>
      <c r="E1397" s="3" t="s">
        <v>1515</v>
      </c>
      <c r="F1397" s="3">
        <v>693377.28</v>
      </c>
    </row>
    <row r="1398" spans="1:6" x14ac:dyDescent="0.25">
      <c r="A1398" s="2">
        <v>53132</v>
      </c>
      <c r="B1398" s="3">
        <v>79</v>
      </c>
      <c r="C1398" s="3">
        <v>53</v>
      </c>
      <c r="D1398" s="3">
        <v>8262</v>
      </c>
      <c r="E1398" s="3" t="s">
        <v>1516</v>
      </c>
      <c r="F1398" s="3">
        <v>8262</v>
      </c>
    </row>
    <row r="1399" spans="1:6" x14ac:dyDescent="0.25">
      <c r="A1399" s="2">
        <v>53133</v>
      </c>
      <c r="B1399" s="3">
        <v>80</v>
      </c>
      <c r="C1399" s="3">
        <v>53</v>
      </c>
      <c r="D1399" s="3">
        <v>74988</v>
      </c>
      <c r="E1399" s="3" t="s">
        <v>1517</v>
      </c>
      <c r="F1399" s="3">
        <v>74988</v>
      </c>
    </row>
    <row r="1400" spans="1:6" x14ac:dyDescent="0.25">
      <c r="A1400" s="2">
        <v>53134</v>
      </c>
      <c r="B1400" s="3">
        <v>81</v>
      </c>
      <c r="C1400" s="3">
        <v>53</v>
      </c>
      <c r="D1400" s="3">
        <v>3150</v>
      </c>
      <c r="E1400" s="3" t="s">
        <v>1518</v>
      </c>
      <c r="F1400" s="3">
        <v>3150</v>
      </c>
    </row>
    <row r="1401" spans="1:6" x14ac:dyDescent="0.25">
      <c r="A1401" s="2">
        <v>53135</v>
      </c>
      <c r="B1401" s="3">
        <v>82</v>
      </c>
      <c r="C1401" s="3">
        <v>53</v>
      </c>
      <c r="D1401" s="3">
        <v>23688</v>
      </c>
      <c r="E1401" s="3" t="s">
        <v>1519</v>
      </c>
      <c r="F1401" s="3">
        <v>23688</v>
      </c>
    </row>
    <row r="1402" spans="1:6" x14ac:dyDescent="0.25">
      <c r="A1402" s="2">
        <v>53136</v>
      </c>
      <c r="B1402" s="3">
        <v>83</v>
      </c>
      <c r="C1402" s="3">
        <v>53</v>
      </c>
      <c r="D1402" s="3">
        <v>83.4</v>
      </c>
      <c r="E1402" s="3" t="s">
        <v>1520</v>
      </c>
      <c r="F1402" s="3">
        <v>83.4</v>
      </c>
    </row>
    <row r="1403" spans="1:6" x14ac:dyDescent="0.25">
      <c r="A1403" s="2">
        <v>53137</v>
      </c>
      <c r="B1403" s="3">
        <v>84</v>
      </c>
      <c r="C1403" s="3">
        <v>53</v>
      </c>
      <c r="D1403" s="3">
        <v>24.5</v>
      </c>
      <c r="E1403" s="3" t="s">
        <v>1521</v>
      </c>
      <c r="F1403" s="3">
        <v>24.5</v>
      </c>
    </row>
    <row r="1404" spans="1:6" x14ac:dyDescent="0.25">
      <c r="A1404" s="2">
        <v>53138</v>
      </c>
      <c r="B1404" s="3">
        <v>85</v>
      </c>
      <c r="C1404" s="3">
        <v>53</v>
      </c>
      <c r="D1404" s="3">
        <v>6.23</v>
      </c>
      <c r="E1404" s="3" t="s">
        <v>1522</v>
      </c>
      <c r="F1404" s="3">
        <v>6.23</v>
      </c>
    </row>
    <row r="1405" spans="1:6" x14ac:dyDescent="0.25">
      <c r="A1405" s="2">
        <v>53139</v>
      </c>
      <c r="B1405" s="3">
        <v>86</v>
      </c>
      <c r="C1405" s="3">
        <v>53</v>
      </c>
      <c r="D1405" s="3">
        <v>2.2799999999999998</v>
      </c>
      <c r="E1405" s="3" t="s">
        <v>1523</v>
      </c>
      <c r="F1405" s="3">
        <v>2.2799999999999998</v>
      </c>
    </row>
    <row r="1406" spans="1:6" x14ac:dyDescent="0.25">
      <c r="A1406" s="2">
        <v>53140</v>
      </c>
      <c r="B1406" s="3">
        <v>87</v>
      </c>
      <c r="C1406" s="3">
        <v>53</v>
      </c>
      <c r="D1406" s="3">
        <v>0.86</v>
      </c>
      <c r="E1406" s="3" t="s">
        <v>1524</v>
      </c>
      <c r="F1406" s="3">
        <v>0.86</v>
      </c>
    </row>
    <row r="1407" spans="1:6" x14ac:dyDescent="0.25">
      <c r="A1407" s="2">
        <v>53141</v>
      </c>
      <c r="B1407" s="3">
        <v>88</v>
      </c>
      <c r="C1407" s="3">
        <v>53</v>
      </c>
      <c r="D1407" s="3">
        <v>0.43</v>
      </c>
      <c r="E1407" s="3" t="s">
        <v>1525</v>
      </c>
      <c r="F1407" s="3">
        <v>0.43</v>
      </c>
    </row>
    <row r="1408" spans="1:6" x14ac:dyDescent="0.25">
      <c r="A1408" s="2">
        <v>53142</v>
      </c>
      <c r="B1408" s="3">
        <v>89</v>
      </c>
      <c r="C1408" s="3">
        <v>53</v>
      </c>
      <c r="D1408" s="3">
        <v>0.222</v>
      </c>
      <c r="E1408" s="3" t="s">
        <v>1526</v>
      </c>
      <c r="F1408" s="3">
        <v>0.222</v>
      </c>
    </row>
    <row r="1409" spans="1:6" x14ac:dyDescent="0.25">
      <c r="A1409" s="2">
        <v>53143</v>
      </c>
      <c r="B1409" s="3">
        <v>90</v>
      </c>
      <c r="C1409" s="3">
        <v>53</v>
      </c>
      <c r="D1409" s="3">
        <v>0.13</v>
      </c>
      <c r="E1409" s="3" t="s">
        <v>1527</v>
      </c>
      <c r="F1409" s="3">
        <v>0.13</v>
      </c>
    </row>
    <row r="1410" spans="1:6" x14ac:dyDescent="0.25">
      <c r="A1410" s="2">
        <v>53144</v>
      </c>
      <c r="B1410" s="3">
        <v>91</v>
      </c>
      <c r="C1410" s="3">
        <v>53</v>
      </c>
      <c r="D1410" s="3">
        <v>2.9999999999999999E-7</v>
      </c>
      <c r="E1410" s="3" t="s">
        <v>1528</v>
      </c>
      <c r="F1410" s="3">
        <v>2.9999999999999999E-7</v>
      </c>
    </row>
    <row r="1411" spans="1:6" x14ac:dyDescent="0.25">
      <c r="A1411" s="2">
        <v>53145</v>
      </c>
      <c r="B1411" s="3">
        <v>92</v>
      </c>
      <c r="C1411" s="3">
        <v>53</v>
      </c>
      <c r="D1411" s="3">
        <v>4.0699999999999998E-7</v>
      </c>
      <c r="E1411" s="3" t="s">
        <v>1529</v>
      </c>
      <c r="F1411" s="3">
        <v>4.0699999999999998E-7</v>
      </c>
    </row>
    <row r="1412" spans="1:6" x14ac:dyDescent="0.25">
      <c r="A1412" s="2">
        <v>54109</v>
      </c>
      <c r="B1412" s="3">
        <v>55</v>
      </c>
      <c r="C1412" s="3">
        <v>54</v>
      </c>
      <c r="D1412" s="3">
        <v>1.2999999999999999E-2</v>
      </c>
      <c r="E1412" s="3" t="s">
        <v>1530</v>
      </c>
      <c r="F1412" s="3">
        <v>1.2999999999999999E-2</v>
      </c>
    </row>
    <row r="1413" spans="1:6" x14ac:dyDescent="0.25">
      <c r="A1413" s="2">
        <v>54110</v>
      </c>
      <c r="B1413" s="3">
        <v>56</v>
      </c>
      <c r="C1413" s="3">
        <v>54</v>
      </c>
      <c r="D1413" s="3">
        <v>9.2999999999999999E-2</v>
      </c>
      <c r="E1413" s="3" t="s">
        <v>1531</v>
      </c>
      <c r="F1413" s="3">
        <v>9.2999999999999999E-2</v>
      </c>
    </row>
    <row r="1414" spans="1:6" x14ac:dyDescent="0.25">
      <c r="A1414" s="2">
        <v>54111</v>
      </c>
      <c r="B1414" s="3">
        <v>57</v>
      </c>
      <c r="C1414" s="3">
        <v>54</v>
      </c>
      <c r="D1414" s="3">
        <v>0.81</v>
      </c>
      <c r="E1414" s="3" t="s">
        <v>1532</v>
      </c>
      <c r="F1414" s="3">
        <v>0.81</v>
      </c>
    </row>
    <row r="1415" spans="1:6" x14ac:dyDescent="0.25">
      <c r="A1415" s="2">
        <v>54112</v>
      </c>
      <c r="B1415" s="3">
        <v>58</v>
      </c>
      <c r="C1415" s="3">
        <v>54</v>
      </c>
      <c r="D1415" s="3">
        <v>2.7</v>
      </c>
      <c r="E1415" s="3" t="s">
        <v>1533</v>
      </c>
      <c r="F1415" s="3">
        <v>2.7</v>
      </c>
    </row>
    <row r="1416" spans="1:6" x14ac:dyDescent="0.25">
      <c r="A1416" s="2">
        <v>54113</v>
      </c>
      <c r="B1416" s="3">
        <v>59</v>
      </c>
      <c r="C1416" s="3">
        <v>54</v>
      </c>
      <c r="D1416" s="3">
        <v>2.74</v>
      </c>
      <c r="E1416" s="3" t="s">
        <v>1534</v>
      </c>
      <c r="F1416" s="3">
        <v>2.74</v>
      </c>
    </row>
    <row r="1417" spans="1:6" x14ac:dyDescent="0.25">
      <c r="A1417" s="2">
        <v>54114</v>
      </c>
      <c r="B1417" s="3">
        <v>60</v>
      </c>
      <c r="C1417" s="3">
        <v>54</v>
      </c>
      <c r="D1417" s="3">
        <v>10</v>
      </c>
      <c r="E1417" s="3" t="s">
        <v>1535</v>
      </c>
      <c r="F1417" s="3">
        <v>10</v>
      </c>
    </row>
    <row r="1418" spans="1:6" x14ac:dyDescent="0.25">
      <c r="A1418" s="2">
        <v>54115</v>
      </c>
      <c r="B1418" s="3">
        <v>61</v>
      </c>
      <c r="C1418" s="3">
        <v>54</v>
      </c>
      <c r="D1418" s="3">
        <v>18</v>
      </c>
      <c r="E1418" s="3" t="s">
        <v>1536</v>
      </c>
      <c r="F1418" s="3">
        <v>18</v>
      </c>
    </row>
    <row r="1419" spans="1:6" x14ac:dyDescent="0.25">
      <c r="A1419" s="2">
        <v>54116</v>
      </c>
      <c r="B1419" s="3">
        <v>62</v>
      </c>
      <c r="C1419" s="3">
        <v>54</v>
      </c>
      <c r="D1419" s="3">
        <v>59</v>
      </c>
      <c r="E1419" s="3" t="s">
        <v>1537</v>
      </c>
      <c r="F1419" s="3">
        <v>59</v>
      </c>
    </row>
    <row r="1420" spans="1:6" x14ac:dyDescent="0.25">
      <c r="A1420" s="2">
        <v>54117</v>
      </c>
      <c r="B1420" s="3">
        <v>63</v>
      </c>
      <c r="C1420" s="3">
        <v>54</v>
      </c>
      <c r="D1420" s="3">
        <v>61</v>
      </c>
      <c r="E1420" s="3" t="s">
        <v>1538</v>
      </c>
      <c r="F1420" s="3">
        <v>61</v>
      </c>
    </row>
    <row r="1421" spans="1:6" x14ac:dyDescent="0.25">
      <c r="A1421" s="2">
        <v>54118</v>
      </c>
      <c r="B1421" s="3">
        <v>64</v>
      </c>
      <c r="C1421" s="3">
        <v>54</v>
      </c>
      <c r="D1421" s="3">
        <v>228</v>
      </c>
      <c r="E1421" s="3" t="s">
        <v>1539</v>
      </c>
      <c r="F1421" s="3">
        <v>228</v>
      </c>
    </row>
    <row r="1422" spans="1:6" x14ac:dyDescent="0.25">
      <c r="A1422" s="2">
        <v>54119</v>
      </c>
      <c r="B1422" s="3">
        <v>65</v>
      </c>
      <c r="C1422" s="3">
        <v>54</v>
      </c>
      <c r="D1422" s="3">
        <v>348</v>
      </c>
      <c r="E1422" s="3" t="s">
        <v>1540</v>
      </c>
      <c r="F1422" s="3">
        <v>348</v>
      </c>
    </row>
    <row r="1423" spans="1:6" x14ac:dyDescent="0.25">
      <c r="A1423" s="2">
        <v>54120</v>
      </c>
      <c r="B1423" s="3">
        <v>66</v>
      </c>
      <c r="C1423" s="3">
        <v>54</v>
      </c>
      <c r="D1423" s="3">
        <v>2400</v>
      </c>
      <c r="E1423" s="3" t="s">
        <v>1541</v>
      </c>
      <c r="F1423" s="3">
        <v>2400</v>
      </c>
    </row>
    <row r="1424" spans="1:6" x14ac:dyDescent="0.25">
      <c r="A1424" s="2">
        <v>54121</v>
      </c>
      <c r="B1424" s="3">
        <v>67</v>
      </c>
      <c r="C1424" s="3">
        <v>54</v>
      </c>
      <c r="D1424" s="3">
        <v>2406</v>
      </c>
      <c r="E1424" s="3" t="s">
        <v>1542</v>
      </c>
      <c r="F1424" s="3">
        <v>2406</v>
      </c>
    </row>
    <row r="1425" spans="1:6" x14ac:dyDescent="0.25">
      <c r="A1425" s="2">
        <v>54122</v>
      </c>
      <c r="B1425" s="3">
        <v>68</v>
      </c>
      <c r="C1425" s="3">
        <v>54</v>
      </c>
      <c r="D1425" s="3">
        <v>72360</v>
      </c>
      <c r="E1425" s="3" t="s">
        <v>1543</v>
      </c>
      <c r="F1425" s="3">
        <v>72360</v>
      </c>
    </row>
    <row r="1426" spans="1:6" x14ac:dyDescent="0.25">
      <c r="A1426" s="2">
        <v>54123</v>
      </c>
      <c r="B1426" s="3">
        <v>69</v>
      </c>
      <c r="C1426" s="3">
        <v>54</v>
      </c>
      <c r="D1426" s="3">
        <v>7488</v>
      </c>
      <c r="E1426" s="3" t="s">
        <v>1544</v>
      </c>
      <c r="F1426" s="3">
        <v>7488</v>
      </c>
    </row>
    <row r="1427" spans="1:6" x14ac:dyDescent="0.25">
      <c r="A1427" s="2">
        <v>54124</v>
      </c>
      <c r="B1427" s="3">
        <v>70</v>
      </c>
      <c r="C1427" s="3">
        <v>54</v>
      </c>
      <c r="D1427" s="3">
        <v>5.049216E+21</v>
      </c>
      <c r="E1427" s="3" t="s">
        <v>1545</v>
      </c>
      <c r="F1427" s="3">
        <v>5.049216E+21</v>
      </c>
    </row>
    <row r="1428" spans="1:6" x14ac:dyDescent="0.25">
      <c r="A1428" s="2">
        <v>54125</v>
      </c>
      <c r="B1428" s="3">
        <v>71</v>
      </c>
      <c r="C1428" s="3">
        <v>54</v>
      </c>
      <c r="D1428" s="3">
        <v>60839.999999999898</v>
      </c>
      <c r="E1428" s="3" t="s">
        <v>1546</v>
      </c>
      <c r="F1428" s="3">
        <v>60839.999999999898</v>
      </c>
    </row>
    <row r="1429" spans="1:6" x14ac:dyDescent="0.25">
      <c r="A1429" s="2">
        <v>54126</v>
      </c>
      <c r="B1429" s="3">
        <v>72</v>
      </c>
      <c r="C1429" s="3">
        <v>54</v>
      </c>
      <c r="D1429" s="3" t="s">
        <v>4</v>
      </c>
      <c r="E1429" s="3" t="s">
        <v>1547</v>
      </c>
      <c r="F1429" s="3" t="s">
        <v>4</v>
      </c>
    </row>
    <row r="1430" spans="1:6" x14ac:dyDescent="0.25">
      <c r="A1430" s="2">
        <v>54127</v>
      </c>
      <c r="B1430" s="3">
        <v>73</v>
      </c>
      <c r="C1430" s="3">
        <v>54</v>
      </c>
      <c r="D1430" s="3">
        <v>3140294.4</v>
      </c>
      <c r="E1430" s="3" t="s">
        <v>1548</v>
      </c>
      <c r="F1430" s="3">
        <v>3140294.4</v>
      </c>
    </row>
    <row r="1431" spans="1:6" x14ac:dyDescent="0.25">
      <c r="A1431" s="2">
        <v>54128</v>
      </c>
      <c r="B1431" s="3">
        <v>74</v>
      </c>
      <c r="C1431" s="3">
        <v>54</v>
      </c>
      <c r="D1431" s="3" t="s">
        <v>4</v>
      </c>
      <c r="E1431" s="3" t="s">
        <v>1549</v>
      </c>
      <c r="F1431" s="3" t="s">
        <v>4</v>
      </c>
    </row>
    <row r="1432" spans="1:6" x14ac:dyDescent="0.25">
      <c r="A1432" s="2">
        <v>54129</v>
      </c>
      <c r="B1432" s="3">
        <v>75</v>
      </c>
      <c r="C1432" s="3">
        <v>54</v>
      </c>
      <c r="D1432" s="3" t="s">
        <v>4</v>
      </c>
      <c r="E1432" s="3" t="s">
        <v>1550</v>
      </c>
      <c r="F1432" s="3" t="s">
        <v>4</v>
      </c>
    </row>
    <row r="1433" spans="1:6" x14ac:dyDescent="0.25">
      <c r="A1433" s="2">
        <v>54130</v>
      </c>
      <c r="B1433" s="3">
        <v>76</v>
      </c>
      <c r="C1433" s="3">
        <v>54</v>
      </c>
      <c r="D1433" s="3" t="s">
        <v>4</v>
      </c>
      <c r="E1433" s="3" t="s">
        <v>1551</v>
      </c>
      <c r="F1433" s="3" t="s">
        <v>4</v>
      </c>
    </row>
    <row r="1434" spans="1:6" x14ac:dyDescent="0.25">
      <c r="A1434" s="2">
        <v>54131</v>
      </c>
      <c r="B1434" s="3">
        <v>77</v>
      </c>
      <c r="C1434" s="3">
        <v>54</v>
      </c>
      <c r="D1434" s="3" t="s">
        <v>4</v>
      </c>
      <c r="E1434" s="3" t="s">
        <v>1552</v>
      </c>
      <c r="F1434" s="3" t="s">
        <v>4</v>
      </c>
    </row>
    <row r="1435" spans="1:6" x14ac:dyDescent="0.25">
      <c r="A1435" s="2">
        <v>54132</v>
      </c>
      <c r="B1435" s="3">
        <v>78</v>
      </c>
      <c r="C1435" s="3">
        <v>54</v>
      </c>
      <c r="D1435" s="3" t="s">
        <v>4</v>
      </c>
      <c r="E1435" s="3" t="s">
        <v>1553</v>
      </c>
      <c r="F1435" s="3" t="s">
        <v>4</v>
      </c>
    </row>
    <row r="1436" spans="1:6" x14ac:dyDescent="0.25">
      <c r="A1436" s="2">
        <v>54133</v>
      </c>
      <c r="B1436" s="3">
        <v>79</v>
      </c>
      <c r="C1436" s="3">
        <v>54</v>
      </c>
      <c r="D1436" s="3">
        <v>453383.99999999901</v>
      </c>
      <c r="E1436" s="3" t="s">
        <v>1554</v>
      </c>
      <c r="F1436" s="3">
        <v>453383.99999999901</v>
      </c>
    </row>
    <row r="1437" spans="1:6" x14ac:dyDescent="0.25">
      <c r="A1437" s="2">
        <v>54134</v>
      </c>
      <c r="B1437" s="3">
        <v>80</v>
      </c>
      <c r="C1437" s="3">
        <v>54</v>
      </c>
      <c r="D1437" s="3">
        <v>1.8303407999999899E+30</v>
      </c>
      <c r="E1437" s="3" t="s">
        <v>1555</v>
      </c>
      <c r="F1437" s="3">
        <v>1.8303407999999899E+30</v>
      </c>
    </row>
    <row r="1438" spans="1:6" x14ac:dyDescent="0.25">
      <c r="A1438" s="2">
        <v>54135</v>
      </c>
      <c r="B1438" s="3">
        <v>81</v>
      </c>
      <c r="C1438" s="3">
        <v>54</v>
      </c>
      <c r="D1438" s="3">
        <v>32904</v>
      </c>
      <c r="E1438" s="3" t="s">
        <v>1556</v>
      </c>
      <c r="F1438" s="3">
        <v>32904</v>
      </c>
    </row>
    <row r="1439" spans="1:6" x14ac:dyDescent="0.25">
      <c r="A1439" s="2">
        <v>54136</v>
      </c>
      <c r="B1439" s="3">
        <v>82</v>
      </c>
      <c r="C1439" s="3">
        <v>54</v>
      </c>
      <c r="D1439" s="3">
        <v>7.573824E+28</v>
      </c>
      <c r="E1439" s="3" t="s">
        <v>1557</v>
      </c>
      <c r="F1439" s="3">
        <v>7.573824E+28</v>
      </c>
    </row>
    <row r="1440" spans="1:6" x14ac:dyDescent="0.25">
      <c r="A1440" s="2">
        <v>54137</v>
      </c>
      <c r="B1440" s="3">
        <v>83</v>
      </c>
      <c r="C1440" s="3">
        <v>54</v>
      </c>
      <c r="D1440" s="3">
        <v>229.08</v>
      </c>
      <c r="E1440" s="3" t="s">
        <v>1558</v>
      </c>
      <c r="F1440" s="3">
        <v>229.08</v>
      </c>
    </row>
    <row r="1441" spans="1:6" x14ac:dyDescent="0.25">
      <c r="A1441" s="2">
        <v>54138</v>
      </c>
      <c r="B1441" s="3">
        <v>84</v>
      </c>
      <c r="C1441" s="3">
        <v>54</v>
      </c>
      <c r="D1441" s="3">
        <v>848.4</v>
      </c>
      <c r="E1441" s="3" t="s">
        <v>1559</v>
      </c>
      <c r="F1441" s="3">
        <v>848.4</v>
      </c>
    </row>
    <row r="1442" spans="1:6" x14ac:dyDescent="0.25">
      <c r="A1442" s="2">
        <v>54139</v>
      </c>
      <c r="B1442" s="3">
        <v>85</v>
      </c>
      <c r="C1442" s="3">
        <v>54</v>
      </c>
      <c r="D1442" s="3">
        <v>39.68</v>
      </c>
      <c r="E1442" s="3" t="s">
        <v>1560</v>
      </c>
      <c r="F1442" s="3">
        <v>39.68</v>
      </c>
    </row>
    <row r="1443" spans="1:6" x14ac:dyDescent="0.25">
      <c r="A1443" s="2">
        <v>54140</v>
      </c>
      <c r="B1443" s="3">
        <v>86</v>
      </c>
      <c r="C1443" s="3">
        <v>54</v>
      </c>
      <c r="D1443" s="3">
        <v>13.6</v>
      </c>
      <c r="E1443" s="3" t="s">
        <v>1561</v>
      </c>
      <c r="F1443" s="3">
        <v>13.6</v>
      </c>
    </row>
    <row r="1444" spans="1:6" x14ac:dyDescent="0.25">
      <c r="A1444" s="2">
        <v>54141</v>
      </c>
      <c r="B1444" s="3">
        <v>87</v>
      </c>
      <c r="C1444" s="3">
        <v>54</v>
      </c>
      <c r="D1444" s="3">
        <v>1.73</v>
      </c>
      <c r="E1444" s="3" t="s">
        <v>1562</v>
      </c>
      <c r="F1444" s="3">
        <v>1.73</v>
      </c>
    </row>
    <row r="1445" spans="1:6" x14ac:dyDescent="0.25">
      <c r="A1445" s="2">
        <v>54142</v>
      </c>
      <c r="B1445" s="3">
        <v>88</v>
      </c>
      <c r="C1445" s="3">
        <v>54</v>
      </c>
      <c r="D1445" s="3">
        <v>1.23</v>
      </c>
      <c r="E1445" s="3" t="s">
        <v>1563</v>
      </c>
      <c r="F1445" s="3">
        <v>1.23</v>
      </c>
    </row>
    <row r="1446" spans="1:6" x14ac:dyDescent="0.25">
      <c r="A1446" s="2">
        <v>54143</v>
      </c>
      <c r="B1446" s="3">
        <v>89</v>
      </c>
      <c r="C1446" s="3">
        <v>54</v>
      </c>
      <c r="D1446" s="3">
        <v>0.51100000000000001</v>
      </c>
      <c r="E1446" s="3" t="s">
        <v>1564</v>
      </c>
      <c r="F1446" s="3">
        <v>0.51100000000000001</v>
      </c>
    </row>
    <row r="1447" spans="1:6" x14ac:dyDescent="0.25">
      <c r="A1447" s="2">
        <v>54144</v>
      </c>
      <c r="B1447" s="3">
        <v>90</v>
      </c>
      <c r="C1447" s="3">
        <v>54</v>
      </c>
      <c r="D1447" s="3">
        <v>0.38800000000000001</v>
      </c>
      <c r="E1447" s="3" t="s">
        <v>1565</v>
      </c>
      <c r="F1447" s="3">
        <v>0.38800000000000001</v>
      </c>
    </row>
    <row r="1448" spans="1:6" x14ac:dyDescent="0.25">
      <c r="A1448" s="2">
        <v>54145</v>
      </c>
      <c r="B1448" s="3">
        <v>91</v>
      </c>
      <c r="C1448" s="3">
        <v>54</v>
      </c>
      <c r="D1448" s="3">
        <v>0.188</v>
      </c>
      <c r="E1448" s="3" t="s">
        <v>1566</v>
      </c>
      <c r="F1448" s="3">
        <v>0.188</v>
      </c>
    </row>
    <row r="1449" spans="1:6" x14ac:dyDescent="0.25">
      <c r="A1449" s="2">
        <v>54146</v>
      </c>
      <c r="B1449" s="3">
        <v>92</v>
      </c>
      <c r="C1449" s="3">
        <v>54</v>
      </c>
      <c r="D1449" s="3">
        <v>0.14599999999999999</v>
      </c>
      <c r="E1449" s="3" t="s">
        <v>1567</v>
      </c>
      <c r="F1449" s="3">
        <v>0.14599999999999999</v>
      </c>
    </row>
    <row r="1450" spans="1:6" x14ac:dyDescent="0.25">
      <c r="A1450" s="2">
        <v>54147</v>
      </c>
      <c r="B1450" s="3">
        <v>93</v>
      </c>
      <c r="C1450" s="3">
        <v>54</v>
      </c>
      <c r="D1450" s="3">
        <v>0.1</v>
      </c>
      <c r="E1450" s="3" t="s">
        <v>1568</v>
      </c>
      <c r="F1450" s="3">
        <v>0.1</v>
      </c>
    </row>
    <row r="1451" spans="1:6" x14ac:dyDescent="0.25">
      <c r="A1451" s="2">
        <v>54148</v>
      </c>
      <c r="B1451" s="3">
        <v>94</v>
      </c>
      <c r="C1451" s="3">
        <v>54</v>
      </c>
      <c r="D1451" s="3">
        <v>4.08E-7</v>
      </c>
      <c r="E1451" s="3" t="s">
        <v>1569</v>
      </c>
      <c r="F1451" s="3">
        <v>4.08E-7</v>
      </c>
    </row>
    <row r="1452" spans="1:6" x14ac:dyDescent="0.25">
      <c r="A1452" s="2">
        <v>55112</v>
      </c>
      <c r="B1452" s="3">
        <v>57</v>
      </c>
      <c r="C1452" s="3">
        <v>55</v>
      </c>
      <c r="D1452" s="3">
        <v>4.8999999999999998E-4</v>
      </c>
      <c r="E1452" s="3" t="s">
        <v>1570</v>
      </c>
      <c r="F1452" s="3">
        <v>4.8999999999999998E-4</v>
      </c>
    </row>
    <row r="1453" spans="1:6" x14ac:dyDescent="0.25">
      <c r="A1453" s="2">
        <v>55113</v>
      </c>
      <c r="B1453" s="3">
        <v>58</v>
      </c>
      <c r="C1453" s="3">
        <v>55</v>
      </c>
      <c r="D1453" s="3">
        <v>1.77E-5</v>
      </c>
      <c r="E1453" s="3" t="s">
        <v>1571</v>
      </c>
      <c r="F1453" s="3">
        <v>1.77E-5</v>
      </c>
    </row>
    <row r="1454" spans="1:6" x14ac:dyDescent="0.25">
      <c r="A1454" s="2">
        <v>55114</v>
      </c>
      <c r="B1454" s="3">
        <v>59</v>
      </c>
      <c r="C1454" s="3">
        <v>55</v>
      </c>
      <c r="D1454" s="3">
        <v>0.56999999999999995</v>
      </c>
      <c r="E1454" s="3" t="s">
        <v>1572</v>
      </c>
      <c r="F1454" s="3">
        <v>0.56999999999999995</v>
      </c>
    </row>
    <row r="1455" spans="1:6" x14ac:dyDescent="0.25">
      <c r="A1455" s="2">
        <v>55115</v>
      </c>
      <c r="B1455" s="3">
        <v>60</v>
      </c>
      <c r="C1455" s="3">
        <v>55</v>
      </c>
      <c r="D1455" s="3">
        <v>1.4</v>
      </c>
      <c r="E1455" s="3" t="s">
        <v>1573</v>
      </c>
      <c r="F1455" s="3">
        <v>1.4</v>
      </c>
    </row>
    <row r="1456" spans="1:6" x14ac:dyDescent="0.25">
      <c r="A1456" s="2">
        <v>55116</v>
      </c>
      <c r="B1456" s="3">
        <v>61</v>
      </c>
      <c r="C1456" s="3">
        <v>55</v>
      </c>
      <c r="D1456" s="3">
        <v>0.7</v>
      </c>
      <c r="E1456" s="3" t="s">
        <v>1574</v>
      </c>
      <c r="F1456" s="3">
        <v>0.7</v>
      </c>
    </row>
    <row r="1457" spans="1:6" x14ac:dyDescent="0.25">
      <c r="A1457" s="2">
        <v>55117</v>
      </c>
      <c r="B1457" s="3">
        <v>62</v>
      </c>
      <c r="C1457" s="3">
        <v>55</v>
      </c>
      <c r="D1457" s="3">
        <v>8.4</v>
      </c>
      <c r="E1457" s="3" t="s">
        <v>1575</v>
      </c>
      <c r="F1457" s="3">
        <v>8.4</v>
      </c>
    </row>
    <row r="1458" spans="1:6" x14ac:dyDescent="0.25">
      <c r="A1458" s="2">
        <v>55118</v>
      </c>
      <c r="B1458" s="3">
        <v>63</v>
      </c>
      <c r="C1458" s="3">
        <v>55</v>
      </c>
      <c r="D1458" s="3">
        <v>14</v>
      </c>
      <c r="E1458" s="3" t="s">
        <v>1576</v>
      </c>
      <c r="F1458" s="3">
        <v>14</v>
      </c>
    </row>
    <row r="1459" spans="1:6" x14ac:dyDescent="0.25">
      <c r="A1459" s="2">
        <v>55119</v>
      </c>
      <c r="B1459" s="3">
        <v>64</v>
      </c>
      <c r="C1459" s="3">
        <v>55</v>
      </c>
      <c r="D1459" s="3">
        <v>43</v>
      </c>
      <c r="E1459" s="3" t="s">
        <v>1577</v>
      </c>
      <c r="F1459" s="3">
        <v>43</v>
      </c>
    </row>
    <row r="1460" spans="1:6" x14ac:dyDescent="0.25">
      <c r="A1460" s="2">
        <v>55120</v>
      </c>
      <c r="B1460" s="3">
        <v>65</v>
      </c>
      <c r="C1460" s="3">
        <v>55</v>
      </c>
      <c r="D1460" s="3">
        <v>61.3</v>
      </c>
      <c r="E1460" s="3" t="s">
        <v>1578</v>
      </c>
      <c r="F1460" s="3">
        <v>61.3</v>
      </c>
    </row>
    <row r="1461" spans="1:6" x14ac:dyDescent="0.25">
      <c r="A1461" s="2">
        <v>55121</v>
      </c>
      <c r="B1461" s="3">
        <v>66</v>
      </c>
      <c r="C1461" s="3">
        <v>55</v>
      </c>
      <c r="D1461" s="3">
        <v>155</v>
      </c>
      <c r="E1461" s="3" t="s">
        <v>1579</v>
      </c>
      <c r="F1461" s="3">
        <v>155</v>
      </c>
    </row>
    <row r="1462" spans="1:6" x14ac:dyDescent="0.25">
      <c r="A1462" s="2">
        <v>55122</v>
      </c>
      <c r="B1462" s="3">
        <v>67</v>
      </c>
      <c r="C1462" s="3">
        <v>55</v>
      </c>
      <c r="D1462" s="3">
        <v>21.18</v>
      </c>
      <c r="E1462" s="3" t="s">
        <v>1580</v>
      </c>
      <c r="F1462" s="3">
        <v>21.18</v>
      </c>
    </row>
    <row r="1463" spans="1:6" x14ac:dyDescent="0.25">
      <c r="A1463" s="2">
        <v>55123</v>
      </c>
      <c r="B1463" s="3">
        <v>68</v>
      </c>
      <c r="C1463" s="3">
        <v>55</v>
      </c>
      <c r="D1463" s="3">
        <v>352.8</v>
      </c>
      <c r="E1463" s="3" t="s">
        <v>1581</v>
      </c>
      <c r="F1463" s="3">
        <v>352.8</v>
      </c>
    </row>
    <row r="1464" spans="1:6" x14ac:dyDescent="0.25">
      <c r="A1464" s="2">
        <v>55124</v>
      </c>
      <c r="B1464" s="3">
        <v>69</v>
      </c>
      <c r="C1464" s="3">
        <v>55</v>
      </c>
      <c r="D1464" s="3">
        <v>30.9</v>
      </c>
      <c r="E1464" s="3" t="s">
        <v>1582</v>
      </c>
      <c r="F1464" s="3">
        <v>30.9</v>
      </c>
    </row>
    <row r="1465" spans="1:6" x14ac:dyDescent="0.25">
      <c r="A1465" s="2">
        <v>55125</v>
      </c>
      <c r="B1465" s="3">
        <v>70</v>
      </c>
      <c r="C1465" s="3">
        <v>55</v>
      </c>
      <c r="D1465" s="3">
        <v>2802</v>
      </c>
      <c r="E1465" s="3" t="s">
        <v>1583</v>
      </c>
      <c r="F1465" s="3">
        <v>2802</v>
      </c>
    </row>
    <row r="1466" spans="1:6" x14ac:dyDescent="0.25">
      <c r="A1466" s="2">
        <v>55126</v>
      </c>
      <c r="B1466" s="3">
        <v>71</v>
      </c>
      <c r="C1466" s="3">
        <v>55</v>
      </c>
      <c r="D1466" s="3">
        <v>98.399999999999906</v>
      </c>
      <c r="E1466" s="3" t="s">
        <v>1584</v>
      </c>
      <c r="F1466" s="3">
        <v>98.399999999999906</v>
      </c>
    </row>
    <row r="1467" spans="1:6" x14ac:dyDescent="0.25">
      <c r="A1467" s="2">
        <v>55127</v>
      </c>
      <c r="B1467" s="3">
        <v>72</v>
      </c>
      <c r="C1467" s="3">
        <v>55</v>
      </c>
      <c r="D1467" s="3">
        <v>22500</v>
      </c>
      <c r="E1467" s="3" t="s">
        <v>1585</v>
      </c>
      <c r="F1467" s="3">
        <v>22500</v>
      </c>
    </row>
    <row r="1468" spans="1:6" x14ac:dyDescent="0.25">
      <c r="A1468" s="2">
        <v>55128</v>
      </c>
      <c r="B1468" s="3">
        <v>73</v>
      </c>
      <c r="C1468" s="3">
        <v>55</v>
      </c>
      <c r="D1468" s="3">
        <v>219.6</v>
      </c>
      <c r="E1468" s="3" t="s">
        <v>1586</v>
      </c>
      <c r="F1468" s="3">
        <v>219.6</v>
      </c>
    </row>
    <row r="1469" spans="1:6" x14ac:dyDescent="0.25">
      <c r="A1469" s="2">
        <v>55129</v>
      </c>
      <c r="B1469" s="3">
        <v>74</v>
      </c>
      <c r="C1469" s="3">
        <v>55</v>
      </c>
      <c r="D1469" s="3">
        <v>115416</v>
      </c>
      <c r="E1469" s="3" t="s">
        <v>1587</v>
      </c>
      <c r="F1469" s="3">
        <v>115416</v>
      </c>
    </row>
    <row r="1470" spans="1:6" x14ac:dyDescent="0.25">
      <c r="A1470" s="2">
        <v>55130</v>
      </c>
      <c r="B1470" s="3">
        <v>75</v>
      </c>
      <c r="C1470" s="3">
        <v>55</v>
      </c>
      <c r="D1470" s="3">
        <v>1752.6</v>
      </c>
      <c r="E1470" s="3" t="s">
        <v>1588</v>
      </c>
      <c r="F1470" s="3">
        <v>1752.6</v>
      </c>
    </row>
    <row r="1471" spans="1:6" x14ac:dyDescent="0.25">
      <c r="A1471" s="2">
        <v>55131</v>
      </c>
      <c r="B1471" s="3">
        <v>76</v>
      </c>
      <c r="C1471" s="3">
        <v>55</v>
      </c>
      <c r="D1471" s="3">
        <v>837129.6</v>
      </c>
      <c r="E1471" s="3" t="s">
        <v>1589</v>
      </c>
      <c r="F1471" s="3">
        <v>837129.6</v>
      </c>
    </row>
    <row r="1472" spans="1:6" x14ac:dyDescent="0.25">
      <c r="A1472" s="2">
        <v>55132</v>
      </c>
      <c r="B1472" s="3">
        <v>77</v>
      </c>
      <c r="C1472" s="3">
        <v>55</v>
      </c>
      <c r="D1472" s="3">
        <v>559872</v>
      </c>
      <c r="E1472" s="3" t="s">
        <v>1590</v>
      </c>
      <c r="F1472" s="3">
        <v>559872</v>
      </c>
    </row>
    <row r="1473" spans="1:6" x14ac:dyDescent="0.25">
      <c r="A1473" s="2">
        <v>55133</v>
      </c>
      <c r="B1473" s="3">
        <v>78</v>
      </c>
      <c r="C1473" s="3">
        <v>55</v>
      </c>
      <c r="D1473" s="3" t="s">
        <v>4</v>
      </c>
      <c r="E1473" s="3" t="s">
        <v>1591</v>
      </c>
      <c r="F1473" s="3" t="s">
        <v>4</v>
      </c>
    </row>
    <row r="1474" spans="1:6" x14ac:dyDescent="0.25">
      <c r="A1474" s="2">
        <v>55134</v>
      </c>
      <c r="B1474" s="3">
        <v>79</v>
      </c>
      <c r="C1474" s="3">
        <v>55</v>
      </c>
      <c r="D1474" s="3">
        <v>65172755.519999899</v>
      </c>
      <c r="E1474" s="3" t="s">
        <v>1592</v>
      </c>
      <c r="F1474" s="3">
        <v>65172755.519999899</v>
      </c>
    </row>
    <row r="1475" spans="1:6" x14ac:dyDescent="0.25">
      <c r="A1475" s="2">
        <v>55135</v>
      </c>
      <c r="B1475" s="3">
        <v>80</v>
      </c>
      <c r="C1475" s="3">
        <v>55</v>
      </c>
      <c r="D1475" s="3">
        <v>72582480000000</v>
      </c>
      <c r="E1475" s="3" t="s">
        <v>1593</v>
      </c>
      <c r="F1475" s="3">
        <v>72582480000000</v>
      </c>
    </row>
    <row r="1476" spans="1:6" x14ac:dyDescent="0.25">
      <c r="A1476" s="2">
        <v>55136</v>
      </c>
      <c r="B1476" s="3">
        <v>81</v>
      </c>
      <c r="C1476" s="3">
        <v>55</v>
      </c>
      <c r="D1476" s="3">
        <v>1126656</v>
      </c>
      <c r="E1476" s="3" t="s">
        <v>1594</v>
      </c>
      <c r="F1476" s="3">
        <v>1126656</v>
      </c>
    </row>
    <row r="1477" spans="1:6" x14ac:dyDescent="0.25">
      <c r="A1477" s="2">
        <v>55137</v>
      </c>
      <c r="B1477" s="3">
        <v>82</v>
      </c>
      <c r="C1477" s="3">
        <v>55</v>
      </c>
      <c r="D1477" s="3">
        <v>949252608</v>
      </c>
      <c r="E1477" s="3" t="s">
        <v>1595</v>
      </c>
      <c r="F1477" s="3">
        <v>949252608</v>
      </c>
    </row>
    <row r="1478" spans="1:6" x14ac:dyDescent="0.25">
      <c r="A1478" s="2">
        <v>55138</v>
      </c>
      <c r="B1478" s="3">
        <v>83</v>
      </c>
      <c r="C1478" s="3">
        <v>55</v>
      </c>
      <c r="D1478" s="3">
        <v>2004.6</v>
      </c>
      <c r="E1478" s="3" t="s">
        <v>1596</v>
      </c>
      <c r="F1478" s="3">
        <v>2004.6</v>
      </c>
    </row>
    <row r="1479" spans="1:6" x14ac:dyDescent="0.25">
      <c r="A1479" s="2">
        <v>55139</v>
      </c>
      <c r="B1479" s="3">
        <v>84</v>
      </c>
      <c r="C1479" s="3">
        <v>55</v>
      </c>
      <c r="D1479" s="3">
        <v>556.19999999999902</v>
      </c>
      <c r="E1479" s="3" t="s">
        <v>1597</v>
      </c>
      <c r="F1479" s="3">
        <v>556.19999999999902</v>
      </c>
    </row>
    <row r="1480" spans="1:6" x14ac:dyDescent="0.25">
      <c r="A1480" s="2">
        <v>55140</v>
      </c>
      <c r="B1480" s="3">
        <v>85</v>
      </c>
      <c r="C1480" s="3">
        <v>55</v>
      </c>
      <c r="D1480" s="3">
        <v>63.7</v>
      </c>
      <c r="E1480" s="3" t="s">
        <v>1598</v>
      </c>
      <c r="F1480" s="3">
        <v>63.7</v>
      </c>
    </row>
    <row r="1481" spans="1:6" x14ac:dyDescent="0.25">
      <c r="A1481" s="2">
        <v>55141</v>
      </c>
      <c r="B1481" s="3">
        <v>86</v>
      </c>
      <c r="C1481" s="3">
        <v>55</v>
      </c>
      <c r="D1481" s="3">
        <v>24.84</v>
      </c>
      <c r="E1481" s="3" t="s">
        <v>1599</v>
      </c>
      <c r="F1481" s="3">
        <v>24.84</v>
      </c>
    </row>
    <row r="1482" spans="1:6" x14ac:dyDescent="0.25">
      <c r="A1482" s="2">
        <v>55142</v>
      </c>
      <c r="B1482" s="3">
        <v>87</v>
      </c>
      <c r="C1482" s="3">
        <v>55</v>
      </c>
      <c r="D1482" s="3">
        <v>1.6839999999999999</v>
      </c>
      <c r="E1482" s="3" t="s">
        <v>1600</v>
      </c>
      <c r="F1482" s="3">
        <v>1.6839999999999999</v>
      </c>
    </row>
    <row r="1483" spans="1:6" x14ac:dyDescent="0.25">
      <c r="A1483" s="2">
        <v>55143</v>
      </c>
      <c r="B1483" s="3">
        <v>88</v>
      </c>
      <c r="C1483" s="3">
        <v>55</v>
      </c>
      <c r="D1483" s="3">
        <v>1.7909999999999999</v>
      </c>
      <c r="E1483" s="3" t="s">
        <v>1601</v>
      </c>
      <c r="F1483" s="3">
        <v>1.7909999999999999</v>
      </c>
    </row>
    <row r="1484" spans="1:6" x14ac:dyDescent="0.25">
      <c r="A1484" s="2">
        <v>55144</v>
      </c>
      <c r="B1484" s="3">
        <v>89</v>
      </c>
      <c r="C1484" s="3">
        <v>55</v>
      </c>
      <c r="D1484" s="3">
        <v>0.99399999999999999</v>
      </c>
      <c r="E1484" s="3" t="s">
        <v>1602</v>
      </c>
      <c r="F1484" s="3">
        <v>0.99399999999999999</v>
      </c>
    </row>
    <row r="1485" spans="1:6" x14ac:dyDescent="0.25">
      <c r="A1485" s="2">
        <v>55145</v>
      </c>
      <c r="B1485" s="3">
        <v>90</v>
      </c>
      <c r="C1485" s="3">
        <v>55</v>
      </c>
      <c r="D1485" s="3">
        <v>0.58699999999999997</v>
      </c>
      <c r="E1485" s="3" t="s">
        <v>1603</v>
      </c>
      <c r="F1485" s="3">
        <v>0.58699999999999997</v>
      </c>
    </row>
    <row r="1486" spans="1:6" x14ac:dyDescent="0.25">
      <c r="A1486" s="2">
        <v>55146</v>
      </c>
      <c r="B1486" s="3">
        <v>91</v>
      </c>
      <c r="C1486" s="3">
        <v>55</v>
      </c>
      <c r="D1486" s="3">
        <v>0.32200000000000001</v>
      </c>
      <c r="E1486" s="3" t="s">
        <v>1604</v>
      </c>
      <c r="F1486" s="3">
        <v>0.32200000000000001</v>
      </c>
    </row>
    <row r="1487" spans="1:6" x14ac:dyDescent="0.25">
      <c r="A1487" s="2">
        <v>55147</v>
      </c>
      <c r="B1487" s="3">
        <v>92</v>
      </c>
      <c r="C1487" s="3">
        <v>55</v>
      </c>
      <c r="D1487" s="3">
        <v>0.23</v>
      </c>
      <c r="E1487" s="3" t="s">
        <v>1605</v>
      </c>
      <c r="F1487" s="3">
        <v>0.23</v>
      </c>
    </row>
    <row r="1488" spans="1:6" x14ac:dyDescent="0.25">
      <c r="A1488" s="2">
        <v>55148</v>
      </c>
      <c r="B1488" s="3">
        <v>93</v>
      </c>
      <c r="C1488" s="3">
        <v>55</v>
      </c>
      <c r="D1488" s="3">
        <v>0.14599999999999999</v>
      </c>
      <c r="E1488" s="3" t="s">
        <v>1606</v>
      </c>
      <c r="F1488" s="3">
        <v>0.14599999999999999</v>
      </c>
    </row>
    <row r="1489" spans="1:6" x14ac:dyDescent="0.25">
      <c r="A1489" s="2">
        <v>55149</v>
      </c>
      <c r="B1489" s="3">
        <v>94</v>
      </c>
      <c r="C1489" s="3">
        <v>55</v>
      </c>
      <c r="D1489" s="3">
        <v>0.05</v>
      </c>
      <c r="E1489" s="3" t="s">
        <v>1607</v>
      </c>
      <c r="F1489" s="3">
        <v>0.05</v>
      </c>
    </row>
    <row r="1490" spans="1:6" x14ac:dyDescent="0.25">
      <c r="A1490" s="2">
        <v>55150</v>
      </c>
      <c r="B1490" s="3">
        <v>95</v>
      </c>
      <c r="C1490" s="3">
        <v>55</v>
      </c>
      <c r="D1490" s="3">
        <v>0.05</v>
      </c>
      <c r="E1490" s="3" t="s">
        <v>1608</v>
      </c>
      <c r="F1490" s="3">
        <v>0.05</v>
      </c>
    </row>
    <row r="1491" spans="1:6" x14ac:dyDescent="0.25">
      <c r="A1491" s="2">
        <v>55151</v>
      </c>
      <c r="B1491" s="3">
        <v>96</v>
      </c>
      <c r="C1491" s="3">
        <v>55</v>
      </c>
      <c r="D1491" s="3">
        <v>0.05</v>
      </c>
      <c r="E1491" s="3" t="s">
        <v>1609</v>
      </c>
      <c r="F1491" s="3">
        <v>0.05</v>
      </c>
    </row>
    <row r="1492" spans="1:6" x14ac:dyDescent="0.25">
      <c r="A1492" s="2">
        <v>56114</v>
      </c>
      <c r="B1492" s="3">
        <v>58</v>
      </c>
      <c r="C1492" s="3">
        <v>56</v>
      </c>
      <c r="D1492" s="3">
        <v>0.43</v>
      </c>
      <c r="E1492" s="3" t="s">
        <v>1610</v>
      </c>
      <c r="F1492" s="3">
        <v>0.43</v>
      </c>
    </row>
    <row r="1493" spans="1:6" x14ac:dyDescent="0.25">
      <c r="A1493" s="2">
        <v>56115</v>
      </c>
      <c r="B1493" s="3">
        <v>59</v>
      </c>
      <c r="C1493" s="3">
        <v>56</v>
      </c>
      <c r="D1493" s="3">
        <v>0.45</v>
      </c>
      <c r="E1493" s="3" t="s">
        <v>1611</v>
      </c>
      <c r="F1493" s="3">
        <v>0.45</v>
      </c>
    </row>
    <row r="1494" spans="1:6" x14ac:dyDescent="0.25">
      <c r="A1494" s="2">
        <v>56116</v>
      </c>
      <c r="B1494" s="3">
        <v>60</v>
      </c>
      <c r="C1494" s="3">
        <v>56</v>
      </c>
      <c r="D1494" s="3">
        <v>1.3</v>
      </c>
      <c r="E1494" s="3" t="s">
        <v>1612</v>
      </c>
      <c r="F1494" s="3">
        <v>1.3</v>
      </c>
    </row>
    <row r="1495" spans="1:6" x14ac:dyDescent="0.25">
      <c r="A1495" s="2">
        <v>56117</v>
      </c>
      <c r="B1495" s="3">
        <v>61</v>
      </c>
      <c r="C1495" s="3">
        <v>56</v>
      </c>
      <c r="D1495" s="3">
        <v>1.75</v>
      </c>
      <c r="E1495" s="3" t="s">
        <v>1613</v>
      </c>
      <c r="F1495" s="3">
        <v>1.75</v>
      </c>
    </row>
    <row r="1496" spans="1:6" x14ac:dyDescent="0.25">
      <c r="A1496" s="2">
        <v>56118</v>
      </c>
      <c r="B1496" s="3">
        <v>62</v>
      </c>
      <c r="C1496" s="3">
        <v>56</v>
      </c>
      <c r="D1496" s="3">
        <v>5.5</v>
      </c>
      <c r="E1496" s="3" t="s">
        <v>1614</v>
      </c>
      <c r="F1496" s="3">
        <v>5.5</v>
      </c>
    </row>
    <row r="1497" spans="1:6" x14ac:dyDescent="0.25">
      <c r="A1497" s="2">
        <v>56119</v>
      </c>
      <c r="B1497" s="3">
        <v>63</v>
      </c>
      <c r="C1497" s="3">
        <v>56</v>
      </c>
      <c r="D1497" s="3">
        <v>5.4</v>
      </c>
      <c r="E1497" s="3" t="s">
        <v>1615</v>
      </c>
      <c r="F1497" s="3">
        <v>5.4</v>
      </c>
    </row>
    <row r="1498" spans="1:6" x14ac:dyDescent="0.25">
      <c r="A1498" s="2">
        <v>56120</v>
      </c>
      <c r="B1498" s="3">
        <v>64</v>
      </c>
      <c r="C1498" s="3">
        <v>56</v>
      </c>
      <c r="D1498" s="3">
        <v>24</v>
      </c>
      <c r="E1498" s="3" t="s">
        <v>1616</v>
      </c>
      <c r="F1498" s="3">
        <v>24</v>
      </c>
    </row>
    <row r="1499" spans="1:6" x14ac:dyDescent="0.25">
      <c r="A1499" s="2">
        <v>56121</v>
      </c>
      <c r="B1499" s="3">
        <v>65</v>
      </c>
      <c r="C1499" s="3">
        <v>56</v>
      </c>
      <c r="D1499" s="3">
        <v>29.7</v>
      </c>
      <c r="E1499" s="3" t="s">
        <v>1617</v>
      </c>
      <c r="F1499" s="3">
        <v>29.7</v>
      </c>
    </row>
    <row r="1500" spans="1:6" x14ac:dyDescent="0.25">
      <c r="A1500" s="2">
        <v>56122</v>
      </c>
      <c r="B1500" s="3">
        <v>66</v>
      </c>
      <c r="C1500" s="3">
        <v>56</v>
      </c>
      <c r="D1500" s="3">
        <v>117</v>
      </c>
      <c r="E1500" s="3" t="s">
        <v>1618</v>
      </c>
      <c r="F1500" s="3">
        <v>117</v>
      </c>
    </row>
    <row r="1501" spans="1:6" x14ac:dyDescent="0.25">
      <c r="A1501" s="2">
        <v>56123</v>
      </c>
      <c r="B1501" s="3">
        <v>67</v>
      </c>
      <c r="C1501" s="3">
        <v>56</v>
      </c>
      <c r="D1501" s="3">
        <v>162</v>
      </c>
      <c r="E1501" s="3" t="s">
        <v>1619</v>
      </c>
      <c r="F1501" s="3">
        <v>162</v>
      </c>
    </row>
    <row r="1502" spans="1:6" x14ac:dyDescent="0.25">
      <c r="A1502" s="2">
        <v>56124</v>
      </c>
      <c r="B1502" s="3">
        <v>68</v>
      </c>
      <c r="C1502" s="3">
        <v>56</v>
      </c>
      <c r="D1502" s="3">
        <v>660</v>
      </c>
      <c r="E1502" s="3" t="s">
        <v>1620</v>
      </c>
      <c r="F1502" s="3">
        <v>660</v>
      </c>
    </row>
    <row r="1503" spans="1:6" x14ac:dyDescent="0.25">
      <c r="A1503" s="2">
        <v>56125</v>
      </c>
      <c r="B1503" s="3">
        <v>69</v>
      </c>
      <c r="C1503" s="3">
        <v>56</v>
      </c>
      <c r="D1503" s="3">
        <v>198</v>
      </c>
      <c r="E1503" s="3" t="s">
        <v>1621</v>
      </c>
      <c r="F1503" s="3">
        <v>198</v>
      </c>
    </row>
    <row r="1504" spans="1:6" x14ac:dyDescent="0.25">
      <c r="A1504" s="2">
        <v>56126</v>
      </c>
      <c r="B1504" s="3">
        <v>70</v>
      </c>
      <c r="C1504" s="3">
        <v>56</v>
      </c>
      <c r="D1504" s="3">
        <v>6000</v>
      </c>
      <c r="E1504" s="3" t="s">
        <v>1622</v>
      </c>
      <c r="F1504" s="3">
        <v>6000</v>
      </c>
    </row>
    <row r="1505" spans="1:6" x14ac:dyDescent="0.25">
      <c r="A1505" s="2">
        <v>56127</v>
      </c>
      <c r="B1505" s="3">
        <v>71</v>
      </c>
      <c r="C1505" s="3">
        <v>56</v>
      </c>
      <c r="D1505" s="3">
        <v>762</v>
      </c>
      <c r="E1505" s="3" t="s">
        <v>1623</v>
      </c>
      <c r="F1505" s="3">
        <v>762</v>
      </c>
    </row>
    <row r="1506" spans="1:6" x14ac:dyDescent="0.25">
      <c r="A1506" s="2">
        <v>56128</v>
      </c>
      <c r="B1506" s="3">
        <v>72</v>
      </c>
      <c r="C1506" s="3">
        <v>56</v>
      </c>
      <c r="D1506" s="3">
        <v>209952</v>
      </c>
      <c r="E1506" s="3" t="s">
        <v>1624</v>
      </c>
      <c r="F1506" s="3">
        <v>209952</v>
      </c>
    </row>
    <row r="1507" spans="1:6" x14ac:dyDescent="0.25">
      <c r="A1507" s="2">
        <v>56129</v>
      </c>
      <c r="B1507" s="3">
        <v>73</v>
      </c>
      <c r="C1507" s="3">
        <v>56</v>
      </c>
      <c r="D1507" s="3">
        <v>8028</v>
      </c>
      <c r="E1507" s="3" t="s">
        <v>1625</v>
      </c>
      <c r="F1507" s="3">
        <v>8028</v>
      </c>
    </row>
    <row r="1508" spans="1:6" x14ac:dyDescent="0.25">
      <c r="A1508" s="2">
        <v>56130</v>
      </c>
      <c r="B1508" s="3">
        <v>74</v>
      </c>
      <c r="C1508" s="3">
        <v>56</v>
      </c>
      <c r="D1508" s="3" t="s">
        <v>4</v>
      </c>
      <c r="E1508" s="3" t="s">
        <v>1626</v>
      </c>
      <c r="F1508" s="3" t="s">
        <v>4</v>
      </c>
    </row>
    <row r="1509" spans="1:6" x14ac:dyDescent="0.25">
      <c r="A1509" s="2">
        <v>56131</v>
      </c>
      <c r="B1509" s="3">
        <v>75</v>
      </c>
      <c r="C1509" s="3">
        <v>56</v>
      </c>
      <c r="D1509" s="3">
        <v>993600</v>
      </c>
      <c r="E1509" s="3" t="s">
        <v>1627</v>
      </c>
      <c r="F1509" s="3">
        <v>993600</v>
      </c>
    </row>
    <row r="1510" spans="1:6" x14ac:dyDescent="0.25">
      <c r="A1510" s="2">
        <v>56132</v>
      </c>
      <c r="B1510" s="3">
        <v>76</v>
      </c>
      <c r="C1510" s="3">
        <v>56</v>
      </c>
      <c r="D1510" s="3">
        <v>9.4672799999999999E+28</v>
      </c>
      <c r="E1510" s="3" t="s">
        <v>1628</v>
      </c>
      <c r="F1510" s="3">
        <v>9.4672799999999999E+28</v>
      </c>
    </row>
    <row r="1511" spans="1:6" x14ac:dyDescent="0.25">
      <c r="A1511" s="2">
        <v>56133</v>
      </c>
      <c r="B1511" s="3">
        <v>77</v>
      </c>
      <c r="C1511" s="3">
        <v>56</v>
      </c>
      <c r="D1511" s="3">
        <v>332964237.60000002</v>
      </c>
      <c r="E1511" s="3" t="s">
        <v>1629</v>
      </c>
      <c r="F1511" s="3">
        <v>332964237.60000002</v>
      </c>
    </row>
    <row r="1512" spans="1:6" x14ac:dyDescent="0.25">
      <c r="A1512" s="2">
        <v>56134</v>
      </c>
      <c r="B1512" s="3">
        <v>78</v>
      </c>
      <c r="C1512" s="3">
        <v>56</v>
      </c>
      <c r="D1512" s="3" t="s">
        <v>4</v>
      </c>
      <c r="E1512" s="3" t="s">
        <v>1630</v>
      </c>
      <c r="F1512" s="3" t="s">
        <v>4</v>
      </c>
    </row>
    <row r="1513" spans="1:6" x14ac:dyDescent="0.25">
      <c r="A1513" s="2">
        <v>56135</v>
      </c>
      <c r="B1513" s="3">
        <v>79</v>
      </c>
      <c r="C1513" s="3">
        <v>56</v>
      </c>
      <c r="D1513" s="3" t="s">
        <v>4</v>
      </c>
      <c r="E1513" s="3" t="s">
        <v>1631</v>
      </c>
      <c r="F1513" s="3" t="s">
        <v>4</v>
      </c>
    </row>
    <row r="1514" spans="1:6" x14ac:dyDescent="0.25">
      <c r="A1514" s="2">
        <v>56136</v>
      </c>
      <c r="B1514" s="3">
        <v>80</v>
      </c>
      <c r="C1514" s="3">
        <v>56</v>
      </c>
      <c r="D1514" s="3" t="s">
        <v>4</v>
      </c>
      <c r="E1514" s="3" t="s">
        <v>1632</v>
      </c>
      <c r="F1514" s="3" t="s">
        <v>4</v>
      </c>
    </row>
    <row r="1515" spans="1:6" x14ac:dyDescent="0.25">
      <c r="A1515" s="2">
        <v>56137</v>
      </c>
      <c r="B1515" s="3">
        <v>81</v>
      </c>
      <c r="C1515" s="3">
        <v>56</v>
      </c>
      <c r="D1515" s="3" t="s">
        <v>4</v>
      </c>
      <c r="E1515" s="3" t="s">
        <v>1633</v>
      </c>
      <c r="F1515" s="3" t="s">
        <v>4</v>
      </c>
    </row>
    <row r="1516" spans="1:6" x14ac:dyDescent="0.25">
      <c r="A1516" s="2">
        <v>56138</v>
      </c>
      <c r="B1516" s="3">
        <v>82</v>
      </c>
      <c r="C1516" s="3">
        <v>56</v>
      </c>
      <c r="D1516" s="3" t="s">
        <v>4</v>
      </c>
      <c r="E1516" s="3" t="s">
        <v>1634</v>
      </c>
      <c r="F1516" s="3" t="s">
        <v>4</v>
      </c>
    </row>
    <row r="1517" spans="1:6" x14ac:dyDescent="0.25">
      <c r="A1517" s="2">
        <v>56139</v>
      </c>
      <c r="B1517" s="3">
        <v>83</v>
      </c>
      <c r="C1517" s="3">
        <v>56</v>
      </c>
      <c r="D1517" s="3">
        <v>4983.6000000000004</v>
      </c>
      <c r="E1517" s="3" t="s">
        <v>1635</v>
      </c>
      <c r="F1517" s="3">
        <v>4983.6000000000004</v>
      </c>
    </row>
    <row r="1518" spans="1:6" x14ac:dyDescent="0.25">
      <c r="A1518" s="2">
        <v>56140</v>
      </c>
      <c r="B1518" s="3">
        <v>84</v>
      </c>
      <c r="C1518" s="3">
        <v>56</v>
      </c>
      <c r="D1518" s="3">
        <v>1101833.28</v>
      </c>
      <c r="E1518" s="3" t="s">
        <v>1636</v>
      </c>
      <c r="F1518" s="3">
        <v>1101833.28</v>
      </c>
    </row>
    <row r="1519" spans="1:6" x14ac:dyDescent="0.25">
      <c r="A1519" s="2">
        <v>56141</v>
      </c>
      <c r="B1519" s="3">
        <v>85</v>
      </c>
      <c r="C1519" s="3">
        <v>56</v>
      </c>
      <c r="D1519" s="3">
        <v>1096.2</v>
      </c>
      <c r="E1519" s="3" t="s">
        <v>1637</v>
      </c>
      <c r="F1519" s="3">
        <v>1096.2</v>
      </c>
    </row>
    <row r="1520" spans="1:6" x14ac:dyDescent="0.25">
      <c r="A1520" s="2">
        <v>56142</v>
      </c>
      <c r="B1520" s="3">
        <v>86</v>
      </c>
      <c r="C1520" s="3">
        <v>56</v>
      </c>
      <c r="D1520" s="3">
        <v>636</v>
      </c>
      <c r="E1520" s="3" t="s">
        <v>1638</v>
      </c>
      <c r="F1520" s="3">
        <v>636</v>
      </c>
    </row>
    <row r="1521" spans="1:6" x14ac:dyDescent="0.25">
      <c r="A1521" s="2">
        <v>56143</v>
      </c>
      <c r="B1521" s="3">
        <v>87</v>
      </c>
      <c r="C1521" s="3">
        <v>56</v>
      </c>
      <c r="D1521" s="3">
        <v>14.5</v>
      </c>
      <c r="E1521" s="3" t="s">
        <v>1639</v>
      </c>
      <c r="F1521" s="3">
        <v>14.5</v>
      </c>
    </row>
    <row r="1522" spans="1:6" x14ac:dyDescent="0.25">
      <c r="A1522" s="2">
        <v>56144</v>
      </c>
      <c r="B1522" s="3">
        <v>88</v>
      </c>
      <c r="C1522" s="3">
        <v>56</v>
      </c>
      <c r="D1522" s="3">
        <v>11.5</v>
      </c>
      <c r="E1522" s="3" t="s">
        <v>1640</v>
      </c>
      <c r="F1522" s="3">
        <v>11.5</v>
      </c>
    </row>
    <row r="1523" spans="1:6" x14ac:dyDescent="0.25">
      <c r="A1523" s="2">
        <v>56145</v>
      </c>
      <c r="B1523" s="3">
        <v>89</v>
      </c>
      <c r="C1523" s="3">
        <v>56</v>
      </c>
      <c r="D1523" s="3">
        <v>4.3099999999999996</v>
      </c>
      <c r="E1523" s="3" t="s">
        <v>1641</v>
      </c>
      <c r="F1523" s="3">
        <v>4.3099999999999996</v>
      </c>
    </row>
    <row r="1524" spans="1:6" x14ac:dyDescent="0.25">
      <c r="A1524" s="2">
        <v>56146</v>
      </c>
      <c r="B1524" s="3">
        <v>90</v>
      </c>
      <c r="C1524" s="3">
        <v>56</v>
      </c>
      <c r="D1524" s="3">
        <v>2.2200000000000002</v>
      </c>
      <c r="E1524" s="3" t="s">
        <v>1642</v>
      </c>
      <c r="F1524" s="3">
        <v>2.2200000000000002</v>
      </c>
    </row>
    <row r="1525" spans="1:6" x14ac:dyDescent="0.25">
      <c r="A1525" s="2">
        <v>56147</v>
      </c>
      <c r="B1525" s="3">
        <v>91</v>
      </c>
      <c r="C1525" s="3">
        <v>56</v>
      </c>
      <c r="D1525" s="3">
        <v>0.89400000000000002</v>
      </c>
      <c r="E1525" s="3" t="s">
        <v>1643</v>
      </c>
      <c r="F1525" s="3">
        <v>0.89400000000000002</v>
      </c>
    </row>
    <row r="1526" spans="1:6" x14ac:dyDescent="0.25">
      <c r="A1526" s="2">
        <v>56148</v>
      </c>
      <c r="B1526" s="3">
        <v>92</v>
      </c>
      <c r="C1526" s="3">
        <v>56</v>
      </c>
      <c r="D1526" s="3">
        <v>0.61199999999999999</v>
      </c>
      <c r="E1526" s="3" t="s">
        <v>1644</v>
      </c>
      <c r="F1526" s="3">
        <v>0.61199999999999999</v>
      </c>
    </row>
    <row r="1527" spans="1:6" x14ac:dyDescent="0.25">
      <c r="A1527" s="2">
        <v>56149</v>
      </c>
      <c r="B1527" s="3">
        <v>93</v>
      </c>
      <c r="C1527" s="3">
        <v>56</v>
      </c>
      <c r="D1527" s="3">
        <v>0.34399999999999997</v>
      </c>
      <c r="E1527" s="3" t="s">
        <v>1645</v>
      </c>
      <c r="F1527" s="3">
        <v>0.34399999999999997</v>
      </c>
    </row>
    <row r="1528" spans="1:6" x14ac:dyDescent="0.25">
      <c r="A1528" s="2">
        <v>56150</v>
      </c>
      <c r="B1528" s="3">
        <v>94</v>
      </c>
      <c r="C1528" s="3">
        <v>56</v>
      </c>
      <c r="D1528" s="3">
        <v>0.3</v>
      </c>
      <c r="E1528" s="3" t="s">
        <v>1646</v>
      </c>
      <c r="F1528" s="3">
        <v>0.3</v>
      </c>
    </row>
    <row r="1529" spans="1:6" x14ac:dyDescent="0.25">
      <c r="A1529" s="2">
        <v>56151</v>
      </c>
      <c r="B1529" s="3">
        <v>95</v>
      </c>
      <c r="C1529" s="3">
        <v>56</v>
      </c>
      <c r="D1529" s="3">
        <v>2.9999999999999999E-7</v>
      </c>
      <c r="E1529" s="3" t="s">
        <v>1647</v>
      </c>
      <c r="F1529" s="3">
        <v>2.9999999999999999E-7</v>
      </c>
    </row>
    <row r="1530" spans="1:6" x14ac:dyDescent="0.25">
      <c r="A1530" s="2">
        <v>56152</v>
      </c>
      <c r="B1530" s="3">
        <v>96</v>
      </c>
      <c r="C1530" s="3">
        <v>56</v>
      </c>
      <c r="D1530" s="3">
        <v>4.0600000000000001E-7</v>
      </c>
      <c r="E1530" s="3" t="s">
        <v>1648</v>
      </c>
      <c r="F1530" s="3">
        <v>4.0600000000000001E-7</v>
      </c>
    </row>
    <row r="1531" spans="1:6" x14ac:dyDescent="0.25">
      <c r="A1531" s="2">
        <v>57117</v>
      </c>
      <c r="B1531" s="3">
        <v>60</v>
      </c>
      <c r="C1531" s="3">
        <v>57</v>
      </c>
      <c r="D1531" s="3">
        <v>2.35E-2</v>
      </c>
      <c r="E1531" s="3" t="s">
        <v>1649</v>
      </c>
      <c r="F1531" s="3">
        <v>2.35E-2</v>
      </c>
    </row>
    <row r="1532" spans="1:6" x14ac:dyDescent="0.25">
      <c r="A1532" s="2">
        <v>57120</v>
      </c>
      <c r="B1532" s="3">
        <v>63</v>
      </c>
      <c r="C1532" s="3">
        <v>57</v>
      </c>
      <c r="D1532" s="3">
        <v>2.8</v>
      </c>
      <c r="E1532" s="3" t="s">
        <v>1650</v>
      </c>
      <c r="F1532" s="3">
        <v>2.8</v>
      </c>
    </row>
    <row r="1533" spans="1:6" x14ac:dyDescent="0.25">
      <c r="A1533" s="2">
        <v>57121</v>
      </c>
      <c r="B1533" s="3">
        <v>64</v>
      </c>
      <c r="C1533" s="3">
        <v>57</v>
      </c>
      <c r="D1533" s="3">
        <v>5.3</v>
      </c>
      <c r="E1533" s="3" t="s">
        <v>1651</v>
      </c>
      <c r="F1533" s="3">
        <v>5.3</v>
      </c>
    </row>
    <row r="1534" spans="1:6" x14ac:dyDescent="0.25">
      <c r="A1534" s="2">
        <v>57122</v>
      </c>
      <c r="B1534" s="3">
        <v>65</v>
      </c>
      <c r="C1534" s="3">
        <v>57</v>
      </c>
      <c r="D1534" s="3">
        <v>8.6</v>
      </c>
      <c r="E1534" s="3" t="s">
        <v>1652</v>
      </c>
      <c r="F1534" s="3">
        <v>8.6</v>
      </c>
    </row>
    <row r="1535" spans="1:6" x14ac:dyDescent="0.25">
      <c r="A1535" s="2">
        <v>57123</v>
      </c>
      <c r="B1535" s="3">
        <v>66</v>
      </c>
      <c r="C1535" s="3">
        <v>57</v>
      </c>
      <c r="D1535" s="3">
        <v>17</v>
      </c>
      <c r="E1535" s="3" t="s">
        <v>1653</v>
      </c>
      <c r="F1535" s="3">
        <v>17</v>
      </c>
    </row>
    <row r="1536" spans="1:6" x14ac:dyDescent="0.25">
      <c r="A1536" s="2">
        <v>57124</v>
      </c>
      <c r="B1536" s="3">
        <v>67</v>
      </c>
      <c r="C1536" s="3">
        <v>57</v>
      </c>
      <c r="D1536" s="3">
        <v>29.21</v>
      </c>
      <c r="E1536" s="3" t="s">
        <v>1654</v>
      </c>
      <c r="F1536" s="3">
        <v>29.21</v>
      </c>
    </row>
    <row r="1537" spans="1:6" x14ac:dyDescent="0.25">
      <c r="A1537" s="2">
        <v>57125</v>
      </c>
      <c r="B1537" s="3">
        <v>68</v>
      </c>
      <c r="C1537" s="3">
        <v>57</v>
      </c>
      <c r="D1537" s="3">
        <v>64.8</v>
      </c>
      <c r="E1537" s="3" t="s">
        <v>1655</v>
      </c>
      <c r="F1537" s="3">
        <v>64.8</v>
      </c>
    </row>
    <row r="1538" spans="1:6" x14ac:dyDescent="0.25">
      <c r="A1538" s="2">
        <v>57126</v>
      </c>
      <c r="B1538" s="3">
        <v>69</v>
      </c>
      <c r="C1538" s="3">
        <v>57</v>
      </c>
      <c r="D1538" s="3">
        <v>54</v>
      </c>
      <c r="E1538" s="3" t="s">
        <v>1656</v>
      </c>
      <c r="F1538" s="3">
        <v>54</v>
      </c>
    </row>
    <row r="1539" spans="1:6" x14ac:dyDescent="0.25">
      <c r="A1539" s="2">
        <v>57127</v>
      </c>
      <c r="B1539" s="3">
        <v>70</v>
      </c>
      <c r="C1539" s="3">
        <v>57</v>
      </c>
      <c r="D1539" s="3">
        <v>306</v>
      </c>
      <c r="E1539" s="3" t="s">
        <v>1657</v>
      </c>
      <c r="F1539" s="3">
        <v>306</v>
      </c>
    </row>
    <row r="1540" spans="1:6" x14ac:dyDescent="0.25">
      <c r="A1540" s="2">
        <v>57128</v>
      </c>
      <c r="B1540" s="3">
        <v>71</v>
      </c>
      <c r="C1540" s="3">
        <v>57</v>
      </c>
      <c r="D1540" s="3">
        <v>310.79999999999899</v>
      </c>
      <c r="E1540" s="3" t="s">
        <v>1658</v>
      </c>
      <c r="F1540" s="3">
        <v>310.79999999999899</v>
      </c>
    </row>
    <row r="1541" spans="1:6" x14ac:dyDescent="0.25">
      <c r="A1541" s="2">
        <v>57129</v>
      </c>
      <c r="B1541" s="3">
        <v>72</v>
      </c>
      <c r="C1541" s="3">
        <v>57</v>
      </c>
      <c r="D1541" s="3">
        <v>696</v>
      </c>
      <c r="E1541" s="3" t="s">
        <v>1659</v>
      </c>
      <c r="F1541" s="3">
        <v>696</v>
      </c>
    </row>
    <row r="1542" spans="1:6" x14ac:dyDescent="0.25">
      <c r="A1542" s="2">
        <v>57130</v>
      </c>
      <c r="B1542" s="3">
        <v>73</v>
      </c>
      <c r="C1542" s="3">
        <v>57</v>
      </c>
      <c r="D1542" s="3">
        <v>522</v>
      </c>
      <c r="E1542" s="3" t="s">
        <v>1660</v>
      </c>
      <c r="F1542" s="3">
        <v>522</v>
      </c>
    </row>
    <row r="1543" spans="1:6" x14ac:dyDescent="0.25">
      <c r="A1543" s="2">
        <v>57131</v>
      </c>
      <c r="B1543" s="3">
        <v>74</v>
      </c>
      <c r="C1543" s="3">
        <v>57</v>
      </c>
      <c r="D1543" s="3">
        <v>3540</v>
      </c>
      <c r="E1543" s="3" t="s">
        <v>1661</v>
      </c>
      <c r="F1543" s="3">
        <v>3540</v>
      </c>
    </row>
    <row r="1544" spans="1:6" x14ac:dyDescent="0.25">
      <c r="A1544" s="2">
        <v>57132</v>
      </c>
      <c r="B1544" s="3">
        <v>75</v>
      </c>
      <c r="C1544" s="3">
        <v>57</v>
      </c>
      <c r="D1544" s="3">
        <v>17280</v>
      </c>
      <c r="E1544" s="3" t="s">
        <v>1662</v>
      </c>
      <c r="F1544" s="3">
        <v>17280</v>
      </c>
    </row>
    <row r="1545" spans="1:6" x14ac:dyDescent="0.25">
      <c r="A1545" s="2">
        <v>57133</v>
      </c>
      <c r="B1545" s="3">
        <v>76</v>
      </c>
      <c r="C1545" s="3">
        <v>57</v>
      </c>
      <c r="D1545" s="3">
        <v>14083.199999999901</v>
      </c>
      <c r="E1545" s="3" t="s">
        <v>1663</v>
      </c>
      <c r="F1545" s="3">
        <v>14083.199999999901</v>
      </c>
    </row>
    <row r="1546" spans="1:6" x14ac:dyDescent="0.25">
      <c r="A1546" s="2">
        <v>57134</v>
      </c>
      <c r="B1546" s="3">
        <v>77</v>
      </c>
      <c r="C1546" s="3">
        <v>57</v>
      </c>
      <c r="D1546" s="3">
        <v>387</v>
      </c>
      <c r="E1546" s="3" t="s">
        <v>1664</v>
      </c>
      <c r="F1546" s="3">
        <v>387</v>
      </c>
    </row>
    <row r="1547" spans="1:6" x14ac:dyDescent="0.25">
      <c r="A1547" s="2">
        <v>57135</v>
      </c>
      <c r="B1547" s="3">
        <v>78</v>
      </c>
      <c r="C1547" s="3">
        <v>57</v>
      </c>
      <c r="D1547" s="3">
        <v>70200</v>
      </c>
      <c r="E1547" s="3" t="s">
        <v>1665</v>
      </c>
      <c r="F1547" s="3">
        <v>70200</v>
      </c>
    </row>
    <row r="1548" spans="1:6" x14ac:dyDescent="0.25">
      <c r="A1548" s="2">
        <v>57136</v>
      </c>
      <c r="B1548" s="3">
        <v>79</v>
      </c>
      <c r="C1548" s="3">
        <v>57</v>
      </c>
      <c r="D1548" s="3">
        <v>592.19999999999902</v>
      </c>
      <c r="E1548" s="3" t="s">
        <v>1666</v>
      </c>
      <c r="F1548" s="3">
        <v>592.19999999999902</v>
      </c>
    </row>
    <row r="1549" spans="1:6" x14ac:dyDescent="0.25">
      <c r="A1549" s="2">
        <v>57137</v>
      </c>
      <c r="B1549" s="3">
        <v>80</v>
      </c>
      <c r="C1549" s="3">
        <v>57</v>
      </c>
      <c r="D1549" s="3">
        <v>1893456000000</v>
      </c>
      <c r="E1549" s="3" t="s">
        <v>1667</v>
      </c>
      <c r="F1549" s="3">
        <v>1893456000000</v>
      </c>
    </row>
    <row r="1550" spans="1:6" x14ac:dyDescent="0.25">
      <c r="A1550" s="2">
        <v>57138</v>
      </c>
      <c r="B1550" s="3">
        <v>81</v>
      </c>
      <c r="C1550" s="3">
        <v>57</v>
      </c>
      <c r="D1550" s="3">
        <v>3.2188752E+18</v>
      </c>
      <c r="E1550" s="3" t="s">
        <v>1668</v>
      </c>
      <c r="F1550" s="3">
        <v>3.2188752E+18</v>
      </c>
    </row>
    <row r="1551" spans="1:6" x14ac:dyDescent="0.25">
      <c r="A1551" s="2">
        <v>57139</v>
      </c>
      <c r="B1551" s="3">
        <v>82</v>
      </c>
      <c r="C1551" s="3">
        <v>57</v>
      </c>
      <c r="D1551" s="3" t="s">
        <v>4</v>
      </c>
      <c r="E1551" s="3" t="s">
        <v>1669</v>
      </c>
      <c r="F1551" s="3" t="s">
        <v>4</v>
      </c>
    </row>
    <row r="1552" spans="1:6" x14ac:dyDescent="0.25">
      <c r="A1552" s="2">
        <v>57140</v>
      </c>
      <c r="B1552" s="3">
        <v>83</v>
      </c>
      <c r="C1552" s="3">
        <v>57</v>
      </c>
      <c r="D1552" s="3">
        <v>145026.72</v>
      </c>
      <c r="E1552" s="3" t="s">
        <v>1670</v>
      </c>
      <c r="F1552" s="3">
        <v>145026.72</v>
      </c>
    </row>
    <row r="1553" spans="1:6" x14ac:dyDescent="0.25">
      <c r="A1553" s="2">
        <v>57141</v>
      </c>
      <c r="B1553" s="3">
        <v>84</v>
      </c>
      <c r="C1553" s="3">
        <v>57</v>
      </c>
      <c r="D1553" s="3">
        <v>14112</v>
      </c>
      <c r="E1553" s="3" t="s">
        <v>1671</v>
      </c>
      <c r="F1553" s="3">
        <v>14112</v>
      </c>
    </row>
    <row r="1554" spans="1:6" x14ac:dyDescent="0.25">
      <c r="A1554" s="2">
        <v>57142</v>
      </c>
      <c r="B1554" s="3">
        <v>85</v>
      </c>
      <c r="C1554" s="3">
        <v>57</v>
      </c>
      <c r="D1554" s="3">
        <v>5466</v>
      </c>
      <c r="E1554" s="3" t="s">
        <v>1672</v>
      </c>
      <c r="F1554" s="3">
        <v>5466</v>
      </c>
    </row>
    <row r="1555" spans="1:6" x14ac:dyDescent="0.25">
      <c r="A1555" s="2">
        <v>57143</v>
      </c>
      <c r="B1555" s="3">
        <v>86</v>
      </c>
      <c r="C1555" s="3">
        <v>57</v>
      </c>
      <c r="D1555" s="3">
        <v>852</v>
      </c>
      <c r="E1555" s="3" t="s">
        <v>1673</v>
      </c>
      <c r="F1555" s="3">
        <v>852</v>
      </c>
    </row>
    <row r="1556" spans="1:6" x14ac:dyDescent="0.25">
      <c r="A1556" s="2">
        <v>57144</v>
      </c>
      <c r="B1556" s="3">
        <v>87</v>
      </c>
      <c r="C1556" s="3">
        <v>57</v>
      </c>
      <c r="D1556" s="3">
        <v>40.799999999999997</v>
      </c>
      <c r="E1556" s="3" t="s">
        <v>1674</v>
      </c>
      <c r="F1556" s="3">
        <v>40.799999999999997</v>
      </c>
    </row>
    <row r="1557" spans="1:6" x14ac:dyDescent="0.25">
      <c r="A1557" s="2">
        <v>57145</v>
      </c>
      <c r="B1557" s="3">
        <v>88</v>
      </c>
      <c r="C1557" s="3">
        <v>57</v>
      </c>
      <c r="D1557" s="3">
        <v>24.8</v>
      </c>
      <c r="E1557" s="3" t="s">
        <v>1675</v>
      </c>
      <c r="F1557" s="3">
        <v>24.8</v>
      </c>
    </row>
    <row r="1558" spans="1:6" x14ac:dyDescent="0.25">
      <c r="A1558" s="2">
        <v>57146</v>
      </c>
      <c r="B1558" s="3">
        <v>89</v>
      </c>
      <c r="C1558" s="3">
        <v>57</v>
      </c>
      <c r="D1558" s="3">
        <v>6.27</v>
      </c>
      <c r="E1558" s="3" t="s">
        <v>1676</v>
      </c>
      <c r="F1558" s="3">
        <v>6.27</v>
      </c>
    </row>
    <row r="1559" spans="1:6" x14ac:dyDescent="0.25">
      <c r="A1559" s="2">
        <v>57147</v>
      </c>
      <c r="B1559" s="3">
        <v>90</v>
      </c>
      <c r="C1559" s="3">
        <v>57</v>
      </c>
      <c r="D1559" s="3">
        <v>4.0599999999999996</v>
      </c>
      <c r="E1559" s="3" t="s">
        <v>1677</v>
      </c>
      <c r="F1559" s="3">
        <v>4.0599999999999996</v>
      </c>
    </row>
    <row r="1560" spans="1:6" x14ac:dyDescent="0.25">
      <c r="A1560" s="2">
        <v>57148</v>
      </c>
      <c r="B1560" s="3">
        <v>91</v>
      </c>
      <c r="C1560" s="3">
        <v>57</v>
      </c>
      <c r="D1560" s="3">
        <v>1.26</v>
      </c>
      <c r="E1560" s="3" t="s">
        <v>1678</v>
      </c>
      <c r="F1560" s="3">
        <v>1.26</v>
      </c>
    </row>
    <row r="1561" spans="1:6" x14ac:dyDescent="0.25">
      <c r="A1561" s="2">
        <v>57149</v>
      </c>
      <c r="B1561" s="3">
        <v>92</v>
      </c>
      <c r="C1561" s="3">
        <v>57</v>
      </c>
      <c r="D1561" s="3">
        <v>1.05</v>
      </c>
      <c r="E1561" s="3" t="s">
        <v>1679</v>
      </c>
      <c r="F1561" s="3">
        <v>1.05</v>
      </c>
    </row>
    <row r="1562" spans="1:6" x14ac:dyDescent="0.25">
      <c r="A1562" s="2">
        <v>57150</v>
      </c>
      <c r="B1562" s="3">
        <v>93</v>
      </c>
      <c r="C1562" s="3">
        <v>57</v>
      </c>
      <c r="D1562" s="3">
        <v>0.59</v>
      </c>
      <c r="E1562" s="3" t="s">
        <v>1680</v>
      </c>
      <c r="F1562" s="3">
        <v>0.59</v>
      </c>
    </row>
    <row r="1563" spans="1:6" x14ac:dyDescent="0.25">
      <c r="A1563" s="2">
        <v>57151</v>
      </c>
      <c r="B1563" s="3">
        <v>94</v>
      </c>
      <c r="C1563" s="3">
        <v>57</v>
      </c>
      <c r="D1563" s="3">
        <v>2.9999999999999999E-7</v>
      </c>
      <c r="E1563" s="3" t="s">
        <v>1681</v>
      </c>
      <c r="F1563" s="3">
        <v>2.9999999999999999E-7</v>
      </c>
    </row>
    <row r="1564" spans="1:6" x14ac:dyDescent="0.25">
      <c r="A1564" s="2">
        <v>57152</v>
      </c>
      <c r="B1564" s="3">
        <v>95</v>
      </c>
      <c r="C1564" s="3">
        <v>57</v>
      </c>
      <c r="D1564" s="3">
        <v>1.4999999999999999E-7</v>
      </c>
      <c r="E1564" s="3" t="s">
        <v>1682</v>
      </c>
      <c r="F1564" s="3">
        <v>1.4999999999999999E-7</v>
      </c>
    </row>
    <row r="1565" spans="1:6" x14ac:dyDescent="0.25">
      <c r="A1565" s="2">
        <v>57153</v>
      </c>
      <c r="B1565" s="3">
        <v>96</v>
      </c>
      <c r="C1565" s="3">
        <v>57</v>
      </c>
      <c r="D1565" s="3">
        <v>9.9999999999999995E-8</v>
      </c>
      <c r="E1565" s="3" t="s">
        <v>1683</v>
      </c>
      <c r="F1565" s="3">
        <v>9.9999999999999995E-8</v>
      </c>
    </row>
    <row r="1566" spans="1:6" x14ac:dyDescent="0.25">
      <c r="A1566" s="2">
        <v>58121</v>
      </c>
      <c r="B1566" s="3">
        <v>63</v>
      </c>
      <c r="C1566" s="3">
        <v>58</v>
      </c>
      <c r="D1566" s="3">
        <v>1.1000000000000001</v>
      </c>
      <c r="E1566" s="3" t="s">
        <v>1684</v>
      </c>
      <c r="F1566" s="3">
        <v>1.1000000000000001</v>
      </c>
    </row>
    <row r="1567" spans="1:6" x14ac:dyDescent="0.25">
      <c r="A1567" s="2">
        <v>58123</v>
      </c>
      <c r="B1567" s="3">
        <v>65</v>
      </c>
      <c r="C1567" s="3">
        <v>58</v>
      </c>
      <c r="D1567" s="3">
        <v>3.8</v>
      </c>
      <c r="E1567" s="3" t="s">
        <v>1685</v>
      </c>
      <c r="F1567" s="3">
        <v>3.8</v>
      </c>
    </row>
    <row r="1568" spans="1:6" x14ac:dyDescent="0.25">
      <c r="A1568" s="2">
        <v>58124</v>
      </c>
      <c r="B1568" s="3">
        <v>66</v>
      </c>
      <c r="C1568" s="3">
        <v>58</v>
      </c>
      <c r="D1568" s="3">
        <v>6</v>
      </c>
      <c r="E1568" s="3" t="s">
        <v>1686</v>
      </c>
      <c r="F1568" s="3">
        <v>6</v>
      </c>
    </row>
    <row r="1569" spans="1:6" x14ac:dyDescent="0.25">
      <c r="A1569" s="2">
        <v>58125</v>
      </c>
      <c r="B1569" s="3">
        <v>67</v>
      </c>
      <c r="C1569" s="3">
        <v>58</v>
      </c>
      <c r="D1569" s="3">
        <v>9.6999999999999993</v>
      </c>
      <c r="E1569" s="3" t="s">
        <v>1687</v>
      </c>
      <c r="F1569" s="3">
        <v>9.6999999999999993</v>
      </c>
    </row>
    <row r="1570" spans="1:6" x14ac:dyDescent="0.25">
      <c r="A1570" s="2">
        <v>58126</v>
      </c>
      <c r="B1570" s="3">
        <v>68</v>
      </c>
      <c r="C1570" s="3">
        <v>58</v>
      </c>
      <c r="D1570" s="3">
        <v>51</v>
      </c>
      <c r="E1570" s="3" t="s">
        <v>1688</v>
      </c>
      <c r="F1570" s="3">
        <v>51</v>
      </c>
    </row>
    <row r="1571" spans="1:6" x14ac:dyDescent="0.25">
      <c r="A1571" s="2">
        <v>58127</v>
      </c>
      <c r="B1571" s="3">
        <v>69</v>
      </c>
      <c r="C1571" s="3">
        <v>58</v>
      </c>
      <c r="D1571" s="3">
        <v>34</v>
      </c>
      <c r="E1571" s="3" t="s">
        <v>1689</v>
      </c>
      <c r="F1571" s="3">
        <v>34</v>
      </c>
    </row>
    <row r="1572" spans="1:6" x14ac:dyDescent="0.25">
      <c r="A1572" s="2">
        <v>58128</v>
      </c>
      <c r="B1572" s="3">
        <v>70</v>
      </c>
      <c r="C1572" s="3">
        <v>58</v>
      </c>
      <c r="D1572" s="3">
        <v>235.8</v>
      </c>
      <c r="E1572" s="3" t="s">
        <v>1690</v>
      </c>
      <c r="F1572" s="3">
        <v>235.8</v>
      </c>
    </row>
    <row r="1573" spans="1:6" x14ac:dyDescent="0.25">
      <c r="A1573" s="2">
        <v>58129</v>
      </c>
      <c r="B1573" s="3">
        <v>71</v>
      </c>
      <c r="C1573" s="3">
        <v>58</v>
      </c>
      <c r="D1573" s="3">
        <v>210</v>
      </c>
      <c r="E1573" s="3" t="s">
        <v>1691</v>
      </c>
      <c r="F1573" s="3">
        <v>210</v>
      </c>
    </row>
    <row r="1574" spans="1:6" x14ac:dyDescent="0.25">
      <c r="A1574" s="2">
        <v>58130</v>
      </c>
      <c r="B1574" s="3">
        <v>72</v>
      </c>
      <c r="C1574" s="3">
        <v>58</v>
      </c>
      <c r="D1574" s="3">
        <v>1374</v>
      </c>
      <c r="E1574" s="3" t="s">
        <v>1692</v>
      </c>
      <c r="F1574" s="3">
        <v>1374</v>
      </c>
    </row>
    <row r="1575" spans="1:6" x14ac:dyDescent="0.25">
      <c r="A1575" s="2">
        <v>58131</v>
      </c>
      <c r="B1575" s="3">
        <v>73</v>
      </c>
      <c r="C1575" s="3">
        <v>58</v>
      </c>
      <c r="D1575" s="3">
        <v>618</v>
      </c>
      <c r="E1575" s="3" t="s">
        <v>1693</v>
      </c>
      <c r="F1575" s="3">
        <v>618</v>
      </c>
    </row>
    <row r="1576" spans="1:6" x14ac:dyDescent="0.25">
      <c r="A1576" s="2">
        <v>58132</v>
      </c>
      <c r="B1576" s="3">
        <v>74</v>
      </c>
      <c r="C1576" s="3">
        <v>58</v>
      </c>
      <c r="D1576" s="3">
        <v>12636</v>
      </c>
      <c r="E1576" s="3" t="s">
        <v>1694</v>
      </c>
      <c r="F1576" s="3">
        <v>12636</v>
      </c>
    </row>
    <row r="1577" spans="1:6" x14ac:dyDescent="0.25">
      <c r="A1577" s="2">
        <v>58133</v>
      </c>
      <c r="B1577" s="3">
        <v>75</v>
      </c>
      <c r="C1577" s="3">
        <v>58</v>
      </c>
      <c r="D1577" s="3">
        <v>5820</v>
      </c>
      <c r="E1577" s="3" t="s">
        <v>1695</v>
      </c>
      <c r="F1577" s="3">
        <v>5820</v>
      </c>
    </row>
    <row r="1578" spans="1:6" x14ac:dyDescent="0.25">
      <c r="A1578" s="2">
        <v>58134</v>
      </c>
      <c r="B1578" s="3">
        <v>76</v>
      </c>
      <c r="C1578" s="3">
        <v>58</v>
      </c>
      <c r="D1578" s="3">
        <v>273024</v>
      </c>
      <c r="E1578" s="3" t="s">
        <v>1696</v>
      </c>
      <c r="F1578" s="3">
        <v>273024</v>
      </c>
    </row>
    <row r="1579" spans="1:6" x14ac:dyDescent="0.25">
      <c r="A1579" s="2">
        <v>58135</v>
      </c>
      <c r="B1579" s="3">
        <v>77</v>
      </c>
      <c r="C1579" s="3">
        <v>58</v>
      </c>
      <c r="D1579" s="3">
        <v>63720</v>
      </c>
      <c r="E1579" s="3" t="s">
        <v>1697</v>
      </c>
      <c r="F1579" s="3">
        <v>63720</v>
      </c>
    </row>
    <row r="1580" spans="1:6" x14ac:dyDescent="0.25">
      <c r="A1580" s="2">
        <v>58136</v>
      </c>
      <c r="B1580" s="3">
        <v>78</v>
      </c>
      <c r="C1580" s="3">
        <v>58</v>
      </c>
      <c r="D1580" s="3">
        <v>2.209032E+21</v>
      </c>
      <c r="E1580" s="3" t="s">
        <v>1698</v>
      </c>
      <c r="F1580" s="3">
        <v>2.209032E+21</v>
      </c>
    </row>
    <row r="1581" spans="1:6" x14ac:dyDescent="0.25">
      <c r="A1581" s="2">
        <v>58137</v>
      </c>
      <c r="B1581" s="3">
        <v>79</v>
      </c>
      <c r="C1581" s="3">
        <v>58</v>
      </c>
      <c r="D1581" s="3">
        <v>32400</v>
      </c>
      <c r="E1581" s="3" t="s">
        <v>1699</v>
      </c>
      <c r="F1581" s="3">
        <v>32400</v>
      </c>
    </row>
    <row r="1582" spans="1:6" x14ac:dyDescent="0.25">
      <c r="A1582" s="2">
        <v>58138</v>
      </c>
      <c r="B1582" s="3">
        <v>80</v>
      </c>
      <c r="C1582" s="3">
        <v>58</v>
      </c>
      <c r="D1582" s="3">
        <v>2.8401840000000003E+21</v>
      </c>
      <c r="E1582" s="3" t="s">
        <v>1700</v>
      </c>
      <c r="F1582" s="3">
        <v>2.8401840000000003E+21</v>
      </c>
    </row>
    <row r="1583" spans="1:6" x14ac:dyDescent="0.25">
      <c r="A1583" s="2">
        <v>58139</v>
      </c>
      <c r="B1583" s="3">
        <v>81</v>
      </c>
      <c r="C1583" s="3">
        <v>58</v>
      </c>
      <c r="D1583" s="3">
        <v>11892182.3999999</v>
      </c>
      <c r="E1583" s="3" t="s">
        <v>1701</v>
      </c>
      <c r="F1583" s="3">
        <v>11892182.3999999</v>
      </c>
    </row>
    <row r="1584" spans="1:6" x14ac:dyDescent="0.25">
      <c r="A1584" s="2">
        <v>58140</v>
      </c>
      <c r="B1584" s="3">
        <v>82</v>
      </c>
      <c r="C1584" s="3">
        <v>58</v>
      </c>
      <c r="D1584" s="3" t="s">
        <v>4</v>
      </c>
      <c r="E1584" s="3" t="s">
        <v>1702</v>
      </c>
      <c r="F1584" s="3" t="s">
        <v>4</v>
      </c>
    </row>
    <row r="1585" spans="1:6" x14ac:dyDescent="0.25">
      <c r="A1585" s="2">
        <v>58141</v>
      </c>
      <c r="B1585" s="3">
        <v>83</v>
      </c>
      <c r="C1585" s="3">
        <v>58</v>
      </c>
      <c r="D1585" s="3">
        <v>2808950.4</v>
      </c>
      <c r="E1585" s="3" t="s">
        <v>1703</v>
      </c>
      <c r="F1585" s="3">
        <v>2808950.4</v>
      </c>
    </row>
    <row r="1586" spans="1:6" x14ac:dyDescent="0.25">
      <c r="A1586" s="2">
        <v>58142</v>
      </c>
      <c r="B1586" s="3">
        <v>84</v>
      </c>
      <c r="C1586" s="3">
        <v>58</v>
      </c>
      <c r="D1586" s="3">
        <v>1.57788E+24</v>
      </c>
      <c r="E1586" s="3" t="s">
        <v>1704</v>
      </c>
      <c r="F1586" s="3">
        <v>1.57788E+24</v>
      </c>
    </row>
    <row r="1587" spans="1:6" x14ac:dyDescent="0.25">
      <c r="A1587" s="2">
        <v>58143</v>
      </c>
      <c r="B1587" s="3">
        <v>85</v>
      </c>
      <c r="C1587" s="3">
        <v>58</v>
      </c>
      <c r="D1587" s="3">
        <v>118940.4</v>
      </c>
      <c r="E1587" s="3" t="s">
        <v>1705</v>
      </c>
      <c r="F1587" s="3">
        <v>118940.4</v>
      </c>
    </row>
    <row r="1588" spans="1:6" x14ac:dyDescent="0.25">
      <c r="A1588" s="2">
        <v>58144</v>
      </c>
      <c r="B1588" s="3">
        <v>86</v>
      </c>
      <c r="C1588" s="3">
        <v>58</v>
      </c>
      <c r="D1588" s="3">
        <v>24616224</v>
      </c>
      <c r="E1588" s="3" t="s">
        <v>1706</v>
      </c>
      <c r="F1588" s="3">
        <v>24616224</v>
      </c>
    </row>
    <row r="1589" spans="1:6" x14ac:dyDescent="0.25">
      <c r="A1589" s="2">
        <v>58145</v>
      </c>
      <c r="B1589" s="3">
        <v>87</v>
      </c>
      <c r="C1589" s="3">
        <v>58</v>
      </c>
      <c r="D1589" s="3">
        <v>180.6</v>
      </c>
      <c r="E1589" s="3" t="s">
        <v>1707</v>
      </c>
      <c r="F1589" s="3">
        <v>180.6</v>
      </c>
    </row>
    <row r="1590" spans="1:6" x14ac:dyDescent="0.25">
      <c r="A1590" s="2">
        <v>58146</v>
      </c>
      <c r="B1590" s="3">
        <v>88</v>
      </c>
      <c r="C1590" s="3">
        <v>58</v>
      </c>
      <c r="D1590" s="3">
        <v>809.4</v>
      </c>
      <c r="E1590" s="3" t="s">
        <v>1708</v>
      </c>
      <c r="F1590" s="3">
        <v>809.4</v>
      </c>
    </row>
    <row r="1591" spans="1:6" x14ac:dyDescent="0.25">
      <c r="A1591" s="2">
        <v>58147</v>
      </c>
      <c r="B1591" s="3">
        <v>89</v>
      </c>
      <c r="C1591" s="3">
        <v>58</v>
      </c>
      <c r="D1591" s="3">
        <v>56.4</v>
      </c>
      <c r="E1591" s="3" t="s">
        <v>1709</v>
      </c>
      <c r="F1591" s="3">
        <v>56.4</v>
      </c>
    </row>
    <row r="1592" spans="1:6" x14ac:dyDescent="0.25">
      <c r="A1592" s="2">
        <v>58148</v>
      </c>
      <c r="B1592" s="3">
        <v>90</v>
      </c>
      <c r="C1592" s="3">
        <v>58</v>
      </c>
      <c r="D1592" s="3">
        <v>56.8</v>
      </c>
      <c r="E1592" s="3" t="s">
        <v>1710</v>
      </c>
      <c r="F1592" s="3">
        <v>56.8</v>
      </c>
    </row>
    <row r="1593" spans="1:6" x14ac:dyDescent="0.25">
      <c r="A1593" s="2">
        <v>58149</v>
      </c>
      <c r="B1593" s="3">
        <v>91</v>
      </c>
      <c r="C1593" s="3">
        <v>58</v>
      </c>
      <c r="D1593" s="3">
        <v>5.3</v>
      </c>
      <c r="E1593" s="3" t="s">
        <v>1711</v>
      </c>
      <c r="F1593" s="3">
        <v>5.3</v>
      </c>
    </row>
    <row r="1594" spans="1:6" x14ac:dyDescent="0.25">
      <c r="A1594" s="2">
        <v>58150</v>
      </c>
      <c r="B1594" s="3">
        <v>92</v>
      </c>
      <c r="C1594" s="3">
        <v>58</v>
      </c>
      <c r="D1594" s="3">
        <v>4</v>
      </c>
      <c r="E1594" s="3" t="s">
        <v>1712</v>
      </c>
      <c r="F1594" s="3">
        <v>4</v>
      </c>
    </row>
    <row r="1595" spans="1:6" x14ac:dyDescent="0.25">
      <c r="A1595" s="2">
        <v>58151</v>
      </c>
      <c r="B1595" s="3">
        <v>93</v>
      </c>
      <c r="C1595" s="3">
        <v>58</v>
      </c>
      <c r="D1595" s="3">
        <v>1.76</v>
      </c>
      <c r="E1595" s="3" t="s">
        <v>1713</v>
      </c>
      <c r="F1595" s="3">
        <v>1.76</v>
      </c>
    </row>
    <row r="1596" spans="1:6" x14ac:dyDescent="0.25">
      <c r="A1596" s="2">
        <v>58152</v>
      </c>
      <c r="B1596" s="3">
        <v>94</v>
      </c>
      <c r="C1596" s="3">
        <v>58</v>
      </c>
      <c r="D1596" s="3">
        <v>1.4</v>
      </c>
      <c r="E1596" s="3" t="s">
        <v>1714</v>
      </c>
      <c r="F1596" s="3">
        <v>1.4</v>
      </c>
    </row>
    <row r="1597" spans="1:6" x14ac:dyDescent="0.25">
      <c r="A1597" s="2">
        <v>58153</v>
      </c>
      <c r="B1597" s="3">
        <v>95</v>
      </c>
      <c r="C1597" s="3">
        <v>58</v>
      </c>
      <c r="D1597" s="3">
        <v>9.9999999999999995E-8</v>
      </c>
      <c r="E1597" s="3" t="s">
        <v>1715</v>
      </c>
      <c r="F1597" s="3">
        <v>9.9999999999999995E-8</v>
      </c>
    </row>
    <row r="1598" spans="1:6" x14ac:dyDescent="0.25">
      <c r="A1598" s="2">
        <v>58154</v>
      </c>
      <c r="B1598" s="3">
        <v>96</v>
      </c>
      <c r="C1598" s="3">
        <v>58</v>
      </c>
      <c r="D1598" s="3">
        <v>9.9999999999999995E-8</v>
      </c>
      <c r="E1598" s="3" t="s">
        <v>1716</v>
      </c>
      <c r="F1598" s="3">
        <v>9.9999999999999995E-8</v>
      </c>
    </row>
    <row r="1599" spans="1:6" x14ac:dyDescent="0.25">
      <c r="A1599" s="2">
        <v>58155</v>
      </c>
      <c r="B1599" s="3">
        <v>97</v>
      </c>
      <c r="C1599" s="3">
        <v>58</v>
      </c>
      <c r="D1599" s="3">
        <v>2.9999999999999999E-7</v>
      </c>
      <c r="E1599" s="3" t="s">
        <v>1717</v>
      </c>
      <c r="F1599" s="3">
        <v>2.9999999999999999E-7</v>
      </c>
    </row>
    <row r="1600" spans="1:6" x14ac:dyDescent="0.25">
      <c r="A1600" s="2">
        <v>59121</v>
      </c>
      <c r="B1600" s="3">
        <v>62</v>
      </c>
      <c r="C1600" s="3">
        <v>59</v>
      </c>
      <c r="D1600" s="3">
        <v>0.01</v>
      </c>
      <c r="E1600" s="3" t="s">
        <v>1718</v>
      </c>
      <c r="F1600" s="3">
        <v>0.01</v>
      </c>
    </row>
    <row r="1601" spans="1:6" x14ac:dyDescent="0.25">
      <c r="A1601" s="2">
        <v>59122</v>
      </c>
      <c r="B1601" s="3">
        <v>63</v>
      </c>
      <c r="C1601" s="3">
        <v>59</v>
      </c>
      <c r="D1601" s="3">
        <v>0.5</v>
      </c>
      <c r="E1601" s="3" t="s">
        <v>1719</v>
      </c>
      <c r="F1601" s="3">
        <v>0.5</v>
      </c>
    </row>
    <row r="1602" spans="1:6" x14ac:dyDescent="0.25">
      <c r="A1602" s="2">
        <v>59123</v>
      </c>
      <c r="B1602" s="3">
        <v>64</v>
      </c>
      <c r="C1602" s="3">
        <v>59</v>
      </c>
      <c r="D1602" s="3">
        <v>0.8</v>
      </c>
      <c r="E1602" s="3" t="s">
        <v>1720</v>
      </c>
      <c r="F1602" s="3">
        <v>0.8</v>
      </c>
    </row>
    <row r="1603" spans="1:6" x14ac:dyDescent="0.25">
      <c r="A1603" s="2">
        <v>59124</v>
      </c>
      <c r="B1603" s="3">
        <v>65</v>
      </c>
      <c r="C1603" s="3">
        <v>59</v>
      </c>
      <c r="D1603" s="3">
        <v>1.2</v>
      </c>
      <c r="E1603" s="3" t="s">
        <v>1721</v>
      </c>
      <c r="F1603" s="3">
        <v>1.2</v>
      </c>
    </row>
    <row r="1604" spans="1:6" x14ac:dyDescent="0.25">
      <c r="A1604" s="2">
        <v>59125</v>
      </c>
      <c r="B1604" s="3">
        <v>66</v>
      </c>
      <c r="C1604" s="3">
        <v>59</v>
      </c>
      <c r="D1604" s="3">
        <v>3.3</v>
      </c>
      <c r="E1604" s="3" t="s">
        <v>1722</v>
      </c>
      <c r="F1604" s="3">
        <v>3.3</v>
      </c>
    </row>
    <row r="1605" spans="1:6" x14ac:dyDescent="0.25">
      <c r="A1605" s="2">
        <v>59126</v>
      </c>
      <c r="B1605" s="3">
        <v>67</v>
      </c>
      <c r="C1605" s="3">
        <v>59</v>
      </c>
      <c r="D1605" s="3">
        <v>3.14</v>
      </c>
      <c r="E1605" s="3" t="s">
        <v>1723</v>
      </c>
      <c r="F1605" s="3">
        <v>3.14</v>
      </c>
    </row>
    <row r="1606" spans="1:6" x14ac:dyDescent="0.25">
      <c r="A1606" s="2">
        <v>59127</v>
      </c>
      <c r="B1606" s="3">
        <v>68</v>
      </c>
      <c r="C1606" s="3">
        <v>59</v>
      </c>
      <c r="D1606" s="3">
        <v>4.2</v>
      </c>
      <c r="E1606" s="3" t="s">
        <v>1724</v>
      </c>
      <c r="F1606" s="3">
        <v>4.2</v>
      </c>
    </row>
    <row r="1607" spans="1:6" x14ac:dyDescent="0.25">
      <c r="A1607" s="2">
        <v>59128</v>
      </c>
      <c r="B1607" s="3">
        <v>69</v>
      </c>
      <c r="C1607" s="3">
        <v>59</v>
      </c>
      <c r="D1607" s="3">
        <v>2.85</v>
      </c>
      <c r="E1607" s="3" t="s">
        <v>1725</v>
      </c>
      <c r="F1607" s="3">
        <v>2.85</v>
      </c>
    </row>
    <row r="1608" spans="1:6" x14ac:dyDescent="0.25">
      <c r="A1608" s="2">
        <v>59129</v>
      </c>
      <c r="B1608" s="3">
        <v>70</v>
      </c>
      <c r="C1608" s="3">
        <v>59</v>
      </c>
      <c r="D1608" s="3">
        <v>30</v>
      </c>
      <c r="E1608" s="3" t="s">
        <v>1726</v>
      </c>
      <c r="F1608" s="3">
        <v>30</v>
      </c>
    </row>
    <row r="1609" spans="1:6" x14ac:dyDescent="0.25">
      <c r="A1609" s="2">
        <v>59130</v>
      </c>
      <c r="B1609" s="3">
        <v>71</v>
      </c>
      <c r="C1609" s="3">
        <v>59</v>
      </c>
      <c r="D1609" s="3">
        <v>40</v>
      </c>
      <c r="E1609" s="3" t="s">
        <v>1727</v>
      </c>
      <c r="F1609" s="3">
        <v>40</v>
      </c>
    </row>
    <row r="1610" spans="1:6" x14ac:dyDescent="0.25">
      <c r="A1610" s="2">
        <v>59131</v>
      </c>
      <c r="B1610" s="3">
        <v>72</v>
      </c>
      <c r="C1610" s="3">
        <v>59</v>
      </c>
      <c r="D1610" s="3">
        <v>90.6</v>
      </c>
      <c r="E1610" s="3" t="s">
        <v>1728</v>
      </c>
      <c r="F1610" s="3">
        <v>90.6</v>
      </c>
    </row>
    <row r="1611" spans="1:6" x14ac:dyDescent="0.25">
      <c r="A1611" s="2">
        <v>59132</v>
      </c>
      <c r="B1611" s="3">
        <v>73</v>
      </c>
      <c r="C1611" s="3">
        <v>59</v>
      </c>
      <c r="D1611" s="3">
        <v>96</v>
      </c>
      <c r="E1611" s="3" t="s">
        <v>1729</v>
      </c>
      <c r="F1611" s="3">
        <v>96</v>
      </c>
    </row>
    <row r="1612" spans="1:6" x14ac:dyDescent="0.25">
      <c r="A1612" s="2">
        <v>59133</v>
      </c>
      <c r="B1612" s="3">
        <v>74</v>
      </c>
      <c r="C1612" s="3">
        <v>59</v>
      </c>
      <c r="D1612" s="3">
        <v>390</v>
      </c>
      <c r="E1612" s="3" t="s">
        <v>1730</v>
      </c>
      <c r="F1612" s="3">
        <v>390</v>
      </c>
    </row>
    <row r="1613" spans="1:6" x14ac:dyDescent="0.25">
      <c r="A1613" s="2">
        <v>59134</v>
      </c>
      <c r="B1613" s="3">
        <v>75</v>
      </c>
      <c r="C1613" s="3">
        <v>59</v>
      </c>
      <c r="D1613" s="3">
        <v>660</v>
      </c>
      <c r="E1613" s="3" t="s">
        <v>1731</v>
      </c>
      <c r="F1613" s="3">
        <v>660</v>
      </c>
    </row>
    <row r="1614" spans="1:6" x14ac:dyDescent="0.25">
      <c r="A1614" s="2">
        <v>59135</v>
      </c>
      <c r="B1614" s="3">
        <v>76</v>
      </c>
      <c r="C1614" s="3">
        <v>59</v>
      </c>
      <c r="D1614" s="3">
        <v>1440</v>
      </c>
      <c r="E1614" s="3" t="s">
        <v>1732</v>
      </c>
      <c r="F1614" s="3">
        <v>1440</v>
      </c>
    </row>
    <row r="1615" spans="1:6" x14ac:dyDescent="0.25">
      <c r="A1615" s="2">
        <v>59136</v>
      </c>
      <c r="B1615" s="3">
        <v>77</v>
      </c>
      <c r="C1615" s="3">
        <v>59</v>
      </c>
      <c r="D1615" s="3">
        <v>786</v>
      </c>
      <c r="E1615" s="3" t="s">
        <v>1733</v>
      </c>
      <c r="F1615" s="3">
        <v>786</v>
      </c>
    </row>
    <row r="1616" spans="1:6" x14ac:dyDescent="0.25">
      <c r="A1616" s="2">
        <v>59137</v>
      </c>
      <c r="B1616" s="3">
        <v>78</v>
      </c>
      <c r="C1616" s="3">
        <v>59</v>
      </c>
      <c r="D1616" s="3">
        <v>4608</v>
      </c>
      <c r="E1616" s="3" t="s">
        <v>1734</v>
      </c>
      <c r="F1616" s="3">
        <v>4608</v>
      </c>
    </row>
    <row r="1617" spans="1:6" x14ac:dyDescent="0.25">
      <c r="A1617" s="2">
        <v>59138</v>
      </c>
      <c r="B1617" s="3">
        <v>79</v>
      </c>
      <c r="C1617" s="3">
        <v>59</v>
      </c>
      <c r="D1617" s="3">
        <v>87</v>
      </c>
      <c r="E1617" s="3" t="s">
        <v>1735</v>
      </c>
      <c r="F1617" s="3">
        <v>87</v>
      </c>
    </row>
    <row r="1618" spans="1:6" x14ac:dyDescent="0.25">
      <c r="A1618" s="2">
        <v>59139</v>
      </c>
      <c r="B1618" s="3">
        <v>80</v>
      </c>
      <c r="C1618" s="3">
        <v>59</v>
      </c>
      <c r="D1618" s="3">
        <v>15876</v>
      </c>
      <c r="E1618" s="3" t="s">
        <v>1736</v>
      </c>
      <c r="F1618" s="3">
        <v>15876</v>
      </c>
    </row>
    <row r="1619" spans="1:6" x14ac:dyDescent="0.25">
      <c r="A1619" s="2">
        <v>59140</v>
      </c>
      <c r="B1619" s="3">
        <v>81</v>
      </c>
      <c r="C1619" s="3">
        <v>59</v>
      </c>
      <c r="D1619" s="3">
        <v>203.4</v>
      </c>
      <c r="E1619" s="3" t="s">
        <v>1737</v>
      </c>
      <c r="F1619" s="3">
        <v>203.4</v>
      </c>
    </row>
    <row r="1620" spans="1:6" x14ac:dyDescent="0.25">
      <c r="A1620" s="2">
        <v>59141</v>
      </c>
      <c r="B1620" s="3">
        <v>82</v>
      </c>
      <c r="C1620" s="3">
        <v>59</v>
      </c>
      <c r="D1620" s="3" t="s">
        <v>4</v>
      </c>
      <c r="E1620" s="3" t="s">
        <v>1738</v>
      </c>
      <c r="F1620" s="3" t="s">
        <v>4</v>
      </c>
    </row>
    <row r="1621" spans="1:6" x14ac:dyDescent="0.25">
      <c r="A1621" s="2">
        <v>59142</v>
      </c>
      <c r="B1621" s="3">
        <v>83</v>
      </c>
      <c r="C1621" s="3">
        <v>59</v>
      </c>
      <c r="D1621" s="3">
        <v>68832</v>
      </c>
      <c r="E1621" s="3" t="s">
        <v>1739</v>
      </c>
      <c r="F1621" s="3">
        <v>68832</v>
      </c>
    </row>
    <row r="1622" spans="1:6" x14ac:dyDescent="0.25">
      <c r="A1622" s="2">
        <v>59143</v>
      </c>
      <c r="B1622" s="3">
        <v>84</v>
      </c>
      <c r="C1622" s="3">
        <v>59</v>
      </c>
      <c r="D1622" s="3">
        <v>1172448</v>
      </c>
      <c r="E1622" s="3" t="s">
        <v>1740</v>
      </c>
      <c r="F1622" s="3">
        <v>1172448</v>
      </c>
    </row>
    <row r="1623" spans="1:6" x14ac:dyDescent="0.25">
      <c r="A1623" s="2">
        <v>59144</v>
      </c>
      <c r="B1623" s="3">
        <v>85</v>
      </c>
      <c r="C1623" s="3">
        <v>59</v>
      </c>
      <c r="D1623" s="3">
        <v>1036.8</v>
      </c>
      <c r="E1623" s="3" t="s">
        <v>1741</v>
      </c>
      <c r="F1623" s="3">
        <v>1036.8</v>
      </c>
    </row>
    <row r="1624" spans="1:6" x14ac:dyDescent="0.25">
      <c r="A1624" s="2">
        <v>59145</v>
      </c>
      <c r="B1624" s="3">
        <v>86</v>
      </c>
      <c r="C1624" s="3">
        <v>59</v>
      </c>
      <c r="D1624" s="3">
        <v>21542.400000000001</v>
      </c>
      <c r="E1624" s="3" t="s">
        <v>1742</v>
      </c>
      <c r="F1624" s="3">
        <v>21542.400000000001</v>
      </c>
    </row>
    <row r="1625" spans="1:6" x14ac:dyDescent="0.25">
      <c r="A1625" s="2">
        <v>59146</v>
      </c>
      <c r="B1625" s="3">
        <v>87</v>
      </c>
      <c r="C1625" s="3">
        <v>59</v>
      </c>
      <c r="D1625" s="3">
        <v>1449</v>
      </c>
      <c r="E1625" s="3" t="s">
        <v>1743</v>
      </c>
      <c r="F1625" s="3">
        <v>1449</v>
      </c>
    </row>
    <row r="1626" spans="1:6" x14ac:dyDescent="0.25">
      <c r="A1626" s="2">
        <v>59147</v>
      </c>
      <c r="B1626" s="3">
        <v>88</v>
      </c>
      <c r="C1626" s="3">
        <v>59</v>
      </c>
      <c r="D1626" s="3">
        <v>804</v>
      </c>
      <c r="E1626" s="3" t="s">
        <v>1744</v>
      </c>
      <c r="F1626" s="3">
        <v>804</v>
      </c>
    </row>
    <row r="1627" spans="1:6" x14ac:dyDescent="0.25">
      <c r="A1627" s="2">
        <v>59148</v>
      </c>
      <c r="B1627" s="3">
        <v>89</v>
      </c>
      <c r="C1627" s="3">
        <v>59</v>
      </c>
      <c r="D1627" s="3">
        <v>137.4</v>
      </c>
      <c r="E1627" s="3" t="s">
        <v>1745</v>
      </c>
      <c r="F1627" s="3">
        <v>137.4</v>
      </c>
    </row>
    <row r="1628" spans="1:6" x14ac:dyDescent="0.25">
      <c r="A1628" s="2">
        <v>59149</v>
      </c>
      <c r="B1628" s="3">
        <v>90</v>
      </c>
      <c r="C1628" s="3">
        <v>59</v>
      </c>
      <c r="D1628" s="3">
        <v>135.6</v>
      </c>
      <c r="E1628" s="3" t="s">
        <v>1746</v>
      </c>
      <c r="F1628" s="3">
        <v>135.6</v>
      </c>
    </row>
    <row r="1629" spans="1:6" x14ac:dyDescent="0.25">
      <c r="A1629" s="2">
        <v>59150</v>
      </c>
      <c r="B1629" s="3">
        <v>91</v>
      </c>
      <c r="C1629" s="3">
        <v>59</v>
      </c>
      <c r="D1629" s="3">
        <v>6.19</v>
      </c>
      <c r="E1629" s="3" t="s">
        <v>1747</v>
      </c>
      <c r="F1629" s="3">
        <v>6.19</v>
      </c>
    </row>
    <row r="1630" spans="1:6" x14ac:dyDescent="0.25">
      <c r="A1630" s="2">
        <v>59151</v>
      </c>
      <c r="B1630" s="3">
        <v>92</v>
      </c>
      <c r="C1630" s="3">
        <v>59</v>
      </c>
      <c r="D1630" s="3">
        <v>18.899999999999999</v>
      </c>
      <c r="E1630" s="3" t="s">
        <v>1748</v>
      </c>
      <c r="F1630" s="3">
        <v>18.899999999999999</v>
      </c>
    </row>
    <row r="1631" spans="1:6" x14ac:dyDescent="0.25">
      <c r="A1631" s="2">
        <v>59152</v>
      </c>
      <c r="B1631" s="3">
        <v>93</v>
      </c>
      <c r="C1631" s="3">
        <v>59</v>
      </c>
      <c r="D1631" s="3">
        <v>3.57</v>
      </c>
      <c r="E1631" s="3" t="s">
        <v>1749</v>
      </c>
      <c r="F1631" s="3">
        <v>3.57</v>
      </c>
    </row>
    <row r="1632" spans="1:6" x14ac:dyDescent="0.25">
      <c r="A1632" s="2">
        <v>59153</v>
      </c>
      <c r="B1632" s="3">
        <v>94</v>
      </c>
      <c r="C1632" s="3">
        <v>59</v>
      </c>
      <c r="D1632" s="3">
        <v>4.28</v>
      </c>
      <c r="E1632" s="3" t="s">
        <v>1750</v>
      </c>
      <c r="F1632" s="3">
        <v>4.28</v>
      </c>
    </row>
    <row r="1633" spans="1:6" x14ac:dyDescent="0.25">
      <c r="A1633" s="2">
        <v>59154</v>
      </c>
      <c r="B1633" s="3">
        <v>95</v>
      </c>
      <c r="C1633" s="3">
        <v>59</v>
      </c>
      <c r="D1633" s="3">
        <v>2.2999999999999998</v>
      </c>
      <c r="E1633" s="3" t="s">
        <v>1751</v>
      </c>
      <c r="F1633" s="3">
        <v>2.2999999999999998</v>
      </c>
    </row>
    <row r="1634" spans="1:6" x14ac:dyDescent="0.25">
      <c r="A1634" s="2">
        <v>59155</v>
      </c>
      <c r="B1634" s="3">
        <v>96</v>
      </c>
      <c r="C1634" s="3">
        <v>59</v>
      </c>
      <c r="D1634" s="3">
        <v>2.9999999999999999E-7</v>
      </c>
      <c r="E1634" s="3" t="s">
        <v>1752</v>
      </c>
      <c r="F1634" s="3">
        <v>2.9999999999999999E-7</v>
      </c>
    </row>
    <row r="1635" spans="1:6" x14ac:dyDescent="0.25">
      <c r="A1635" s="2">
        <v>59156</v>
      </c>
      <c r="B1635" s="3">
        <v>97</v>
      </c>
      <c r="C1635" s="3">
        <v>59</v>
      </c>
      <c r="D1635" s="3">
        <v>2.9999999999999999E-7</v>
      </c>
      <c r="E1635" s="3" t="s">
        <v>1753</v>
      </c>
      <c r="F1635" s="3">
        <v>2.9999999999999999E-7</v>
      </c>
    </row>
    <row r="1636" spans="1:6" x14ac:dyDescent="0.25">
      <c r="A1636" s="2">
        <v>60125</v>
      </c>
      <c r="B1636" s="3">
        <v>65</v>
      </c>
      <c r="C1636" s="3">
        <v>60</v>
      </c>
      <c r="D1636" s="3">
        <v>0.65</v>
      </c>
      <c r="E1636" s="3" t="s">
        <v>1754</v>
      </c>
      <c r="F1636" s="3">
        <v>0.65</v>
      </c>
    </row>
    <row r="1637" spans="1:6" x14ac:dyDescent="0.25">
      <c r="A1637" s="2">
        <v>60126</v>
      </c>
      <c r="B1637" s="3">
        <v>66</v>
      </c>
      <c r="C1637" s="3">
        <v>60</v>
      </c>
      <c r="D1637" s="3">
        <v>1.9999999999999999E-7</v>
      </c>
      <c r="E1637" s="3" t="s">
        <v>1755</v>
      </c>
      <c r="F1637" s="3">
        <v>1.9999999999999999E-7</v>
      </c>
    </row>
    <row r="1638" spans="1:6" x14ac:dyDescent="0.25">
      <c r="A1638" s="2">
        <v>60127</v>
      </c>
      <c r="B1638" s="3">
        <v>67</v>
      </c>
      <c r="C1638" s="3">
        <v>60</v>
      </c>
      <c r="D1638" s="3">
        <v>1.8</v>
      </c>
      <c r="E1638" s="3" t="s">
        <v>1756</v>
      </c>
      <c r="F1638" s="3">
        <v>1.8</v>
      </c>
    </row>
    <row r="1639" spans="1:6" x14ac:dyDescent="0.25">
      <c r="A1639" s="2">
        <v>60128</v>
      </c>
      <c r="B1639" s="3">
        <v>68</v>
      </c>
      <c r="C1639" s="3">
        <v>60</v>
      </c>
      <c r="D1639" s="3">
        <v>5</v>
      </c>
      <c r="E1639" s="3" t="s">
        <v>1757</v>
      </c>
      <c r="F1639" s="3">
        <v>5</v>
      </c>
    </row>
    <row r="1640" spans="1:6" x14ac:dyDescent="0.25">
      <c r="A1640" s="2">
        <v>60129</v>
      </c>
      <c r="B1640" s="3">
        <v>69</v>
      </c>
      <c r="C1640" s="3">
        <v>60</v>
      </c>
      <c r="D1640" s="3">
        <v>6.7</v>
      </c>
      <c r="E1640" s="3" t="s">
        <v>1758</v>
      </c>
      <c r="F1640" s="3">
        <v>6.7</v>
      </c>
    </row>
    <row r="1641" spans="1:6" x14ac:dyDescent="0.25">
      <c r="A1641" s="2">
        <v>60130</v>
      </c>
      <c r="B1641" s="3">
        <v>70</v>
      </c>
      <c r="C1641" s="3">
        <v>60</v>
      </c>
      <c r="D1641" s="3">
        <v>21</v>
      </c>
      <c r="E1641" s="3" t="s">
        <v>1759</v>
      </c>
      <c r="F1641" s="3">
        <v>21</v>
      </c>
    </row>
    <row r="1642" spans="1:6" x14ac:dyDescent="0.25">
      <c r="A1642" s="2">
        <v>60131</v>
      </c>
      <c r="B1642" s="3">
        <v>71</v>
      </c>
      <c r="C1642" s="3">
        <v>60</v>
      </c>
      <c r="D1642" s="3">
        <v>25.4</v>
      </c>
      <c r="E1642" s="3" t="s">
        <v>1760</v>
      </c>
      <c r="F1642" s="3">
        <v>25.4</v>
      </c>
    </row>
    <row r="1643" spans="1:6" x14ac:dyDescent="0.25">
      <c r="A1643" s="2">
        <v>60132</v>
      </c>
      <c r="B1643" s="3">
        <v>72</v>
      </c>
      <c r="C1643" s="3">
        <v>60</v>
      </c>
      <c r="D1643" s="3">
        <v>94</v>
      </c>
      <c r="E1643" s="3" t="s">
        <v>1761</v>
      </c>
      <c r="F1643" s="3">
        <v>94</v>
      </c>
    </row>
    <row r="1644" spans="1:6" x14ac:dyDescent="0.25">
      <c r="A1644" s="2">
        <v>60133</v>
      </c>
      <c r="B1644" s="3">
        <v>73</v>
      </c>
      <c r="C1644" s="3">
        <v>60</v>
      </c>
      <c r="D1644" s="3">
        <v>70</v>
      </c>
      <c r="E1644" s="3" t="s">
        <v>1762</v>
      </c>
      <c r="F1644" s="3">
        <v>70</v>
      </c>
    </row>
    <row r="1645" spans="1:6" x14ac:dyDescent="0.25">
      <c r="A1645" s="2">
        <v>60134</v>
      </c>
      <c r="B1645" s="3">
        <v>74</v>
      </c>
      <c r="C1645" s="3">
        <v>60</v>
      </c>
      <c r="D1645" s="3">
        <v>510</v>
      </c>
      <c r="E1645" s="3" t="s">
        <v>1763</v>
      </c>
      <c r="F1645" s="3">
        <v>510</v>
      </c>
    </row>
    <row r="1646" spans="1:6" x14ac:dyDescent="0.25">
      <c r="A1646" s="2">
        <v>60135</v>
      </c>
      <c r="B1646" s="3">
        <v>75</v>
      </c>
      <c r="C1646" s="3">
        <v>60</v>
      </c>
      <c r="D1646" s="3">
        <v>744</v>
      </c>
      <c r="E1646" s="3" t="s">
        <v>1764</v>
      </c>
      <c r="F1646" s="3">
        <v>744</v>
      </c>
    </row>
    <row r="1647" spans="1:6" x14ac:dyDescent="0.25">
      <c r="A1647" s="2">
        <v>60136</v>
      </c>
      <c r="B1647" s="3">
        <v>76</v>
      </c>
      <c r="C1647" s="3">
        <v>60</v>
      </c>
      <c r="D1647" s="3">
        <v>3039</v>
      </c>
      <c r="E1647" s="3" t="s">
        <v>1765</v>
      </c>
      <c r="F1647" s="3">
        <v>3039</v>
      </c>
    </row>
    <row r="1648" spans="1:6" x14ac:dyDescent="0.25">
      <c r="A1648" s="2">
        <v>60137</v>
      </c>
      <c r="B1648" s="3">
        <v>77</v>
      </c>
      <c r="C1648" s="3">
        <v>60</v>
      </c>
      <c r="D1648" s="3">
        <v>2310</v>
      </c>
      <c r="E1648" s="3" t="s">
        <v>1766</v>
      </c>
      <c r="F1648" s="3">
        <v>2310</v>
      </c>
    </row>
    <row r="1649" spans="1:6" x14ac:dyDescent="0.25">
      <c r="A1649" s="2">
        <v>60138</v>
      </c>
      <c r="B1649" s="3">
        <v>78</v>
      </c>
      <c r="C1649" s="3">
        <v>60</v>
      </c>
      <c r="D1649" s="3">
        <v>18144</v>
      </c>
      <c r="E1649" s="3" t="s">
        <v>1767</v>
      </c>
      <c r="F1649" s="3">
        <v>18144</v>
      </c>
    </row>
    <row r="1650" spans="1:6" x14ac:dyDescent="0.25">
      <c r="A1650" s="2">
        <v>60139</v>
      </c>
      <c r="B1650" s="3">
        <v>79</v>
      </c>
      <c r="C1650" s="3">
        <v>60</v>
      </c>
      <c r="D1650" s="3">
        <v>1782</v>
      </c>
      <c r="E1650" s="3" t="s">
        <v>1768</v>
      </c>
      <c r="F1650" s="3">
        <v>1782</v>
      </c>
    </row>
    <row r="1651" spans="1:6" x14ac:dyDescent="0.25">
      <c r="A1651" s="2">
        <v>60140</v>
      </c>
      <c r="B1651" s="3">
        <v>80</v>
      </c>
      <c r="C1651" s="3">
        <v>60</v>
      </c>
      <c r="D1651" s="3">
        <v>291168</v>
      </c>
      <c r="E1651" s="3" t="s">
        <v>1769</v>
      </c>
      <c r="F1651" s="3">
        <v>291168</v>
      </c>
    </row>
    <row r="1652" spans="1:6" x14ac:dyDescent="0.25">
      <c r="A1652" s="2">
        <v>60141</v>
      </c>
      <c r="B1652" s="3">
        <v>81</v>
      </c>
      <c r="C1652" s="3">
        <v>60</v>
      </c>
      <c r="D1652" s="3">
        <v>8964</v>
      </c>
      <c r="E1652" s="3" t="s">
        <v>1770</v>
      </c>
      <c r="F1652" s="3">
        <v>8964</v>
      </c>
    </row>
    <row r="1653" spans="1:6" x14ac:dyDescent="0.25">
      <c r="A1653" s="2">
        <v>60142</v>
      </c>
      <c r="B1653" s="3">
        <v>82</v>
      </c>
      <c r="C1653" s="3">
        <v>60</v>
      </c>
      <c r="D1653" s="3" t="s">
        <v>4</v>
      </c>
      <c r="E1653" s="3" t="s">
        <v>1771</v>
      </c>
      <c r="F1653" s="3" t="s">
        <v>4</v>
      </c>
    </row>
    <row r="1654" spans="1:6" x14ac:dyDescent="0.25">
      <c r="A1654" s="2">
        <v>60143</v>
      </c>
      <c r="B1654" s="3">
        <v>83</v>
      </c>
      <c r="C1654" s="3">
        <v>60</v>
      </c>
      <c r="D1654" s="3" t="s">
        <v>4</v>
      </c>
      <c r="E1654" s="3" t="s">
        <v>1772</v>
      </c>
      <c r="F1654" s="3" t="s">
        <v>4</v>
      </c>
    </row>
    <row r="1655" spans="1:6" x14ac:dyDescent="0.25">
      <c r="A1655" s="2">
        <v>60144</v>
      </c>
      <c r="B1655" s="3">
        <v>84</v>
      </c>
      <c r="C1655" s="3">
        <v>60</v>
      </c>
      <c r="D1655" s="3">
        <v>7.2266904000000002E+22</v>
      </c>
      <c r="E1655" s="3" t="s">
        <v>1773</v>
      </c>
      <c r="F1655" s="3">
        <v>7.2266904000000002E+22</v>
      </c>
    </row>
    <row r="1656" spans="1:6" x14ac:dyDescent="0.25">
      <c r="A1656" s="2">
        <v>60145</v>
      </c>
      <c r="B1656" s="3">
        <v>85</v>
      </c>
      <c r="C1656" s="3">
        <v>60</v>
      </c>
      <c r="D1656" s="3" t="s">
        <v>4</v>
      </c>
      <c r="E1656" s="3" t="s">
        <v>1774</v>
      </c>
      <c r="F1656" s="3" t="s">
        <v>4</v>
      </c>
    </row>
    <row r="1657" spans="1:6" x14ac:dyDescent="0.25">
      <c r="A1657" s="2">
        <v>60146</v>
      </c>
      <c r="B1657" s="3">
        <v>86</v>
      </c>
      <c r="C1657" s="3">
        <v>60</v>
      </c>
      <c r="D1657" s="3" t="s">
        <v>4</v>
      </c>
      <c r="E1657" s="3" t="s">
        <v>1775</v>
      </c>
      <c r="F1657" s="3" t="s">
        <v>4</v>
      </c>
    </row>
    <row r="1658" spans="1:6" x14ac:dyDescent="0.25">
      <c r="A1658" s="2">
        <v>60147</v>
      </c>
      <c r="B1658" s="3">
        <v>87</v>
      </c>
      <c r="C1658" s="3">
        <v>60</v>
      </c>
      <c r="D1658" s="3">
        <v>948672</v>
      </c>
      <c r="E1658" s="3" t="s">
        <v>1776</v>
      </c>
      <c r="F1658" s="3">
        <v>948672</v>
      </c>
    </row>
    <row r="1659" spans="1:6" x14ac:dyDescent="0.25">
      <c r="A1659" s="2">
        <v>60148</v>
      </c>
      <c r="B1659" s="3">
        <v>88</v>
      </c>
      <c r="C1659" s="3">
        <v>60</v>
      </c>
      <c r="D1659" s="3" t="s">
        <v>4</v>
      </c>
      <c r="E1659" s="3" t="s">
        <v>1777</v>
      </c>
      <c r="F1659" s="3" t="s">
        <v>4</v>
      </c>
    </row>
    <row r="1660" spans="1:6" x14ac:dyDescent="0.25">
      <c r="A1660" s="2">
        <v>60149</v>
      </c>
      <c r="B1660" s="3">
        <v>89</v>
      </c>
      <c r="C1660" s="3">
        <v>60</v>
      </c>
      <c r="D1660" s="3">
        <v>6220.8</v>
      </c>
      <c r="E1660" s="3" t="s">
        <v>1778</v>
      </c>
      <c r="F1660" s="3">
        <v>6220.8</v>
      </c>
    </row>
    <row r="1661" spans="1:6" x14ac:dyDescent="0.25">
      <c r="A1661" s="2">
        <v>60150</v>
      </c>
      <c r="B1661" s="3">
        <v>90</v>
      </c>
      <c r="C1661" s="3">
        <v>60</v>
      </c>
      <c r="D1661" s="3">
        <v>2.8717416000000001E+26</v>
      </c>
      <c r="E1661" s="3" t="s">
        <v>1779</v>
      </c>
      <c r="F1661" s="3">
        <v>2.8717416000000001E+26</v>
      </c>
    </row>
    <row r="1662" spans="1:6" x14ac:dyDescent="0.25">
      <c r="A1662" s="2">
        <v>60151</v>
      </c>
      <c r="B1662" s="3">
        <v>91</v>
      </c>
      <c r="C1662" s="3">
        <v>60</v>
      </c>
      <c r="D1662" s="3">
        <v>746.4</v>
      </c>
      <c r="E1662" s="3" t="s">
        <v>1780</v>
      </c>
      <c r="F1662" s="3">
        <v>746.4</v>
      </c>
    </row>
    <row r="1663" spans="1:6" x14ac:dyDescent="0.25">
      <c r="A1663" s="2">
        <v>60152</v>
      </c>
      <c r="B1663" s="3">
        <v>92</v>
      </c>
      <c r="C1663" s="3">
        <v>60</v>
      </c>
      <c r="D1663" s="3">
        <v>684</v>
      </c>
      <c r="E1663" s="3" t="s">
        <v>1781</v>
      </c>
      <c r="F1663" s="3">
        <v>684</v>
      </c>
    </row>
    <row r="1664" spans="1:6" x14ac:dyDescent="0.25">
      <c r="A1664" s="2">
        <v>60153</v>
      </c>
      <c r="B1664" s="3">
        <v>93</v>
      </c>
      <c r="C1664" s="3">
        <v>60</v>
      </c>
      <c r="D1664" s="3">
        <v>31.6</v>
      </c>
      <c r="E1664" s="3" t="s">
        <v>1782</v>
      </c>
      <c r="F1664" s="3">
        <v>31.6</v>
      </c>
    </row>
    <row r="1665" spans="1:6" x14ac:dyDescent="0.25">
      <c r="A1665" s="2">
        <v>60154</v>
      </c>
      <c r="B1665" s="3">
        <v>94</v>
      </c>
      <c r="C1665" s="3">
        <v>60</v>
      </c>
      <c r="D1665" s="3">
        <v>25.9</v>
      </c>
      <c r="E1665" s="3" t="s">
        <v>1783</v>
      </c>
      <c r="F1665" s="3">
        <v>25.9</v>
      </c>
    </row>
    <row r="1666" spans="1:6" x14ac:dyDescent="0.25">
      <c r="A1666" s="2">
        <v>60155</v>
      </c>
      <c r="B1666" s="3">
        <v>95</v>
      </c>
      <c r="C1666" s="3">
        <v>60</v>
      </c>
      <c r="D1666" s="3">
        <v>8.9</v>
      </c>
      <c r="E1666" s="3" t="s">
        <v>1784</v>
      </c>
      <c r="F1666" s="3">
        <v>8.9</v>
      </c>
    </row>
    <row r="1667" spans="1:6" x14ac:dyDescent="0.25">
      <c r="A1667" s="2">
        <v>60156</v>
      </c>
      <c r="B1667" s="3">
        <v>96</v>
      </c>
      <c r="C1667" s="3">
        <v>60</v>
      </c>
      <c r="D1667" s="3">
        <v>5.0599999999999996</v>
      </c>
      <c r="E1667" s="3" t="s">
        <v>1785</v>
      </c>
      <c r="F1667" s="3">
        <v>5.0599999999999996</v>
      </c>
    </row>
    <row r="1668" spans="1:6" x14ac:dyDescent="0.25">
      <c r="A1668" s="2">
        <v>60157</v>
      </c>
      <c r="B1668" s="3">
        <v>97</v>
      </c>
      <c r="C1668" s="3">
        <v>60</v>
      </c>
      <c r="D1668" s="3">
        <v>0.1</v>
      </c>
      <c r="E1668" s="3" t="s">
        <v>1786</v>
      </c>
      <c r="F1668" s="3">
        <v>0.1</v>
      </c>
    </row>
    <row r="1669" spans="1:6" x14ac:dyDescent="0.25">
      <c r="A1669" s="2">
        <v>60158</v>
      </c>
      <c r="B1669" s="3">
        <v>98</v>
      </c>
      <c r="C1669" s="3">
        <v>60</v>
      </c>
      <c r="D1669" s="3">
        <v>1.6E-7</v>
      </c>
      <c r="E1669" s="3" t="s">
        <v>1787</v>
      </c>
      <c r="F1669" s="3">
        <v>1.6E-7</v>
      </c>
    </row>
    <row r="1670" spans="1:6" x14ac:dyDescent="0.25">
      <c r="A1670" s="2">
        <v>60159</v>
      </c>
      <c r="B1670" s="3">
        <v>99</v>
      </c>
      <c r="C1670" s="3">
        <v>60</v>
      </c>
      <c r="D1670" s="3">
        <v>1.6E-7</v>
      </c>
      <c r="E1670" s="3" t="s">
        <v>1788</v>
      </c>
      <c r="F1670" s="3">
        <v>1.6E-7</v>
      </c>
    </row>
    <row r="1671" spans="1:6" x14ac:dyDescent="0.25">
      <c r="A1671" s="2">
        <v>60160</v>
      </c>
      <c r="B1671" s="3">
        <v>100</v>
      </c>
      <c r="C1671" s="3">
        <v>60</v>
      </c>
      <c r="D1671" s="3">
        <v>1.6E-7</v>
      </c>
      <c r="E1671" s="3" t="s">
        <v>1789</v>
      </c>
      <c r="F1671" s="3">
        <v>1.6E-7</v>
      </c>
    </row>
    <row r="1672" spans="1:6" x14ac:dyDescent="0.25">
      <c r="A1672" s="2">
        <v>60161</v>
      </c>
      <c r="B1672" s="3">
        <v>101</v>
      </c>
      <c r="C1672" s="3">
        <v>60</v>
      </c>
      <c r="D1672" s="3">
        <v>1.6E-7</v>
      </c>
      <c r="E1672" s="3" t="s">
        <v>1790</v>
      </c>
      <c r="F1672" s="3">
        <v>1.6E-7</v>
      </c>
    </row>
    <row r="1673" spans="1:6" x14ac:dyDescent="0.25">
      <c r="A1673" s="2">
        <v>61128</v>
      </c>
      <c r="B1673" s="3">
        <v>67</v>
      </c>
      <c r="C1673" s="3">
        <v>61</v>
      </c>
      <c r="D1673" s="3">
        <v>1</v>
      </c>
      <c r="E1673" s="3" t="s">
        <v>1791</v>
      </c>
      <c r="F1673" s="3">
        <v>1</v>
      </c>
    </row>
    <row r="1674" spans="1:6" x14ac:dyDescent="0.25">
      <c r="A1674" s="2">
        <v>61129</v>
      </c>
      <c r="B1674" s="3">
        <v>68</v>
      </c>
      <c r="C1674" s="3">
        <v>61</v>
      </c>
      <c r="D1674" s="3">
        <v>2.4</v>
      </c>
      <c r="E1674" s="3" t="s">
        <v>1792</v>
      </c>
      <c r="F1674" s="3">
        <v>2.4</v>
      </c>
    </row>
    <row r="1675" spans="1:6" x14ac:dyDescent="0.25">
      <c r="A1675" s="2">
        <v>61130</v>
      </c>
      <c r="B1675" s="3">
        <v>69</v>
      </c>
      <c r="C1675" s="3">
        <v>61</v>
      </c>
      <c r="D1675" s="3">
        <v>2.6</v>
      </c>
      <c r="E1675" s="3" t="s">
        <v>1793</v>
      </c>
      <c r="F1675" s="3">
        <v>2.6</v>
      </c>
    </row>
    <row r="1676" spans="1:6" x14ac:dyDescent="0.25">
      <c r="A1676" s="2">
        <v>61131</v>
      </c>
      <c r="B1676" s="3">
        <v>70</v>
      </c>
      <c r="C1676" s="3">
        <v>61</v>
      </c>
      <c r="D1676" s="3">
        <v>6.3</v>
      </c>
      <c r="E1676" s="3" t="s">
        <v>1794</v>
      </c>
      <c r="F1676" s="3">
        <v>6.3</v>
      </c>
    </row>
    <row r="1677" spans="1:6" x14ac:dyDescent="0.25">
      <c r="A1677" s="2">
        <v>61132</v>
      </c>
      <c r="B1677" s="3">
        <v>71</v>
      </c>
      <c r="C1677" s="3">
        <v>61</v>
      </c>
      <c r="D1677" s="3">
        <v>6.2</v>
      </c>
      <c r="E1677" s="3" t="s">
        <v>1795</v>
      </c>
      <c r="F1677" s="3">
        <v>6.2</v>
      </c>
    </row>
    <row r="1678" spans="1:6" x14ac:dyDescent="0.25">
      <c r="A1678" s="2">
        <v>61133</v>
      </c>
      <c r="B1678" s="3">
        <v>72</v>
      </c>
      <c r="C1678" s="3">
        <v>61</v>
      </c>
      <c r="D1678" s="3">
        <v>13.5</v>
      </c>
      <c r="E1678" s="3" t="s">
        <v>1796</v>
      </c>
      <c r="F1678" s="3">
        <v>13.5</v>
      </c>
    </row>
    <row r="1679" spans="1:6" x14ac:dyDescent="0.25">
      <c r="A1679" s="2">
        <v>61134</v>
      </c>
      <c r="B1679" s="3">
        <v>73</v>
      </c>
      <c r="C1679" s="3">
        <v>61</v>
      </c>
      <c r="D1679" s="3">
        <v>5</v>
      </c>
      <c r="E1679" s="3" t="s">
        <v>1797</v>
      </c>
      <c r="F1679" s="3">
        <v>5</v>
      </c>
    </row>
    <row r="1680" spans="1:6" x14ac:dyDescent="0.25">
      <c r="A1680" s="2">
        <v>61135</v>
      </c>
      <c r="B1680" s="3">
        <v>74</v>
      </c>
      <c r="C1680" s="3">
        <v>61</v>
      </c>
      <c r="D1680" s="3">
        <v>49</v>
      </c>
      <c r="E1680" s="3" t="s">
        <v>1798</v>
      </c>
      <c r="F1680" s="3">
        <v>49</v>
      </c>
    </row>
    <row r="1681" spans="1:6" x14ac:dyDescent="0.25">
      <c r="A1681" s="2">
        <v>61136</v>
      </c>
      <c r="B1681" s="3">
        <v>75</v>
      </c>
      <c r="C1681" s="3">
        <v>61</v>
      </c>
      <c r="D1681" s="3">
        <v>107</v>
      </c>
      <c r="E1681" s="3" t="s">
        <v>1799</v>
      </c>
      <c r="F1681" s="3">
        <v>107</v>
      </c>
    </row>
    <row r="1682" spans="1:6" x14ac:dyDescent="0.25">
      <c r="A1682" s="2">
        <v>61137</v>
      </c>
      <c r="B1682" s="3">
        <v>76</v>
      </c>
      <c r="C1682" s="3">
        <v>61</v>
      </c>
      <c r="D1682" s="3">
        <v>144</v>
      </c>
      <c r="E1682" s="3" t="s">
        <v>1800</v>
      </c>
      <c r="F1682" s="3">
        <v>144</v>
      </c>
    </row>
    <row r="1683" spans="1:6" x14ac:dyDescent="0.25">
      <c r="A1683" s="2">
        <v>61138</v>
      </c>
      <c r="B1683" s="3">
        <v>77</v>
      </c>
      <c r="C1683" s="3">
        <v>61</v>
      </c>
      <c r="D1683" s="3">
        <v>10</v>
      </c>
      <c r="E1683" s="3" t="s">
        <v>1801</v>
      </c>
      <c r="F1683" s="3">
        <v>10</v>
      </c>
    </row>
    <row r="1684" spans="1:6" x14ac:dyDescent="0.25">
      <c r="A1684" s="2">
        <v>61139</v>
      </c>
      <c r="B1684" s="3">
        <v>78</v>
      </c>
      <c r="C1684" s="3">
        <v>61</v>
      </c>
      <c r="D1684" s="3">
        <v>249</v>
      </c>
      <c r="E1684" s="3" t="s">
        <v>1802</v>
      </c>
      <c r="F1684" s="3">
        <v>249</v>
      </c>
    </row>
    <row r="1685" spans="1:6" x14ac:dyDescent="0.25">
      <c r="A1685" s="2">
        <v>61140</v>
      </c>
      <c r="B1685" s="3">
        <v>79</v>
      </c>
      <c r="C1685" s="3">
        <v>61</v>
      </c>
      <c r="D1685" s="3">
        <v>9.1999999999999993</v>
      </c>
      <c r="E1685" s="3" t="s">
        <v>1803</v>
      </c>
      <c r="F1685" s="3">
        <v>9.1999999999999993</v>
      </c>
    </row>
    <row r="1686" spans="1:6" x14ac:dyDescent="0.25">
      <c r="A1686" s="2">
        <v>61141</v>
      </c>
      <c r="B1686" s="3">
        <v>80</v>
      </c>
      <c r="C1686" s="3">
        <v>61</v>
      </c>
      <c r="D1686" s="3">
        <v>1254</v>
      </c>
      <c r="E1686" s="3" t="s">
        <v>1804</v>
      </c>
      <c r="F1686" s="3">
        <v>1254</v>
      </c>
    </row>
    <row r="1687" spans="1:6" x14ac:dyDescent="0.25">
      <c r="A1687" s="2">
        <v>61142</v>
      </c>
      <c r="B1687" s="3">
        <v>81</v>
      </c>
      <c r="C1687" s="3">
        <v>61</v>
      </c>
      <c r="D1687" s="3">
        <v>40.5</v>
      </c>
      <c r="E1687" s="3" t="s">
        <v>1805</v>
      </c>
      <c r="F1687" s="3">
        <v>40.5</v>
      </c>
    </row>
    <row r="1688" spans="1:6" x14ac:dyDescent="0.25">
      <c r="A1688" s="2">
        <v>61143</v>
      </c>
      <c r="B1688" s="3">
        <v>82</v>
      </c>
      <c r="C1688" s="3">
        <v>61</v>
      </c>
      <c r="D1688" s="3">
        <v>22896000</v>
      </c>
      <c r="E1688" s="3" t="s">
        <v>1806</v>
      </c>
      <c r="F1688" s="3">
        <v>22896000</v>
      </c>
    </row>
    <row r="1689" spans="1:6" x14ac:dyDescent="0.25">
      <c r="A1689" s="2">
        <v>61144</v>
      </c>
      <c r="B1689" s="3">
        <v>83</v>
      </c>
      <c r="C1689" s="3">
        <v>61</v>
      </c>
      <c r="D1689" s="3">
        <v>31363200</v>
      </c>
      <c r="E1689" s="3" t="s">
        <v>1807</v>
      </c>
      <c r="F1689" s="3">
        <v>31363200</v>
      </c>
    </row>
    <row r="1690" spans="1:6" x14ac:dyDescent="0.25">
      <c r="A1690" s="2">
        <v>61145</v>
      </c>
      <c r="B1690" s="3">
        <v>84</v>
      </c>
      <c r="C1690" s="3">
        <v>61</v>
      </c>
      <c r="D1690" s="3">
        <v>558569520</v>
      </c>
      <c r="E1690" s="3" t="s">
        <v>1808</v>
      </c>
      <c r="F1690" s="3">
        <v>558569520</v>
      </c>
    </row>
    <row r="1691" spans="1:6" x14ac:dyDescent="0.25">
      <c r="A1691" s="2">
        <v>61146</v>
      </c>
      <c r="B1691" s="3">
        <v>85</v>
      </c>
      <c r="C1691" s="3">
        <v>61</v>
      </c>
      <c r="D1691" s="3">
        <v>174513528</v>
      </c>
      <c r="E1691" s="3" t="s">
        <v>1809</v>
      </c>
      <c r="F1691" s="3">
        <v>174513528</v>
      </c>
    </row>
    <row r="1692" spans="1:6" x14ac:dyDescent="0.25">
      <c r="A1692" s="2">
        <v>61147</v>
      </c>
      <c r="B1692" s="3">
        <v>86</v>
      </c>
      <c r="C1692" s="3">
        <v>61</v>
      </c>
      <c r="D1692" s="3">
        <v>82788207.840000004</v>
      </c>
      <c r="E1692" s="3" t="s">
        <v>1810</v>
      </c>
      <c r="F1692" s="3">
        <v>82788207.840000004</v>
      </c>
    </row>
    <row r="1693" spans="1:6" x14ac:dyDescent="0.25">
      <c r="A1693" s="2">
        <v>61148</v>
      </c>
      <c r="B1693" s="3">
        <v>87</v>
      </c>
      <c r="C1693" s="3">
        <v>61</v>
      </c>
      <c r="D1693" s="3">
        <v>463795.20000000001</v>
      </c>
      <c r="E1693" s="3" t="s">
        <v>1811</v>
      </c>
      <c r="F1693" s="3">
        <v>463795.20000000001</v>
      </c>
    </row>
    <row r="1694" spans="1:6" x14ac:dyDescent="0.25">
      <c r="A1694" s="2">
        <v>61149</v>
      </c>
      <c r="B1694" s="3">
        <v>88</v>
      </c>
      <c r="C1694" s="3">
        <v>61</v>
      </c>
      <c r="D1694" s="3">
        <v>191088</v>
      </c>
      <c r="E1694" s="3" t="s">
        <v>1812</v>
      </c>
      <c r="F1694" s="3">
        <v>191088</v>
      </c>
    </row>
    <row r="1695" spans="1:6" x14ac:dyDescent="0.25">
      <c r="A1695" s="2">
        <v>61150</v>
      </c>
      <c r="B1695" s="3">
        <v>89</v>
      </c>
      <c r="C1695" s="3">
        <v>61</v>
      </c>
      <c r="D1695" s="3">
        <v>9712.7999999999993</v>
      </c>
      <c r="E1695" s="3" t="s">
        <v>1813</v>
      </c>
      <c r="F1695" s="3">
        <v>9712.7999999999993</v>
      </c>
    </row>
    <row r="1696" spans="1:6" x14ac:dyDescent="0.25">
      <c r="A1696" s="2">
        <v>61151</v>
      </c>
      <c r="B1696" s="3">
        <v>90</v>
      </c>
      <c r="C1696" s="3">
        <v>61</v>
      </c>
      <c r="D1696" s="3">
        <v>102240</v>
      </c>
      <c r="E1696" s="3" t="s">
        <v>1814</v>
      </c>
      <c r="F1696" s="3">
        <v>102240</v>
      </c>
    </row>
    <row r="1697" spans="1:6" x14ac:dyDescent="0.25">
      <c r="A1697" s="2">
        <v>61152</v>
      </c>
      <c r="B1697" s="3">
        <v>91</v>
      </c>
      <c r="C1697" s="3">
        <v>61</v>
      </c>
      <c r="D1697" s="3">
        <v>247.2</v>
      </c>
      <c r="E1697" s="3" t="s">
        <v>1815</v>
      </c>
      <c r="F1697" s="3">
        <v>247.2</v>
      </c>
    </row>
    <row r="1698" spans="1:6" x14ac:dyDescent="0.25">
      <c r="A1698" s="2">
        <v>61153</v>
      </c>
      <c r="B1698" s="3">
        <v>92</v>
      </c>
      <c r="C1698" s="3">
        <v>61</v>
      </c>
      <c r="D1698" s="3">
        <v>315</v>
      </c>
      <c r="E1698" s="3" t="s">
        <v>1816</v>
      </c>
      <c r="F1698" s="3">
        <v>315</v>
      </c>
    </row>
    <row r="1699" spans="1:6" x14ac:dyDescent="0.25">
      <c r="A1699" s="2">
        <v>61154</v>
      </c>
      <c r="B1699" s="3">
        <v>93</v>
      </c>
      <c r="C1699" s="3">
        <v>61</v>
      </c>
      <c r="D1699" s="3">
        <v>160.80000000000001</v>
      </c>
      <c r="E1699" s="3" t="s">
        <v>1817</v>
      </c>
      <c r="F1699" s="3">
        <v>160.80000000000001</v>
      </c>
    </row>
    <row r="1700" spans="1:6" x14ac:dyDescent="0.25">
      <c r="A1700" s="2">
        <v>61155</v>
      </c>
      <c r="B1700" s="3">
        <v>94</v>
      </c>
      <c r="C1700" s="3">
        <v>61</v>
      </c>
      <c r="D1700" s="3">
        <v>41.5</v>
      </c>
      <c r="E1700" s="3" t="s">
        <v>1818</v>
      </c>
      <c r="F1700" s="3">
        <v>41.5</v>
      </c>
    </row>
    <row r="1701" spans="1:6" x14ac:dyDescent="0.25">
      <c r="A1701" s="2">
        <v>61156</v>
      </c>
      <c r="B1701" s="3">
        <v>95</v>
      </c>
      <c r="C1701" s="3">
        <v>61</v>
      </c>
      <c r="D1701" s="3">
        <v>26.7</v>
      </c>
      <c r="E1701" s="3" t="s">
        <v>1819</v>
      </c>
      <c r="F1701" s="3">
        <v>26.7</v>
      </c>
    </row>
    <row r="1702" spans="1:6" x14ac:dyDescent="0.25">
      <c r="A1702" s="2">
        <v>61157</v>
      </c>
      <c r="B1702" s="3">
        <v>96</v>
      </c>
      <c r="C1702" s="3">
        <v>61</v>
      </c>
      <c r="D1702" s="3">
        <v>10.56</v>
      </c>
      <c r="E1702" s="3" t="s">
        <v>1820</v>
      </c>
      <c r="F1702" s="3">
        <v>10.56</v>
      </c>
    </row>
    <row r="1703" spans="1:6" x14ac:dyDescent="0.25">
      <c r="A1703" s="2">
        <v>61158</v>
      </c>
      <c r="B1703" s="3">
        <v>97</v>
      </c>
      <c r="C1703" s="3">
        <v>61</v>
      </c>
      <c r="D1703" s="3">
        <v>4.8</v>
      </c>
      <c r="E1703" s="3" t="s">
        <v>1821</v>
      </c>
      <c r="F1703" s="3">
        <v>4.8</v>
      </c>
    </row>
    <row r="1704" spans="1:6" x14ac:dyDescent="0.25">
      <c r="A1704" s="2">
        <v>61159</v>
      </c>
      <c r="B1704" s="3">
        <v>98</v>
      </c>
      <c r="C1704" s="3">
        <v>61</v>
      </c>
      <c r="D1704" s="3">
        <v>1.5</v>
      </c>
      <c r="E1704" s="3" t="s">
        <v>1822</v>
      </c>
      <c r="F1704" s="3">
        <v>1.5</v>
      </c>
    </row>
    <row r="1705" spans="1:6" x14ac:dyDescent="0.25">
      <c r="A1705" s="2">
        <v>61160</v>
      </c>
      <c r="B1705" s="3">
        <v>99</v>
      </c>
      <c r="C1705" s="3">
        <v>61</v>
      </c>
      <c r="D1705" s="3">
        <v>1.6E-7</v>
      </c>
      <c r="E1705" s="3" t="s">
        <v>1823</v>
      </c>
      <c r="F1705" s="3">
        <v>1.6E-7</v>
      </c>
    </row>
    <row r="1706" spans="1:6" x14ac:dyDescent="0.25">
      <c r="A1706" s="2">
        <v>61161</v>
      </c>
      <c r="B1706" s="3">
        <v>100</v>
      </c>
      <c r="C1706" s="3">
        <v>61</v>
      </c>
      <c r="D1706" s="3">
        <v>1.6E-7</v>
      </c>
      <c r="E1706" s="3" t="s">
        <v>1824</v>
      </c>
      <c r="F1706" s="3">
        <v>1.6E-7</v>
      </c>
    </row>
    <row r="1707" spans="1:6" x14ac:dyDescent="0.25">
      <c r="A1707" s="2">
        <v>61162</v>
      </c>
      <c r="B1707" s="3">
        <v>101</v>
      </c>
      <c r="C1707" s="3">
        <v>61</v>
      </c>
      <c r="D1707" s="3">
        <v>1.6E-7</v>
      </c>
      <c r="E1707" s="3" t="s">
        <v>1825</v>
      </c>
      <c r="F1707" s="3">
        <v>1.6E-7</v>
      </c>
    </row>
    <row r="1708" spans="1:6" x14ac:dyDescent="0.25">
      <c r="A1708" s="2">
        <v>61163</v>
      </c>
      <c r="B1708" s="3">
        <v>102</v>
      </c>
      <c r="C1708" s="3">
        <v>61</v>
      </c>
      <c r="D1708" s="3">
        <v>1.6E-7</v>
      </c>
      <c r="E1708" s="3" t="s">
        <v>1826</v>
      </c>
      <c r="F1708" s="3">
        <v>1.6E-7</v>
      </c>
    </row>
    <row r="1709" spans="1:6" x14ac:dyDescent="0.25">
      <c r="A1709" s="2">
        <v>62129</v>
      </c>
      <c r="B1709" s="3">
        <v>67</v>
      </c>
      <c r="C1709" s="3">
        <v>62</v>
      </c>
      <c r="D1709" s="3">
        <v>0.55000000000000004</v>
      </c>
      <c r="E1709" s="3" t="s">
        <v>1827</v>
      </c>
      <c r="F1709" s="3">
        <v>0.55000000000000004</v>
      </c>
    </row>
    <row r="1710" spans="1:6" x14ac:dyDescent="0.25">
      <c r="A1710" s="2">
        <v>62131</v>
      </c>
      <c r="B1710" s="3">
        <v>69</v>
      </c>
      <c r="C1710" s="3">
        <v>62</v>
      </c>
      <c r="D1710" s="3">
        <v>1.2</v>
      </c>
      <c r="E1710" s="3" t="s">
        <v>1828</v>
      </c>
      <c r="F1710" s="3">
        <v>1.2</v>
      </c>
    </row>
    <row r="1711" spans="1:6" x14ac:dyDescent="0.25">
      <c r="A1711" s="2">
        <v>62132</v>
      </c>
      <c r="B1711" s="3">
        <v>70</v>
      </c>
      <c r="C1711" s="3">
        <v>62</v>
      </c>
      <c r="D1711" s="3">
        <v>4</v>
      </c>
      <c r="E1711" s="3" t="s">
        <v>1829</v>
      </c>
      <c r="F1711" s="3">
        <v>4</v>
      </c>
    </row>
    <row r="1712" spans="1:6" x14ac:dyDescent="0.25">
      <c r="A1712" s="2">
        <v>62133</v>
      </c>
      <c r="B1712" s="3">
        <v>71</v>
      </c>
      <c r="C1712" s="3">
        <v>62</v>
      </c>
      <c r="D1712" s="3">
        <v>2.89</v>
      </c>
      <c r="E1712" s="3" t="s">
        <v>1830</v>
      </c>
      <c r="F1712" s="3">
        <v>2.89</v>
      </c>
    </row>
    <row r="1713" spans="1:6" x14ac:dyDescent="0.25">
      <c r="A1713" s="2">
        <v>62134</v>
      </c>
      <c r="B1713" s="3">
        <v>72</v>
      </c>
      <c r="C1713" s="3">
        <v>62</v>
      </c>
      <c r="D1713" s="3">
        <v>9.5</v>
      </c>
      <c r="E1713" s="3" t="s">
        <v>1831</v>
      </c>
      <c r="F1713" s="3">
        <v>9.5</v>
      </c>
    </row>
    <row r="1714" spans="1:6" x14ac:dyDescent="0.25">
      <c r="A1714" s="2">
        <v>62135</v>
      </c>
      <c r="B1714" s="3">
        <v>73</v>
      </c>
      <c r="C1714" s="3">
        <v>62</v>
      </c>
      <c r="D1714" s="3">
        <v>10.3</v>
      </c>
      <c r="E1714" s="3" t="s">
        <v>1832</v>
      </c>
      <c r="F1714" s="3">
        <v>10.3</v>
      </c>
    </row>
    <row r="1715" spans="1:6" x14ac:dyDescent="0.25">
      <c r="A1715" s="2">
        <v>62136</v>
      </c>
      <c r="B1715" s="3">
        <v>74</v>
      </c>
      <c r="C1715" s="3">
        <v>62</v>
      </c>
      <c r="D1715" s="3">
        <v>47</v>
      </c>
      <c r="E1715" s="3" t="s">
        <v>1833</v>
      </c>
      <c r="F1715" s="3">
        <v>47</v>
      </c>
    </row>
    <row r="1716" spans="1:6" x14ac:dyDescent="0.25">
      <c r="A1716" s="2">
        <v>62137</v>
      </c>
      <c r="B1716" s="3">
        <v>75</v>
      </c>
      <c r="C1716" s="3">
        <v>62</v>
      </c>
      <c r="D1716" s="3">
        <v>45</v>
      </c>
      <c r="E1716" s="3" t="s">
        <v>1834</v>
      </c>
      <c r="F1716" s="3">
        <v>45</v>
      </c>
    </row>
    <row r="1717" spans="1:6" x14ac:dyDescent="0.25">
      <c r="A1717" s="2">
        <v>62138</v>
      </c>
      <c r="B1717" s="3">
        <v>76</v>
      </c>
      <c r="C1717" s="3">
        <v>62</v>
      </c>
      <c r="D1717" s="3">
        <v>186</v>
      </c>
      <c r="E1717" s="3" t="s">
        <v>1835</v>
      </c>
      <c r="F1717" s="3">
        <v>186</v>
      </c>
    </row>
    <row r="1718" spans="1:6" x14ac:dyDescent="0.25">
      <c r="A1718" s="2">
        <v>62139</v>
      </c>
      <c r="B1718" s="3">
        <v>77</v>
      </c>
      <c r="C1718" s="3">
        <v>62</v>
      </c>
      <c r="D1718" s="3">
        <v>154.19999999999999</v>
      </c>
      <c r="E1718" s="3" t="s">
        <v>1836</v>
      </c>
      <c r="F1718" s="3">
        <v>154.19999999999999</v>
      </c>
    </row>
    <row r="1719" spans="1:6" x14ac:dyDescent="0.25">
      <c r="A1719" s="2">
        <v>62140</v>
      </c>
      <c r="B1719" s="3">
        <v>78</v>
      </c>
      <c r="C1719" s="3">
        <v>62</v>
      </c>
      <c r="D1719" s="3">
        <v>889.2</v>
      </c>
      <c r="E1719" s="3" t="s">
        <v>1837</v>
      </c>
      <c r="F1719" s="3">
        <v>889.2</v>
      </c>
    </row>
    <row r="1720" spans="1:6" x14ac:dyDescent="0.25">
      <c r="A1720" s="2">
        <v>62141</v>
      </c>
      <c r="B1720" s="3">
        <v>79</v>
      </c>
      <c r="C1720" s="3">
        <v>62</v>
      </c>
      <c r="D1720" s="3">
        <v>612</v>
      </c>
      <c r="E1720" s="3" t="s">
        <v>1838</v>
      </c>
      <c r="F1720" s="3">
        <v>612</v>
      </c>
    </row>
    <row r="1721" spans="1:6" x14ac:dyDescent="0.25">
      <c r="A1721" s="2">
        <v>62142</v>
      </c>
      <c r="B1721" s="3">
        <v>80</v>
      </c>
      <c r="C1721" s="3">
        <v>62</v>
      </c>
      <c r="D1721" s="3">
        <v>4349.3999999999996</v>
      </c>
      <c r="E1721" s="3" t="s">
        <v>1839</v>
      </c>
      <c r="F1721" s="3">
        <v>4349.3999999999996</v>
      </c>
    </row>
    <row r="1722" spans="1:6" x14ac:dyDescent="0.25">
      <c r="A1722" s="2">
        <v>62143</v>
      </c>
      <c r="B1722" s="3">
        <v>81</v>
      </c>
      <c r="C1722" s="3">
        <v>62</v>
      </c>
      <c r="D1722" s="3">
        <v>525</v>
      </c>
      <c r="E1722" s="3" t="s">
        <v>1840</v>
      </c>
      <c r="F1722" s="3">
        <v>525</v>
      </c>
    </row>
    <row r="1723" spans="1:6" x14ac:dyDescent="0.25">
      <c r="A1723" s="2">
        <v>62144</v>
      </c>
      <c r="B1723" s="3">
        <v>82</v>
      </c>
      <c r="C1723" s="3">
        <v>62</v>
      </c>
      <c r="D1723" s="3" t="s">
        <v>4</v>
      </c>
      <c r="E1723" s="3" t="s">
        <v>1841</v>
      </c>
      <c r="F1723" s="3" t="s">
        <v>4</v>
      </c>
    </row>
    <row r="1724" spans="1:6" x14ac:dyDescent="0.25">
      <c r="A1724" s="2">
        <v>62145</v>
      </c>
      <c r="B1724" s="3">
        <v>83</v>
      </c>
      <c r="C1724" s="3">
        <v>62</v>
      </c>
      <c r="D1724" s="3">
        <v>29376000</v>
      </c>
      <c r="E1724" s="3" t="s">
        <v>1842</v>
      </c>
      <c r="F1724" s="3">
        <v>29376000</v>
      </c>
    </row>
    <row r="1725" spans="1:6" x14ac:dyDescent="0.25">
      <c r="A1725" s="2">
        <v>62146</v>
      </c>
      <c r="B1725" s="3">
        <v>84</v>
      </c>
      <c r="C1725" s="3">
        <v>62</v>
      </c>
      <c r="D1725" s="3">
        <v>3250432800000000</v>
      </c>
      <c r="E1725" s="3" t="s">
        <v>1843</v>
      </c>
      <c r="F1725" s="3">
        <v>3250432800000000</v>
      </c>
    </row>
    <row r="1726" spans="1:6" x14ac:dyDescent="0.25">
      <c r="A1726" s="2">
        <v>62147</v>
      </c>
      <c r="B1726" s="3">
        <v>85</v>
      </c>
      <c r="C1726" s="3">
        <v>62</v>
      </c>
      <c r="D1726" s="3">
        <v>3.3451056E+18</v>
      </c>
      <c r="E1726" s="3" t="s">
        <v>1844</v>
      </c>
      <c r="F1726" s="3">
        <v>3.3451056E+18</v>
      </c>
    </row>
    <row r="1727" spans="1:6" x14ac:dyDescent="0.25">
      <c r="A1727" s="2">
        <v>62148</v>
      </c>
      <c r="B1727" s="3">
        <v>86</v>
      </c>
      <c r="C1727" s="3">
        <v>62</v>
      </c>
      <c r="D1727" s="3">
        <v>2.2090319999999999E+23</v>
      </c>
      <c r="E1727" s="3" t="s">
        <v>1845</v>
      </c>
      <c r="F1727" s="3">
        <v>2.2090319999999999E+23</v>
      </c>
    </row>
    <row r="1728" spans="1:6" x14ac:dyDescent="0.25">
      <c r="A1728" s="2">
        <v>62149</v>
      </c>
      <c r="B1728" s="3">
        <v>87</v>
      </c>
      <c r="C1728" s="3">
        <v>62</v>
      </c>
      <c r="D1728" s="3" t="s">
        <v>4</v>
      </c>
      <c r="E1728" s="3" t="s">
        <v>1846</v>
      </c>
      <c r="F1728" s="3" t="s">
        <v>4</v>
      </c>
    </row>
    <row r="1729" spans="1:6" x14ac:dyDescent="0.25">
      <c r="A1729" s="2">
        <v>62150</v>
      </c>
      <c r="B1729" s="3">
        <v>88</v>
      </c>
      <c r="C1729" s="3">
        <v>62</v>
      </c>
      <c r="D1729" s="3" t="s">
        <v>4</v>
      </c>
      <c r="E1729" s="3" t="s">
        <v>1847</v>
      </c>
      <c r="F1729" s="3" t="s">
        <v>4</v>
      </c>
    </row>
    <row r="1730" spans="1:6" x14ac:dyDescent="0.25">
      <c r="A1730" s="2">
        <v>62151</v>
      </c>
      <c r="B1730" s="3">
        <v>89</v>
      </c>
      <c r="C1730" s="3">
        <v>62</v>
      </c>
      <c r="D1730" s="3">
        <v>2840184000</v>
      </c>
      <c r="E1730" s="3" t="s">
        <v>1848</v>
      </c>
      <c r="F1730" s="3">
        <v>2840184000</v>
      </c>
    </row>
    <row r="1731" spans="1:6" x14ac:dyDescent="0.25">
      <c r="A1731" s="2">
        <v>62152</v>
      </c>
      <c r="B1731" s="3">
        <v>90</v>
      </c>
      <c r="C1731" s="3">
        <v>62</v>
      </c>
      <c r="D1731" s="3" t="s">
        <v>4</v>
      </c>
      <c r="E1731" s="3" t="s">
        <v>1849</v>
      </c>
      <c r="F1731" s="3" t="s">
        <v>4</v>
      </c>
    </row>
    <row r="1732" spans="1:6" x14ac:dyDescent="0.25">
      <c r="A1732" s="2">
        <v>62153</v>
      </c>
      <c r="B1732" s="3">
        <v>91</v>
      </c>
      <c r="C1732" s="3">
        <v>62</v>
      </c>
      <c r="D1732" s="3">
        <v>166622.39999999999</v>
      </c>
      <c r="E1732" s="3" t="s">
        <v>1850</v>
      </c>
      <c r="F1732" s="3">
        <v>166622.39999999999</v>
      </c>
    </row>
    <row r="1733" spans="1:6" x14ac:dyDescent="0.25">
      <c r="A1733" s="2">
        <v>62154</v>
      </c>
      <c r="B1733" s="3">
        <v>92</v>
      </c>
      <c r="C1733" s="3">
        <v>62</v>
      </c>
      <c r="D1733" s="3" t="s">
        <v>4</v>
      </c>
      <c r="E1733" s="3" t="s">
        <v>1851</v>
      </c>
      <c r="F1733" s="3" t="s">
        <v>4</v>
      </c>
    </row>
    <row r="1734" spans="1:6" x14ac:dyDescent="0.25">
      <c r="A1734" s="2">
        <v>62155</v>
      </c>
      <c r="B1734" s="3">
        <v>93</v>
      </c>
      <c r="C1734" s="3">
        <v>62</v>
      </c>
      <c r="D1734" s="3">
        <v>1338</v>
      </c>
      <c r="E1734" s="3" t="s">
        <v>1852</v>
      </c>
      <c r="F1734" s="3">
        <v>1338</v>
      </c>
    </row>
    <row r="1735" spans="1:6" x14ac:dyDescent="0.25">
      <c r="A1735" s="2">
        <v>62156</v>
      </c>
      <c r="B1735" s="3">
        <v>94</v>
      </c>
      <c r="C1735" s="3">
        <v>62</v>
      </c>
      <c r="D1735" s="3">
        <v>33840</v>
      </c>
      <c r="E1735" s="3" t="s">
        <v>1853</v>
      </c>
      <c r="F1735" s="3">
        <v>33840</v>
      </c>
    </row>
    <row r="1736" spans="1:6" x14ac:dyDescent="0.25">
      <c r="A1736" s="2">
        <v>62157</v>
      </c>
      <c r="B1736" s="3">
        <v>95</v>
      </c>
      <c r="C1736" s="3">
        <v>62</v>
      </c>
      <c r="D1736" s="3">
        <v>481.79999999999899</v>
      </c>
      <c r="E1736" s="3" t="s">
        <v>1854</v>
      </c>
      <c r="F1736" s="3">
        <v>481.79999999999899</v>
      </c>
    </row>
    <row r="1737" spans="1:6" x14ac:dyDescent="0.25">
      <c r="A1737" s="2">
        <v>62158</v>
      </c>
      <c r="B1737" s="3">
        <v>96</v>
      </c>
      <c r="C1737" s="3">
        <v>62</v>
      </c>
      <c r="D1737" s="3">
        <v>318</v>
      </c>
      <c r="E1737" s="3" t="s">
        <v>1855</v>
      </c>
      <c r="F1737" s="3">
        <v>318</v>
      </c>
    </row>
    <row r="1738" spans="1:6" x14ac:dyDescent="0.25">
      <c r="A1738" s="2">
        <v>62159</v>
      </c>
      <c r="B1738" s="3">
        <v>97</v>
      </c>
      <c r="C1738" s="3">
        <v>62</v>
      </c>
      <c r="D1738" s="3">
        <v>11.37</v>
      </c>
      <c r="E1738" s="3" t="s">
        <v>1856</v>
      </c>
      <c r="F1738" s="3">
        <v>11.37</v>
      </c>
    </row>
    <row r="1739" spans="1:6" x14ac:dyDescent="0.25">
      <c r="A1739" s="2">
        <v>62160</v>
      </c>
      <c r="B1739" s="3">
        <v>98</v>
      </c>
      <c r="C1739" s="3">
        <v>62</v>
      </c>
      <c r="D1739" s="3">
        <v>9.6</v>
      </c>
      <c r="E1739" s="3" t="s">
        <v>1857</v>
      </c>
      <c r="F1739" s="3">
        <v>9.6</v>
      </c>
    </row>
    <row r="1740" spans="1:6" x14ac:dyDescent="0.25">
      <c r="A1740" s="2">
        <v>62161</v>
      </c>
      <c r="B1740" s="3">
        <v>99</v>
      </c>
      <c r="C1740" s="3">
        <v>62</v>
      </c>
      <c r="D1740" s="3">
        <v>4.8</v>
      </c>
      <c r="E1740" s="3" t="s">
        <v>1858</v>
      </c>
      <c r="F1740" s="3">
        <v>4.8</v>
      </c>
    </row>
    <row r="1741" spans="1:6" x14ac:dyDescent="0.25">
      <c r="A1741" s="2">
        <v>62162</v>
      </c>
      <c r="B1741" s="3">
        <v>100</v>
      </c>
      <c r="C1741" s="3">
        <v>62</v>
      </c>
      <c r="D1741" s="3">
        <v>2.4</v>
      </c>
      <c r="E1741" s="3" t="s">
        <v>1859</v>
      </c>
      <c r="F1741" s="3">
        <v>2.4</v>
      </c>
    </row>
    <row r="1742" spans="1:6" x14ac:dyDescent="0.25">
      <c r="A1742" s="2">
        <v>62163</v>
      </c>
      <c r="B1742" s="3">
        <v>101</v>
      </c>
      <c r="C1742" s="3">
        <v>62</v>
      </c>
      <c r="D1742" s="3">
        <v>1.6E-7</v>
      </c>
      <c r="E1742" s="3" t="s">
        <v>1860</v>
      </c>
      <c r="F1742" s="3">
        <v>1.6E-7</v>
      </c>
    </row>
    <row r="1743" spans="1:6" x14ac:dyDescent="0.25">
      <c r="A1743" s="2">
        <v>62164</v>
      </c>
      <c r="B1743" s="3">
        <v>102</v>
      </c>
      <c r="C1743" s="3">
        <v>62</v>
      </c>
      <c r="D1743" s="3">
        <v>1.6E-7</v>
      </c>
      <c r="E1743" s="3" t="s">
        <v>1861</v>
      </c>
      <c r="F1743" s="3">
        <v>1.6E-7</v>
      </c>
    </row>
    <row r="1744" spans="1:6" x14ac:dyDescent="0.25">
      <c r="A1744" s="2">
        <v>62165</v>
      </c>
      <c r="B1744" s="3">
        <v>103</v>
      </c>
      <c r="C1744" s="3">
        <v>62</v>
      </c>
      <c r="D1744" s="3">
        <v>1.6E-7</v>
      </c>
      <c r="E1744" s="3" t="s">
        <v>1862</v>
      </c>
      <c r="F1744" s="3">
        <v>1.6E-7</v>
      </c>
    </row>
    <row r="1745" spans="1:6" x14ac:dyDescent="0.25">
      <c r="A1745" s="2">
        <v>63130</v>
      </c>
      <c r="B1745" s="3">
        <v>67</v>
      </c>
      <c r="C1745" s="3">
        <v>63</v>
      </c>
      <c r="D1745" s="3">
        <v>8.9999999999999998E-4</v>
      </c>
      <c r="E1745" s="3" t="s">
        <v>1863</v>
      </c>
      <c r="F1745" s="3">
        <v>8.9999999999999998E-4</v>
      </c>
    </row>
    <row r="1746" spans="1:6" x14ac:dyDescent="0.25">
      <c r="A1746" s="2">
        <v>63131</v>
      </c>
      <c r="B1746" s="3">
        <v>68</v>
      </c>
      <c r="C1746" s="3">
        <v>63</v>
      </c>
      <c r="D1746" s="3">
        <v>1.78E-2</v>
      </c>
      <c r="E1746" s="3" t="s">
        <v>1864</v>
      </c>
      <c r="F1746" s="3">
        <v>1.78E-2</v>
      </c>
    </row>
    <row r="1747" spans="1:6" x14ac:dyDescent="0.25">
      <c r="A1747" s="2">
        <v>63134</v>
      </c>
      <c r="B1747" s="3">
        <v>71</v>
      </c>
      <c r="C1747" s="3">
        <v>63</v>
      </c>
      <c r="D1747" s="3">
        <v>0.5</v>
      </c>
      <c r="E1747" s="3" t="s">
        <v>1865</v>
      </c>
      <c r="F1747" s="3">
        <v>0.5</v>
      </c>
    </row>
    <row r="1748" spans="1:6" x14ac:dyDescent="0.25">
      <c r="A1748" s="2">
        <v>63135</v>
      </c>
      <c r="B1748" s="3">
        <v>72</v>
      </c>
      <c r="C1748" s="3">
        <v>63</v>
      </c>
      <c r="D1748" s="3">
        <v>1.5</v>
      </c>
      <c r="E1748" s="3" t="s">
        <v>1866</v>
      </c>
      <c r="F1748" s="3">
        <v>1.5</v>
      </c>
    </row>
    <row r="1749" spans="1:6" x14ac:dyDescent="0.25">
      <c r="A1749" s="2">
        <v>63136</v>
      </c>
      <c r="B1749" s="3">
        <v>73</v>
      </c>
      <c r="C1749" s="3">
        <v>63</v>
      </c>
      <c r="D1749" s="3">
        <v>3.3</v>
      </c>
      <c r="E1749" s="3" t="s">
        <v>1867</v>
      </c>
      <c r="F1749" s="3">
        <v>3.3</v>
      </c>
    </row>
    <row r="1750" spans="1:6" x14ac:dyDescent="0.25">
      <c r="A1750" s="2">
        <v>63137</v>
      </c>
      <c r="B1750" s="3">
        <v>74</v>
      </c>
      <c r="C1750" s="3">
        <v>63</v>
      </c>
      <c r="D1750" s="3">
        <v>11</v>
      </c>
      <c r="E1750" s="3" t="s">
        <v>1868</v>
      </c>
      <c r="F1750" s="3">
        <v>11</v>
      </c>
    </row>
    <row r="1751" spans="1:6" x14ac:dyDescent="0.25">
      <c r="A1751" s="2">
        <v>63138</v>
      </c>
      <c r="B1751" s="3">
        <v>75</v>
      </c>
      <c r="C1751" s="3">
        <v>63</v>
      </c>
      <c r="D1751" s="3">
        <v>12.1</v>
      </c>
      <c r="E1751" s="3" t="s">
        <v>1869</v>
      </c>
      <c r="F1751" s="3">
        <v>12.1</v>
      </c>
    </row>
    <row r="1752" spans="1:6" x14ac:dyDescent="0.25">
      <c r="A1752" s="2">
        <v>63139</v>
      </c>
      <c r="B1752" s="3">
        <v>76</v>
      </c>
      <c r="C1752" s="3">
        <v>63</v>
      </c>
      <c r="D1752" s="3">
        <v>17.899999999999999</v>
      </c>
      <c r="E1752" s="3" t="s">
        <v>1870</v>
      </c>
      <c r="F1752" s="3">
        <v>17.899999999999999</v>
      </c>
    </row>
    <row r="1753" spans="1:6" x14ac:dyDescent="0.25">
      <c r="A1753" s="2">
        <v>63140</v>
      </c>
      <c r="B1753" s="3">
        <v>77</v>
      </c>
      <c r="C1753" s="3">
        <v>63</v>
      </c>
      <c r="D1753" s="3">
        <v>1.51</v>
      </c>
      <c r="E1753" s="3" t="s">
        <v>1871</v>
      </c>
      <c r="F1753" s="3">
        <v>1.51</v>
      </c>
    </row>
    <row r="1754" spans="1:6" x14ac:dyDescent="0.25">
      <c r="A1754" s="2">
        <v>63141</v>
      </c>
      <c r="B1754" s="3">
        <v>78</v>
      </c>
      <c r="C1754" s="3">
        <v>63</v>
      </c>
      <c r="D1754" s="3">
        <v>40.700000000000003</v>
      </c>
      <c r="E1754" s="3" t="s">
        <v>1872</v>
      </c>
      <c r="F1754" s="3">
        <v>40.700000000000003</v>
      </c>
    </row>
    <row r="1755" spans="1:6" x14ac:dyDescent="0.25">
      <c r="A1755" s="2">
        <v>63142</v>
      </c>
      <c r="B1755" s="3">
        <v>79</v>
      </c>
      <c r="C1755" s="3">
        <v>63</v>
      </c>
      <c r="D1755" s="3">
        <v>2.34</v>
      </c>
      <c r="E1755" s="3" t="s">
        <v>1873</v>
      </c>
      <c r="F1755" s="3">
        <v>2.34</v>
      </c>
    </row>
    <row r="1756" spans="1:6" x14ac:dyDescent="0.25">
      <c r="A1756" s="2">
        <v>63143</v>
      </c>
      <c r="B1756" s="3">
        <v>80</v>
      </c>
      <c r="C1756" s="3">
        <v>63</v>
      </c>
      <c r="D1756" s="3">
        <v>155.39999999999901</v>
      </c>
      <c r="E1756" s="3" t="s">
        <v>1874</v>
      </c>
      <c r="F1756" s="3">
        <v>155.39999999999901</v>
      </c>
    </row>
    <row r="1757" spans="1:6" x14ac:dyDescent="0.25">
      <c r="A1757" s="2">
        <v>63144</v>
      </c>
      <c r="B1757" s="3">
        <v>81</v>
      </c>
      <c r="C1757" s="3">
        <v>63</v>
      </c>
      <c r="D1757" s="3">
        <v>10.199999999999999</v>
      </c>
      <c r="E1757" s="3" t="s">
        <v>1875</v>
      </c>
      <c r="F1757" s="3">
        <v>10.199999999999999</v>
      </c>
    </row>
    <row r="1758" spans="1:6" x14ac:dyDescent="0.25">
      <c r="A1758" s="2">
        <v>63145</v>
      </c>
      <c r="B1758" s="3">
        <v>82</v>
      </c>
      <c r="C1758" s="3">
        <v>63</v>
      </c>
      <c r="D1758" s="3">
        <v>512352</v>
      </c>
      <c r="E1758" s="3" t="s">
        <v>1876</v>
      </c>
      <c r="F1758" s="3">
        <v>512352</v>
      </c>
    </row>
    <row r="1759" spans="1:6" x14ac:dyDescent="0.25">
      <c r="A1759" s="2">
        <v>63146</v>
      </c>
      <c r="B1759" s="3">
        <v>83</v>
      </c>
      <c r="C1759" s="3">
        <v>63</v>
      </c>
      <c r="D1759" s="3">
        <v>398304</v>
      </c>
      <c r="E1759" s="3" t="s">
        <v>1877</v>
      </c>
      <c r="F1759" s="3">
        <v>398304</v>
      </c>
    </row>
    <row r="1760" spans="1:6" x14ac:dyDescent="0.25">
      <c r="A1760" s="2">
        <v>63147</v>
      </c>
      <c r="B1760" s="3">
        <v>84</v>
      </c>
      <c r="C1760" s="3">
        <v>63</v>
      </c>
      <c r="D1760" s="3">
        <v>2082240</v>
      </c>
      <c r="E1760" s="3" t="s">
        <v>1878</v>
      </c>
      <c r="F1760" s="3">
        <v>2082240</v>
      </c>
    </row>
    <row r="1761" spans="1:6" x14ac:dyDescent="0.25">
      <c r="A1761" s="2">
        <v>63148</v>
      </c>
      <c r="B1761" s="3">
        <v>85</v>
      </c>
      <c r="C1761" s="3">
        <v>63</v>
      </c>
      <c r="D1761" s="3">
        <v>4708800</v>
      </c>
      <c r="E1761" s="3" t="s">
        <v>1879</v>
      </c>
      <c r="F1761" s="3">
        <v>4708800</v>
      </c>
    </row>
    <row r="1762" spans="1:6" x14ac:dyDescent="0.25">
      <c r="A1762" s="2">
        <v>63149</v>
      </c>
      <c r="B1762" s="3">
        <v>86</v>
      </c>
      <c r="C1762" s="3">
        <v>63</v>
      </c>
      <c r="D1762" s="3">
        <v>8043839.9999999898</v>
      </c>
      <c r="E1762" s="3" t="s">
        <v>1880</v>
      </c>
      <c r="F1762" s="3">
        <v>8043839.9999999898</v>
      </c>
    </row>
    <row r="1763" spans="1:6" x14ac:dyDescent="0.25">
      <c r="A1763" s="2">
        <v>63150</v>
      </c>
      <c r="B1763" s="3">
        <v>87</v>
      </c>
      <c r="C1763" s="3">
        <v>63</v>
      </c>
      <c r="D1763" s="3">
        <v>1164475440</v>
      </c>
      <c r="E1763" s="3" t="s">
        <v>1881</v>
      </c>
      <c r="F1763" s="3">
        <v>1164475440</v>
      </c>
    </row>
    <row r="1764" spans="1:6" x14ac:dyDescent="0.25">
      <c r="A1764" s="2">
        <v>63151</v>
      </c>
      <c r="B1764" s="3">
        <v>88</v>
      </c>
      <c r="C1764" s="3">
        <v>63</v>
      </c>
      <c r="D1764" s="3">
        <v>5.3647920000000002E+25</v>
      </c>
      <c r="E1764" s="3" t="s">
        <v>1882</v>
      </c>
      <c r="F1764" s="3">
        <v>5.3647920000000002E+25</v>
      </c>
    </row>
    <row r="1765" spans="1:6" x14ac:dyDescent="0.25">
      <c r="A1765" s="2">
        <v>63152</v>
      </c>
      <c r="B1765" s="3">
        <v>89</v>
      </c>
      <c r="C1765" s="3">
        <v>63</v>
      </c>
      <c r="D1765" s="3">
        <v>426564079.19999999</v>
      </c>
      <c r="E1765" s="3" t="s">
        <v>1883</v>
      </c>
      <c r="F1765" s="3">
        <v>426564079.19999999</v>
      </c>
    </row>
    <row r="1766" spans="1:6" x14ac:dyDescent="0.25">
      <c r="A1766" s="2">
        <v>63153</v>
      </c>
      <c r="B1766" s="3">
        <v>90</v>
      </c>
      <c r="C1766" s="3">
        <v>63</v>
      </c>
      <c r="D1766" s="3" t="s">
        <v>4</v>
      </c>
      <c r="E1766" s="3" t="s">
        <v>1884</v>
      </c>
      <c r="F1766" s="3" t="s">
        <v>4</v>
      </c>
    </row>
    <row r="1767" spans="1:6" x14ac:dyDescent="0.25">
      <c r="A1767" s="2">
        <v>63154</v>
      </c>
      <c r="B1767" s="3">
        <v>91</v>
      </c>
      <c r="C1767" s="3">
        <v>63</v>
      </c>
      <c r="D1767" s="3">
        <v>271426917.60000002</v>
      </c>
      <c r="E1767" s="3" t="s">
        <v>1885</v>
      </c>
      <c r="F1767" s="3">
        <v>271426917.60000002</v>
      </c>
    </row>
    <row r="1768" spans="1:6" x14ac:dyDescent="0.25">
      <c r="A1768" s="2">
        <v>63155</v>
      </c>
      <c r="B1768" s="3">
        <v>92</v>
      </c>
      <c r="C1768" s="3">
        <v>63</v>
      </c>
      <c r="D1768" s="3">
        <v>149993272.80000001</v>
      </c>
      <c r="E1768" s="3" t="s">
        <v>1886</v>
      </c>
      <c r="F1768" s="3">
        <v>149993272.80000001</v>
      </c>
    </row>
    <row r="1769" spans="1:6" x14ac:dyDescent="0.25">
      <c r="A1769" s="2">
        <v>63156</v>
      </c>
      <c r="B1769" s="3">
        <v>93</v>
      </c>
      <c r="C1769" s="3">
        <v>63</v>
      </c>
      <c r="D1769" s="3">
        <v>1312416</v>
      </c>
      <c r="E1769" s="3" t="s">
        <v>1887</v>
      </c>
      <c r="F1769" s="3">
        <v>1312416</v>
      </c>
    </row>
    <row r="1770" spans="1:6" x14ac:dyDescent="0.25">
      <c r="A1770" s="2">
        <v>63157</v>
      </c>
      <c r="B1770" s="3">
        <v>94</v>
      </c>
      <c r="C1770" s="3">
        <v>63</v>
      </c>
      <c r="D1770" s="3">
        <v>54648</v>
      </c>
      <c r="E1770" s="3" t="s">
        <v>1888</v>
      </c>
      <c r="F1770" s="3">
        <v>54648</v>
      </c>
    </row>
    <row r="1771" spans="1:6" x14ac:dyDescent="0.25">
      <c r="A1771" s="2">
        <v>63158</v>
      </c>
      <c r="B1771" s="3">
        <v>95</v>
      </c>
      <c r="C1771" s="3">
        <v>63</v>
      </c>
      <c r="D1771" s="3">
        <v>2754</v>
      </c>
      <c r="E1771" s="3" t="s">
        <v>1889</v>
      </c>
      <c r="F1771" s="3">
        <v>2754</v>
      </c>
    </row>
    <row r="1772" spans="1:6" x14ac:dyDescent="0.25">
      <c r="A1772" s="2">
        <v>63159</v>
      </c>
      <c r="B1772" s="3">
        <v>96</v>
      </c>
      <c r="C1772" s="3">
        <v>63</v>
      </c>
      <c r="D1772" s="3">
        <v>1086</v>
      </c>
      <c r="E1772" s="3" t="s">
        <v>1890</v>
      </c>
      <c r="F1772" s="3">
        <v>1086</v>
      </c>
    </row>
    <row r="1773" spans="1:6" x14ac:dyDescent="0.25">
      <c r="A1773" s="2">
        <v>63160</v>
      </c>
      <c r="B1773" s="3">
        <v>97</v>
      </c>
      <c r="C1773" s="3">
        <v>63</v>
      </c>
      <c r="D1773" s="3">
        <v>38</v>
      </c>
      <c r="E1773" s="3" t="s">
        <v>1891</v>
      </c>
      <c r="F1773" s="3">
        <v>38</v>
      </c>
    </row>
    <row r="1774" spans="1:6" x14ac:dyDescent="0.25">
      <c r="A1774" s="2">
        <v>63161</v>
      </c>
      <c r="B1774" s="3">
        <v>98</v>
      </c>
      <c r="C1774" s="3">
        <v>63</v>
      </c>
      <c r="D1774" s="3">
        <v>26</v>
      </c>
      <c r="E1774" s="3" t="s">
        <v>1892</v>
      </c>
      <c r="F1774" s="3">
        <v>26</v>
      </c>
    </row>
    <row r="1775" spans="1:6" x14ac:dyDescent="0.25">
      <c r="A1775" s="2">
        <v>63162</v>
      </c>
      <c r="B1775" s="3">
        <v>99</v>
      </c>
      <c r="C1775" s="3">
        <v>63</v>
      </c>
      <c r="D1775" s="3">
        <v>10.6</v>
      </c>
      <c r="E1775" s="3" t="s">
        <v>1893</v>
      </c>
      <c r="F1775" s="3">
        <v>10.6</v>
      </c>
    </row>
    <row r="1776" spans="1:6" x14ac:dyDescent="0.25">
      <c r="A1776" s="2">
        <v>63163</v>
      </c>
      <c r="B1776" s="3">
        <v>100</v>
      </c>
      <c r="C1776" s="3">
        <v>63</v>
      </c>
      <c r="D1776" s="3">
        <v>7.7</v>
      </c>
      <c r="E1776" s="3" t="s">
        <v>1894</v>
      </c>
      <c r="F1776" s="3">
        <v>7.7</v>
      </c>
    </row>
    <row r="1777" spans="1:6" x14ac:dyDescent="0.25">
      <c r="A1777" s="2">
        <v>63164</v>
      </c>
      <c r="B1777" s="3">
        <v>101</v>
      </c>
      <c r="C1777" s="3">
        <v>63</v>
      </c>
      <c r="D1777" s="3">
        <v>4.2</v>
      </c>
      <c r="E1777" s="3" t="s">
        <v>1895</v>
      </c>
      <c r="F1777" s="3">
        <v>4.2</v>
      </c>
    </row>
    <row r="1778" spans="1:6" x14ac:dyDescent="0.25">
      <c r="A1778" s="2">
        <v>63165</v>
      </c>
      <c r="B1778" s="3">
        <v>102</v>
      </c>
      <c r="C1778" s="3">
        <v>63</v>
      </c>
      <c r="D1778" s="3">
        <v>2.2999999999999998</v>
      </c>
      <c r="E1778" s="3" t="s">
        <v>1896</v>
      </c>
      <c r="F1778" s="3">
        <v>2.2999999999999998</v>
      </c>
    </row>
    <row r="1779" spans="1:6" x14ac:dyDescent="0.25">
      <c r="A1779" s="2">
        <v>63166</v>
      </c>
      <c r="B1779" s="3">
        <v>103</v>
      </c>
      <c r="C1779" s="3">
        <v>63</v>
      </c>
      <c r="D1779" s="3">
        <v>1.7</v>
      </c>
      <c r="E1779" s="3" t="s">
        <v>1897</v>
      </c>
      <c r="F1779" s="3">
        <v>1.7</v>
      </c>
    </row>
    <row r="1780" spans="1:6" x14ac:dyDescent="0.25">
      <c r="A1780" s="2">
        <v>63167</v>
      </c>
      <c r="B1780" s="3">
        <v>104</v>
      </c>
      <c r="C1780" s="3">
        <v>63</v>
      </c>
      <c r="D1780" s="3">
        <v>1.6E-7</v>
      </c>
      <c r="E1780" s="3" t="s">
        <v>1898</v>
      </c>
      <c r="F1780" s="3">
        <v>1.6E-7</v>
      </c>
    </row>
    <row r="1781" spans="1:6" x14ac:dyDescent="0.25">
      <c r="A1781" s="2">
        <v>63168</v>
      </c>
      <c r="B1781" s="3">
        <v>105</v>
      </c>
      <c r="C1781" s="3">
        <v>63</v>
      </c>
      <c r="D1781" s="3">
        <v>1.6E-7</v>
      </c>
      <c r="E1781" s="3" t="s">
        <v>1899</v>
      </c>
      <c r="F1781" s="3">
        <v>1.6E-7</v>
      </c>
    </row>
    <row r="1782" spans="1:6" x14ac:dyDescent="0.25">
      <c r="A1782" s="2">
        <v>64135</v>
      </c>
      <c r="B1782" s="3">
        <v>71</v>
      </c>
      <c r="C1782" s="3">
        <v>64</v>
      </c>
      <c r="D1782" s="3">
        <v>1.1000000000000001</v>
      </c>
      <c r="E1782" s="3" t="s">
        <v>1900</v>
      </c>
      <c r="F1782" s="3">
        <v>1.1000000000000001</v>
      </c>
    </row>
    <row r="1783" spans="1:6" x14ac:dyDescent="0.25">
      <c r="A1783" s="2">
        <v>64136</v>
      </c>
      <c r="B1783" s="3">
        <v>72</v>
      </c>
      <c r="C1783" s="3">
        <v>64</v>
      </c>
      <c r="D1783" s="3">
        <v>1.9999999999999999E-7</v>
      </c>
      <c r="E1783" s="3" t="s">
        <v>1901</v>
      </c>
      <c r="F1783" s="3">
        <v>1.9999999999999999E-7</v>
      </c>
    </row>
    <row r="1784" spans="1:6" x14ac:dyDescent="0.25">
      <c r="A1784" s="2">
        <v>64137</v>
      </c>
      <c r="B1784" s="3">
        <v>73</v>
      </c>
      <c r="C1784" s="3">
        <v>64</v>
      </c>
      <c r="D1784" s="3">
        <v>2.2000000000000002</v>
      </c>
      <c r="E1784" s="3" t="s">
        <v>1902</v>
      </c>
      <c r="F1784" s="3">
        <v>2.2000000000000002</v>
      </c>
    </row>
    <row r="1785" spans="1:6" x14ac:dyDescent="0.25">
      <c r="A1785" s="2">
        <v>64138</v>
      </c>
      <c r="B1785" s="3">
        <v>74</v>
      </c>
      <c r="C1785" s="3">
        <v>64</v>
      </c>
      <c r="D1785" s="3">
        <v>4.7</v>
      </c>
      <c r="E1785" s="3" t="s">
        <v>1903</v>
      </c>
      <c r="F1785" s="3">
        <v>4.7</v>
      </c>
    </row>
    <row r="1786" spans="1:6" x14ac:dyDescent="0.25">
      <c r="A1786" s="2">
        <v>64139</v>
      </c>
      <c r="B1786" s="3">
        <v>75</v>
      </c>
      <c r="C1786" s="3">
        <v>64</v>
      </c>
      <c r="D1786" s="3">
        <v>5.8</v>
      </c>
      <c r="E1786" s="3" t="s">
        <v>1904</v>
      </c>
      <c r="F1786" s="3">
        <v>5.8</v>
      </c>
    </row>
    <row r="1787" spans="1:6" x14ac:dyDescent="0.25">
      <c r="A1787" s="2">
        <v>64140</v>
      </c>
      <c r="B1787" s="3">
        <v>76</v>
      </c>
      <c r="C1787" s="3">
        <v>64</v>
      </c>
      <c r="D1787" s="3">
        <v>15.8</v>
      </c>
      <c r="E1787" s="3" t="s">
        <v>1905</v>
      </c>
      <c r="F1787" s="3">
        <v>15.8</v>
      </c>
    </row>
    <row r="1788" spans="1:6" x14ac:dyDescent="0.25">
      <c r="A1788" s="2">
        <v>64141</v>
      </c>
      <c r="B1788" s="3">
        <v>77</v>
      </c>
      <c r="C1788" s="3">
        <v>64</v>
      </c>
      <c r="D1788" s="3">
        <v>14</v>
      </c>
      <c r="E1788" s="3" t="s">
        <v>1906</v>
      </c>
      <c r="F1788" s="3">
        <v>14</v>
      </c>
    </row>
    <row r="1789" spans="1:6" x14ac:dyDescent="0.25">
      <c r="A1789" s="2">
        <v>64142</v>
      </c>
      <c r="B1789" s="3">
        <v>78</v>
      </c>
      <c r="C1789" s="3">
        <v>64</v>
      </c>
      <c r="D1789" s="3">
        <v>70.2</v>
      </c>
      <c r="E1789" s="3" t="s">
        <v>1907</v>
      </c>
      <c r="F1789" s="3">
        <v>70.2</v>
      </c>
    </row>
    <row r="1790" spans="1:6" x14ac:dyDescent="0.25">
      <c r="A1790" s="2">
        <v>64143</v>
      </c>
      <c r="B1790" s="3">
        <v>79</v>
      </c>
      <c r="C1790" s="3">
        <v>64</v>
      </c>
      <c r="D1790" s="3">
        <v>39</v>
      </c>
      <c r="E1790" s="3" t="s">
        <v>1908</v>
      </c>
      <c r="F1790" s="3">
        <v>39</v>
      </c>
    </row>
    <row r="1791" spans="1:6" x14ac:dyDescent="0.25">
      <c r="A1791" s="2">
        <v>64144</v>
      </c>
      <c r="B1791" s="3">
        <v>80</v>
      </c>
      <c r="C1791" s="3">
        <v>64</v>
      </c>
      <c r="D1791" s="3">
        <v>268.2</v>
      </c>
      <c r="E1791" s="3" t="s">
        <v>1909</v>
      </c>
      <c r="F1791" s="3">
        <v>268.2</v>
      </c>
    </row>
    <row r="1792" spans="1:6" x14ac:dyDescent="0.25">
      <c r="A1792" s="2">
        <v>64145</v>
      </c>
      <c r="B1792" s="3">
        <v>81</v>
      </c>
      <c r="C1792" s="3">
        <v>64</v>
      </c>
      <c r="D1792" s="3">
        <v>1380</v>
      </c>
      <c r="E1792" s="3" t="s">
        <v>1910</v>
      </c>
      <c r="F1792" s="3">
        <v>1380</v>
      </c>
    </row>
    <row r="1793" spans="1:6" x14ac:dyDescent="0.25">
      <c r="A1793" s="2">
        <v>64146</v>
      </c>
      <c r="B1793" s="3">
        <v>82</v>
      </c>
      <c r="C1793" s="3">
        <v>64</v>
      </c>
      <c r="D1793" s="3">
        <v>4170528</v>
      </c>
      <c r="E1793" s="3" t="s">
        <v>1911</v>
      </c>
      <c r="F1793" s="3">
        <v>4170528</v>
      </c>
    </row>
    <row r="1794" spans="1:6" x14ac:dyDescent="0.25">
      <c r="A1794" s="2">
        <v>64147</v>
      </c>
      <c r="B1794" s="3">
        <v>83</v>
      </c>
      <c r="C1794" s="3">
        <v>64</v>
      </c>
      <c r="D1794" s="3">
        <v>137016</v>
      </c>
      <c r="E1794" s="3" t="s">
        <v>1912</v>
      </c>
      <c r="F1794" s="3">
        <v>137016</v>
      </c>
    </row>
    <row r="1795" spans="1:6" x14ac:dyDescent="0.25">
      <c r="A1795" s="2">
        <v>64148</v>
      </c>
      <c r="B1795" s="3">
        <v>84</v>
      </c>
      <c r="C1795" s="3">
        <v>64</v>
      </c>
      <c r="D1795" s="3">
        <v>2243745360</v>
      </c>
      <c r="E1795" s="3" t="s">
        <v>1913</v>
      </c>
      <c r="F1795" s="3">
        <v>2243745360</v>
      </c>
    </row>
    <row r="1796" spans="1:6" x14ac:dyDescent="0.25">
      <c r="A1796" s="2">
        <v>64149</v>
      </c>
      <c r="B1796" s="3">
        <v>85</v>
      </c>
      <c r="C1796" s="3">
        <v>64</v>
      </c>
      <c r="D1796" s="3">
        <v>801792</v>
      </c>
      <c r="E1796" s="3" t="s">
        <v>1914</v>
      </c>
      <c r="F1796" s="3">
        <v>801792</v>
      </c>
    </row>
    <row r="1797" spans="1:6" x14ac:dyDescent="0.25">
      <c r="A1797" s="2">
        <v>64150</v>
      </c>
      <c r="B1797" s="3">
        <v>86</v>
      </c>
      <c r="C1797" s="3">
        <v>64</v>
      </c>
      <c r="D1797" s="3">
        <v>56488104000000</v>
      </c>
      <c r="E1797" s="3" t="s">
        <v>1915</v>
      </c>
      <c r="F1797" s="3">
        <v>56488104000000</v>
      </c>
    </row>
    <row r="1798" spans="1:6" x14ac:dyDescent="0.25">
      <c r="A1798" s="2">
        <v>64151</v>
      </c>
      <c r="B1798" s="3">
        <v>87</v>
      </c>
      <c r="C1798" s="3">
        <v>64</v>
      </c>
      <c r="D1798" s="3">
        <v>10704960</v>
      </c>
      <c r="E1798" s="3" t="s">
        <v>1916</v>
      </c>
      <c r="F1798" s="3">
        <v>10704960</v>
      </c>
    </row>
    <row r="1799" spans="1:6" x14ac:dyDescent="0.25">
      <c r="A1799" s="2">
        <v>64152</v>
      </c>
      <c r="B1799" s="3">
        <v>88</v>
      </c>
      <c r="C1799" s="3">
        <v>64</v>
      </c>
      <c r="D1799" s="3">
        <v>3.4082208E+21</v>
      </c>
      <c r="E1799" s="3" t="s">
        <v>1917</v>
      </c>
      <c r="F1799" s="3">
        <v>3.4082208E+21</v>
      </c>
    </row>
    <row r="1800" spans="1:6" x14ac:dyDescent="0.25">
      <c r="A1800" s="2">
        <v>64153</v>
      </c>
      <c r="B1800" s="3">
        <v>89</v>
      </c>
      <c r="C1800" s="3">
        <v>64</v>
      </c>
      <c r="D1800" s="3">
        <v>20770560</v>
      </c>
      <c r="E1800" s="3" t="s">
        <v>1918</v>
      </c>
      <c r="F1800" s="3">
        <v>20770560</v>
      </c>
    </row>
    <row r="1801" spans="1:6" x14ac:dyDescent="0.25">
      <c r="A1801" s="2">
        <v>64154</v>
      </c>
      <c r="B1801" s="3">
        <v>90</v>
      </c>
      <c r="C1801" s="3">
        <v>64</v>
      </c>
      <c r="D1801" s="3" t="s">
        <v>4</v>
      </c>
      <c r="E1801" s="3" t="s">
        <v>1919</v>
      </c>
      <c r="F1801" s="3" t="s">
        <v>4</v>
      </c>
    </row>
    <row r="1802" spans="1:6" x14ac:dyDescent="0.25">
      <c r="A1802" s="2">
        <v>64155</v>
      </c>
      <c r="B1802" s="3">
        <v>91</v>
      </c>
      <c r="C1802" s="3">
        <v>64</v>
      </c>
      <c r="D1802" s="3" t="s">
        <v>4</v>
      </c>
      <c r="E1802" s="3" t="s">
        <v>1920</v>
      </c>
      <c r="F1802" s="3" t="s">
        <v>4</v>
      </c>
    </row>
    <row r="1803" spans="1:6" x14ac:dyDescent="0.25">
      <c r="A1803" s="2">
        <v>64156</v>
      </c>
      <c r="B1803" s="3">
        <v>92</v>
      </c>
      <c r="C1803" s="3">
        <v>64</v>
      </c>
      <c r="D1803" s="3" t="s">
        <v>4</v>
      </c>
      <c r="E1803" s="3" t="s">
        <v>1921</v>
      </c>
      <c r="F1803" s="3" t="s">
        <v>4</v>
      </c>
    </row>
    <row r="1804" spans="1:6" x14ac:dyDescent="0.25">
      <c r="A1804" s="2">
        <v>64157</v>
      </c>
      <c r="B1804" s="3">
        <v>93</v>
      </c>
      <c r="C1804" s="3">
        <v>64</v>
      </c>
      <c r="D1804" s="3" t="s">
        <v>4</v>
      </c>
      <c r="E1804" s="3" t="s">
        <v>1922</v>
      </c>
      <c r="F1804" s="3" t="s">
        <v>4</v>
      </c>
    </row>
    <row r="1805" spans="1:6" x14ac:dyDescent="0.25">
      <c r="A1805" s="2">
        <v>64158</v>
      </c>
      <c r="B1805" s="3">
        <v>94</v>
      </c>
      <c r="C1805" s="3">
        <v>64</v>
      </c>
      <c r="D1805" s="3" t="s">
        <v>4</v>
      </c>
      <c r="E1805" s="3" t="s">
        <v>1923</v>
      </c>
      <c r="F1805" s="3" t="s">
        <v>4</v>
      </c>
    </row>
    <row r="1806" spans="1:6" x14ac:dyDescent="0.25">
      <c r="A1806" s="2">
        <v>64159</v>
      </c>
      <c r="B1806" s="3">
        <v>95</v>
      </c>
      <c r="C1806" s="3">
        <v>64</v>
      </c>
      <c r="D1806" s="3">
        <v>66524.399999999994</v>
      </c>
      <c r="E1806" s="3" t="s">
        <v>1924</v>
      </c>
      <c r="F1806" s="3">
        <v>66524.399999999994</v>
      </c>
    </row>
    <row r="1807" spans="1:6" x14ac:dyDescent="0.25">
      <c r="A1807" s="2">
        <v>64160</v>
      </c>
      <c r="B1807" s="3">
        <v>96</v>
      </c>
      <c r="C1807" s="3">
        <v>64</v>
      </c>
      <c r="D1807" s="3">
        <v>9.7828559999999996E+26</v>
      </c>
      <c r="E1807" s="3" t="s">
        <v>1925</v>
      </c>
      <c r="F1807" s="3">
        <v>9.7828559999999996E+26</v>
      </c>
    </row>
    <row r="1808" spans="1:6" x14ac:dyDescent="0.25">
      <c r="A1808" s="2">
        <v>64161</v>
      </c>
      <c r="B1808" s="3">
        <v>97</v>
      </c>
      <c r="C1808" s="3">
        <v>64</v>
      </c>
      <c r="D1808" s="3">
        <v>219.6</v>
      </c>
      <c r="E1808" s="3" t="s">
        <v>1926</v>
      </c>
      <c r="F1808" s="3">
        <v>219.6</v>
      </c>
    </row>
    <row r="1809" spans="1:6" x14ac:dyDescent="0.25">
      <c r="A1809" s="2">
        <v>64162</v>
      </c>
      <c r="B1809" s="3">
        <v>98</v>
      </c>
      <c r="C1809" s="3">
        <v>64</v>
      </c>
      <c r="D1809" s="3">
        <v>504</v>
      </c>
      <c r="E1809" s="3" t="s">
        <v>1927</v>
      </c>
      <c r="F1809" s="3">
        <v>504</v>
      </c>
    </row>
    <row r="1810" spans="1:6" x14ac:dyDescent="0.25">
      <c r="A1810" s="2">
        <v>64163</v>
      </c>
      <c r="B1810" s="3">
        <v>99</v>
      </c>
      <c r="C1810" s="3">
        <v>64</v>
      </c>
      <c r="D1810" s="3">
        <v>68</v>
      </c>
      <c r="E1810" s="3" t="s">
        <v>1928</v>
      </c>
      <c r="F1810" s="3">
        <v>68</v>
      </c>
    </row>
    <row r="1811" spans="1:6" x14ac:dyDescent="0.25">
      <c r="A1811" s="2">
        <v>64164</v>
      </c>
      <c r="B1811" s="3">
        <v>100</v>
      </c>
      <c r="C1811" s="3">
        <v>64</v>
      </c>
      <c r="D1811" s="3">
        <v>45</v>
      </c>
      <c r="E1811" s="3" t="s">
        <v>1929</v>
      </c>
      <c r="F1811" s="3">
        <v>45</v>
      </c>
    </row>
    <row r="1812" spans="1:6" x14ac:dyDescent="0.25">
      <c r="A1812" s="2">
        <v>64165</v>
      </c>
      <c r="B1812" s="3">
        <v>101</v>
      </c>
      <c r="C1812" s="3">
        <v>64</v>
      </c>
      <c r="D1812" s="3">
        <v>10.3</v>
      </c>
      <c r="E1812" s="3" t="s">
        <v>1930</v>
      </c>
      <c r="F1812" s="3">
        <v>10.3</v>
      </c>
    </row>
    <row r="1813" spans="1:6" x14ac:dyDescent="0.25">
      <c r="A1813" s="2">
        <v>64166</v>
      </c>
      <c r="B1813" s="3">
        <v>102</v>
      </c>
      <c r="C1813" s="3">
        <v>64</v>
      </c>
      <c r="D1813" s="3">
        <v>4.8</v>
      </c>
      <c r="E1813" s="3" t="s">
        <v>1931</v>
      </c>
      <c r="F1813" s="3">
        <v>4.8</v>
      </c>
    </row>
    <row r="1814" spans="1:6" x14ac:dyDescent="0.25">
      <c r="A1814" s="2">
        <v>64167</v>
      </c>
      <c r="B1814" s="3">
        <v>103</v>
      </c>
      <c r="C1814" s="3">
        <v>64</v>
      </c>
      <c r="D1814" s="3">
        <v>1.6E-7</v>
      </c>
      <c r="E1814" s="3" t="s">
        <v>1932</v>
      </c>
      <c r="F1814" s="3">
        <v>1.6E-7</v>
      </c>
    </row>
    <row r="1815" spans="1:6" x14ac:dyDescent="0.25">
      <c r="A1815" s="2">
        <v>64168</v>
      </c>
      <c r="B1815" s="3">
        <v>104</v>
      </c>
      <c r="C1815" s="3">
        <v>64</v>
      </c>
      <c r="D1815" s="3">
        <v>1.6E-7</v>
      </c>
      <c r="E1815" s="3" t="s">
        <v>1933</v>
      </c>
      <c r="F1815" s="3">
        <v>1.6E-7</v>
      </c>
    </row>
    <row r="1816" spans="1:6" x14ac:dyDescent="0.25">
      <c r="A1816" s="2">
        <v>64169</v>
      </c>
      <c r="B1816" s="3">
        <v>105</v>
      </c>
      <c r="C1816" s="3">
        <v>64</v>
      </c>
      <c r="D1816" s="3">
        <v>1.6E-7</v>
      </c>
      <c r="E1816" s="3" t="s">
        <v>1934</v>
      </c>
      <c r="F1816" s="3">
        <v>1.6E-7</v>
      </c>
    </row>
    <row r="1817" spans="1:6" x14ac:dyDescent="0.25">
      <c r="A1817" s="2">
        <v>64170</v>
      </c>
      <c r="B1817" s="3">
        <v>106</v>
      </c>
      <c r="C1817" s="3">
        <v>64</v>
      </c>
      <c r="D1817" s="3">
        <v>1.6E-7</v>
      </c>
      <c r="E1817" s="3" t="s">
        <v>1935</v>
      </c>
      <c r="F1817" s="3">
        <v>1.6E-7</v>
      </c>
    </row>
    <row r="1818" spans="1:6" x14ac:dyDescent="0.25">
      <c r="A1818" s="2">
        <v>65135</v>
      </c>
      <c r="B1818" s="3">
        <v>70</v>
      </c>
      <c r="C1818" s="3">
        <v>65</v>
      </c>
      <c r="D1818" s="3">
        <v>9.3999999999999997E-4</v>
      </c>
      <c r="E1818" s="3" t="s">
        <v>1936</v>
      </c>
      <c r="F1818" s="3">
        <v>9.3999999999999997E-4</v>
      </c>
    </row>
    <row r="1819" spans="1:6" x14ac:dyDescent="0.25">
      <c r="A1819" s="2">
        <v>65138</v>
      </c>
      <c r="B1819" s="3">
        <v>73</v>
      </c>
      <c r="C1819" s="3">
        <v>65</v>
      </c>
      <c r="D1819" s="3">
        <v>1.9999999999999999E-7</v>
      </c>
      <c r="E1819" s="3" t="s">
        <v>1937</v>
      </c>
      <c r="F1819" s="3">
        <v>1.9999999999999999E-7</v>
      </c>
    </row>
    <row r="1820" spans="1:6" x14ac:dyDescent="0.25">
      <c r="A1820" s="2">
        <v>65139</v>
      </c>
      <c r="B1820" s="3">
        <v>74</v>
      </c>
      <c r="C1820" s="3">
        <v>65</v>
      </c>
      <c r="D1820" s="3">
        <v>1.6</v>
      </c>
      <c r="E1820" s="3" t="s">
        <v>1938</v>
      </c>
      <c r="F1820" s="3">
        <v>1.6</v>
      </c>
    </row>
    <row r="1821" spans="1:6" x14ac:dyDescent="0.25">
      <c r="A1821" s="2">
        <v>65140</v>
      </c>
      <c r="B1821" s="3">
        <v>75</v>
      </c>
      <c r="C1821" s="3">
        <v>65</v>
      </c>
      <c r="D1821" s="3">
        <v>2</v>
      </c>
      <c r="E1821" s="3" t="s">
        <v>1939</v>
      </c>
      <c r="F1821" s="3">
        <v>2</v>
      </c>
    </row>
    <row r="1822" spans="1:6" x14ac:dyDescent="0.25">
      <c r="A1822" s="2">
        <v>65141</v>
      </c>
      <c r="B1822" s="3">
        <v>76</v>
      </c>
      <c r="C1822" s="3">
        <v>65</v>
      </c>
      <c r="D1822" s="3">
        <v>3.5</v>
      </c>
      <c r="E1822" s="3" t="s">
        <v>1940</v>
      </c>
      <c r="F1822" s="3">
        <v>3.5</v>
      </c>
    </row>
    <row r="1823" spans="1:6" x14ac:dyDescent="0.25">
      <c r="A1823" s="2">
        <v>65142</v>
      </c>
      <c r="B1823" s="3">
        <v>77</v>
      </c>
      <c r="C1823" s="3">
        <v>65</v>
      </c>
      <c r="D1823" s="3">
        <v>0.59699999999999998</v>
      </c>
      <c r="E1823" s="3" t="s">
        <v>1941</v>
      </c>
      <c r="F1823" s="3">
        <v>0.59699999999999998</v>
      </c>
    </row>
    <row r="1824" spans="1:6" x14ac:dyDescent="0.25">
      <c r="A1824" s="2">
        <v>65143</v>
      </c>
      <c r="B1824" s="3">
        <v>78</v>
      </c>
      <c r="C1824" s="3">
        <v>65</v>
      </c>
      <c r="D1824" s="3">
        <v>12</v>
      </c>
      <c r="E1824" s="3" t="s">
        <v>1942</v>
      </c>
      <c r="F1824" s="3">
        <v>12</v>
      </c>
    </row>
    <row r="1825" spans="1:6" x14ac:dyDescent="0.25">
      <c r="A1825" s="2">
        <v>65144</v>
      </c>
      <c r="B1825" s="3">
        <v>79</v>
      </c>
      <c r="C1825" s="3">
        <v>65</v>
      </c>
      <c r="D1825" s="3">
        <v>1</v>
      </c>
      <c r="E1825" s="3" t="s">
        <v>1943</v>
      </c>
      <c r="F1825" s="3">
        <v>1</v>
      </c>
    </row>
    <row r="1826" spans="1:6" x14ac:dyDescent="0.25">
      <c r="A1826" s="2">
        <v>65145</v>
      </c>
      <c r="B1826" s="3">
        <v>80</v>
      </c>
      <c r="C1826" s="3">
        <v>65</v>
      </c>
      <c r="D1826" s="3">
        <v>30.9</v>
      </c>
      <c r="E1826" s="3" t="s">
        <v>1944</v>
      </c>
      <c r="F1826" s="3">
        <v>30.9</v>
      </c>
    </row>
    <row r="1827" spans="1:6" x14ac:dyDescent="0.25">
      <c r="A1827" s="2">
        <v>65146</v>
      </c>
      <c r="B1827" s="3">
        <v>81</v>
      </c>
      <c r="C1827" s="3">
        <v>65</v>
      </c>
      <c r="D1827" s="3">
        <v>8</v>
      </c>
      <c r="E1827" s="3" t="s">
        <v>1945</v>
      </c>
      <c r="F1827" s="3">
        <v>8</v>
      </c>
    </row>
    <row r="1828" spans="1:6" x14ac:dyDescent="0.25">
      <c r="A1828" s="2">
        <v>65147</v>
      </c>
      <c r="B1828" s="3">
        <v>82</v>
      </c>
      <c r="C1828" s="3">
        <v>65</v>
      </c>
      <c r="D1828" s="3">
        <v>5904</v>
      </c>
      <c r="E1828" s="3" t="s">
        <v>1946</v>
      </c>
      <c r="F1828" s="3">
        <v>5904</v>
      </c>
    </row>
    <row r="1829" spans="1:6" x14ac:dyDescent="0.25">
      <c r="A1829" s="2">
        <v>65148</v>
      </c>
      <c r="B1829" s="3">
        <v>83</v>
      </c>
      <c r="C1829" s="3">
        <v>65</v>
      </c>
      <c r="D1829" s="3">
        <v>3600</v>
      </c>
      <c r="E1829" s="3" t="s">
        <v>1947</v>
      </c>
      <c r="F1829" s="3">
        <v>3600</v>
      </c>
    </row>
    <row r="1830" spans="1:6" x14ac:dyDescent="0.25">
      <c r="A1830" s="2">
        <v>65149</v>
      </c>
      <c r="B1830" s="3">
        <v>84</v>
      </c>
      <c r="C1830" s="3">
        <v>65</v>
      </c>
      <c r="D1830" s="3">
        <v>14824.8</v>
      </c>
      <c r="E1830" s="3" t="s">
        <v>1948</v>
      </c>
      <c r="F1830" s="3">
        <v>14824.8</v>
      </c>
    </row>
    <row r="1831" spans="1:6" x14ac:dyDescent="0.25">
      <c r="A1831" s="2">
        <v>65150</v>
      </c>
      <c r="B1831" s="3">
        <v>85</v>
      </c>
      <c r="C1831" s="3">
        <v>65</v>
      </c>
      <c r="D1831" s="3">
        <v>12528</v>
      </c>
      <c r="E1831" s="3" t="s">
        <v>1949</v>
      </c>
      <c r="F1831" s="3">
        <v>12528</v>
      </c>
    </row>
    <row r="1832" spans="1:6" x14ac:dyDescent="0.25">
      <c r="A1832" s="2">
        <v>65151</v>
      </c>
      <c r="B1832" s="3">
        <v>86</v>
      </c>
      <c r="C1832" s="3">
        <v>65</v>
      </c>
      <c r="D1832" s="3">
        <v>63392.4</v>
      </c>
      <c r="E1832" s="3" t="s">
        <v>1950</v>
      </c>
      <c r="F1832" s="3">
        <v>63392.4</v>
      </c>
    </row>
    <row r="1833" spans="1:6" x14ac:dyDescent="0.25">
      <c r="A1833" s="2">
        <v>65152</v>
      </c>
      <c r="B1833" s="3">
        <v>87</v>
      </c>
      <c r="C1833" s="3">
        <v>65</v>
      </c>
      <c r="D1833" s="3">
        <v>63000</v>
      </c>
      <c r="E1833" s="3" t="s">
        <v>1951</v>
      </c>
      <c r="F1833" s="3">
        <v>63000</v>
      </c>
    </row>
    <row r="1834" spans="1:6" x14ac:dyDescent="0.25">
      <c r="A1834" s="2">
        <v>65153</v>
      </c>
      <c r="B1834" s="3">
        <v>88</v>
      </c>
      <c r="C1834" s="3">
        <v>65</v>
      </c>
      <c r="D1834" s="3">
        <v>202176</v>
      </c>
      <c r="E1834" s="3" t="s">
        <v>1952</v>
      </c>
      <c r="F1834" s="3">
        <v>202176</v>
      </c>
    </row>
    <row r="1835" spans="1:6" x14ac:dyDescent="0.25">
      <c r="A1835" s="2">
        <v>65154</v>
      </c>
      <c r="B1835" s="3">
        <v>89</v>
      </c>
      <c r="C1835" s="3">
        <v>65</v>
      </c>
      <c r="D1835" s="3">
        <v>77400</v>
      </c>
      <c r="E1835" s="3" t="s">
        <v>1953</v>
      </c>
      <c r="F1835" s="3">
        <v>77400</v>
      </c>
    </row>
    <row r="1836" spans="1:6" x14ac:dyDescent="0.25">
      <c r="A1836" s="2">
        <v>65155</v>
      </c>
      <c r="B1836" s="3">
        <v>90</v>
      </c>
      <c r="C1836" s="3">
        <v>65</v>
      </c>
      <c r="D1836" s="3">
        <v>459648</v>
      </c>
      <c r="E1836" s="3" t="s">
        <v>1954</v>
      </c>
      <c r="F1836" s="3">
        <v>459648</v>
      </c>
    </row>
    <row r="1837" spans="1:6" x14ac:dyDescent="0.25">
      <c r="A1837" s="2">
        <v>65156</v>
      </c>
      <c r="B1837" s="3">
        <v>91</v>
      </c>
      <c r="C1837" s="3">
        <v>65</v>
      </c>
      <c r="D1837" s="3">
        <v>462239.99999999901</v>
      </c>
      <c r="E1837" s="3" t="s">
        <v>1955</v>
      </c>
      <c r="F1837" s="3">
        <v>462239.99999999901</v>
      </c>
    </row>
    <row r="1838" spans="1:6" x14ac:dyDescent="0.25">
      <c r="A1838" s="2">
        <v>65157</v>
      </c>
      <c r="B1838" s="3">
        <v>92</v>
      </c>
      <c r="C1838" s="3">
        <v>65</v>
      </c>
      <c r="D1838" s="3">
        <v>2240589600</v>
      </c>
      <c r="E1838" s="3" t="s">
        <v>1956</v>
      </c>
      <c r="F1838" s="3">
        <v>2240589600</v>
      </c>
    </row>
    <row r="1839" spans="1:6" x14ac:dyDescent="0.25">
      <c r="A1839" s="2">
        <v>65158</v>
      </c>
      <c r="B1839" s="3">
        <v>93</v>
      </c>
      <c r="C1839" s="3">
        <v>65</v>
      </c>
      <c r="D1839" s="3">
        <v>5680368000</v>
      </c>
      <c r="E1839" s="3" t="s">
        <v>1957</v>
      </c>
      <c r="F1839" s="3">
        <v>5680368000</v>
      </c>
    </row>
    <row r="1840" spans="1:6" x14ac:dyDescent="0.25">
      <c r="A1840" s="2">
        <v>65159</v>
      </c>
      <c r="B1840" s="3">
        <v>94</v>
      </c>
      <c r="C1840" s="3">
        <v>65</v>
      </c>
      <c r="D1840" s="3" t="s">
        <v>4</v>
      </c>
      <c r="E1840" s="3" t="s">
        <v>1958</v>
      </c>
      <c r="F1840" s="3" t="s">
        <v>4</v>
      </c>
    </row>
    <row r="1841" spans="1:6" x14ac:dyDescent="0.25">
      <c r="A1841" s="2">
        <v>65160</v>
      </c>
      <c r="B1841" s="3">
        <v>95</v>
      </c>
      <c r="C1841" s="3">
        <v>65</v>
      </c>
      <c r="D1841" s="3">
        <v>6246720</v>
      </c>
      <c r="E1841" s="3" t="s">
        <v>1959</v>
      </c>
      <c r="F1841" s="3">
        <v>6246720</v>
      </c>
    </row>
    <row r="1842" spans="1:6" x14ac:dyDescent="0.25">
      <c r="A1842" s="2">
        <v>65161</v>
      </c>
      <c r="B1842" s="3">
        <v>96</v>
      </c>
      <c r="C1842" s="3">
        <v>65</v>
      </c>
      <c r="D1842" s="3">
        <v>595296</v>
      </c>
      <c r="E1842" s="3" t="s">
        <v>1960</v>
      </c>
      <c r="F1842" s="3">
        <v>595296</v>
      </c>
    </row>
    <row r="1843" spans="1:6" x14ac:dyDescent="0.25">
      <c r="A1843" s="2">
        <v>65162</v>
      </c>
      <c r="B1843" s="3">
        <v>97</v>
      </c>
      <c r="C1843" s="3">
        <v>65</v>
      </c>
      <c r="D1843" s="3">
        <v>456</v>
      </c>
      <c r="E1843" s="3" t="s">
        <v>1961</v>
      </c>
      <c r="F1843" s="3">
        <v>456</v>
      </c>
    </row>
    <row r="1844" spans="1:6" x14ac:dyDescent="0.25">
      <c r="A1844" s="2">
        <v>65163</v>
      </c>
      <c r="B1844" s="3">
        <v>98</v>
      </c>
      <c r="C1844" s="3">
        <v>65</v>
      </c>
      <c r="D1844" s="3">
        <v>1170</v>
      </c>
      <c r="E1844" s="3" t="s">
        <v>1962</v>
      </c>
      <c r="F1844" s="3">
        <v>1170</v>
      </c>
    </row>
    <row r="1845" spans="1:6" x14ac:dyDescent="0.25">
      <c r="A1845" s="2">
        <v>65164</v>
      </c>
      <c r="B1845" s="3">
        <v>99</v>
      </c>
      <c r="C1845" s="3">
        <v>65</v>
      </c>
      <c r="D1845" s="3">
        <v>180</v>
      </c>
      <c r="E1845" s="3" t="s">
        <v>1963</v>
      </c>
      <c r="F1845" s="3">
        <v>180</v>
      </c>
    </row>
    <row r="1846" spans="1:6" x14ac:dyDescent="0.25">
      <c r="A1846" s="2">
        <v>65165</v>
      </c>
      <c r="B1846" s="3">
        <v>100</v>
      </c>
      <c r="C1846" s="3">
        <v>65</v>
      </c>
      <c r="D1846" s="3">
        <v>126.6</v>
      </c>
      <c r="E1846" s="3" t="s">
        <v>1964</v>
      </c>
      <c r="F1846" s="3">
        <v>126.6</v>
      </c>
    </row>
    <row r="1847" spans="1:6" x14ac:dyDescent="0.25">
      <c r="A1847" s="2">
        <v>65166</v>
      </c>
      <c r="B1847" s="3">
        <v>101</v>
      </c>
      <c r="C1847" s="3">
        <v>65</v>
      </c>
      <c r="D1847" s="3">
        <v>25.1</v>
      </c>
      <c r="E1847" s="3" t="s">
        <v>1965</v>
      </c>
      <c r="F1847" s="3">
        <v>25.1</v>
      </c>
    </row>
    <row r="1848" spans="1:6" x14ac:dyDescent="0.25">
      <c r="A1848" s="2">
        <v>65167</v>
      </c>
      <c r="B1848" s="3">
        <v>102</v>
      </c>
      <c r="C1848" s="3">
        <v>65</v>
      </c>
      <c r="D1848" s="3">
        <v>19.399999999999999</v>
      </c>
      <c r="E1848" s="3" t="s">
        <v>1966</v>
      </c>
      <c r="F1848" s="3">
        <v>19.399999999999999</v>
      </c>
    </row>
    <row r="1849" spans="1:6" x14ac:dyDescent="0.25">
      <c r="A1849" s="2">
        <v>65168</v>
      </c>
      <c r="B1849" s="3">
        <v>103</v>
      </c>
      <c r="C1849" s="3">
        <v>65</v>
      </c>
      <c r="D1849" s="3">
        <v>8.1999999999999993</v>
      </c>
      <c r="E1849" s="3" t="s">
        <v>1967</v>
      </c>
      <c r="F1849" s="3">
        <v>8.1999999999999993</v>
      </c>
    </row>
    <row r="1850" spans="1:6" x14ac:dyDescent="0.25">
      <c r="A1850" s="2">
        <v>65169</v>
      </c>
      <c r="B1850" s="3">
        <v>104</v>
      </c>
      <c r="C1850" s="3">
        <v>65</v>
      </c>
      <c r="D1850" s="3">
        <v>1.6E-7</v>
      </c>
      <c r="E1850" s="3" t="s">
        <v>1968</v>
      </c>
      <c r="F1850" s="3">
        <v>1.6E-7</v>
      </c>
    </row>
    <row r="1851" spans="1:6" x14ac:dyDescent="0.25">
      <c r="A1851" s="2">
        <v>65170</v>
      </c>
      <c r="B1851" s="3">
        <v>105</v>
      </c>
      <c r="C1851" s="3">
        <v>65</v>
      </c>
      <c r="D1851" s="3">
        <v>1.6E-7</v>
      </c>
      <c r="E1851" s="3" t="s">
        <v>1969</v>
      </c>
      <c r="F1851" s="3">
        <v>1.6E-7</v>
      </c>
    </row>
    <row r="1852" spans="1:6" x14ac:dyDescent="0.25">
      <c r="A1852" s="2">
        <v>65171</v>
      </c>
      <c r="B1852" s="3">
        <v>106</v>
      </c>
      <c r="C1852" s="3">
        <v>65</v>
      </c>
      <c r="D1852" s="3">
        <v>1.6E-7</v>
      </c>
      <c r="E1852" s="3" t="s">
        <v>1970</v>
      </c>
      <c r="F1852" s="3">
        <v>1.6E-7</v>
      </c>
    </row>
    <row r="1853" spans="1:6" x14ac:dyDescent="0.25">
      <c r="A1853" s="2">
        <v>65172</v>
      </c>
      <c r="B1853" s="3">
        <v>107</v>
      </c>
      <c r="C1853" s="3">
        <v>65</v>
      </c>
      <c r="D1853" s="3">
        <v>1.6E-7</v>
      </c>
      <c r="E1853" s="3" t="s">
        <v>1971</v>
      </c>
      <c r="F1853" s="3">
        <v>1.6E-7</v>
      </c>
    </row>
    <row r="1854" spans="1:6" x14ac:dyDescent="0.25">
      <c r="A1854" s="2">
        <v>66139</v>
      </c>
      <c r="B1854" s="3">
        <v>73</v>
      </c>
      <c r="C1854" s="3">
        <v>66</v>
      </c>
      <c r="D1854" s="3">
        <v>0.6</v>
      </c>
      <c r="E1854" s="3" t="s">
        <v>1972</v>
      </c>
      <c r="F1854" s="3">
        <v>0.6</v>
      </c>
    </row>
    <row r="1855" spans="1:6" x14ac:dyDescent="0.25">
      <c r="A1855" s="2">
        <v>66141</v>
      </c>
      <c r="B1855" s="3">
        <v>75</v>
      </c>
      <c r="C1855" s="3">
        <v>66</v>
      </c>
      <c r="D1855" s="3">
        <v>0.9</v>
      </c>
      <c r="E1855" s="3" t="s">
        <v>1973</v>
      </c>
      <c r="F1855" s="3">
        <v>0.9</v>
      </c>
    </row>
    <row r="1856" spans="1:6" x14ac:dyDescent="0.25">
      <c r="A1856" s="2">
        <v>66142</v>
      </c>
      <c r="B1856" s="3">
        <v>76</v>
      </c>
      <c r="C1856" s="3">
        <v>66</v>
      </c>
      <c r="D1856" s="3">
        <v>2.2999999999999998</v>
      </c>
      <c r="E1856" s="3" t="s">
        <v>1974</v>
      </c>
      <c r="F1856" s="3">
        <v>2.2999999999999998</v>
      </c>
    </row>
    <row r="1857" spans="1:6" x14ac:dyDescent="0.25">
      <c r="A1857" s="2">
        <v>66143</v>
      </c>
      <c r="B1857" s="3">
        <v>77</v>
      </c>
      <c r="C1857" s="3">
        <v>66</v>
      </c>
      <c r="D1857" s="3">
        <v>5.6</v>
      </c>
      <c r="E1857" s="3" t="s">
        <v>1975</v>
      </c>
      <c r="F1857" s="3">
        <v>5.6</v>
      </c>
    </row>
    <row r="1858" spans="1:6" x14ac:dyDescent="0.25">
      <c r="A1858" s="2">
        <v>66144</v>
      </c>
      <c r="B1858" s="3">
        <v>78</v>
      </c>
      <c r="C1858" s="3">
        <v>66</v>
      </c>
      <c r="D1858" s="3">
        <v>9.1</v>
      </c>
      <c r="E1858" s="3" t="s">
        <v>1976</v>
      </c>
      <c r="F1858" s="3">
        <v>9.1</v>
      </c>
    </row>
    <row r="1859" spans="1:6" x14ac:dyDescent="0.25">
      <c r="A1859" s="2">
        <v>66145</v>
      </c>
      <c r="B1859" s="3">
        <v>79</v>
      </c>
      <c r="C1859" s="3">
        <v>66</v>
      </c>
      <c r="D1859" s="3">
        <v>6</v>
      </c>
      <c r="E1859" s="3" t="s">
        <v>1977</v>
      </c>
      <c r="F1859" s="3">
        <v>6</v>
      </c>
    </row>
    <row r="1860" spans="1:6" x14ac:dyDescent="0.25">
      <c r="A1860" s="2">
        <v>66146</v>
      </c>
      <c r="B1860" s="3">
        <v>80</v>
      </c>
      <c r="C1860" s="3">
        <v>66</v>
      </c>
      <c r="D1860" s="3">
        <v>33.200000000000003</v>
      </c>
      <c r="E1860" s="3" t="s">
        <v>1978</v>
      </c>
      <c r="F1860" s="3">
        <v>33.200000000000003</v>
      </c>
    </row>
    <row r="1861" spans="1:6" x14ac:dyDescent="0.25">
      <c r="A1861" s="2">
        <v>66147</v>
      </c>
      <c r="B1861" s="3">
        <v>81</v>
      </c>
      <c r="C1861" s="3">
        <v>66</v>
      </c>
      <c r="D1861" s="3">
        <v>67</v>
      </c>
      <c r="E1861" s="3" t="s">
        <v>1979</v>
      </c>
      <c r="F1861" s="3">
        <v>67</v>
      </c>
    </row>
    <row r="1862" spans="1:6" x14ac:dyDescent="0.25">
      <c r="A1862" s="2">
        <v>66148</v>
      </c>
      <c r="B1862" s="3">
        <v>82</v>
      </c>
      <c r="C1862" s="3">
        <v>66</v>
      </c>
      <c r="D1862" s="3">
        <v>198</v>
      </c>
      <c r="E1862" s="3" t="s">
        <v>1980</v>
      </c>
      <c r="F1862" s="3">
        <v>198</v>
      </c>
    </row>
    <row r="1863" spans="1:6" x14ac:dyDescent="0.25">
      <c r="A1863" s="2">
        <v>66149</v>
      </c>
      <c r="B1863" s="3">
        <v>83</v>
      </c>
      <c r="C1863" s="3">
        <v>66</v>
      </c>
      <c r="D1863" s="3">
        <v>252</v>
      </c>
      <c r="E1863" s="3" t="s">
        <v>1981</v>
      </c>
      <c r="F1863" s="3">
        <v>252</v>
      </c>
    </row>
    <row r="1864" spans="1:6" x14ac:dyDescent="0.25">
      <c r="A1864" s="2">
        <v>66150</v>
      </c>
      <c r="B1864" s="3">
        <v>84</v>
      </c>
      <c r="C1864" s="3">
        <v>66</v>
      </c>
      <c r="D1864" s="3">
        <v>430.2</v>
      </c>
      <c r="E1864" s="3" t="s">
        <v>1982</v>
      </c>
      <c r="F1864" s="3">
        <v>430.2</v>
      </c>
    </row>
    <row r="1865" spans="1:6" x14ac:dyDescent="0.25">
      <c r="A1865" s="2">
        <v>66151</v>
      </c>
      <c r="B1865" s="3">
        <v>85</v>
      </c>
      <c r="C1865" s="3">
        <v>66</v>
      </c>
      <c r="D1865" s="3">
        <v>1074</v>
      </c>
      <c r="E1865" s="3" t="s">
        <v>1983</v>
      </c>
      <c r="F1865" s="3">
        <v>1074</v>
      </c>
    </row>
    <row r="1866" spans="1:6" x14ac:dyDescent="0.25">
      <c r="A1866" s="2">
        <v>66152</v>
      </c>
      <c r="B1866" s="3">
        <v>86</v>
      </c>
      <c r="C1866" s="3">
        <v>66</v>
      </c>
      <c r="D1866" s="3">
        <v>8568</v>
      </c>
      <c r="E1866" s="3" t="s">
        <v>1984</v>
      </c>
      <c r="F1866" s="3">
        <v>8568</v>
      </c>
    </row>
    <row r="1867" spans="1:6" x14ac:dyDescent="0.25">
      <c r="A1867" s="2">
        <v>66153</v>
      </c>
      <c r="B1867" s="3">
        <v>87</v>
      </c>
      <c r="C1867" s="3">
        <v>66</v>
      </c>
      <c r="D1867" s="3">
        <v>23040</v>
      </c>
      <c r="E1867" s="3" t="s">
        <v>1985</v>
      </c>
      <c r="F1867" s="3">
        <v>23040</v>
      </c>
    </row>
    <row r="1868" spans="1:6" x14ac:dyDescent="0.25">
      <c r="A1868" s="2">
        <v>66154</v>
      </c>
      <c r="B1868" s="3">
        <v>88</v>
      </c>
      <c r="C1868" s="3">
        <v>66</v>
      </c>
      <c r="D1868" s="3">
        <v>94672800000000</v>
      </c>
      <c r="E1868" s="3" t="s">
        <v>1986</v>
      </c>
      <c r="F1868" s="3">
        <v>94672800000000</v>
      </c>
    </row>
    <row r="1869" spans="1:6" x14ac:dyDescent="0.25">
      <c r="A1869" s="2">
        <v>66155</v>
      </c>
      <c r="B1869" s="3">
        <v>89</v>
      </c>
      <c r="C1869" s="3">
        <v>66</v>
      </c>
      <c r="D1869" s="3">
        <v>35640</v>
      </c>
      <c r="E1869" s="3" t="s">
        <v>1987</v>
      </c>
      <c r="F1869" s="3">
        <v>35640</v>
      </c>
    </row>
    <row r="1870" spans="1:6" x14ac:dyDescent="0.25">
      <c r="A1870" s="2">
        <v>66156</v>
      </c>
      <c r="B1870" s="3">
        <v>90</v>
      </c>
      <c r="C1870" s="3">
        <v>66</v>
      </c>
      <c r="D1870" s="3" t="s">
        <v>4</v>
      </c>
      <c r="E1870" s="3" t="s">
        <v>1988</v>
      </c>
      <c r="F1870" s="3" t="s">
        <v>4</v>
      </c>
    </row>
    <row r="1871" spans="1:6" x14ac:dyDescent="0.25">
      <c r="A1871" s="2">
        <v>66157</v>
      </c>
      <c r="B1871" s="3">
        <v>91</v>
      </c>
      <c r="C1871" s="3">
        <v>66</v>
      </c>
      <c r="D1871" s="3">
        <v>29304</v>
      </c>
      <c r="E1871" s="3" t="s">
        <v>1989</v>
      </c>
      <c r="F1871" s="3">
        <v>29304</v>
      </c>
    </row>
    <row r="1872" spans="1:6" x14ac:dyDescent="0.25">
      <c r="A1872" s="2">
        <v>66158</v>
      </c>
      <c r="B1872" s="3">
        <v>92</v>
      </c>
      <c r="C1872" s="3">
        <v>66</v>
      </c>
      <c r="D1872" s="3" t="s">
        <v>4</v>
      </c>
      <c r="E1872" s="3" t="s">
        <v>1990</v>
      </c>
      <c r="F1872" s="3" t="s">
        <v>4</v>
      </c>
    </row>
    <row r="1873" spans="1:6" x14ac:dyDescent="0.25">
      <c r="A1873" s="2">
        <v>66159</v>
      </c>
      <c r="B1873" s="3">
        <v>93</v>
      </c>
      <c r="C1873" s="3">
        <v>66</v>
      </c>
      <c r="D1873" s="3">
        <v>12476160</v>
      </c>
      <c r="E1873" s="3" t="s">
        <v>1991</v>
      </c>
      <c r="F1873" s="3">
        <v>12476160</v>
      </c>
    </row>
    <row r="1874" spans="1:6" x14ac:dyDescent="0.25">
      <c r="A1874" s="2">
        <v>66160</v>
      </c>
      <c r="B1874" s="3">
        <v>94</v>
      </c>
      <c r="C1874" s="3">
        <v>66</v>
      </c>
      <c r="D1874" s="3" t="s">
        <v>4</v>
      </c>
      <c r="E1874" s="3" t="s">
        <v>1992</v>
      </c>
      <c r="F1874" s="3" t="s">
        <v>4</v>
      </c>
    </row>
    <row r="1875" spans="1:6" x14ac:dyDescent="0.25">
      <c r="A1875" s="2">
        <v>66161</v>
      </c>
      <c r="B1875" s="3">
        <v>95</v>
      </c>
      <c r="C1875" s="3">
        <v>66</v>
      </c>
      <c r="D1875" s="3" t="s">
        <v>4</v>
      </c>
      <c r="E1875" s="3" t="s">
        <v>1993</v>
      </c>
      <c r="F1875" s="3" t="s">
        <v>4</v>
      </c>
    </row>
    <row r="1876" spans="1:6" x14ac:dyDescent="0.25">
      <c r="A1876" s="2">
        <v>66162</v>
      </c>
      <c r="B1876" s="3">
        <v>96</v>
      </c>
      <c r="C1876" s="3">
        <v>66</v>
      </c>
      <c r="D1876" s="3" t="s">
        <v>4</v>
      </c>
      <c r="E1876" s="3" t="s">
        <v>1994</v>
      </c>
      <c r="F1876" s="3" t="s">
        <v>4</v>
      </c>
    </row>
    <row r="1877" spans="1:6" x14ac:dyDescent="0.25">
      <c r="A1877" s="2">
        <v>66163</v>
      </c>
      <c r="B1877" s="3">
        <v>97</v>
      </c>
      <c r="C1877" s="3">
        <v>66</v>
      </c>
      <c r="D1877" s="3" t="s">
        <v>4</v>
      </c>
      <c r="E1877" s="3" t="s">
        <v>1995</v>
      </c>
      <c r="F1877" s="3" t="s">
        <v>4</v>
      </c>
    </row>
    <row r="1878" spans="1:6" x14ac:dyDescent="0.25">
      <c r="A1878" s="2">
        <v>66164</v>
      </c>
      <c r="B1878" s="3">
        <v>98</v>
      </c>
      <c r="C1878" s="3">
        <v>66</v>
      </c>
      <c r="D1878" s="3" t="s">
        <v>4</v>
      </c>
      <c r="E1878" s="3" t="s">
        <v>1996</v>
      </c>
      <c r="F1878" s="3" t="s">
        <v>4</v>
      </c>
    </row>
    <row r="1879" spans="1:6" x14ac:dyDescent="0.25">
      <c r="A1879" s="2">
        <v>66165</v>
      </c>
      <c r="B1879" s="3">
        <v>99</v>
      </c>
      <c r="C1879" s="3">
        <v>66</v>
      </c>
      <c r="D1879" s="3">
        <v>8402.4</v>
      </c>
      <c r="E1879" s="3" t="s">
        <v>1997</v>
      </c>
      <c r="F1879" s="3">
        <v>8402.4</v>
      </c>
    </row>
    <row r="1880" spans="1:6" x14ac:dyDescent="0.25">
      <c r="A1880" s="2">
        <v>66166</v>
      </c>
      <c r="B1880" s="3">
        <v>100</v>
      </c>
      <c r="C1880" s="3">
        <v>66</v>
      </c>
      <c r="D1880" s="3">
        <v>293760</v>
      </c>
      <c r="E1880" s="3" t="s">
        <v>1998</v>
      </c>
      <c r="F1880" s="3">
        <v>293760</v>
      </c>
    </row>
    <row r="1881" spans="1:6" x14ac:dyDescent="0.25">
      <c r="A1881" s="2">
        <v>66167</v>
      </c>
      <c r="B1881" s="3">
        <v>101</v>
      </c>
      <c r="C1881" s="3">
        <v>66</v>
      </c>
      <c r="D1881" s="3">
        <v>372</v>
      </c>
      <c r="E1881" s="3" t="s">
        <v>1999</v>
      </c>
      <c r="F1881" s="3">
        <v>372</v>
      </c>
    </row>
    <row r="1882" spans="1:6" x14ac:dyDescent="0.25">
      <c r="A1882" s="2">
        <v>66168</v>
      </c>
      <c r="B1882" s="3">
        <v>102</v>
      </c>
      <c r="C1882" s="3">
        <v>66</v>
      </c>
      <c r="D1882" s="3">
        <v>522</v>
      </c>
      <c r="E1882" s="3" t="s">
        <v>2000</v>
      </c>
      <c r="F1882" s="3">
        <v>522</v>
      </c>
    </row>
    <row r="1883" spans="1:6" x14ac:dyDescent="0.25">
      <c r="A1883" s="2">
        <v>66169</v>
      </c>
      <c r="B1883" s="3">
        <v>103</v>
      </c>
      <c r="C1883" s="3">
        <v>66</v>
      </c>
      <c r="D1883" s="3">
        <v>39</v>
      </c>
      <c r="E1883" s="3" t="s">
        <v>2001</v>
      </c>
      <c r="F1883" s="3">
        <v>39</v>
      </c>
    </row>
    <row r="1884" spans="1:6" x14ac:dyDescent="0.25">
      <c r="A1884" s="2">
        <v>66171</v>
      </c>
      <c r="B1884" s="3">
        <v>105</v>
      </c>
      <c r="C1884" s="3">
        <v>66</v>
      </c>
      <c r="D1884" s="3">
        <v>1.6E-7</v>
      </c>
      <c r="E1884" s="3" t="s">
        <v>2002</v>
      </c>
      <c r="F1884" s="3">
        <v>1.6E-7</v>
      </c>
    </row>
    <row r="1885" spans="1:6" x14ac:dyDescent="0.25">
      <c r="A1885" s="2">
        <v>66172</v>
      </c>
      <c r="B1885" s="3">
        <v>106</v>
      </c>
      <c r="C1885" s="3">
        <v>66</v>
      </c>
      <c r="D1885" s="3">
        <v>1.6E-7</v>
      </c>
      <c r="E1885" s="3" t="s">
        <v>2003</v>
      </c>
      <c r="F1885" s="3">
        <v>1.6E-7</v>
      </c>
    </row>
    <row r="1886" spans="1:6" x14ac:dyDescent="0.25">
      <c r="A1886" s="2">
        <v>66173</v>
      </c>
      <c r="B1886" s="3">
        <v>107</v>
      </c>
      <c r="C1886" s="3">
        <v>66</v>
      </c>
      <c r="D1886" s="3">
        <v>1.6E-7</v>
      </c>
      <c r="E1886" s="3" t="s">
        <v>2004</v>
      </c>
      <c r="F1886" s="3">
        <v>1.6E-7</v>
      </c>
    </row>
    <row r="1887" spans="1:6" x14ac:dyDescent="0.25">
      <c r="A1887" s="2">
        <v>67140</v>
      </c>
      <c r="B1887" s="3">
        <v>73</v>
      </c>
      <c r="C1887" s="3">
        <v>67</v>
      </c>
      <c r="D1887" s="3">
        <v>6.0000000000000001E-3</v>
      </c>
      <c r="E1887" s="3" t="s">
        <v>2005</v>
      </c>
      <c r="F1887" s="3">
        <v>6.0000000000000001E-3</v>
      </c>
    </row>
    <row r="1888" spans="1:6" x14ac:dyDescent="0.25">
      <c r="A1888" s="2">
        <v>67141</v>
      </c>
      <c r="B1888" s="3">
        <v>74</v>
      </c>
      <c r="C1888" s="3">
        <v>67</v>
      </c>
      <c r="D1888" s="3">
        <v>4.0999999999999899E-3</v>
      </c>
      <c r="E1888" s="3" t="s">
        <v>2006</v>
      </c>
      <c r="F1888" s="3">
        <v>4.0999999999999899E-3</v>
      </c>
    </row>
    <row r="1889" spans="1:6" x14ac:dyDescent="0.25">
      <c r="A1889" s="2">
        <v>67142</v>
      </c>
      <c r="B1889" s="3">
        <v>75</v>
      </c>
      <c r="C1889" s="3">
        <v>67</v>
      </c>
      <c r="D1889" s="3">
        <v>0.4</v>
      </c>
      <c r="E1889" s="3" t="s">
        <v>2007</v>
      </c>
      <c r="F1889" s="3">
        <v>0.4</v>
      </c>
    </row>
    <row r="1890" spans="1:6" x14ac:dyDescent="0.25">
      <c r="A1890" s="2">
        <v>67144</v>
      </c>
      <c r="B1890" s="3">
        <v>77</v>
      </c>
      <c r="C1890" s="3">
        <v>67</v>
      </c>
      <c r="D1890" s="3">
        <v>0.7</v>
      </c>
      <c r="E1890" s="3" t="s">
        <v>2008</v>
      </c>
      <c r="F1890" s="3">
        <v>0.7</v>
      </c>
    </row>
    <row r="1891" spans="1:6" x14ac:dyDescent="0.25">
      <c r="A1891" s="2">
        <v>67145</v>
      </c>
      <c r="B1891" s="3">
        <v>78</v>
      </c>
      <c r="C1891" s="3">
        <v>67</v>
      </c>
      <c r="D1891" s="3">
        <v>2.4</v>
      </c>
      <c r="E1891" s="3" t="s">
        <v>2009</v>
      </c>
      <c r="F1891" s="3">
        <v>2.4</v>
      </c>
    </row>
    <row r="1892" spans="1:6" x14ac:dyDescent="0.25">
      <c r="A1892" s="2">
        <v>67146</v>
      </c>
      <c r="B1892" s="3">
        <v>79</v>
      </c>
      <c r="C1892" s="3">
        <v>67</v>
      </c>
      <c r="D1892" s="3">
        <v>3.32</v>
      </c>
      <c r="E1892" s="3" t="s">
        <v>2010</v>
      </c>
      <c r="F1892" s="3">
        <v>3.32</v>
      </c>
    </row>
    <row r="1893" spans="1:6" x14ac:dyDescent="0.25">
      <c r="A1893" s="2">
        <v>67147</v>
      </c>
      <c r="B1893" s="3">
        <v>80</v>
      </c>
      <c r="C1893" s="3">
        <v>67</v>
      </c>
      <c r="D1893" s="3">
        <v>5.8</v>
      </c>
      <c r="E1893" s="3" t="s">
        <v>2011</v>
      </c>
      <c r="F1893" s="3">
        <v>5.8</v>
      </c>
    </row>
    <row r="1894" spans="1:6" x14ac:dyDescent="0.25">
      <c r="A1894" s="2">
        <v>67148</v>
      </c>
      <c r="B1894" s="3">
        <v>81</v>
      </c>
      <c r="C1894" s="3">
        <v>67</v>
      </c>
      <c r="D1894" s="3">
        <v>2.2000000000000002</v>
      </c>
      <c r="E1894" s="3" t="s">
        <v>2012</v>
      </c>
      <c r="F1894" s="3">
        <v>2.2000000000000002</v>
      </c>
    </row>
    <row r="1895" spans="1:6" x14ac:dyDescent="0.25">
      <c r="A1895" s="2">
        <v>67149</v>
      </c>
      <c r="B1895" s="3">
        <v>82</v>
      </c>
      <c r="C1895" s="3">
        <v>67</v>
      </c>
      <c r="D1895" s="3">
        <v>21.1</v>
      </c>
      <c r="E1895" s="3" t="s">
        <v>2013</v>
      </c>
      <c r="F1895" s="3">
        <v>21.1</v>
      </c>
    </row>
    <row r="1896" spans="1:6" x14ac:dyDescent="0.25">
      <c r="A1896" s="2">
        <v>67150</v>
      </c>
      <c r="B1896" s="3">
        <v>83</v>
      </c>
      <c r="C1896" s="3">
        <v>67</v>
      </c>
      <c r="D1896" s="3">
        <v>72</v>
      </c>
      <c r="E1896" s="3" t="s">
        <v>2014</v>
      </c>
      <c r="F1896" s="3">
        <v>72</v>
      </c>
    </row>
    <row r="1897" spans="1:6" x14ac:dyDescent="0.25">
      <c r="A1897" s="2">
        <v>67151</v>
      </c>
      <c r="B1897" s="3">
        <v>84</v>
      </c>
      <c r="C1897" s="3">
        <v>67</v>
      </c>
      <c r="D1897" s="3">
        <v>35.200000000000003</v>
      </c>
      <c r="E1897" s="3" t="s">
        <v>2015</v>
      </c>
      <c r="F1897" s="3">
        <v>35.200000000000003</v>
      </c>
    </row>
    <row r="1898" spans="1:6" x14ac:dyDescent="0.25">
      <c r="A1898" s="2">
        <v>67152</v>
      </c>
      <c r="B1898" s="3">
        <v>85</v>
      </c>
      <c r="C1898" s="3">
        <v>67</v>
      </c>
      <c r="D1898" s="3">
        <v>161.80000000000001</v>
      </c>
      <c r="E1898" s="3" t="s">
        <v>2016</v>
      </c>
      <c r="F1898" s="3">
        <v>161.80000000000001</v>
      </c>
    </row>
    <row r="1899" spans="1:6" x14ac:dyDescent="0.25">
      <c r="A1899" s="2">
        <v>67153</v>
      </c>
      <c r="B1899" s="3">
        <v>86</v>
      </c>
      <c r="C1899" s="3">
        <v>67</v>
      </c>
      <c r="D1899" s="3">
        <v>120.6</v>
      </c>
      <c r="E1899" s="3" t="s">
        <v>2017</v>
      </c>
      <c r="F1899" s="3">
        <v>120.6</v>
      </c>
    </row>
    <row r="1900" spans="1:6" x14ac:dyDescent="0.25">
      <c r="A1900" s="2">
        <v>67154</v>
      </c>
      <c r="B1900" s="3">
        <v>87</v>
      </c>
      <c r="C1900" s="3">
        <v>67</v>
      </c>
      <c r="D1900" s="3">
        <v>705.6</v>
      </c>
      <c r="E1900" s="3" t="s">
        <v>2018</v>
      </c>
      <c r="F1900" s="3">
        <v>705.6</v>
      </c>
    </row>
    <row r="1901" spans="1:6" x14ac:dyDescent="0.25">
      <c r="A1901" s="2">
        <v>67155</v>
      </c>
      <c r="B1901" s="3">
        <v>88</v>
      </c>
      <c r="C1901" s="3">
        <v>67</v>
      </c>
      <c r="D1901" s="3">
        <v>2880</v>
      </c>
      <c r="E1901" s="3" t="s">
        <v>2019</v>
      </c>
      <c r="F1901" s="3">
        <v>2880</v>
      </c>
    </row>
    <row r="1902" spans="1:6" x14ac:dyDescent="0.25">
      <c r="A1902" s="2">
        <v>67156</v>
      </c>
      <c r="B1902" s="3">
        <v>89</v>
      </c>
      <c r="C1902" s="3">
        <v>67</v>
      </c>
      <c r="D1902" s="3">
        <v>3360</v>
      </c>
      <c r="E1902" s="3" t="s">
        <v>2020</v>
      </c>
      <c r="F1902" s="3">
        <v>3360</v>
      </c>
    </row>
    <row r="1903" spans="1:6" x14ac:dyDescent="0.25">
      <c r="A1903" s="2">
        <v>67157</v>
      </c>
      <c r="B1903" s="3">
        <v>90</v>
      </c>
      <c r="C1903" s="3">
        <v>67</v>
      </c>
      <c r="D1903" s="3">
        <v>756</v>
      </c>
      <c r="E1903" s="3" t="s">
        <v>2021</v>
      </c>
      <c r="F1903" s="3">
        <v>756</v>
      </c>
    </row>
    <row r="1904" spans="1:6" x14ac:dyDescent="0.25">
      <c r="A1904" s="2">
        <v>67158</v>
      </c>
      <c r="B1904" s="3">
        <v>91</v>
      </c>
      <c r="C1904" s="3">
        <v>67</v>
      </c>
      <c r="D1904" s="3">
        <v>678</v>
      </c>
      <c r="E1904" s="3" t="s">
        <v>2022</v>
      </c>
      <c r="F1904" s="3">
        <v>678</v>
      </c>
    </row>
    <row r="1905" spans="1:6" x14ac:dyDescent="0.25">
      <c r="A1905" s="2">
        <v>67159</v>
      </c>
      <c r="B1905" s="3">
        <v>92</v>
      </c>
      <c r="C1905" s="3">
        <v>67</v>
      </c>
      <c r="D1905" s="3">
        <v>1982.99999999999</v>
      </c>
      <c r="E1905" s="3" t="s">
        <v>2023</v>
      </c>
      <c r="F1905" s="3">
        <v>1982.99999999999</v>
      </c>
    </row>
    <row r="1906" spans="1:6" x14ac:dyDescent="0.25">
      <c r="A1906" s="2">
        <v>67160</v>
      </c>
      <c r="B1906" s="3">
        <v>93</v>
      </c>
      <c r="C1906" s="3">
        <v>67</v>
      </c>
      <c r="D1906" s="3">
        <v>1536</v>
      </c>
      <c r="E1906" s="3" t="s">
        <v>2024</v>
      </c>
      <c r="F1906" s="3">
        <v>1536</v>
      </c>
    </row>
    <row r="1907" spans="1:6" x14ac:dyDescent="0.25">
      <c r="A1907" s="2">
        <v>67161</v>
      </c>
      <c r="B1907" s="3">
        <v>94</v>
      </c>
      <c r="C1907" s="3">
        <v>67</v>
      </c>
      <c r="D1907" s="3">
        <v>8928</v>
      </c>
      <c r="E1907" s="3" t="s">
        <v>2025</v>
      </c>
      <c r="F1907" s="3">
        <v>8928</v>
      </c>
    </row>
    <row r="1908" spans="1:6" x14ac:dyDescent="0.25">
      <c r="A1908" s="2">
        <v>67162</v>
      </c>
      <c r="B1908" s="3">
        <v>95</v>
      </c>
      <c r="C1908" s="3">
        <v>67</v>
      </c>
      <c r="D1908" s="3">
        <v>900</v>
      </c>
      <c r="E1908" s="3" t="s">
        <v>2026</v>
      </c>
      <c r="F1908" s="3">
        <v>900</v>
      </c>
    </row>
    <row r="1909" spans="1:6" x14ac:dyDescent="0.25">
      <c r="A1909" s="2">
        <v>67163</v>
      </c>
      <c r="B1909" s="3">
        <v>96</v>
      </c>
      <c r="C1909" s="3">
        <v>67</v>
      </c>
      <c r="D1909" s="3">
        <v>144218232000</v>
      </c>
      <c r="E1909" s="3" t="s">
        <v>2027</v>
      </c>
      <c r="F1909" s="3">
        <v>144218232000</v>
      </c>
    </row>
    <row r="1910" spans="1:6" x14ac:dyDescent="0.25">
      <c r="A1910" s="2">
        <v>67164</v>
      </c>
      <c r="B1910" s="3">
        <v>97</v>
      </c>
      <c r="C1910" s="3">
        <v>67</v>
      </c>
      <c r="D1910" s="3">
        <v>1740</v>
      </c>
      <c r="E1910" s="3" t="s">
        <v>2028</v>
      </c>
      <c r="F1910" s="3">
        <v>1740</v>
      </c>
    </row>
    <row r="1911" spans="1:6" x14ac:dyDescent="0.25">
      <c r="A1911" s="2">
        <v>67165</v>
      </c>
      <c r="B1911" s="3">
        <v>98</v>
      </c>
      <c r="C1911" s="3">
        <v>67</v>
      </c>
      <c r="D1911" s="3" t="s">
        <v>4</v>
      </c>
      <c r="E1911" s="3" t="s">
        <v>2029</v>
      </c>
      <c r="F1911" s="3" t="s">
        <v>4</v>
      </c>
    </row>
    <row r="1912" spans="1:6" x14ac:dyDescent="0.25">
      <c r="A1912" s="2">
        <v>67166</v>
      </c>
      <c r="B1912" s="3">
        <v>99</v>
      </c>
      <c r="C1912" s="3">
        <v>67</v>
      </c>
      <c r="D1912" s="3">
        <v>96566.399999999994</v>
      </c>
      <c r="E1912" s="3" t="s">
        <v>2030</v>
      </c>
      <c r="F1912" s="3">
        <v>96566.399999999994</v>
      </c>
    </row>
    <row r="1913" spans="1:6" x14ac:dyDescent="0.25">
      <c r="A1913" s="2">
        <v>67167</v>
      </c>
      <c r="B1913" s="3">
        <v>100</v>
      </c>
      <c r="C1913" s="3">
        <v>67</v>
      </c>
      <c r="D1913" s="3">
        <v>10810.8</v>
      </c>
      <c r="E1913" s="3" t="s">
        <v>2031</v>
      </c>
      <c r="F1913" s="3">
        <v>10810.8</v>
      </c>
    </row>
    <row r="1914" spans="1:6" x14ac:dyDescent="0.25">
      <c r="A1914" s="2">
        <v>67168</v>
      </c>
      <c r="B1914" s="3">
        <v>101</v>
      </c>
      <c r="C1914" s="3">
        <v>67</v>
      </c>
      <c r="D1914" s="3">
        <v>179.4</v>
      </c>
      <c r="E1914" s="3" t="s">
        <v>2032</v>
      </c>
      <c r="F1914" s="3">
        <v>179.4</v>
      </c>
    </row>
    <row r="1915" spans="1:6" x14ac:dyDescent="0.25">
      <c r="A1915" s="2">
        <v>67169</v>
      </c>
      <c r="B1915" s="3">
        <v>102</v>
      </c>
      <c r="C1915" s="3">
        <v>67</v>
      </c>
      <c r="D1915" s="3">
        <v>283.2</v>
      </c>
      <c r="E1915" s="3" t="s">
        <v>2033</v>
      </c>
      <c r="F1915" s="3">
        <v>283.2</v>
      </c>
    </row>
    <row r="1916" spans="1:6" x14ac:dyDescent="0.25">
      <c r="A1916" s="2">
        <v>67170</v>
      </c>
      <c r="B1916" s="3">
        <v>103</v>
      </c>
      <c r="C1916" s="3">
        <v>67</v>
      </c>
      <c r="D1916" s="3">
        <v>165.6</v>
      </c>
      <c r="E1916" s="3" t="s">
        <v>2034</v>
      </c>
      <c r="F1916" s="3">
        <v>165.6</v>
      </c>
    </row>
    <row r="1917" spans="1:6" x14ac:dyDescent="0.25">
      <c r="A1917" s="2">
        <v>67171</v>
      </c>
      <c r="B1917" s="3">
        <v>104</v>
      </c>
      <c r="C1917" s="3">
        <v>67</v>
      </c>
      <c r="D1917" s="3">
        <v>53</v>
      </c>
      <c r="E1917" s="3" t="s">
        <v>2035</v>
      </c>
      <c r="F1917" s="3">
        <v>53</v>
      </c>
    </row>
    <row r="1918" spans="1:6" x14ac:dyDescent="0.25">
      <c r="A1918" s="2">
        <v>67172</v>
      </c>
      <c r="B1918" s="3">
        <v>105</v>
      </c>
      <c r="C1918" s="3">
        <v>67</v>
      </c>
      <c r="D1918" s="3">
        <v>25</v>
      </c>
      <c r="E1918" s="3" t="s">
        <v>2036</v>
      </c>
      <c r="F1918" s="3">
        <v>25</v>
      </c>
    </row>
    <row r="1919" spans="1:6" x14ac:dyDescent="0.25">
      <c r="A1919" s="2">
        <v>67173</v>
      </c>
      <c r="B1919" s="3">
        <v>106</v>
      </c>
      <c r="C1919" s="3">
        <v>67</v>
      </c>
      <c r="D1919" s="3">
        <v>1.6E-7</v>
      </c>
      <c r="E1919" s="3" t="s">
        <v>2037</v>
      </c>
      <c r="F1919" s="3">
        <v>1.6E-7</v>
      </c>
    </row>
    <row r="1920" spans="1:6" x14ac:dyDescent="0.25">
      <c r="A1920" s="2">
        <v>67174</v>
      </c>
      <c r="B1920" s="3">
        <v>107</v>
      </c>
      <c r="C1920" s="3">
        <v>67</v>
      </c>
      <c r="D1920" s="3">
        <v>1.6E-7</v>
      </c>
      <c r="E1920" s="3" t="s">
        <v>2038</v>
      </c>
      <c r="F1920" s="3">
        <v>1.6E-7</v>
      </c>
    </row>
    <row r="1921" spans="1:6" x14ac:dyDescent="0.25">
      <c r="A1921" s="2">
        <v>67175</v>
      </c>
      <c r="B1921" s="3">
        <v>108</v>
      </c>
      <c r="C1921" s="3">
        <v>67</v>
      </c>
      <c r="D1921" s="3">
        <v>1.6E-7</v>
      </c>
      <c r="E1921" s="3" t="s">
        <v>2039</v>
      </c>
      <c r="F1921" s="3">
        <v>1.6E-7</v>
      </c>
    </row>
    <row r="1922" spans="1:6" x14ac:dyDescent="0.25">
      <c r="A1922" s="2">
        <v>67176</v>
      </c>
      <c r="B1922" s="3">
        <v>109</v>
      </c>
      <c r="C1922" s="3">
        <v>67</v>
      </c>
      <c r="D1922" s="3">
        <v>1.6E-7</v>
      </c>
      <c r="E1922" s="3" t="s">
        <v>2040</v>
      </c>
      <c r="F1922" s="3">
        <v>1.6E-7</v>
      </c>
    </row>
    <row r="1923" spans="1:6" x14ac:dyDescent="0.25">
      <c r="A1923" s="2">
        <v>68144</v>
      </c>
      <c r="B1923" s="3">
        <v>76</v>
      </c>
      <c r="C1923" s="3">
        <v>68</v>
      </c>
      <c r="D1923" s="3">
        <v>1.9999999999999999E-7</v>
      </c>
      <c r="E1923" s="3" t="s">
        <v>2041</v>
      </c>
      <c r="F1923" s="3">
        <v>1.9999999999999999E-7</v>
      </c>
    </row>
    <row r="1924" spans="1:6" x14ac:dyDescent="0.25">
      <c r="A1924" s="2">
        <v>68145</v>
      </c>
      <c r="B1924" s="3">
        <v>77</v>
      </c>
      <c r="C1924" s="3">
        <v>68</v>
      </c>
      <c r="D1924" s="3">
        <v>1</v>
      </c>
      <c r="E1924" s="3" t="s">
        <v>2042</v>
      </c>
      <c r="F1924" s="3">
        <v>1</v>
      </c>
    </row>
    <row r="1925" spans="1:6" x14ac:dyDescent="0.25">
      <c r="A1925" s="2">
        <v>68146</v>
      </c>
      <c r="B1925" s="3">
        <v>78</v>
      </c>
      <c r="C1925" s="3">
        <v>68</v>
      </c>
      <c r="D1925" s="3">
        <v>1.7</v>
      </c>
      <c r="E1925" s="3" t="s">
        <v>2043</v>
      </c>
      <c r="F1925" s="3">
        <v>1.7</v>
      </c>
    </row>
    <row r="1926" spans="1:6" x14ac:dyDescent="0.25">
      <c r="A1926" s="2">
        <v>68147</v>
      </c>
      <c r="B1926" s="3">
        <v>79</v>
      </c>
      <c r="C1926" s="3">
        <v>68</v>
      </c>
      <c r="D1926" s="3">
        <v>2.5</v>
      </c>
      <c r="E1926" s="3" t="s">
        <v>2044</v>
      </c>
      <c r="F1926" s="3">
        <v>2.5</v>
      </c>
    </row>
    <row r="1927" spans="1:6" x14ac:dyDescent="0.25">
      <c r="A1927" s="2">
        <v>68148</v>
      </c>
      <c r="B1927" s="3">
        <v>80</v>
      </c>
      <c r="C1927" s="3">
        <v>68</v>
      </c>
      <c r="D1927" s="3">
        <v>4.5999999999999996</v>
      </c>
      <c r="E1927" s="3" t="s">
        <v>2045</v>
      </c>
      <c r="F1927" s="3">
        <v>4.5999999999999996</v>
      </c>
    </row>
    <row r="1928" spans="1:6" x14ac:dyDescent="0.25">
      <c r="A1928" s="2">
        <v>68149</v>
      </c>
      <c r="B1928" s="3">
        <v>81</v>
      </c>
      <c r="C1928" s="3">
        <v>68</v>
      </c>
      <c r="D1928" s="3">
        <v>4</v>
      </c>
      <c r="E1928" s="3" t="s">
        <v>2046</v>
      </c>
      <c r="F1928" s="3">
        <v>4</v>
      </c>
    </row>
    <row r="1929" spans="1:6" x14ac:dyDescent="0.25">
      <c r="A1929" s="2">
        <v>68150</v>
      </c>
      <c r="B1929" s="3">
        <v>82</v>
      </c>
      <c r="C1929" s="3">
        <v>68</v>
      </c>
      <c r="D1929" s="3">
        <v>18.5</v>
      </c>
      <c r="E1929" s="3" t="s">
        <v>2047</v>
      </c>
      <c r="F1929" s="3">
        <v>18.5</v>
      </c>
    </row>
    <row r="1930" spans="1:6" x14ac:dyDescent="0.25">
      <c r="A1930" s="2">
        <v>68151</v>
      </c>
      <c r="B1930" s="3">
        <v>83</v>
      </c>
      <c r="C1930" s="3">
        <v>68</v>
      </c>
      <c r="D1930" s="3">
        <v>23.5</v>
      </c>
      <c r="E1930" s="3" t="s">
        <v>2048</v>
      </c>
      <c r="F1930" s="3">
        <v>23.5</v>
      </c>
    </row>
    <row r="1931" spans="1:6" x14ac:dyDescent="0.25">
      <c r="A1931" s="2">
        <v>68152</v>
      </c>
      <c r="B1931" s="3">
        <v>84</v>
      </c>
      <c r="C1931" s="3">
        <v>68</v>
      </c>
      <c r="D1931" s="3">
        <v>10.3</v>
      </c>
      <c r="E1931" s="3" t="s">
        <v>2049</v>
      </c>
      <c r="F1931" s="3">
        <v>10.3</v>
      </c>
    </row>
    <row r="1932" spans="1:6" x14ac:dyDescent="0.25">
      <c r="A1932" s="2">
        <v>68153</v>
      </c>
      <c r="B1932" s="3">
        <v>85</v>
      </c>
      <c r="C1932" s="3">
        <v>68</v>
      </c>
      <c r="D1932" s="3">
        <v>37.1</v>
      </c>
      <c r="E1932" s="3" t="s">
        <v>2050</v>
      </c>
      <c r="F1932" s="3">
        <v>37.1</v>
      </c>
    </row>
    <row r="1933" spans="1:6" x14ac:dyDescent="0.25">
      <c r="A1933" s="2">
        <v>68154</v>
      </c>
      <c r="B1933" s="3">
        <v>86</v>
      </c>
      <c r="C1933" s="3">
        <v>68</v>
      </c>
      <c r="D1933" s="3">
        <v>223.8</v>
      </c>
      <c r="E1933" s="3" t="s">
        <v>2051</v>
      </c>
      <c r="F1933" s="3">
        <v>223.8</v>
      </c>
    </row>
    <row r="1934" spans="1:6" x14ac:dyDescent="0.25">
      <c r="A1934" s="2">
        <v>68155</v>
      </c>
      <c r="B1934" s="3">
        <v>87</v>
      </c>
      <c r="C1934" s="3">
        <v>68</v>
      </c>
      <c r="D1934" s="3">
        <v>318</v>
      </c>
      <c r="E1934" s="3" t="s">
        <v>2052</v>
      </c>
      <c r="F1934" s="3">
        <v>318</v>
      </c>
    </row>
    <row r="1935" spans="1:6" x14ac:dyDescent="0.25">
      <c r="A1935" s="2">
        <v>68156</v>
      </c>
      <c r="B1935" s="3">
        <v>88</v>
      </c>
      <c r="C1935" s="3">
        <v>68</v>
      </c>
      <c r="D1935" s="3">
        <v>1170</v>
      </c>
      <c r="E1935" s="3" t="s">
        <v>2053</v>
      </c>
      <c r="F1935" s="3">
        <v>1170</v>
      </c>
    </row>
    <row r="1936" spans="1:6" x14ac:dyDescent="0.25">
      <c r="A1936" s="2">
        <v>68157</v>
      </c>
      <c r="B1936" s="3">
        <v>89</v>
      </c>
      <c r="C1936" s="3">
        <v>68</v>
      </c>
      <c r="D1936" s="3">
        <v>1119</v>
      </c>
      <c r="E1936" s="3" t="s">
        <v>2054</v>
      </c>
      <c r="F1936" s="3">
        <v>1119</v>
      </c>
    </row>
    <row r="1937" spans="1:6" x14ac:dyDescent="0.25">
      <c r="A1937" s="2">
        <v>68158</v>
      </c>
      <c r="B1937" s="3">
        <v>90</v>
      </c>
      <c r="C1937" s="3">
        <v>68</v>
      </c>
      <c r="D1937" s="3">
        <v>8244</v>
      </c>
      <c r="E1937" s="3" t="s">
        <v>2055</v>
      </c>
      <c r="F1937" s="3">
        <v>8244</v>
      </c>
    </row>
    <row r="1938" spans="1:6" x14ac:dyDescent="0.25">
      <c r="A1938" s="2">
        <v>68159</v>
      </c>
      <c r="B1938" s="3">
        <v>91</v>
      </c>
      <c r="C1938" s="3">
        <v>68</v>
      </c>
      <c r="D1938" s="3">
        <v>2160</v>
      </c>
      <c r="E1938" s="3" t="s">
        <v>2056</v>
      </c>
      <c r="F1938" s="3">
        <v>2160</v>
      </c>
    </row>
    <row r="1939" spans="1:6" x14ac:dyDescent="0.25">
      <c r="A1939" s="2">
        <v>68160</v>
      </c>
      <c r="B1939" s="3">
        <v>92</v>
      </c>
      <c r="C1939" s="3">
        <v>68</v>
      </c>
      <c r="D1939" s="3">
        <v>102888</v>
      </c>
      <c r="E1939" s="3" t="s">
        <v>2057</v>
      </c>
      <c r="F1939" s="3">
        <v>102888</v>
      </c>
    </row>
    <row r="1940" spans="1:6" x14ac:dyDescent="0.25">
      <c r="A1940" s="2">
        <v>68161</v>
      </c>
      <c r="B1940" s="3">
        <v>93</v>
      </c>
      <c r="C1940" s="3">
        <v>68</v>
      </c>
      <c r="D1940" s="3">
        <v>11556</v>
      </c>
      <c r="E1940" s="3" t="s">
        <v>2058</v>
      </c>
      <c r="F1940" s="3">
        <v>11556</v>
      </c>
    </row>
    <row r="1941" spans="1:6" x14ac:dyDescent="0.25">
      <c r="A1941" s="2">
        <v>68162</v>
      </c>
      <c r="B1941" s="3">
        <v>94</v>
      </c>
      <c r="C1941" s="3">
        <v>68</v>
      </c>
      <c r="D1941" s="3" t="s">
        <v>4</v>
      </c>
      <c r="E1941" s="3" t="s">
        <v>2059</v>
      </c>
      <c r="F1941" s="3" t="s">
        <v>4</v>
      </c>
    </row>
    <row r="1942" spans="1:6" x14ac:dyDescent="0.25">
      <c r="A1942" s="2">
        <v>68163</v>
      </c>
      <c r="B1942" s="3">
        <v>95</v>
      </c>
      <c r="C1942" s="3">
        <v>68</v>
      </c>
      <c r="D1942" s="3">
        <v>4500</v>
      </c>
      <c r="E1942" s="3" t="s">
        <v>2060</v>
      </c>
      <c r="F1942" s="3">
        <v>4500</v>
      </c>
    </row>
    <row r="1943" spans="1:6" x14ac:dyDescent="0.25">
      <c r="A1943" s="2">
        <v>68164</v>
      </c>
      <c r="B1943" s="3">
        <v>96</v>
      </c>
      <c r="C1943" s="3">
        <v>68</v>
      </c>
      <c r="D1943" s="3" t="s">
        <v>4</v>
      </c>
      <c r="E1943" s="3" t="s">
        <v>2061</v>
      </c>
      <c r="F1943" s="3" t="s">
        <v>4</v>
      </c>
    </row>
    <row r="1944" spans="1:6" x14ac:dyDescent="0.25">
      <c r="A1944" s="2">
        <v>68165</v>
      </c>
      <c r="B1944" s="3">
        <v>97</v>
      </c>
      <c r="C1944" s="3">
        <v>68</v>
      </c>
      <c r="D1944" s="3">
        <v>37296</v>
      </c>
      <c r="E1944" s="3" t="s">
        <v>2062</v>
      </c>
      <c r="F1944" s="3">
        <v>37296</v>
      </c>
    </row>
    <row r="1945" spans="1:6" x14ac:dyDescent="0.25">
      <c r="A1945" s="2">
        <v>68166</v>
      </c>
      <c r="B1945" s="3">
        <v>98</v>
      </c>
      <c r="C1945" s="3">
        <v>68</v>
      </c>
      <c r="D1945" s="3" t="s">
        <v>4</v>
      </c>
      <c r="E1945" s="3" t="s">
        <v>2063</v>
      </c>
      <c r="F1945" s="3" t="s">
        <v>4</v>
      </c>
    </row>
    <row r="1946" spans="1:6" x14ac:dyDescent="0.25">
      <c r="A1946" s="2">
        <v>68167</v>
      </c>
      <c r="B1946" s="3">
        <v>99</v>
      </c>
      <c r="C1946" s="3">
        <v>68</v>
      </c>
      <c r="D1946" s="3" t="s">
        <v>4</v>
      </c>
      <c r="E1946" s="3" t="s">
        <v>2064</v>
      </c>
      <c r="F1946" s="3" t="s">
        <v>4</v>
      </c>
    </row>
    <row r="1947" spans="1:6" x14ac:dyDescent="0.25">
      <c r="A1947" s="2">
        <v>68168</v>
      </c>
      <c r="B1947" s="3">
        <v>100</v>
      </c>
      <c r="C1947" s="3">
        <v>68</v>
      </c>
      <c r="D1947" s="3" t="s">
        <v>4</v>
      </c>
      <c r="E1947" s="3" t="s">
        <v>2065</v>
      </c>
      <c r="F1947" s="3" t="s">
        <v>4</v>
      </c>
    </row>
    <row r="1948" spans="1:6" x14ac:dyDescent="0.25">
      <c r="A1948" s="2">
        <v>68169</v>
      </c>
      <c r="B1948" s="3">
        <v>101</v>
      </c>
      <c r="C1948" s="3">
        <v>68</v>
      </c>
      <c r="D1948" s="3">
        <v>811468.799999999</v>
      </c>
      <c r="E1948" s="3" t="s">
        <v>2066</v>
      </c>
      <c r="F1948" s="3">
        <v>811468.799999999</v>
      </c>
    </row>
    <row r="1949" spans="1:6" x14ac:dyDescent="0.25">
      <c r="A1949" s="2">
        <v>68170</v>
      </c>
      <c r="B1949" s="3">
        <v>102</v>
      </c>
      <c r="C1949" s="3">
        <v>68</v>
      </c>
      <c r="D1949" s="3" t="s">
        <v>4</v>
      </c>
      <c r="E1949" s="3" t="s">
        <v>2067</v>
      </c>
      <c r="F1949" s="3" t="s">
        <v>4</v>
      </c>
    </row>
    <row r="1950" spans="1:6" x14ac:dyDescent="0.25">
      <c r="A1950" s="2">
        <v>68171</v>
      </c>
      <c r="B1950" s="3">
        <v>103</v>
      </c>
      <c r="C1950" s="3">
        <v>68</v>
      </c>
      <c r="D1950" s="3">
        <v>27057.599999999999</v>
      </c>
      <c r="E1950" s="3" t="s">
        <v>2068</v>
      </c>
      <c r="F1950" s="3">
        <v>27057.599999999999</v>
      </c>
    </row>
    <row r="1951" spans="1:6" x14ac:dyDescent="0.25">
      <c r="A1951" s="2">
        <v>68172</v>
      </c>
      <c r="B1951" s="3">
        <v>104</v>
      </c>
      <c r="C1951" s="3">
        <v>68</v>
      </c>
      <c r="D1951" s="3">
        <v>177480</v>
      </c>
      <c r="E1951" s="3" t="s">
        <v>2069</v>
      </c>
      <c r="F1951" s="3">
        <v>177480</v>
      </c>
    </row>
    <row r="1952" spans="1:6" x14ac:dyDescent="0.25">
      <c r="A1952" s="2">
        <v>68173</v>
      </c>
      <c r="B1952" s="3">
        <v>105</v>
      </c>
      <c r="C1952" s="3">
        <v>68</v>
      </c>
      <c r="D1952" s="3">
        <v>84</v>
      </c>
      <c r="E1952" s="3" t="s">
        <v>2070</v>
      </c>
      <c r="F1952" s="3">
        <v>84</v>
      </c>
    </row>
    <row r="1953" spans="1:6" x14ac:dyDescent="0.25">
      <c r="A1953" s="2">
        <v>68174</v>
      </c>
      <c r="B1953" s="3">
        <v>106</v>
      </c>
      <c r="C1953" s="3">
        <v>68</v>
      </c>
      <c r="D1953" s="3">
        <v>192</v>
      </c>
      <c r="E1953" s="3" t="s">
        <v>2071</v>
      </c>
      <c r="F1953" s="3">
        <v>192</v>
      </c>
    </row>
    <row r="1954" spans="1:6" x14ac:dyDescent="0.25">
      <c r="A1954" s="2">
        <v>68175</v>
      </c>
      <c r="B1954" s="3">
        <v>107</v>
      </c>
      <c r="C1954" s="3">
        <v>68</v>
      </c>
      <c r="D1954" s="3">
        <v>72</v>
      </c>
      <c r="E1954" s="3" t="s">
        <v>2072</v>
      </c>
      <c r="F1954" s="3">
        <v>72</v>
      </c>
    </row>
    <row r="1955" spans="1:6" x14ac:dyDescent="0.25">
      <c r="A1955" s="2">
        <v>68176</v>
      </c>
      <c r="B1955" s="3">
        <v>108</v>
      </c>
      <c r="C1955" s="3">
        <v>68</v>
      </c>
      <c r="D1955" s="3">
        <v>1.6E-7</v>
      </c>
      <c r="E1955" s="3" t="s">
        <v>2073</v>
      </c>
      <c r="F1955" s="3">
        <v>1.6E-7</v>
      </c>
    </row>
    <row r="1956" spans="1:6" x14ac:dyDescent="0.25">
      <c r="A1956" s="2">
        <v>68177</v>
      </c>
      <c r="B1956" s="3">
        <v>109</v>
      </c>
      <c r="C1956" s="3">
        <v>68</v>
      </c>
      <c r="D1956" s="3">
        <v>1.6E-7</v>
      </c>
      <c r="E1956" s="3" t="s">
        <v>2074</v>
      </c>
      <c r="F1956" s="3">
        <v>1.6E-7</v>
      </c>
    </row>
    <row r="1957" spans="1:6" x14ac:dyDescent="0.25">
      <c r="A1957" s="2">
        <v>68178</v>
      </c>
      <c r="B1957" s="3">
        <v>110</v>
      </c>
      <c r="C1957" s="3">
        <v>68</v>
      </c>
      <c r="D1957" s="3">
        <v>1.6E-7</v>
      </c>
      <c r="E1957" s="3" t="s">
        <v>2075</v>
      </c>
      <c r="F1957" s="3">
        <v>1.6E-7</v>
      </c>
    </row>
    <row r="1958" spans="1:6" x14ac:dyDescent="0.25">
      <c r="A1958" s="2">
        <v>69144</v>
      </c>
      <c r="B1958" s="3">
        <v>75</v>
      </c>
      <c r="C1958" s="3">
        <v>69</v>
      </c>
      <c r="D1958" s="3">
        <v>1.8999999999999901E-6</v>
      </c>
      <c r="E1958" s="3" t="s">
        <v>2076</v>
      </c>
      <c r="F1958" s="3">
        <v>1.8999999999999901E-6</v>
      </c>
    </row>
    <row r="1959" spans="1:6" x14ac:dyDescent="0.25">
      <c r="A1959" s="2">
        <v>69145</v>
      </c>
      <c r="B1959" s="3">
        <v>76</v>
      </c>
      <c r="C1959" s="3">
        <v>69</v>
      </c>
      <c r="D1959" s="3">
        <v>3.16999999999999E-6</v>
      </c>
      <c r="E1959" s="3" t="s">
        <v>2077</v>
      </c>
      <c r="F1959" s="3">
        <v>3.16999999999999E-6</v>
      </c>
    </row>
    <row r="1960" spans="1:6" x14ac:dyDescent="0.25">
      <c r="A1960" s="2">
        <v>69146</v>
      </c>
      <c r="B1960" s="3">
        <v>77</v>
      </c>
      <c r="C1960" s="3">
        <v>69</v>
      </c>
      <c r="D1960" s="3">
        <v>6.8000000000000005E-2</v>
      </c>
      <c r="E1960" s="3" t="s">
        <v>2078</v>
      </c>
      <c r="F1960" s="3">
        <v>6.8000000000000005E-2</v>
      </c>
    </row>
    <row r="1961" spans="1:6" x14ac:dyDescent="0.25">
      <c r="A1961" s="2">
        <v>69147</v>
      </c>
      <c r="B1961" s="3">
        <v>78</v>
      </c>
      <c r="C1961" s="3">
        <v>69</v>
      </c>
      <c r="D1961" s="3">
        <v>0.57999999999999996</v>
      </c>
      <c r="E1961" s="3" t="s">
        <v>2079</v>
      </c>
      <c r="F1961" s="3">
        <v>0.57999999999999996</v>
      </c>
    </row>
    <row r="1962" spans="1:6" x14ac:dyDescent="0.25">
      <c r="A1962" s="2">
        <v>69148</v>
      </c>
      <c r="B1962" s="3">
        <v>79</v>
      </c>
      <c r="C1962" s="3">
        <v>69</v>
      </c>
      <c r="D1962" s="3">
        <v>0.7</v>
      </c>
      <c r="E1962" s="3" t="s">
        <v>2080</v>
      </c>
      <c r="F1962" s="3">
        <v>0.7</v>
      </c>
    </row>
    <row r="1963" spans="1:6" x14ac:dyDescent="0.25">
      <c r="A1963" s="2">
        <v>69149</v>
      </c>
      <c r="B1963" s="3">
        <v>80</v>
      </c>
      <c r="C1963" s="3">
        <v>69</v>
      </c>
      <c r="D1963" s="3">
        <v>0.9</v>
      </c>
      <c r="E1963" s="3" t="s">
        <v>2081</v>
      </c>
      <c r="F1963" s="3">
        <v>0.9</v>
      </c>
    </row>
    <row r="1964" spans="1:6" x14ac:dyDescent="0.25">
      <c r="A1964" s="2">
        <v>69150</v>
      </c>
      <c r="B1964" s="3">
        <v>81</v>
      </c>
      <c r="C1964" s="3">
        <v>69</v>
      </c>
      <c r="D1964" s="3">
        <v>2.2000000000000002</v>
      </c>
      <c r="E1964" s="3" t="s">
        <v>2082</v>
      </c>
      <c r="F1964" s="3">
        <v>2.2000000000000002</v>
      </c>
    </row>
    <row r="1965" spans="1:6" x14ac:dyDescent="0.25">
      <c r="A1965" s="2">
        <v>69151</v>
      </c>
      <c r="B1965" s="3">
        <v>82</v>
      </c>
      <c r="C1965" s="3">
        <v>69</v>
      </c>
      <c r="D1965" s="3">
        <v>4.17</v>
      </c>
      <c r="E1965" s="3" t="s">
        <v>2083</v>
      </c>
      <c r="F1965" s="3">
        <v>4.17</v>
      </c>
    </row>
    <row r="1966" spans="1:6" x14ac:dyDescent="0.25">
      <c r="A1966" s="2">
        <v>69152</v>
      </c>
      <c r="B1966" s="3">
        <v>83</v>
      </c>
      <c r="C1966" s="3">
        <v>69</v>
      </c>
      <c r="D1966" s="3">
        <v>8</v>
      </c>
      <c r="E1966" s="3" t="s">
        <v>2084</v>
      </c>
      <c r="F1966" s="3">
        <v>8</v>
      </c>
    </row>
    <row r="1967" spans="1:6" x14ac:dyDescent="0.25">
      <c r="A1967" s="2">
        <v>69153</v>
      </c>
      <c r="B1967" s="3">
        <v>84</v>
      </c>
      <c r="C1967" s="3">
        <v>69</v>
      </c>
      <c r="D1967" s="3">
        <v>1.48</v>
      </c>
      <c r="E1967" s="3" t="s">
        <v>2085</v>
      </c>
      <c r="F1967" s="3">
        <v>1.48</v>
      </c>
    </row>
    <row r="1968" spans="1:6" x14ac:dyDescent="0.25">
      <c r="A1968" s="2">
        <v>69154</v>
      </c>
      <c r="B1968" s="3">
        <v>85</v>
      </c>
      <c r="C1968" s="3">
        <v>69</v>
      </c>
      <c r="D1968" s="3">
        <v>8.1</v>
      </c>
      <c r="E1968" s="3" t="s">
        <v>2086</v>
      </c>
      <c r="F1968" s="3">
        <v>8.1</v>
      </c>
    </row>
    <row r="1969" spans="1:6" x14ac:dyDescent="0.25">
      <c r="A1969" s="2">
        <v>69155</v>
      </c>
      <c r="B1969" s="3">
        <v>86</v>
      </c>
      <c r="C1969" s="3">
        <v>69</v>
      </c>
      <c r="D1969" s="3">
        <v>21.6</v>
      </c>
      <c r="E1969" s="3" t="s">
        <v>2087</v>
      </c>
      <c r="F1969" s="3">
        <v>21.6</v>
      </c>
    </row>
    <row r="1970" spans="1:6" x14ac:dyDescent="0.25">
      <c r="A1970" s="2">
        <v>69156</v>
      </c>
      <c r="B1970" s="3">
        <v>87</v>
      </c>
      <c r="C1970" s="3">
        <v>69</v>
      </c>
      <c r="D1970" s="3">
        <v>83.8</v>
      </c>
      <c r="E1970" s="3" t="s">
        <v>2088</v>
      </c>
      <c r="F1970" s="3">
        <v>83.8</v>
      </c>
    </row>
    <row r="1971" spans="1:6" x14ac:dyDescent="0.25">
      <c r="A1971" s="2">
        <v>69157</v>
      </c>
      <c r="B1971" s="3">
        <v>88</v>
      </c>
      <c r="C1971" s="3">
        <v>69</v>
      </c>
      <c r="D1971" s="3">
        <v>217.79999999999899</v>
      </c>
      <c r="E1971" s="3" t="s">
        <v>2089</v>
      </c>
      <c r="F1971" s="3">
        <v>217.79999999999899</v>
      </c>
    </row>
    <row r="1972" spans="1:6" x14ac:dyDescent="0.25">
      <c r="A1972" s="2">
        <v>69158</v>
      </c>
      <c r="B1972" s="3">
        <v>89</v>
      </c>
      <c r="C1972" s="3">
        <v>69</v>
      </c>
      <c r="D1972" s="3">
        <v>238.8</v>
      </c>
      <c r="E1972" s="3" t="s">
        <v>2090</v>
      </c>
      <c r="F1972" s="3">
        <v>238.8</v>
      </c>
    </row>
    <row r="1973" spans="1:6" x14ac:dyDescent="0.25">
      <c r="A1973" s="2">
        <v>69159</v>
      </c>
      <c r="B1973" s="3">
        <v>90</v>
      </c>
      <c r="C1973" s="3">
        <v>69</v>
      </c>
      <c r="D1973" s="3">
        <v>547.79999999999995</v>
      </c>
      <c r="E1973" s="3" t="s">
        <v>2091</v>
      </c>
      <c r="F1973" s="3">
        <v>547.79999999999995</v>
      </c>
    </row>
    <row r="1974" spans="1:6" x14ac:dyDescent="0.25">
      <c r="A1974" s="2">
        <v>69160</v>
      </c>
      <c r="B1974" s="3">
        <v>91</v>
      </c>
      <c r="C1974" s="3">
        <v>69</v>
      </c>
      <c r="D1974" s="3">
        <v>564</v>
      </c>
      <c r="E1974" s="3" t="s">
        <v>2092</v>
      </c>
      <c r="F1974" s="3">
        <v>564</v>
      </c>
    </row>
    <row r="1975" spans="1:6" x14ac:dyDescent="0.25">
      <c r="A1975" s="2">
        <v>69161</v>
      </c>
      <c r="B1975" s="3">
        <v>92</v>
      </c>
      <c r="C1975" s="3">
        <v>69</v>
      </c>
      <c r="D1975" s="3">
        <v>1812</v>
      </c>
      <c r="E1975" s="3" t="s">
        <v>2093</v>
      </c>
      <c r="F1975" s="3">
        <v>1812</v>
      </c>
    </row>
    <row r="1976" spans="1:6" x14ac:dyDescent="0.25">
      <c r="A1976" s="2">
        <v>69162</v>
      </c>
      <c r="B1976" s="3">
        <v>93</v>
      </c>
      <c r="C1976" s="3">
        <v>69</v>
      </c>
      <c r="D1976" s="3">
        <v>1302</v>
      </c>
      <c r="E1976" s="3" t="s">
        <v>2094</v>
      </c>
      <c r="F1976" s="3">
        <v>1302</v>
      </c>
    </row>
    <row r="1977" spans="1:6" x14ac:dyDescent="0.25">
      <c r="A1977" s="2">
        <v>69163</v>
      </c>
      <c r="B1977" s="3">
        <v>94</v>
      </c>
      <c r="C1977" s="3">
        <v>69</v>
      </c>
      <c r="D1977" s="3">
        <v>6516</v>
      </c>
      <c r="E1977" s="3" t="s">
        <v>2095</v>
      </c>
      <c r="F1977" s="3">
        <v>6516</v>
      </c>
    </row>
    <row r="1978" spans="1:6" x14ac:dyDescent="0.25">
      <c r="A1978" s="2">
        <v>69164</v>
      </c>
      <c r="B1978" s="3">
        <v>95</v>
      </c>
      <c r="C1978" s="3">
        <v>69</v>
      </c>
      <c r="D1978" s="3">
        <v>120</v>
      </c>
      <c r="E1978" s="3" t="s">
        <v>2096</v>
      </c>
      <c r="F1978" s="3">
        <v>120</v>
      </c>
    </row>
    <row r="1979" spans="1:6" x14ac:dyDescent="0.25">
      <c r="A1979" s="2">
        <v>69165</v>
      </c>
      <c r="B1979" s="3">
        <v>96</v>
      </c>
      <c r="C1979" s="3">
        <v>69</v>
      </c>
      <c r="D1979" s="3">
        <v>108216</v>
      </c>
      <c r="E1979" s="3" t="s">
        <v>2097</v>
      </c>
      <c r="F1979" s="3">
        <v>108216</v>
      </c>
    </row>
    <row r="1980" spans="1:6" x14ac:dyDescent="0.25">
      <c r="A1980" s="2">
        <v>69166</v>
      </c>
      <c r="B1980" s="3">
        <v>97</v>
      </c>
      <c r="C1980" s="3">
        <v>69</v>
      </c>
      <c r="D1980" s="3">
        <v>27720</v>
      </c>
      <c r="E1980" s="3" t="s">
        <v>2098</v>
      </c>
      <c r="F1980" s="3">
        <v>27720</v>
      </c>
    </row>
    <row r="1981" spans="1:6" x14ac:dyDescent="0.25">
      <c r="A1981" s="2">
        <v>69167</v>
      </c>
      <c r="B1981" s="3">
        <v>98</v>
      </c>
      <c r="C1981" s="3">
        <v>69</v>
      </c>
      <c r="D1981" s="3">
        <v>799200</v>
      </c>
      <c r="E1981" s="3" t="s">
        <v>2099</v>
      </c>
      <c r="F1981" s="3">
        <v>799200</v>
      </c>
    </row>
    <row r="1982" spans="1:6" x14ac:dyDescent="0.25">
      <c r="A1982" s="2">
        <v>69168</v>
      </c>
      <c r="B1982" s="3">
        <v>99</v>
      </c>
      <c r="C1982" s="3">
        <v>69</v>
      </c>
      <c r="D1982" s="3">
        <v>8043839.9999999898</v>
      </c>
      <c r="E1982" s="3" t="s">
        <v>2100</v>
      </c>
      <c r="F1982" s="3">
        <v>8043839.9999999898</v>
      </c>
    </row>
    <row r="1983" spans="1:6" x14ac:dyDescent="0.25">
      <c r="A1983" s="2">
        <v>69169</v>
      </c>
      <c r="B1983" s="3">
        <v>100</v>
      </c>
      <c r="C1983" s="3">
        <v>69</v>
      </c>
      <c r="D1983" s="3" t="s">
        <v>4</v>
      </c>
      <c r="E1983" s="3" t="s">
        <v>2101</v>
      </c>
      <c r="F1983" s="3" t="s">
        <v>4</v>
      </c>
    </row>
    <row r="1984" spans="1:6" x14ac:dyDescent="0.25">
      <c r="A1984" s="2">
        <v>69170</v>
      </c>
      <c r="B1984" s="3">
        <v>101</v>
      </c>
      <c r="C1984" s="3">
        <v>69</v>
      </c>
      <c r="D1984" s="3">
        <v>11111040</v>
      </c>
      <c r="E1984" s="3" t="s">
        <v>2102</v>
      </c>
      <c r="F1984" s="3">
        <v>11111040</v>
      </c>
    </row>
    <row r="1985" spans="1:6" x14ac:dyDescent="0.25">
      <c r="A1985" s="2">
        <v>69171</v>
      </c>
      <c r="B1985" s="3">
        <v>102</v>
      </c>
      <c r="C1985" s="3">
        <v>69</v>
      </c>
      <c r="D1985" s="3">
        <v>60590592</v>
      </c>
      <c r="E1985" s="3" t="s">
        <v>2103</v>
      </c>
      <c r="F1985" s="3">
        <v>60590592</v>
      </c>
    </row>
    <row r="1986" spans="1:6" x14ac:dyDescent="0.25">
      <c r="A1986" s="2">
        <v>69172</v>
      </c>
      <c r="B1986" s="3">
        <v>103</v>
      </c>
      <c r="C1986" s="3">
        <v>69</v>
      </c>
      <c r="D1986" s="3">
        <v>228960</v>
      </c>
      <c r="E1986" s="3" t="s">
        <v>2104</v>
      </c>
      <c r="F1986" s="3">
        <v>228960</v>
      </c>
    </row>
    <row r="1987" spans="1:6" x14ac:dyDescent="0.25">
      <c r="A1987" s="2">
        <v>69173</v>
      </c>
      <c r="B1987" s="3">
        <v>104</v>
      </c>
      <c r="C1987" s="3">
        <v>69</v>
      </c>
      <c r="D1987" s="3">
        <v>29664</v>
      </c>
      <c r="E1987" s="3" t="s">
        <v>2105</v>
      </c>
      <c r="F1987" s="3">
        <v>29664</v>
      </c>
    </row>
    <row r="1988" spans="1:6" x14ac:dyDescent="0.25">
      <c r="A1988" s="2">
        <v>69174</v>
      </c>
      <c r="B1988" s="3">
        <v>105</v>
      </c>
      <c r="C1988" s="3">
        <v>69</v>
      </c>
      <c r="D1988" s="3">
        <v>324</v>
      </c>
      <c r="E1988" s="3" t="s">
        <v>2106</v>
      </c>
      <c r="F1988" s="3">
        <v>324</v>
      </c>
    </row>
    <row r="1989" spans="1:6" x14ac:dyDescent="0.25">
      <c r="A1989" s="2">
        <v>69175</v>
      </c>
      <c r="B1989" s="3">
        <v>106</v>
      </c>
      <c r="C1989" s="3">
        <v>69</v>
      </c>
      <c r="D1989" s="3">
        <v>912</v>
      </c>
      <c r="E1989" s="3" t="s">
        <v>2107</v>
      </c>
      <c r="F1989" s="3">
        <v>912</v>
      </c>
    </row>
    <row r="1990" spans="1:6" x14ac:dyDescent="0.25">
      <c r="A1990" s="2">
        <v>69176</v>
      </c>
      <c r="B1990" s="3">
        <v>107</v>
      </c>
      <c r="C1990" s="3">
        <v>69</v>
      </c>
      <c r="D1990" s="3">
        <v>114</v>
      </c>
      <c r="E1990" s="3" t="s">
        <v>2108</v>
      </c>
      <c r="F1990" s="3">
        <v>114</v>
      </c>
    </row>
    <row r="1991" spans="1:6" x14ac:dyDescent="0.25">
      <c r="A1991" s="2">
        <v>69177</v>
      </c>
      <c r="B1991" s="3">
        <v>108</v>
      </c>
      <c r="C1991" s="3">
        <v>69</v>
      </c>
      <c r="D1991" s="3">
        <v>90</v>
      </c>
      <c r="E1991" s="3" t="s">
        <v>2109</v>
      </c>
      <c r="F1991" s="3">
        <v>90</v>
      </c>
    </row>
    <row r="1992" spans="1:6" x14ac:dyDescent="0.25">
      <c r="A1992" s="2">
        <v>69178</v>
      </c>
      <c r="B1992" s="3">
        <v>109</v>
      </c>
      <c r="C1992" s="3">
        <v>69</v>
      </c>
      <c r="D1992" s="3">
        <v>2.9999999999999999E-7</v>
      </c>
      <c r="E1992" s="3" t="s">
        <v>2110</v>
      </c>
      <c r="F1992" s="3">
        <v>2.9999999999999999E-7</v>
      </c>
    </row>
    <row r="1993" spans="1:6" x14ac:dyDescent="0.25">
      <c r="A1993" s="2">
        <v>69179</v>
      </c>
      <c r="B1993" s="3">
        <v>110</v>
      </c>
      <c r="C1993" s="3">
        <v>69</v>
      </c>
      <c r="D1993" s="3">
        <v>1.6E-7</v>
      </c>
      <c r="E1993" s="3" t="s">
        <v>2111</v>
      </c>
      <c r="F1993" s="3">
        <v>1.6E-7</v>
      </c>
    </row>
    <row r="1994" spans="1:6" x14ac:dyDescent="0.25">
      <c r="A1994" s="2">
        <v>69180</v>
      </c>
      <c r="B1994" s="3">
        <v>111</v>
      </c>
      <c r="C1994" s="3">
        <v>69</v>
      </c>
      <c r="D1994" s="3">
        <v>1.6E-7</v>
      </c>
      <c r="E1994" s="3" t="s">
        <v>2112</v>
      </c>
      <c r="F1994" s="3">
        <v>1.6E-7</v>
      </c>
    </row>
    <row r="1995" spans="1:6" x14ac:dyDescent="0.25">
      <c r="A1995" s="2">
        <v>69181</v>
      </c>
      <c r="B1995" s="3">
        <v>112</v>
      </c>
      <c r="C1995" s="3">
        <v>69</v>
      </c>
      <c r="D1995" s="3">
        <v>1.6E-7</v>
      </c>
      <c r="E1995" s="3" t="s">
        <v>2113</v>
      </c>
      <c r="F1995" s="3">
        <v>1.6E-7</v>
      </c>
    </row>
    <row r="1996" spans="1:6" x14ac:dyDescent="0.25">
      <c r="A1996" s="2">
        <v>70149</v>
      </c>
      <c r="B1996" s="3">
        <v>79</v>
      </c>
      <c r="C1996" s="3">
        <v>70</v>
      </c>
      <c r="D1996" s="3">
        <v>0.7</v>
      </c>
      <c r="E1996" s="3" t="s">
        <v>2114</v>
      </c>
      <c r="F1996" s="3">
        <v>0.7</v>
      </c>
    </row>
    <row r="1997" spans="1:6" x14ac:dyDescent="0.25">
      <c r="A1997" s="2">
        <v>70150</v>
      </c>
      <c r="B1997" s="3">
        <v>80</v>
      </c>
      <c r="C1997" s="3">
        <v>70</v>
      </c>
      <c r="D1997" s="3">
        <v>1.9999999999999999E-7</v>
      </c>
      <c r="E1997" s="3" t="s">
        <v>2115</v>
      </c>
      <c r="F1997" s="3">
        <v>1.9999999999999999E-7</v>
      </c>
    </row>
    <row r="1998" spans="1:6" x14ac:dyDescent="0.25">
      <c r="A1998" s="2">
        <v>70151</v>
      </c>
      <c r="B1998" s="3">
        <v>81</v>
      </c>
      <c r="C1998" s="3">
        <v>70</v>
      </c>
      <c r="D1998" s="3">
        <v>1.6</v>
      </c>
      <c r="E1998" s="3" t="s">
        <v>2116</v>
      </c>
      <c r="F1998" s="3">
        <v>1.6</v>
      </c>
    </row>
    <row r="1999" spans="1:6" x14ac:dyDescent="0.25">
      <c r="A1999" s="2">
        <v>70152</v>
      </c>
      <c r="B1999" s="3">
        <v>82</v>
      </c>
      <c r="C1999" s="3">
        <v>70</v>
      </c>
      <c r="D1999" s="3">
        <v>3.03</v>
      </c>
      <c r="E1999" s="3" t="s">
        <v>2117</v>
      </c>
      <c r="F1999" s="3">
        <v>3.03</v>
      </c>
    </row>
    <row r="2000" spans="1:6" x14ac:dyDescent="0.25">
      <c r="A2000" s="2">
        <v>70153</v>
      </c>
      <c r="B2000" s="3">
        <v>83</v>
      </c>
      <c r="C2000" s="3">
        <v>70</v>
      </c>
      <c r="D2000" s="3">
        <v>4.2</v>
      </c>
      <c r="E2000" s="3" t="s">
        <v>2118</v>
      </c>
      <c r="F2000" s="3">
        <v>4.2</v>
      </c>
    </row>
    <row r="2001" spans="1:6" x14ac:dyDescent="0.25">
      <c r="A2001" s="2">
        <v>70154</v>
      </c>
      <c r="B2001" s="3">
        <v>84</v>
      </c>
      <c r="C2001" s="3">
        <v>70</v>
      </c>
      <c r="D2001" s="3">
        <v>0.40899999999999997</v>
      </c>
      <c r="E2001" s="3" t="s">
        <v>2119</v>
      </c>
      <c r="F2001" s="3">
        <v>0.40899999999999997</v>
      </c>
    </row>
    <row r="2002" spans="1:6" x14ac:dyDescent="0.25">
      <c r="A2002" s="2">
        <v>70155</v>
      </c>
      <c r="B2002" s="3">
        <v>85</v>
      </c>
      <c r="C2002" s="3">
        <v>70</v>
      </c>
      <c r="D2002" s="3">
        <v>1.7929999999999999</v>
      </c>
      <c r="E2002" s="3" t="s">
        <v>2120</v>
      </c>
      <c r="F2002" s="3">
        <v>1.7929999999999999</v>
      </c>
    </row>
    <row r="2003" spans="1:6" x14ac:dyDescent="0.25">
      <c r="A2003" s="2">
        <v>70156</v>
      </c>
      <c r="B2003" s="3">
        <v>86</v>
      </c>
      <c r="C2003" s="3">
        <v>70</v>
      </c>
      <c r="D2003" s="3">
        <v>26.1</v>
      </c>
      <c r="E2003" s="3" t="s">
        <v>2121</v>
      </c>
      <c r="F2003" s="3">
        <v>26.1</v>
      </c>
    </row>
    <row r="2004" spans="1:6" x14ac:dyDescent="0.25">
      <c r="A2004" s="2">
        <v>70157</v>
      </c>
      <c r="B2004" s="3">
        <v>87</v>
      </c>
      <c r="C2004" s="3">
        <v>70</v>
      </c>
      <c r="D2004" s="3">
        <v>38.6</v>
      </c>
      <c r="E2004" s="3" t="s">
        <v>2122</v>
      </c>
      <c r="F2004" s="3">
        <v>38.6</v>
      </c>
    </row>
    <row r="2005" spans="1:6" x14ac:dyDescent="0.25">
      <c r="A2005" s="2">
        <v>70158</v>
      </c>
      <c r="B2005" s="3">
        <v>88</v>
      </c>
      <c r="C2005" s="3">
        <v>70</v>
      </c>
      <c r="D2005" s="3">
        <v>89.4</v>
      </c>
      <c r="E2005" s="3" t="s">
        <v>2123</v>
      </c>
      <c r="F2005" s="3">
        <v>89.4</v>
      </c>
    </row>
    <row r="2006" spans="1:6" x14ac:dyDescent="0.25">
      <c r="A2006" s="2">
        <v>70159</v>
      </c>
      <c r="B2006" s="3">
        <v>89</v>
      </c>
      <c r="C2006" s="3">
        <v>70</v>
      </c>
      <c r="D2006" s="3">
        <v>100.19999999999899</v>
      </c>
      <c r="E2006" s="3" t="s">
        <v>2124</v>
      </c>
      <c r="F2006" s="3">
        <v>100.19999999999899</v>
      </c>
    </row>
    <row r="2007" spans="1:6" x14ac:dyDescent="0.25">
      <c r="A2007" s="2">
        <v>70160</v>
      </c>
      <c r="B2007" s="3">
        <v>90</v>
      </c>
      <c r="C2007" s="3">
        <v>70</v>
      </c>
      <c r="D2007" s="3">
        <v>288</v>
      </c>
      <c r="E2007" s="3" t="s">
        <v>2125</v>
      </c>
      <c r="F2007" s="3">
        <v>288</v>
      </c>
    </row>
    <row r="2008" spans="1:6" x14ac:dyDescent="0.25">
      <c r="A2008" s="2">
        <v>70161</v>
      </c>
      <c r="B2008" s="3">
        <v>91</v>
      </c>
      <c r="C2008" s="3">
        <v>70</v>
      </c>
      <c r="D2008" s="3">
        <v>252</v>
      </c>
      <c r="E2008" s="3" t="s">
        <v>2126</v>
      </c>
      <c r="F2008" s="3">
        <v>252</v>
      </c>
    </row>
    <row r="2009" spans="1:6" x14ac:dyDescent="0.25">
      <c r="A2009" s="2">
        <v>70162</v>
      </c>
      <c r="B2009" s="3">
        <v>92</v>
      </c>
      <c r="C2009" s="3">
        <v>70</v>
      </c>
      <c r="D2009" s="3">
        <v>1132.2</v>
      </c>
      <c r="E2009" s="3" t="s">
        <v>2127</v>
      </c>
      <c r="F2009" s="3">
        <v>1132.2</v>
      </c>
    </row>
    <row r="2010" spans="1:6" x14ac:dyDescent="0.25">
      <c r="A2010" s="2">
        <v>70163</v>
      </c>
      <c r="B2010" s="3">
        <v>93</v>
      </c>
      <c r="C2010" s="3">
        <v>70</v>
      </c>
      <c r="D2010" s="3">
        <v>663</v>
      </c>
      <c r="E2010" s="3" t="s">
        <v>2128</v>
      </c>
      <c r="F2010" s="3">
        <v>663</v>
      </c>
    </row>
    <row r="2011" spans="1:6" x14ac:dyDescent="0.25">
      <c r="A2011" s="2">
        <v>70164</v>
      </c>
      <c r="B2011" s="3">
        <v>94</v>
      </c>
      <c r="C2011" s="3">
        <v>70</v>
      </c>
      <c r="D2011" s="3">
        <v>4548</v>
      </c>
      <c r="E2011" s="3" t="s">
        <v>2129</v>
      </c>
      <c r="F2011" s="3">
        <v>4548</v>
      </c>
    </row>
    <row r="2012" spans="1:6" x14ac:dyDescent="0.25">
      <c r="A2012" s="2">
        <v>70165</v>
      </c>
      <c r="B2012" s="3">
        <v>95</v>
      </c>
      <c r="C2012" s="3">
        <v>70</v>
      </c>
      <c r="D2012" s="3">
        <v>594</v>
      </c>
      <c r="E2012" s="3" t="s">
        <v>2130</v>
      </c>
      <c r="F2012" s="3">
        <v>594</v>
      </c>
    </row>
    <row r="2013" spans="1:6" x14ac:dyDescent="0.25">
      <c r="A2013" s="2">
        <v>70166</v>
      </c>
      <c r="B2013" s="3">
        <v>96</v>
      </c>
      <c r="C2013" s="3">
        <v>70</v>
      </c>
      <c r="D2013" s="3">
        <v>204120</v>
      </c>
      <c r="E2013" s="3" t="s">
        <v>2131</v>
      </c>
      <c r="F2013" s="3">
        <v>204120</v>
      </c>
    </row>
    <row r="2014" spans="1:6" x14ac:dyDescent="0.25">
      <c r="A2014" s="2">
        <v>70167</v>
      </c>
      <c r="B2014" s="3">
        <v>97</v>
      </c>
      <c r="C2014" s="3">
        <v>70</v>
      </c>
      <c r="D2014" s="3">
        <v>1050</v>
      </c>
      <c r="E2014" s="3" t="s">
        <v>2132</v>
      </c>
      <c r="F2014" s="3">
        <v>1050</v>
      </c>
    </row>
    <row r="2015" spans="1:6" x14ac:dyDescent="0.25">
      <c r="A2015" s="2">
        <v>70168</v>
      </c>
      <c r="B2015" s="3">
        <v>98</v>
      </c>
      <c r="C2015" s="3">
        <v>70</v>
      </c>
      <c r="D2015" s="3" t="s">
        <v>4</v>
      </c>
      <c r="E2015" s="3" t="s">
        <v>2133</v>
      </c>
      <c r="F2015" s="3" t="s">
        <v>4</v>
      </c>
    </row>
    <row r="2016" spans="1:6" x14ac:dyDescent="0.25">
      <c r="A2016" s="2">
        <v>70169</v>
      </c>
      <c r="B2016" s="3">
        <v>99</v>
      </c>
      <c r="C2016" s="3">
        <v>70</v>
      </c>
      <c r="D2016" s="3">
        <v>2766355.2</v>
      </c>
      <c r="E2016" s="3" t="s">
        <v>2134</v>
      </c>
      <c r="F2016" s="3">
        <v>2766355.2</v>
      </c>
    </row>
    <row r="2017" spans="1:6" x14ac:dyDescent="0.25">
      <c r="A2017" s="2">
        <v>70170</v>
      </c>
      <c r="B2017" s="3">
        <v>100</v>
      </c>
      <c r="C2017" s="3">
        <v>70</v>
      </c>
      <c r="D2017" s="3" t="s">
        <v>4</v>
      </c>
      <c r="E2017" s="3" t="s">
        <v>2135</v>
      </c>
      <c r="F2017" s="3" t="s">
        <v>4</v>
      </c>
    </row>
    <row r="2018" spans="1:6" x14ac:dyDescent="0.25">
      <c r="A2018" s="2">
        <v>70171</v>
      </c>
      <c r="B2018" s="3">
        <v>101</v>
      </c>
      <c r="C2018" s="3">
        <v>70</v>
      </c>
      <c r="D2018" s="3" t="s">
        <v>4</v>
      </c>
      <c r="E2018" s="3" t="s">
        <v>2136</v>
      </c>
      <c r="F2018" s="3" t="s">
        <v>4</v>
      </c>
    </row>
    <row r="2019" spans="1:6" x14ac:dyDescent="0.25">
      <c r="A2019" s="2">
        <v>70172</v>
      </c>
      <c r="B2019" s="3">
        <v>102</v>
      </c>
      <c r="C2019" s="3">
        <v>70</v>
      </c>
      <c r="D2019" s="3" t="s">
        <v>4</v>
      </c>
      <c r="E2019" s="3" t="s">
        <v>2137</v>
      </c>
      <c r="F2019" s="3" t="s">
        <v>4</v>
      </c>
    </row>
    <row r="2020" spans="1:6" x14ac:dyDescent="0.25">
      <c r="A2020" s="2">
        <v>70173</v>
      </c>
      <c r="B2020" s="3">
        <v>103</v>
      </c>
      <c r="C2020" s="3">
        <v>70</v>
      </c>
      <c r="D2020" s="3" t="s">
        <v>4</v>
      </c>
      <c r="E2020" s="3" t="s">
        <v>2138</v>
      </c>
      <c r="F2020" s="3" t="s">
        <v>4</v>
      </c>
    </row>
    <row r="2021" spans="1:6" x14ac:dyDescent="0.25">
      <c r="A2021" s="2">
        <v>70174</v>
      </c>
      <c r="B2021" s="3">
        <v>104</v>
      </c>
      <c r="C2021" s="3">
        <v>70</v>
      </c>
      <c r="D2021" s="3" t="s">
        <v>4</v>
      </c>
      <c r="E2021" s="3" t="s">
        <v>2139</v>
      </c>
      <c r="F2021" s="3" t="s">
        <v>4</v>
      </c>
    </row>
    <row r="2022" spans="1:6" x14ac:dyDescent="0.25">
      <c r="A2022" s="2">
        <v>70175</v>
      </c>
      <c r="B2022" s="3">
        <v>105</v>
      </c>
      <c r="C2022" s="3">
        <v>70</v>
      </c>
      <c r="D2022" s="3">
        <v>361583.99999999901</v>
      </c>
      <c r="E2022" s="3" t="s">
        <v>2140</v>
      </c>
      <c r="F2022" s="3">
        <v>361583.99999999901</v>
      </c>
    </row>
    <row r="2023" spans="1:6" x14ac:dyDescent="0.25">
      <c r="A2023" s="2">
        <v>70176</v>
      </c>
      <c r="B2023" s="3">
        <v>106</v>
      </c>
      <c r="C2023" s="3">
        <v>70</v>
      </c>
      <c r="D2023" s="3" t="s">
        <v>4</v>
      </c>
      <c r="E2023" s="3" t="s">
        <v>2141</v>
      </c>
      <c r="F2023" s="3" t="s">
        <v>4</v>
      </c>
    </row>
    <row r="2024" spans="1:6" x14ac:dyDescent="0.25">
      <c r="A2024" s="2">
        <v>70177</v>
      </c>
      <c r="B2024" s="3">
        <v>107</v>
      </c>
      <c r="C2024" s="3">
        <v>70</v>
      </c>
      <c r="D2024" s="3">
        <v>6879.6</v>
      </c>
      <c r="E2024" s="3" t="s">
        <v>2142</v>
      </c>
      <c r="F2024" s="3">
        <v>6879.6</v>
      </c>
    </row>
    <row r="2025" spans="1:6" x14ac:dyDescent="0.25">
      <c r="A2025" s="2">
        <v>70178</v>
      </c>
      <c r="B2025" s="3">
        <v>108</v>
      </c>
      <c r="C2025" s="3">
        <v>70</v>
      </c>
      <c r="D2025" s="3">
        <v>4440</v>
      </c>
      <c r="E2025" s="3" t="s">
        <v>2143</v>
      </c>
      <c r="F2025" s="3">
        <v>4440</v>
      </c>
    </row>
    <row r="2026" spans="1:6" x14ac:dyDescent="0.25">
      <c r="A2026" s="2">
        <v>70179</v>
      </c>
      <c r="B2026" s="3">
        <v>109</v>
      </c>
      <c r="C2026" s="3">
        <v>70</v>
      </c>
      <c r="D2026" s="3">
        <v>480</v>
      </c>
      <c r="E2026" s="3" t="s">
        <v>2144</v>
      </c>
      <c r="F2026" s="3">
        <v>480</v>
      </c>
    </row>
    <row r="2027" spans="1:6" x14ac:dyDescent="0.25">
      <c r="A2027" s="2">
        <v>70180</v>
      </c>
      <c r="B2027" s="3">
        <v>110</v>
      </c>
      <c r="C2027" s="3">
        <v>70</v>
      </c>
      <c r="D2027" s="3">
        <v>144</v>
      </c>
      <c r="E2027" s="3" t="s">
        <v>2145</v>
      </c>
      <c r="F2027" s="3">
        <v>144</v>
      </c>
    </row>
    <row r="2028" spans="1:6" x14ac:dyDescent="0.25">
      <c r="A2028" s="2">
        <v>70181</v>
      </c>
      <c r="B2028" s="3">
        <v>111</v>
      </c>
      <c r="C2028" s="3">
        <v>70</v>
      </c>
      <c r="D2028" s="3">
        <v>1.6E-7</v>
      </c>
      <c r="E2028" s="3" t="s">
        <v>2146</v>
      </c>
      <c r="F2028" s="3">
        <v>1.6E-7</v>
      </c>
    </row>
    <row r="2029" spans="1:6" x14ac:dyDescent="0.25">
      <c r="A2029" s="2">
        <v>70182</v>
      </c>
      <c r="B2029" s="3">
        <v>112</v>
      </c>
      <c r="C2029" s="3">
        <v>70</v>
      </c>
      <c r="D2029" s="3">
        <v>1.6E-7</v>
      </c>
      <c r="E2029" s="3" t="s">
        <v>2147</v>
      </c>
      <c r="F2029" s="3">
        <v>1.6E-7</v>
      </c>
    </row>
    <row r="2030" spans="1:6" x14ac:dyDescent="0.25">
      <c r="A2030" s="2">
        <v>70183</v>
      </c>
      <c r="B2030" s="3">
        <v>113</v>
      </c>
      <c r="C2030" s="3">
        <v>70</v>
      </c>
      <c r="D2030" s="3">
        <v>2.22E-7</v>
      </c>
      <c r="E2030" s="3" t="s">
        <v>2148</v>
      </c>
      <c r="F2030" s="3">
        <v>2.22E-7</v>
      </c>
    </row>
    <row r="2031" spans="1:6" x14ac:dyDescent="0.25">
      <c r="A2031" s="2">
        <v>70184</v>
      </c>
      <c r="B2031" s="3">
        <v>114</v>
      </c>
      <c r="C2031" s="3">
        <v>70</v>
      </c>
      <c r="D2031" s="3">
        <v>1.6E-7</v>
      </c>
      <c r="E2031" s="3" t="s">
        <v>2149</v>
      </c>
      <c r="F2031" s="3">
        <v>1.6E-7</v>
      </c>
    </row>
    <row r="2032" spans="1:6" x14ac:dyDescent="0.25">
      <c r="A2032" s="2">
        <v>70185</v>
      </c>
      <c r="B2032" s="3">
        <v>115</v>
      </c>
      <c r="C2032" s="3">
        <v>70</v>
      </c>
      <c r="D2032" s="3">
        <v>1.6E-7</v>
      </c>
      <c r="E2032" s="3" t="s">
        <v>2150</v>
      </c>
      <c r="F2032" s="3">
        <v>1.6E-7</v>
      </c>
    </row>
    <row r="2033" spans="1:6" x14ac:dyDescent="0.25">
      <c r="A2033" s="2">
        <v>71150</v>
      </c>
      <c r="B2033" s="3">
        <v>79</v>
      </c>
      <c r="C2033" s="3">
        <v>71</v>
      </c>
      <c r="D2033" s="3">
        <v>4.4999999999999998E-2</v>
      </c>
      <c r="E2033" s="3" t="s">
        <v>2151</v>
      </c>
      <c r="F2033" s="3">
        <v>4.4999999999999998E-2</v>
      </c>
    </row>
    <row r="2034" spans="1:6" x14ac:dyDescent="0.25">
      <c r="A2034" s="2">
        <v>71151</v>
      </c>
      <c r="B2034" s="3">
        <v>80</v>
      </c>
      <c r="C2034" s="3">
        <v>71</v>
      </c>
      <c r="D2034" s="3">
        <v>8.0599999999999894E-2</v>
      </c>
      <c r="E2034" s="3" t="s">
        <v>2152</v>
      </c>
      <c r="F2034" s="3">
        <v>8.0599999999999894E-2</v>
      </c>
    </row>
    <row r="2035" spans="1:6" x14ac:dyDescent="0.25">
      <c r="A2035" s="2">
        <v>71152</v>
      </c>
      <c r="B2035" s="3">
        <v>81</v>
      </c>
      <c r="C2035" s="3">
        <v>71</v>
      </c>
      <c r="D2035" s="3">
        <v>0.7</v>
      </c>
      <c r="E2035" s="3" t="s">
        <v>2153</v>
      </c>
      <c r="F2035" s="3">
        <v>0.7</v>
      </c>
    </row>
    <row r="2036" spans="1:6" x14ac:dyDescent="0.25">
      <c r="A2036" s="2">
        <v>71153</v>
      </c>
      <c r="B2036" s="3">
        <v>82</v>
      </c>
      <c r="C2036" s="3">
        <v>71</v>
      </c>
      <c r="D2036" s="3">
        <v>0.9</v>
      </c>
      <c r="E2036" s="3" t="s">
        <v>2154</v>
      </c>
      <c r="F2036" s="3">
        <v>0.9</v>
      </c>
    </row>
    <row r="2037" spans="1:6" x14ac:dyDescent="0.25">
      <c r="A2037" s="2">
        <v>71154</v>
      </c>
      <c r="B2037" s="3">
        <v>83</v>
      </c>
      <c r="C2037" s="3">
        <v>71</v>
      </c>
      <c r="D2037" s="3">
        <v>1.1200000000000001</v>
      </c>
      <c r="E2037" s="3" t="s">
        <v>2155</v>
      </c>
      <c r="F2037" s="3">
        <v>1.1200000000000001</v>
      </c>
    </row>
    <row r="2038" spans="1:6" x14ac:dyDescent="0.25">
      <c r="A2038" s="2">
        <v>71155</v>
      </c>
      <c r="B2038" s="3">
        <v>84</v>
      </c>
      <c r="C2038" s="3">
        <v>71</v>
      </c>
      <c r="D2038" s="3">
        <v>6.8000000000000005E-2</v>
      </c>
      <c r="E2038" s="3" t="s">
        <v>2156</v>
      </c>
      <c r="F2038" s="3">
        <v>6.8000000000000005E-2</v>
      </c>
    </row>
    <row r="2039" spans="1:6" x14ac:dyDescent="0.25">
      <c r="A2039" s="2">
        <v>71156</v>
      </c>
      <c r="B2039" s="3">
        <v>85</v>
      </c>
      <c r="C2039" s="3">
        <v>71</v>
      </c>
      <c r="D2039" s="3">
        <v>0.49399999999999999</v>
      </c>
      <c r="E2039" s="3" t="s">
        <v>2157</v>
      </c>
      <c r="F2039" s="3">
        <v>0.49399999999999999</v>
      </c>
    </row>
    <row r="2040" spans="1:6" x14ac:dyDescent="0.25">
      <c r="A2040" s="2">
        <v>71157</v>
      </c>
      <c r="B2040" s="3">
        <v>86</v>
      </c>
      <c r="C2040" s="3">
        <v>71</v>
      </c>
      <c r="D2040" s="3">
        <v>6.8</v>
      </c>
      <c r="E2040" s="3" t="s">
        <v>2158</v>
      </c>
      <c r="F2040" s="3">
        <v>6.8</v>
      </c>
    </row>
    <row r="2041" spans="1:6" x14ac:dyDescent="0.25">
      <c r="A2041" s="2">
        <v>71158</v>
      </c>
      <c r="B2041" s="3">
        <v>87</v>
      </c>
      <c r="C2041" s="3">
        <v>71</v>
      </c>
      <c r="D2041" s="3">
        <v>10.6</v>
      </c>
      <c r="E2041" s="3" t="s">
        <v>2159</v>
      </c>
      <c r="F2041" s="3">
        <v>10.6</v>
      </c>
    </row>
    <row r="2042" spans="1:6" x14ac:dyDescent="0.25">
      <c r="A2042" s="2">
        <v>71159</v>
      </c>
      <c r="B2042" s="3">
        <v>88</v>
      </c>
      <c r="C2042" s="3">
        <v>71</v>
      </c>
      <c r="D2042" s="3">
        <v>12.1</v>
      </c>
      <c r="E2042" s="3" t="s">
        <v>2160</v>
      </c>
      <c r="F2042" s="3">
        <v>12.1</v>
      </c>
    </row>
    <row r="2043" spans="1:6" x14ac:dyDescent="0.25">
      <c r="A2043" s="2">
        <v>71160</v>
      </c>
      <c r="B2043" s="3">
        <v>89</v>
      </c>
      <c r="C2043" s="3">
        <v>71</v>
      </c>
      <c r="D2043" s="3">
        <v>36.1</v>
      </c>
      <c r="E2043" s="3" t="s">
        <v>2161</v>
      </c>
      <c r="F2043" s="3">
        <v>36.1</v>
      </c>
    </row>
    <row r="2044" spans="1:6" x14ac:dyDescent="0.25">
      <c r="A2044" s="2">
        <v>71161</v>
      </c>
      <c r="B2044" s="3">
        <v>90</v>
      </c>
      <c r="C2044" s="3">
        <v>71</v>
      </c>
      <c r="D2044" s="3">
        <v>77</v>
      </c>
      <c r="E2044" s="3" t="s">
        <v>2162</v>
      </c>
      <c r="F2044" s="3">
        <v>77</v>
      </c>
    </row>
    <row r="2045" spans="1:6" x14ac:dyDescent="0.25">
      <c r="A2045" s="2">
        <v>71162</v>
      </c>
      <c r="B2045" s="3">
        <v>91</v>
      </c>
      <c r="C2045" s="3">
        <v>71</v>
      </c>
      <c r="D2045" s="3">
        <v>82.2</v>
      </c>
      <c r="E2045" s="3" t="s">
        <v>2163</v>
      </c>
      <c r="F2045" s="3">
        <v>82.2</v>
      </c>
    </row>
    <row r="2046" spans="1:6" x14ac:dyDescent="0.25">
      <c r="A2046" s="2">
        <v>71163</v>
      </c>
      <c r="B2046" s="3">
        <v>92</v>
      </c>
      <c r="C2046" s="3">
        <v>71</v>
      </c>
      <c r="D2046" s="3">
        <v>238.2</v>
      </c>
      <c r="E2046" s="3" t="s">
        <v>2164</v>
      </c>
      <c r="F2046" s="3">
        <v>238.2</v>
      </c>
    </row>
    <row r="2047" spans="1:6" x14ac:dyDescent="0.25">
      <c r="A2047" s="2">
        <v>71164</v>
      </c>
      <c r="B2047" s="3">
        <v>93</v>
      </c>
      <c r="C2047" s="3">
        <v>71</v>
      </c>
      <c r="D2047" s="3">
        <v>188.4</v>
      </c>
      <c r="E2047" s="3" t="s">
        <v>2165</v>
      </c>
      <c r="F2047" s="3">
        <v>188.4</v>
      </c>
    </row>
    <row r="2048" spans="1:6" x14ac:dyDescent="0.25">
      <c r="A2048" s="2">
        <v>71165</v>
      </c>
      <c r="B2048" s="3">
        <v>94</v>
      </c>
      <c r="C2048" s="3">
        <v>71</v>
      </c>
      <c r="D2048" s="3">
        <v>644.4</v>
      </c>
      <c r="E2048" s="3" t="s">
        <v>2166</v>
      </c>
      <c r="F2048" s="3">
        <v>644.4</v>
      </c>
    </row>
    <row r="2049" spans="1:6" x14ac:dyDescent="0.25">
      <c r="A2049" s="2">
        <v>71166</v>
      </c>
      <c r="B2049" s="3">
        <v>95</v>
      </c>
      <c r="C2049" s="3">
        <v>71</v>
      </c>
      <c r="D2049" s="3">
        <v>159</v>
      </c>
      <c r="E2049" s="3" t="s">
        <v>2167</v>
      </c>
      <c r="F2049" s="3">
        <v>159</v>
      </c>
    </row>
    <row r="2050" spans="1:6" x14ac:dyDescent="0.25">
      <c r="A2050" s="2">
        <v>71167</v>
      </c>
      <c r="B2050" s="3">
        <v>96</v>
      </c>
      <c r="C2050" s="3">
        <v>71</v>
      </c>
      <c r="D2050" s="3">
        <v>3090</v>
      </c>
      <c r="E2050" s="3" t="s">
        <v>2168</v>
      </c>
      <c r="F2050" s="3">
        <v>3090</v>
      </c>
    </row>
    <row r="2051" spans="1:6" x14ac:dyDescent="0.25">
      <c r="A2051" s="2">
        <v>71168</v>
      </c>
      <c r="B2051" s="3">
        <v>97</v>
      </c>
      <c r="C2051" s="3">
        <v>71</v>
      </c>
      <c r="D2051" s="3">
        <v>330</v>
      </c>
      <c r="E2051" s="3" t="s">
        <v>2169</v>
      </c>
      <c r="F2051" s="3">
        <v>330</v>
      </c>
    </row>
    <row r="2052" spans="1:6" x14ac:dyDescent="0.25">
      <c r="A2052" s="2">
        <v>71169</v>
      </c>
      <c r="B2052" s="3">
        <v>98</v>
      </c>
      <c r="C2052" s="3">
        <v>71</v>
      </c>
      <c r="D2052" s="3">
        <v>122616</v>
      </c>
      <c r="E2052" s="3" t="s">
        <v>2170</v>
      </c>
      <c r="F2052" s="3">
        <v>122616</v>
      </c>
    </row>
    <row r="2053" spans="1:6" x14ac:dyDescent="0.25">
      <c r="A2053" s="2">
        <v>71170</v>
      </c>
      <c r="B2053" s="3">
        <v>99</v>
      </c>
      <c r="C2053" s="3">
        <v>71</v>
      </c>
      <c r="D2053" s="3">
        <v>173836.79999999999</v>
      </c>
      <c r="E2053" s="3" t="s">
        <v>2171</v>
      </c>
      <c r="F2053" s="3">
        <v>173836.79999999999</v>
      </c>
    </row>
    <row r="2054" spans="1:6" x14ac:dyDescent="0.25">
      <c r="A2054" s="2">
        <v>71171</v>
      </c>
      <c r="B2054" s="3">
        <v>100</v>
      </c>
      <c r="C2054" s="3">
        <v>71</v>
      </c>
      <c r="D2054" s="3">
        <v>711936</v>
      </c>
      <c r="E2054" s="3" t="s">
        <v>2172</v>
      </c>
      <c r="F2054" s="3">
        <v>711936</v>
      </c>
    </row>
    <row r="2055" spans="1:6" x14ac:dyDescent="0.25">
      <c r="A2055" s="2">
        <v>71172</v>
      </c>
      <c r="B2055" s="3">
        <v>101</v>
      </c>
      <c r="C2055" s="3">
        <v>71</v>
      </c>
      <c r="D2055" s="3">
        <v>578880</v>
      </c>
      <c r="E2055" s="3" t="s">
        <v>2173</v>
      </c>
      <c r="F2055" s="3">
        <v>578880</v>
      </c>
    </row>
    <row r="2056" spans="1:6" x14ac:dyDescent="0.25">
      <c r="A2056" s="2">
        <v>71173</v>
      </c>
      <c r="B2056" s="3">
        <v>102</v>
      </c>
      <c r="C2056" s="3">
        <v>71</v>
      </c>
      <c r="D2056" s="3">
        <v>43233912</v>
      </c>
      <c r="E2056" s="3" t="s">
        <v>2174</v>
      </c>
      <c r="F2056" s="3">
        <v>43233912</v>
      </c>
    </row>
    <row r="2057" spans="1:6" x14ac:dyDescent="0.25">
      <c r="A2057" s="2">
        <v>71174</v>
      </c>
      <c r="B2057" s="3">
        <v>103</v>
      </c>
      <c r="C2057" s="3">
        <v>71</v>
      </c>
      <c r="D2057" s="3">
        <v>104455656</v>
      </c>
      <c r="E2057" s="3" t="s">
        <v>2175</v>
      </c>
      <c r="F2057" s="3">
        <v>104455656</v>
      </c>
    </row>
    <row r="2058" spans="1:6" x14ac:dyDescent="0.25">
      <c r="A2058" s="2">
        <v>71175</v>
      </c>
      <c r="B2058" s="3">
        <v>104</v>
      </c>
      <c r="C2058" s="3">
        <v>71</v>
      </c>
      <c r="D2058" s="3" t="s">
        <v>4</v>
      </c>
      <c r="E2058" s="3" t="s">
        <v>2176</v>
      </c>
      <c r="F2058" s="3" t="s">
        <v>4</v>
      </c>
    </row>
    <row r="2059" spans="1:6" x14ac:dyDescent="0.25">
      <c r="A2059" s="2">
        <v>71176</v>
      </c>
      <c r="B2059" s="3">
        <v>105</v>
      </c>
      <c r="C2059" s="3">
        <v>71</v>
      </c>
      <c r="D2059" s="3">
        <v>1.18656576E+18</v>
      </c>
      <c r="E2059" s="3" t="s">
        <v>2177</v>
      </c>
      <c r="F2059" s="3">
        <v>1.18656576E+18</v>
      </c>
    </row>
    <row r="2060" spans="1:6" x14ac:dyDescent="0.25">
      <c r="A2060" s="2">
        <v>71177</v>
      </c>
      <c r="B2060" s="3">
        <v>106</v>
      </c>
      <c r="C2060" s="3">
        <v>71</v>
      </c>
      <c r="D2060" s="3">
        <v>574300.80000000005</v>
      </c>
      <c r="E2060" s="3" t="s">
        <v>2178</v>
      </c>
      <c r="F2060" s="3">
        <v>574300.80000000005</v>
      </c>
    </row>
    <row r="2061" spans="1:6" x14ac:dyDescent="0.25">
      <c r="A2061" s="2">
        <v>71178</v>
      </c>
      <c r="B2061" s="3">
        <v>107</v>
      </c>
      <c r="C2061" s="3">
        <v>71</v>
      </c>
      <c r="D2061" s="3">
        <v>1704</v>
      </c>
      <c r="E2061" s="3" t="s">
        <v>2179</v>
      </c>
      <c r="F2061" s="3">
        <v>1704</v>
      </c>
    </row>
    <row r="2062" spans="1:6" x14ac:dyDescent="0.25">
      <c r="A2062" s="2">
        <v>71179</v>
      </c>
      <c r="B2062" s="3">
        <v>108</v>
      </c>
      <c r="C2062" s="3">
        <v>71</v>
      </c>
      <c r="D2062" s="3">
        <v>16524</v>
      </c>
      <c r="E2062" s="3" t="s">
        <v>2180</v>
      </c>
      <c r="F2062" s="3">
        <v>16524</v>
      </c>
    </row>
    <row r="2063" spans="1:6" x14ac:dyDescent="0.25">
      <c r="A2063" s="2">
        <v>71180</v>
      </c>
      <c r="B2063" s="3">
        <v>109</v>
      </c>
      <c r="C2063" s="3">
        <v>71</v>
      </c>
      <c r="D2063" s="3">
        <v>342</v>
      </c>
      <c r="E2063" s="3" t="s">
        <v>2181</v>
      </c>
      <c r="F2063" s="3">
        <v>342</v>
      </c>
    </row>
    <row r="2064" spans="1:6" x14ac:dyDescent="0.25">
      <c r="A2064" s="2">
        <v>71181</v>
      </c>
      <c r="B2064" s="3">
        <v>110</v>
      </c>
      <c r="C2064" s="3">
        <v>71</v>
      </c>
      <c r="D2064" s="3">
        <v>210</v>
      </c>
      <c r="E2064" s="3" t="s">
        <v>2182</v>
      </c>
      <c r="F2064" s="3">
        <v>210</v>
      </c>
    </row>
    <row r="2065" spans="1:6" x14ac:dyDescent="0.25">
      <c r="A2065" s="2">
        <v>71182</v>
      </c>
      <c r="B2065" s="3">
        <v>111</v>
      </c>
      <c r="C2065" s="3">
        <v>71</v>
      </c>
      <c r="D2065" s="3">
        <v>120</v>
      </c>
      <c r="E2065" s="3" t="s">
        <v>2183</v>
      </c>
      <c r="F2065" s="3">
        <v>120</v>
      </c>
    </row>
    <row r="2066" spans="1:6" x14ac:dyDescent="0.25">
      <c r="A2066" s="2">
        <v>71183</v>
      </c>
      <c r="B2066" s="3">
        <v>112</v>
      </c>
      <c r="C2066" s="3">
        <v>71</v>
      </c>
      <c r="D2066" s="3">
        <v>58</v>
      </c>
      <c r="E2066" s="3" t="s">
        <v>2184</v>
      </c>
      <c r="F2066" s="3">
        <v>58</v>
      </c>
    </row>
    <row r="2067" spans="1:6" x14ac:dyDescent="0.25">
      <c r="A2067" s="2">
        <v>71184</v>
      </c>
      <c r="B2067" s="3">
        <v>113</v>
      </c>
      <c r="C2067" s="3">
        <v>71</v>
      </c>
      <c r="D2067" s="3">
        <v>19</v>
      </c>
      <c r="E2067" s="3" t="s">
        <v>2185</v>
      </c>
      <c r="F2067" s="3">
        <v>19</v>
      </c>
    </row>
    <row r="2068" spans="1:6" x14ac:dyDescent="0.25">
      <c r="A2068" s="2">
        <v>71185</v>
      </c>
      <c r="B2068" s="3">
        <v>114</v>
      </c>
      <c r="C2068" s="3">
        <v>71</v>
      </c>
      <c r="D2068" s="3">
        <v>1.6E-7</v>
      </c>
      <c r="E2068" s="3" t="s">
        <v>2186</v>
      </c>
      <c r="F2068" s="3">
        <v>1.6E-7</v>
      </c>
    </row>
    <row r="2069" spans="1:6" x14ac:dyDescent="0.25">
      <c r="A2069" s="2">
        <v>71186</v>
      </c>
      <c r="B2069" s="3">
        <v>115</v>
      </c>
      <c r="C2069" s="3">
        <v>71</v>
      </c>
      <c r="D2069" s="3">
        <v>1.6E-7</v>
      </c>
      <c r="E2069" s="3" t="s">
        <v>2187</v>
      </c>
      <c r="F2069" s="3">
        <v>1.6E-7</v>
      </c>
    </row>
    <row r="2070" spans="1:6" x14ac:dyDescent="0.25">
      <c r="A2070" s="2">
        <v>71187</v>
      </c>
      <c r="B2070" s="3">
        <v>116</v>
      </c>
      <c r="C2070" s="3">
        <v>71</v>
      </c>
      <c r="D2070" s="3">
        <v>1.6E-7</v>
      </c>
      <c r="E2070" s="3" t="s">
        <v>2188</v>
      </c>
      <c r="F2070" s="3">
        <v>1.6E-7</v>
      </c>
    </row>
    <row r="2071" spans="1:6" x14ac:dyDescent="0.25">
      <c r="A2071" s="2">
        <v>71188</v>
      </c>
      <c r="B2071" s="3">
        <v>117</v>
      </c>
      <c r="C2071" s="3">
        <v>71</v>
      </c>
      <c r="D2071" s="3">
        <v>1.6E-7</v>
      </c>
      <c r="E2071" s="3" t="s">
        <v>2189</v>
      </c>
      <c r="F2071" s="3">
        <v>1.6E-7</v>
      </c>
    </row>
    <row r="2072" spans="1:6" x14ac:dyDescent="0.25">
      <c r="A2072" s="2">
        <v>72153</v>
      </c>
      <c r="B2072" s="3">
        <v>81</v>
      </c>
      <c r="C2072" s="3">
        <v>72</v>
      </c>
      <c r="D2072" s="3">
        <v>5.9999999999999995E-8</v>
      </c>
      <c r="E2072" s="3" t="s">
        <v>2190</v>
      </c>
      <c r="F2072" s="3">
        <v>5.9999999999999995E-8</v>
      </c>
    </row>
    <row r="2073" spans="1:6" x14ac:dyDescent="0.25">
      <c r="A2073" s="2">
        <v>72154</v>
      </c>
      <c r="B2073" s="3">
        <v>82</v>
      </c>
      <c r="C2073" s="3">
        <v>72</v>
      </c>
      <c r="D2073" s="3">
        <v>2</v>
      </c>
      <c r="E2073" s="3" t="s">
        <v>2191</v>
      </c>
      <c r="F2073" s="3">
        <v>2</v>
      </c>
    </row>
    <row r="2074" spans="1:6" x14ac:dyDescent="0.25">
      <c r="A2074" s="2">
        <v>72155</v>
      </c>
      <c r="B2074" s="3">
        <v>83</v>
      </c>
      <c r="C2074" s="3">
        <v>72</v>
      </c>
      <c r="D2074" s="3">
        <v>0.84</v>
      </c>
      <c r="E2074" s="3" t="s">
        <v>2192</v>
      </c>
      <c r="F2074" s="3">
        <v>0.84</v>
      </c>
    </row>
    <row r="2075" spans="1:6" x14ac:dyDescent="0.25">
      <c r="A2075" s="2">
        <v>72156</v>
      </c>
      <c r="B2075" s="3">
        <v>84</v>
      </c>
      <c r="C2075" s="3">
        <v>72</v>
      </c>
      <c r="D2075" s="3">
        <v>2.3E-2</v>
      </c>
      <c r="E2075" s="3" t="s">
        <v>2193</v>
      </c>
      <c r="F2075" s="3">
        <v>2.3E-2</v>
      </c>
    </row>
    <row r="2076" spans="1:6" x14ac:dyDescent="0.25">
      <c r="A2076" s="2">
        <v>72157</v>
      </c>
      <c r="B2076" s="3">
        <v>85</v>
      </c>
      <c r="C2076" s="3">
        <v>72</v>
      </c>
      <c r="D2076" s="3">
        <v>0.115</v>
      </c>
      <c r="E2076" s="3" t="s">
        <v>2194</v>
      </c>
      <c r="F2076" s="3">
        <v>0.115</v>
      </c>
    </row>
    <row r="2077" spans="1:6" x14ac:dyDescent="0.25">
      <c r="A2077" s="2">
        <v>72158</v>
      </c>
      <c r="B2077" s="3">
        <v>86</v>
      </c>
      <c r="C2077" s="3">
        <v>72</v>
      </c>
      <c r="D2077" s="3">
        <v>2.85</v>
      </c>
      <c r="E2077" s="3" t="s">
        <v>2195</v>
      </c>
      <c r="F2077" s="3">
        <v>2.85</v>
      </c>
    </row>
    <row r="2078" spans="1:6" x14ac:dyDescent="0.25">
      <c r="A2078" s="2">
        <v>72159</v>
      </c>
      <c r="B2078" s="3">
        <v>87</v>
      </c>
      <c r="C2078" s="3">
        <v>72</v>
      </c>
      <c r="D2078" s="3">
        <v>5.6</v>
      </c>
      <c r="E2078" s="3" t="s">
        <v>2196</v>
      </c>
      <c r="F2078" s="3">
        <v>5.6</v>
      </c>
    </row>
    <row r="2079" spans="1:6" x14ac:dyDescent="0.25">
      <c r="A2079" s="2">
        <v>72160</v>
      </c>
      <c r="B2079" s="3">
        <v>88</v>
      </c>
      <c r="C2079" s="3">
        <v>72</v>
      </c>
      <c r="D2079" s="3">
        <v>13.6</v>
      </c>
      <c r="E2079" s="3" t="s">
        <v>2197</v>
      </c>
      <c r="F2079" s="3">
        <v>13.6</v>
      </c>
    </row>
    <row r="2080" spans="1:6" x14ac:dyDescent="0.25">
      <c r="A2080" s="2">
        <v>72161</v>
      </c>
      <c r="B2080" s="3">
        <v>89</v>
      </c>
      <c r="C2080" s="3">
        <v>72</v>
      </c>
      <c r="D2080" s="3">
        <v>18.399999999999999</v>
      </c>
      <c r="E2080" s="3" t="s">
        <v>2198</v>
      </c>
      <c r="F2080" s="3">
        <v>18.399999999999999</v>
      </c>
    </row>
    <row r="2081" spans="1:6" x14ac:dyDescent="0.25">
      <c r="A2081" s="2">
        <v>72162</v>
      </c>
      <c r="B2081" s="3">
        <v>90</v>
      </c>
      <c r="C2081" s="3">
        <v>72</v>
      </c>
      <c r="D2081" s="3">
        <v>39.4</v>
      </c>
      <c r="E2081" s="3" t="s">
        <v>2199</v>
      </c>
      <c r="F2081" s="3">
        <v>39.4</v>
      </c>
    </row>
    <row r="2082" spans="1:6" x14ac:dyDescent="0.25">
      <c r="A2082" s="2">
        <v>72163</v>
      </c>
      <c r="B2082" s="3">
        <v>91</v>
      </c>
      <c r="C2082" s="3">
        <v>72</v>
      </c>
      <c r="D2082" s="3">
        <v>40</v>
      </c>
      <c r="E2082" s="3" t="s">
        <v>2200</v>
      </c>
      <c r="F2082" s="3">
        <v>40</v>
      </c>
    </row>
    <row r="2083" spans="1:6" x14ac:dyDescent="0.25">
      <c r="A2083" s="2">
        <v>72164</v>
      </c>
      <c r="B2083" s="3">
        <v>92</v>
      </c>
      <c r="C2083" s="3">
        <v>72</v>
      </c>
      <c r="D2083" s="3">
        <v>111</v>
      </c>
      <c r="E2083" s="3" t="s">
        <v>2201</v>
      </c>
      <c r="F2083" s="3">
        <v>111</v>
      </c>
    </row>
    <row r="2084" spans="1:6" x14ac:dyDescent="0.25">
      <c r="A2084" s="2">
        <v>72165</v>
      </c>
      <c r="B2084" s="3">
        <v>93</v>
      </c>
      <c r="C2084" s="3">
        <v>72</v>
      </c>
      <c r="D2084" s="3">
        <v>76</v>
      </c>
      <c r="E2084" s="3" t="s">
        <v>2202</v>
      </c>
      <c r="F2084" s="3">
        <v>76</v>
      </c>
    </row>
    <row r="2085" spans="1:6" x14ac:dyDescent="0.25">
      <c r="A2085" s="2">
        <v>72166</v>
      </c>
      <c r="B2085" s="3">
        <v>94</v>
      </c>
      <c r="C2085" s="3">
        <v>72</v>
      </c>
      <c r="D2085" s="3">
        <v>406.2</v>
      </c>
      <c r="E2085" s="3" t="s">
        <v>2203</v>
      </c>
      <c r="F2085" s="3">
        <v>406.2</v>
      </c>
    </row>
    <row r="2086" spans="1:6" x14ac:dyDescent="0.25">
      <c r="A2086" s="2">
        <v>72167</v>
      </c>
      <c r="B2086" s="3">
        <v>95</v>
      </c>
      <c r="C2086" s="3">
        <v>72</v>
      </c>
      <c r="D2086" s="3">
        <v>122.99999999999901</v>
      </c>
      <c r="E2086" s="3" t="s">
        <v>2204</v>
      </c>
      <c r="F2086" s="3">
        <v>122.99999999999901</v>
      </c>
    </row>
    <row r="2087" spans="1:6" x14ac:dyDescent="0.25">
      <c r="A2087" s="2">
        <v>72168</v>
      </c>
      <c r="B2087" s="3">
        <v>96</v>
      </c>
      <c r="C2087" s="3">
        <v>72</v>
      </c>
      <c r="D2087" s="3">
        <v>1557</v>
      </c>
      <c r="E2087" s="3" t="s">
        <v>2205</v>
      </c>
      <c r="F2087" s="3">
        <v>1557</v>
      </c>
    </row>
    <row r="2088" spans="1:6" x14ac:dyDescent="0.25">
      <c r="A2088" s="2">
        <v>72169</v>
      </c>
      <c r="B2088" s="3">
        <v>97</v>
      </c>
      <c r="C2088" s="3">
        <v>72</v>
      </c>
      <c r="D2088" s="3">
        <v>194.4</v>
      </c>
      <c r="E2088" s="3" t="s">
        <v>2206</v>
      </c>
      <c r="F2088" s="3">
        <v>194.4</v>
      </c>
    </row>
    <row r="2089" spans="1:6" x14ac:dyDescent="0.25">
      <c r="A2089" s="2">
        <v>72170</v>
      </c>
      <c r="B2089" s="3">
        <v>98</v>
      </c>
      <c r="C2089" s="3">
        <v>72</v>
      </c>
      <c r="D2089" s="3">
        <v>57636</v>
      </c>
      <c r="E2089" s="3" t="s">
        <v>2207</v>
      </c>
      <c r="F2089" s="3">
        <v>57636</v>
      </c>
    </row>
    <row r="2090" spans="1:6" x14ac:dyDescent="0.25">
      <c r="A2090" s="2">
        <v>72171</v>
      </c>
      <c r="B2090" s="3">
        <v>99</v>
      </c>
      <c r="C2090" s="3">
        <v>72</v>
      </c>
      <c r="D2090" s="3">
        <v>43560</v>
      </c>
      <c r="E2090" s="3" t="s">
        <v>2208</v>
      </c>
      <c r="F2090" s="3">
        <v>43560</v>
      </c>
    </row>
    <row r="2091" spans="1:6" x14ac:dyDescent="0.25">
      <c r="A2091" s="2">
        <v>72172</v>
      </c>
      <c r="B2091" s="3">
        <v>100</v>
      </c>
      <c r="C2091" s="3">
        <v>72</v>
      </c>
      <c r="D2091" s="3">
        <v>59012712</v>
      </c>
      <c r="E2091" s="3" t="s">
        <v>2209</v>
      </c>
      <c r="F2091" s="3">
        <v>59012712</v>
      </c>
    </row>
    <row r="2092" spans="1:6" x14ac:dyDescent="0.25">
      <c r="A2092" s="2">
        <v>72173</v>
      </c>
      <c r="B2092" s="3">
        <v>101</v>
      </c>
      <c r="C2092" s="3">
        <v>72</v>
      </c>
      <c r="D2092" s="3">
        <v>84960</v>
      </c>
      <c r="E2092" s="3" t="s">
        <v>2210</v>
      </c>
      <c r="F2092" s="3">
        <v>84960</v>
      </c>
    </row>
    <row r="2093" spans="1:6" x14ac:dyDescent="0.25">
      <c r="A2093" s="2">
        <v>72174</v>
      </c>
      <c r="B2093" s="3">
        <v>102</v>
      </c>
      <c r="C2093" s="3">
        <v>72</v>
      </c>
      <c r="D2093" s="3">
        <v>6.3115200000000002E+22</v>
      </c>
      <c r="E2093" s="3" t="s">
        <v>2211</v>
      </c>
      <c r="F2093" s="3">
        <v>6.3115200000000002E+22</v>
      </c>
    </row>
    <row r="2094" spans="1:6" x14ac:dyDescent="0.25">
      <c r="A2094" s="2">
        <v>72175</v>
      </c>
      <c r="B2094" s="3">
        <v>103</v>
      </c>
      <c r="C2094" s="3">
        <v>72</v>
      </c>
      <c r="D2094" s="3">
        <v>6048000</v>
      </c>
      <c r="E2094" s="3" t="s">
        <v>2212</v>
      </c>
      <c r="F2094" s="3">
        <v>6048000</v>
      </c>
    </row>
    <row r="2095" spans="1:6" x14ac:dyDescent="0.25">
      <c r="A2095" s="2">
        <v>72176</v>
      </c>
      <c r="B2095" s="3">
        <v>104</v>
      </c>
      <c r="C2095" s="3">
        <v>72</v>
      </c>
      <c r="D2095" s="3" t="s">
        <v>4</v>
      </c>
      <c r="E2095" s="3" t="s">
        <v>2213</v>
      </c>
      <c r="F2095" s="3" t="s">
        <v>4</v>
      </c>
    </row>
    <row r="2096" spans="1:6" x14ac:dyDescent="0.25">
      <c r="A2096" s="2">
        <v>72177</v>
      </c>
      <c r="B2096" s="3">
        <v>105</v>
      </c>
      <c r="C2096" s="3">
        <v>72</v>
      </c>
      <c r="D2096" s="3" t="s">
        <v>4</v>
      </c>
      <c r="E2096" s="3" t="s">
        <v>2214</v>
      </c>
      <c r="F2096" s="3" t="s">
        <v>4</v>
      </c>
    </row>
    <row r="2097" spans="1:6" x14ac:dyDescent="0.25">
      <c r="A2097" s="2">
        <v>72178</v>
      </c>
      <c r="B2097" s="3">
        <v>106</v>
      </c>
      <c r="C2097" s="3">
        <v>72</v>
      </c>
      <c r="D2097" s="3" t="s">
        <v>4</v>
      </c>
      <c r="E2097" s="3" t="s">
        <v>2215</v>
      </c>
      <c r="F2097" s="3" t="s">
        <v>4</v>
      </c>
    </row>
    <row r="2098" spans="1:6" x14ac:dyDescent="0.25">
      <c r="A2098" s="2">
        <v>72179</v>
      </c>
      <c r="B2098" s="3">
        <v>107</v>
      </c>
      <c r="C2098" s="3">
        <v>72</v>
      </c>
      <c r="D2098" s="3" t="s">
        <v>4</v>
      </c>
      <c r="E2098" s="3" t="s">
        <v>2216</v>
      </c>
      <c r="F2098" s="3" t="s">
        <v>4</v>
      </c>
    </row>
    <row r="2099" spans="1:6" x14ac:dyDescent="0.25">
      <c r="A2099" s="2">
        <v>72180</v>
      </c>
      <c r="B2099" s="3">
        <v>108</v>
      </c>
      <c r="C2099" s="3">
        <v>72</v>
      </c>
      <c r="D2099" s="3" t="s">
        <v>4</v>
      </c>
      <c r="E2099" s="3" t="s">
        <v>2217</v>
      </c>
      <c r="F2099" s="3" t="s">
        <v>4</v>
      </c>
    </row>
    <row r="2100" spans="1:6" x14ac:dyDescent="0.25">
      <c r="A2100" s="2">
        <v>72181</v>
      </c>
      <c r="B2100" s="3">
        <v>109</v>
      </c>
      <c r="C2100" s="3">
        <v>72</v>
      </c>
      <c r="D2100" s="3">
        <v>3662496</v>
      </c>
      <c r="E2100" s="3" t="s">
        <v>2218</v>
      </c>
      <c r="F2100" s="3">
        <v>3662496</v>
      </c>
    </row>
    <row r="2101" spans="1:6" x14ac:dyDescent="0.25">
      <c r="A2101" s="2">
        <v>72182</v>
      </c>
      <c r="B2101" s="3">
        <v>110</v>
      </c>
      <c r="C2101" s="3">
        <v>72</v>
      </c>
      <c r="D2101" s="3">
        <v>280862640000000</v>
      </c>
      <c r="E2101" s="3" t="s">
        <v>2219</v>
      </c>
      <c r="F2101" s="3">
        <v>280862640000000</v>
      </c>
    </row>
    <row r="2102" spans="1:6" x14ac:dyDescent="0.25">
      <c r="A2102" s="2">
        <v>72183</v>
      </c>
      <c r="B2102" s="3">
        <v>111</v>
      </c>
      <c r="C2102" s="3">
        <v>72</v>
      </c>
      <c r="D2102" s="3">
        <v>3664.8</v>
      </c>
      <c r="E2102" s="3" t="s">
        <v>2220</v>
      </c>
      <c r="F2102" s="3">
        <v>3664.8</v>
      </c>
    </row>
    <row r="2103" spans="1:6" x14ac:dyDescent="0.25">
      <c r="A2103" s="2">
        <v>72184</v>
      </c>
      <c r="B2103" s="3">
        <v>112</v>
      </c>
      <c r="C2103" s="3">
        <v>72</v>
      </c>
      <c r="D2103" s="3">
        <v>14832</v>
      </c>
      <c r="E2103" s="3" t="s">
        <v>2221</v>
      </c>
      <c r="F2103" s="3">
        <v>14832</v>
      </c>
    </row>
    <row r="2104" spans="1:6" x14ac:dyDescent="0.25">
      <c r="A2104" s="2">
        <v>72185</v>
      </c>
      <c r="B2104" s="3">
        <v>113</v>
      </c>
      <c r="C2104" s="3">
        <v>72</v>
      </c>
      <c r="D2104" s="3">
        <v>210</v>
      </c>
      <c r="E2104" s="3" t="s">
        <v>2222</v>
      </c>
      <c r="F2104" s="3">
        <v>210</v>
      </c>
    </row>
    <row r="2105" spans="1:6" x14ac:dyDescent="0.25">
      <c r="A2105" s="2">
        <v>72186</v>
      </c>
      <c r="B2105" s="3">
        <v>114</v>
      </c>
      <c r="C2105" s="3">
        <v>72</v>
      </c>
      <c r="D2105" s="3">
        <v>156</v>
      </c>
      <c r="E2105" s="3" t="s">
        <v>2223</v>
      </c>
      <c r="F2105" s="3">
        <v>156</v>
      </c>
    </row>
    <row r="2106" spans="1:6" x14ac:dyDescent="0.25">
      <c r="A2106" s="2">
        <v>72187</v>
      </c>
      <c r="B2106" s="3">
        <v>115</v>
      </c>
      <c r="C2106" s="3">
        <v>72</v>
      </c>
      <c r="D2106" s="3">
        <v>2.7000000000000001E-7</v>
      </c>
      <c r="E2106" s="3" t="s">
        <v>2224</v>
      </c>
      <c r="F2106" s="3">
        <v>2.7000000000000001E-7</v>
      </c>
    </row>
    <row r="2107" spans="1:6" x14ac:dyDescent="0.25">
      <c r="A2107" s="2">
        <v>72190</v>
      </c>
      <c r="B2107" s="3">
        <v>118</v>
      </c>
      <c r="C2107" s="3">
        <v>72</v>
      </c>
      <c r="D2107" s="3">
        <v>1.6E-7</v>
      </c>
      <c r="E2107" s="3" t="s">
        <v>2225</v>
      </c>
      <c r="F2107" s="3">
        <v>1.6E-7</v>
      </c>
    </row>
    <row r="2108" spans="1:6" x14ac:dyDescent="0.25">
      <c r="A2108" s="2">
        <v>73155</v>
      </c>
      <c r="B2108" s="3">
        <v>82</v>
      </c>
      <c r="C2108" s="3">
        <v>73</v>
      </c>
      <c r="D2108" s="3">
        <v>2.8999999999999998E-3</v>
      </c>
      <c r="E2108" s="3" t="s">
        <v>2226</v>
      </c>
      <c r="F2108" s="3">
        <v>2.8999999999999998E-3</v>
      </c>
    </row>
    <row r="2109" spans="1:6" x14ac:dyDescent="0.25">
      <c r="A2109" s="2">
        <v>73156</v>
      </c>
      <c r="B2109" s="3">
        <v>83</v>
      </c>
      <c r="C2109" s="3">
        <v>73</v>
      </c>
      <c r="D2109" s="3">
        <v>0.14399999999999999</v>
      </c>
      <c r="E2109" s="3" t="s">
        <v>2227</v>
      </c>
      <c r="F2109" s="3">
        <v>0.14399999999999999</v>
      </c>
    </row>
    <row r="2110" spans="1:6" x14ac:dyDescent="0.25">
      <c r="A2110" s="2">
        <v>73157</v>
      </c>
      <c r="B2110" s="3">
        <v>84</v>
      </c>
      <c r="C2110" s="3">
        <v>73</v>
      </c>
      <c r="D2110" s="3">
        <v>1.01E-2</v>
      </c>
      <c r="E2110" s="3" t="s">
        <v>2228</v>
      </c>
      <c r="F2110" s="3">
        <v>1.01E-2</v>
      </c>
    </row>
    <row r="2111" spans="1:6" x14ac:dyDescent="0.25">
      <c r="A2111" s="2">
        <v>73158</v>
      </c>
      <c r="B2111" s="3">
        <v>85</v>
      </c>
      <c r="C2111" s="3">
        <v>73</v>
      </c>
      <c r="D2111" s="3">
        <v>5.5E-2</v>
      </c>
      <c r="E2111" s="3" t="s">
        <v>2229</v>
      </c>
      <c r="F2111" s="3">
        <v>5.5E-2</v>
      </c>
    </row>
    <row r="2112" spans="1:6" x14ac:dyDescent="0.25">
      <c r="A2112" s="2">
        <v>73159</v>
      </c>
      <c r="B2112" s="3">
        <v>86</v>
      </c>
      <c r="C2112" s="3">
        <v>73</v>
      </c>
      <c r="D2112" s="3">
        <v>0.83</v>
      </c>
      <c r="E2112" s="3" t="s">
        <v>2230</v>
      </c>
      <c r="F2112" s="3">
        <v>0.83</v>
      </c>
    </row>
    <row r="2113" spans="1:6" x14ac:dyDescent="0.25">
      <c r="A2113" s="2">
        <v>73160</v>
      </c>
      <c r="B2113" s="3">
        <v>87</v>
      </c>
      <c r="C2113" s="3">
        <v>73</v>
      </c>
      <c r="D2113" s="3">
        <v>1.55</v>
      </c>
      <c r="E2113" s="3" t="s">
        <v>2231</v>
      </c>
      <c r="F2113" s="3">
        <v>1.55</v>
      </c>
    </row>
    <row r="2114" spans="1:6" x14ac:dyDescent="0.25">
      <c r="A2114" s="2">
        <v>73162</v>
      </c>
      <c r="B2114" s="3">
        <v>89</v>
      </c>
      <c r="C2114" s="3">
        <v>73</v>
      </c>
      <c r="D2114" s="3">
        <v>3.57</v>
      </c>
      <c r="E2114" s="3" t="s">
        <v>2232</v>
      </c>
      <c r="F2114" s="3">
        <v>3.57</v>
      </c>
    </row>
    <row r="2115" spans="1:6" x14ac:dyDescent="0.25">
      <c r="A2115" s="2">
        <v>73163</v>
      </c>
      <c r="B2115" s="3">
        <v>90</v>
      </c>
      <c r="C2115" s="3">
        <v>73</v>
      </c>
      <c r="D2115" s="3">
        <v>10.6</v>
      </c>
      <c r="E2115" s="3" t="s">
        <v>2233</v>
      </c>
      <c r="F2115" s="3">
        <v>10.6</v>
      </c>
    </row>
    <row r="2116" spans="1:6" x14ac:dyDescent="0.25">
      <c r="A2116" s="2">
        <v>73164</v>
      </c>
      <c r="B2116" s="3">
        <v>91</v>
      </c>
      <c r="C2116" s="3">
        <v>73</v>
      </c>
      <c r="D2116" s="3">
        <v>14.2</v>
      </c>
      <c r="E2116" s="3" t="s">
        <v>2234</v>
      </c>
      <c r="F2116" s="3">
        <v>14.2</v>
      </c>
    </row>
    <row r="2117" spans="1:6" x14ac:dyDescent="0.25">
      <c r="A2117" s="2">
        <v>73165</v>
      </c>
      <c r="B2117" s="3">
        <v>92</v>
      </c>
      <c r="C2117" s="3">
        <v>73</v>
      </c>
      <c r="D2117" s="3">
        <v>31</v>
      </c>
      <c r="E2117" s="3" t="s">
        <v>2235</v>
      </c>
      <c r="F2117" s="3">
        <v>31</v>
      </c>
    </row>
    <row r="2118" spans="1:6" x14ac:dyDescent="0.25">
      <c r="A2118" s="2">
        <v>73166</v>
      </c>
      <c r="B2118" s="3">
        <v>93</v>
      </c>
      <c r="C2118" s="3">
        <v>73</v>
      </c>
      <c r="D2118" s="3">
        <v>34.4</v>
      </c>
      <c r="E2118" s="3" t="s">
        <v>2236</v>
      </c>
      <c r="F2118" s="3">
        <v>34.4</v>
      </c>
    </row>
    <row r="2119" spans="1:6" x14ac:dyDescent="0.25">
      <c r="A2119" s="2">
        <v>73167</v>
      </c>
      <c r="B2119" s="3">
        <v>94</v>
      </c>
      <c r="C2119" s="3">
        <v>73</v>
      </c>
      <c r="D2119" s="3">
        <v>80</v>
      </c>
      <c r="E2119" s="3" t="s">
        <v>2237</v>
      </c>
      <c r="F2119" s="3">
        <v>80</v>
      </c>
    </row>
    <row r="2120" spans="1:6" x14ac:dyDescent="0.25">
      <c r="A2120" s="2">
        <v>73168</v>
      </c>
      <c r="B2120" s="3">
        <v>95</v>
      </c>
      <c r="C2120" s="3">
        <v>73</v>
      </c>
      <c r="D2120" s="3">
        <v>120</v>
      </c>
      <c r="E2120" s="3" t="s">
        <v>2238</v>
      </c>
      <c r="F2120" s="3">
        <v>120</v>
      </c>
    </row>
    <row r="2121" spans="1:6" x14ac:dyDescent="0.25">
      <c r="A2121" s="2">
        <v>73169</v>
      </c>
      <c r="B2121" s="3">
        <v>96</v>
      </c>
      <c r="C2121" s="3">
        <v>73</v>
      </c>
      <c r="D2121" s="3">
        <v>294</v>
      </c>
      <c r="E2121" s="3" t="s">
        <v>2239</v>
      </c>
      <c r="F2121" s="3">
        <v>294</v>
      </c>
    </row>
    <row r="2122" spans="1:6" x14ac:dyDescent="0.25">
      <c r="A2122" s="2">
        <v>73170</v>
      </c>
      <c r="B2122" s="3">
        <v>97</v>
      </c>
      <c r="C2122" s="3">
        <v>73</v>
      </c>
      <c r="D2122" s="3">
        <v>405.599999999999</v>
      </c>
      <c r="E2122" s="3" t="s">
        <v>2240</v>
      </c>
      <c r="F2122" s="3">
        <v>405.599999999999</v>
      </c>
    </row>
    <row r="2123" spans="1:6" x14ac:dyDescent="0.25">
      <c r="A2123" s="2">
        <v>73171</v>
      </c>
      <c r="B2123" s="3">
        <v>98</v>
      </c>
      <c r="C2123" s="3">
        <v>73</v>
      </c>
      <c r="D2123" s="3">
        <v>1398</v>
      </c>
      <c r="E2123" s="3" t="s">
        <v>2241</v>
      </c>
      <c r="F2123" s="3">
        <v>1398</v>
      </c>
    </row>
    <row r="2124" spans="1:6" x14ac:dyDescent="0.25">
      <c r="A2124" s="2">
        <v>73172</v>
      </c>
      <c r="B2124" s="3">
        <v>99</v>
      </c>
      <c r="C2124" s="3">
        <v>73</v>
      </c>
      <c r="D2124" s="3">
        <v>2208</v>
      </c>
      <c r="E2124" s="3" t="s">
        <v>2242</v>
      </c>
      <c r="F2124" s="3">
        <v>2208</v>
      </c>
    </row>
    <row r="2125" spans="1:6" x14ac:dyDescent="0.25">
      <c r="A2125" s="2">
        <v>73173</v>
      </c>
      <c r="B2125" s="3">
        <v>100</v>
      </c>
      <c r="C2125" s="3">
        <v>73</v>
      </c>
      <c r="D2125" s="3">
        <v>11304</v>
      </c>
      <c r="E2125" s="3" t="s">
        <v>2243</v>
      </c>
      <c r="F2125" s="3">
        <v>11304</v>
      </c>
    </row>
    <row r="2126" spans="1:6" x14ac:dyDescent="0.25">
      <c r="A2126" s="2">
        <v>73174</v>
      </c>
      <c r="B2126" s="3">
        <v>101</v>
      </c>
      <c r="C2126" s="3">
        <v>73</v>
      </c>
      <c r="D2126" s="3">
        <v>4104</v>
      </c>
      <c r="E2126" s="3" t="s">
        <v>2244</v>
      </c>
      <c r="F2126" s="3">
        <v>4104</v>
      </c>
    </row>
    <row r="2127" spans="1:6" x14ac:dyDescent="0.25">
      <c r="A2127" s="2">
        <v>73175</v>
      </c>
      <c r="B2127" s="3">
        <v>102</v>
      </c>
      <c r="C2127" s="3">
        <v>73</v>
      </c>
      <c r="D2127" s="3">
        <v>37800</v>
      </c>
      <c r="E2127" s="3" t="s">
        <v>2245</v>
      </c>
      <c r="F2127" s="3">
        <v>37800</v>
      </c>
    </row>
    <row r="2128" spans="1:6" x14ac:dyDescent="0.25">
      <c r="A2128" s="2">
        <v>73176</v>
      </c>
      <c r="B2128" s="3">
        <v>103</v>
      </c>
      <c r="C2128" s="3">
        <v>73</v>
      </c>
      <c r="D2128" s="3">
        <v>29124</v>
      </c>
      <c r="E2128" s="3" t="s">
        <v>2246</v>
      </c>
      <c r="F2128" s="3">
        <v>29124</v>
      </c>
    </row>
    <row r="2129" spans="1:6" x14ac:dyDescent="0.25">
      <c r="A2129" s="2">
        <v>73177</v>
      </c>
      <c r="B2129" s="3">
        <v>104</v>
      </c>
      <c r="C2129" s="3">
        <v>73</v>
      </c>
      <c r="D2129" s="3">
        <v>203616</v>
      </c>
      <c r="E2129" s="3" t="s">
        <v>2247</v>
      </c>
      <c r="F2129" s="3">
        <v>203616</v>
      </c>
    </row>
    <row r="2130" spans="1:6" x14ac:dyDescent="0.25">
      <c r="A2130" s="2">
        <v>73178</v>
      </c>
      <c r="B2130" s="3">
        <v>105</v>
      </c>
      <c r="C2130" s="3">
        <v>73</v>
      </c>
      <c r="D2130" s="3">
        <v>558.6</v>
      </c>
      <c r="E2130" s="3" t="s">
        <v>2248</v>
      </c>
      <c r="F2130" s="3">
        <v>558.6</v>
      </c>
    </row>
    <row r="2131" spans="1:6" x14ac:dyDescent="0.25">
      <c r="A2131" s="2">
        <v>73179</v>
      </c>
      <c r="B2131" s="3">
        <v>106</v>
      </c>
      <c r="C2131" s="3">
        <v>73</v>
      </c>
      <c r="D2131" s="3">
        <v>57434832</v>
      </c>
      <c r="E2131" s="3" t="s">
        <v>2249</v>
      </c>
      <c r="F2131" s="3">
        <v>57434832</v>
      </c>
    </row>
    <row r="2132" spans="1:6" x14ac:dyDescent="0.25">
      <c r="A2132" s="2">
        <v>73180</v>
      </c>
      <c r="B2132" s="3">
        <v>107</v>
      </c>
      <c r="C2132" s="3">
        <v>73</v>
      </c>
      <c r="D2132" s="3">
        <v>29354.400000000001</v>
      </c>
      <c r="E2132" s="3" t="s">
        <v>2250</v>
      </c>
      <c r="F2132" s="3">
        <v>29354.400000000001</v>
      </c>
    </row>
    <row r="2133" spans="1:6" x14ac:dyDescent="0.25">
      <c r="A2133" s="2">
        <v>73181</v>
      </c>
      <c r="B2133" s="3">
        <v>108</v>
      </c>
      <c r="C2133" s="3">
        <v>73</v>
      </c>
      <c r="D2133" s="3" t="s">
        <v>4</v>
      </c>
      <c r="E2133" s="3" t="s">
        <v>2251</v>
      </c>
      <c r="F2133" s="3" t="s">
        <v>4</v>
      </c>
    </row>
    <row r="2134" spans="1:6" x14ac:dyDescent="0.25">
      <c r="A2134" s="2">
        <v>73182</v>
      </c>
      <c r="B2134" s="3">
        <v>109</v>
      </c>
      <c r="C2134" s="3">
        <v>73</v>
      </c>
      <c r="D2134" s="3">
        <v>9913536</v>
      </c>
      <c r="E2134" s="3" t="s">
        <v>2252</v>
      </c>
      <c r="F2134" s="3">
        <v>9913536</v>
      </c>
    </row>
    <row r="2135" spans="1:6" x14ac:dyDescent="0.25">
      <c r="A2135" s="2">
        <v>73183</v>
      </c>
      <c r="B2135" s="3">
        <v>110</v>
      </c>
      <c r="C2135" s="3">
        <v>73</v>
      </c>
      <c r="D2135" s="3">
        <v>440639.99999999901</v>
      </c>
      <c r="E2135" s="3" t="s">
        <v>2253</v>
      </c>
      <c r="F2135" s="3">
        <v>440639.99999999901</v>
      </c>
    </row>
    <row r="2136" spans="1:6" x14ac:dyDescent="0.25">
      <c r="A2136" s="2">
        <v>73184</v>
      </c>
      <c r="B2136" s="3">
        <v>111</v>
      </c>
      <c r="C2136" s="3">
        <v>73</v>
      </c>
      <c r="D2136" s="3">
        <v>31319.999999999902</v>
      </c>
      <c r="E2136" s="3" t="s">
        <v>2254</v>
      </c>
      <c r="F2136" s="3">
        <v>31319.999999999902</v>
      </c>
    </row>
    <row r="2137" spans="1:6" x14ac:dyDescent="0.25">
      <c r="A2137" s="2">
        <v>73185</v>
      </c>
      <c r="B2137" s="3">
        <v>112</v>
      </c>
      <c r="C2137" s="3">
        <v>73</v>
      </c>
      <c r="D2137" s="3">
        <v>2964</v>
      </c>
      <c r="E2137" s="3" t="s">
        <v>2255</v>
      </c>
      <c r="F2137" s="3">
        <v>2964</v>
      </c>
    </row>
    <row r="2138" spans="1:6" x14ac:dyDescent="0.25">
      <c r="A2138" s="2">
        <v>73186</v>
      </c>
      <c r="B2138" s="3">
        <v>113</v>
      </c>
      <c r="C2138" s="3">
        <v>73</v>
      </c>
      <c r="D2138" s="3">
        <v>630</v>
      </c>
      <c r="E2138" s="3" t="s">
        <v>2256</v>
      </c>
      <c r="F2138" s="3">
        <v>630</v>
      </c>
    </row>
    <row r="2139" spans="1:6" x14ac:dyDescent="0.25">
      <c r="A2139" s="2">
        <v>73187</v>
      </c>
      <c r="B2139" s="3">
        <v>114</v>
      </c>
      <c r="C2139" s="3">
        <v>73</v>
      </c>
      <c r="D2139" s="3">
        <v>138</v>
      </c>
      <c r="E2139" s="3" t="s">
        <v>2257</v>
      </c>
      <c r="F2139" s="3">
        <v>138</v>
      </c>
    </row>
    <row r="2140" spans="1:6" x14ac:dyDescent="0.25">
      <c r="A2140" s="2">
        <v>73188</v>
      </c>
      <c r="B2140" s="3">
        <v>115</v>
      </c>
      <c r="C2140" s="3">
        <v>73</v>
      </c>
      <c r="D2140" s="3">
        <v>19.600000000000001</v>
      </c>
      <c r="E2140" s="3" t="s">
        <v>2258</v>
      </c>
      <c r="F2140" s="3">
        <v>19.600000000000001</v>
      </c>
    </row>
    <row r="2141" spans="1:6" x14ac:dyDescent="0.25">
      <c r="A2141" s="2">
        <v>73189</v>
      </c>
      <c r="B2141" s="3">
        <v>116</v>
      </c>
      <c r="C2141" s="3">
        <v>73</v>
      </c>
      <c r="D2141" s="3">
        <v>2.9999999999999999E-7</v>
      </c>
      <c r="E2141" s="3" t="s">
        <v>2259</v>
      </c>
      <c r="F2141" s="3">
        <v>2.9999999999999999E-7</v>
      </c>
    </row>
    <row r="2142" spans="1:6" x14ac:dyDescent="0.25">
      <c r="A2142" s="2">
        <v>73190</v>
      </c>
      <c r="B2142" s="3">
        <v>117</v>
      </c>
      <c r="C2142" s="3">
        <v>73</v>
      </c>
      <c r="D2142" s="3">
        <v>5.3</v>
      </c>
      <c r="E2142" s="3" t="s">
        <v>2260</v>
      </c>
      <c r="F2142" s="3">
        <v>5.3</v>
      </c>
    </row>
    <row r="2143" spans="1:6" x14ac:dyDescent="0.25">
      <c r="A2143" s="2">
        <v>73191</v>
      </c>
      <c r="B2143" s="3">
        <v>118</v>
      </c>
      <c r="C2143" s="3">
        <v>73</v>
      </c>
      <c r="D2143" s="3">
        <v>2.9999999999999999E-7</v>
      </c>
      <c r="E2143" s="3" t="s">
        <v>2261</v>
      </c>
      <c r="F2143" s="3">
        <v>2.9999999999999999E-7</v>
      </c>
    </row>
    <row r="2144" spans="1:6" x14ac:dyDescent="0.25">
      <c r="A2144" s="2">
        <v>73192</v>
      </c>
      <c r="B2144" s="3">
        <v>119</v>
      </c>
      <c r="C2144" s="3">
        <v>73</v>
      </c>
      <c r="D2144" s="3">
        <v>2.2000000000000002</v>
      </c>
      <c r="E2144" s="3" t="s">
        <v>2262</v>
      </c>
      <c r="F2144" s="3">
        <v>2.2000000000000002</v>
      </c>
    </row>
    <row r="2145" spans="1:6" x14ac:dyDescent="0.25">
      <c r="A2145" s="2">
        <v>73193</v>
      </c>
      <c r="B2145" s="3">
        <v>120</v>
      </c>
      <c r="C2145" s="3">
        <v>73</v>
      </c>
      <c r="D2145" s="3">
        <v>1.6E-7</v>
      </c>
      <c r="E2145" s="3" t="s">
        <v>2263</v>
      </c>
      <c r="F2145" s="3">
        <v>1.6E-7</v>
      </c>
    </row>
    <row r="2146" spans="1:6" x14ac:dyDescent="0.25">
      <c r="A2146" s="2">
        <v>73194</v>
      </c>
      <c r="B2146" s="3">
        <v>121</v>
      </c>
      <c r="C2146" s="3">
        <v>73</v>
      </c>
      <c r="D2146" s="3">
        <v>1.6E-7</v>
      </c>
      <c r="E2146" s="3" t="s">
        <v>2264</v>
      </c>
      <c r="F2146" s="3">
        <v>1.6E-7</v>
      </c>
    </row>
    <row r="2147" spans="1:6" x14ac:dyDescent="0.25">
      <c r="A2147" s="2">
        <v>74157</v>
      </c>
      <c r="B2147" s="3">
        <v>83</v>
      </c>
      <c r="C2147" s="3">
        <v>74</v>
      </c>
      <c r="D2147" s="3">
        <v>0.27500000000000002</v>
      </c>
      <c r="E2147" s="3" t="s">
        <v>2265</v>
      </c>
      <c r="F2147" s="3">
        <v>0.27500000000000002</v>
      </c>
    </row>
    <row r="2148" spans="1:6" x14ac:dyDescent="0.25">
      <c r="A2148" s="2">
        <v>74158</v>
      </c>
      <c r="B2148" s="3">
        <v>84</v>
      </c>
      <c r="C2148" s="3">
        <v>74</v>
      </c>
      <c r="D2148" s="3">
        <v>1.25E-3</v>
      </c>
      <c r="E2148" s="3" t="s">
        <v>2266</v>
      </c>
      <c r="F2148" s="3">
        <v>1.25E-3</v>
      </c>
    </row>
    <row r="2149" spans="1:6" x14ac:dyDescent="0.25">
      <c r="A2149" s="2">
        <v>74159</v>
      </c>
      <c r="B2149" s="3">
        <v>85</v>
      </c>
      <c r="C2149" s="3">
        <v>74</v>
      </c>
      <c r="D2149" s="3">
        <v>7.3000000000000001E-3</v>
      </c>
      <c r="E2149" s="3" t="s">
        <v>2267</v>
      </c>
      <c r="F2149" s="3">
        <v>7.3000000000000001E-3</v>
      </c>
    </row>
    <row r="2150" spans="1:6" x14ac:dyDescent="0.25">
      <c r="A2150" s="2">
        <v>74160</v>
      </c>
      <c r="B2150" s="3">
        <v>86</v>
      </c>
      <c r="C2150" s="3">
        <v>74</v>
      </c>
      <c r="D2150" s="3">
        <v>9.0999999999999998E-2</v>
      </c>
      <c r="E2150" s="3" t="s">
        <v>2268</v>
      </c>
      <c r="F2150" s="3">
        <v>9.0999999999999998E-2</v>
      </c>
    </row>
    <row r="2151" spans="1:6" x14ac:dyDescent="0.25">
      <c r="A2151" s="2">
        <v>74161</v>
      </c>
      <c r="B2151" s="3">
        <v>87</v>
      </c>
      <c r="C2151" s="3">
        <v>74</v>
      </c>
      <c r="D2151" s="3">
        <v>0.40899999999999997</v>
      </c>
      <c r="E2151" s="3" t="s">
        <v>2269</v>
      </c>
      <c r="F2151" s="3">
        <v>0.40899999999999997</v>
      </c>
    </row>
    <row r="2152" spans="1:6" x14ac:dyDescent="0.25">
      <c r="A2152" s="2">
        <v>74162</v>
      </c>
      <c r="B2152" s="3">
        <v>88</v>
      </c>
      <c r="C2152" s="3">
        <v>74</v>
      </c>
      <c r="D2152" s="3">
        <v>1.36</v>
      </c>
      <c r="E2152" s="3" t="s">
        <v>2270</v>
      </c>
      <c r="F2152" s="3">
        <v>1.36</v>
      </c>
    </row>
    <row r="2153" spans="1:6" x14ac:dyDescent="0.25">
      <c r="A2153" s="2">
        <v>74163</v>
      </c>
      <c r="B2153" s="3">
        <v>89</v>
      </c>
      <c r="C2153" s="3">
        <v>74</v>
      </c>
      <c r="D2153" s="3">
        <v>2.67</v>
      </c>
      <c r="E2153" s="3" t="s">
        <v>2271</v>
      </c>
      <c r="F2153" s="3">
        <v>2.67</v>
      </c>
    </row>
    <row r="2154" spans="1:6" x14ac:dyDescent="0.25">
      <c r="A2154" s="2">
        <v>74164</v>
      </c>
      <c r="B2154" s="3">
        <v>90</v>
      </c>
      <c r="C2154" s="3">
        <v>74</v>
      </c>
      <c r="D2154" s="3">
        <v>6.3</v>
      </c>
      <c r="E2154" s="3" t="s">
        <v>2272</v>
      </c>
      <c r="F2154" s="3">
        <v>6.3</v>
      </c>
    </row>
    <row r="2155" spans="1:6" x14ac:dyDescent="0.25">
      <c r="A2155" s="2">
        <v>74165</v>
      </c>
      <c r="B2155" s="3">
        <v>91</v>
      </c>
      <c r="C2155" s="3">
        <v>74</v>
      </c>
      <c r="D2155" s="3">
        <v>5.0999999999999996</v>
      </c>
      <c r="E2155" s="3" t="s">
        <v>2273</v>
      </c>
      <c r="F2155" s="3">
        <v>5.0999999999999996</v>
      </c>
    </row>
    <row r="2156" spans="1:6" x14ac:dyDescent="0.25">
      <c r="A2156" s="2">
        <v>74166</v>
      </c>
      <c r="B2156" s="3">
        <v>92</v>
      </c>
      <c r="C2156" s="3">
        <v>74</v>
      </c>
      <c r="D2156" s="3">
        <v>19.2</v>
      </c>
      <c r="E2156" s="3" t="s">
        <v>2274</v>
      </c>
      <c r="F2156" s="3">
        <v>19.2</v>
      </c>
    </row>
    <row r="2157" spans="1:6" x14ac:dyDescent="0.25">
      <c r="A2157" s="2">
        <v>74167</v>
      </c>
      <c r="B2157" s="3">
        <v>93</v>
      </c>
      <c r="C2157" s="3">
        <v>74</v>
      </c>
      <c r="D2157" s="3">
        <v>19.899999999999999</v>
      </c>
      <c r="E2157" s="3" t="s">
        <v>2275</v>
      </c>
      <c r="F2157" s="3">
        <v>19.899999999999999</v>
      </c>
    </row>
    <row r="2158" spans="1:6" x14ac:dyDescent="0.25">
      <c r="A2158" s="2">
        <v>74168</v>
      </c>
      <c r="B2158" s="3">
        <v>94</v>
      </c>
      <c r="C2158" s="3">
        <v>74</v>
      </c>
      <c r="D2158" s="3">
        <v>50.9</v>
      </c>
      <c r="E2158" s="3" t="s">
        <v>2276</v>
      </c>
      <c r="F2158" s="3">
        <v>50.9</v>
      </c>
    </row>
    <row r="2159" spans="1:6" x14ac:dyDescent="0.25">
      <c r="A2159" s="2">
        <v>74169</v>
      </c>
      <c r="B2159" s="3">
        <v>95</v>
      </c>
      <c r="C2159" s="3">
        <v>74</v>
      </c>
      <c r="D2159" s="3">
        <v>74</v>
      </c>
      <c r="E2159" s="3" t="s">
        <v>2277</v>
      </c>
      <c r="F2159" s="3">
        <v>74</v>
      </c>
    </row>
    <row r="2160" spans="1:6" x14ac:dyDescent="0.25">
      <c r="A2160" s="2">
        <v>74170</v>
      </c>
      <c r="B2160" s="3">
        <v>96</v>
      </c>
      <c r="C2160" s="3">
        <v>74</v>
      </c>
      <c r="D2160" s="3">
        <v>145.19999999999999</v>
      </c>
      <c r="E2160" s="3" t="s">
        <v>2278</v>
      </c>
      <c r="F2160" s="3">
        <v>145.19999999999999</v>
      </c>
    </row>
    <row r="2161" spans="1:6" x14ac:dyDescent="0.25">
      <c r="A2161" s="2">
        <v>74171</v>
      </c>
      <c r="B2161" s="3">
        <v>97</v>
      </c>
      <c r="C2161" s="3">
        <v>74</v>
      </c>
      <c r="D2161" s="3">
        <v>142.79999999999899</v>
      </c>
      <c r="E2161" s="3" t="s">
        <v>2279</v>
      </c>
      <c r="F2161" s="3">
        <v>142.79999999999899</v>
      </c>
    </row>
    <row r="2162" spans="1:6" x14ac:dyDescent="0.25">
      <c r="A2162" s="2">
        <v>74172</v>
      </c>
      <c r="B2162" s="3">
        <v>98</v>
      </c>
      <c r="C2162" s="3">
        <v>74</v>
      </c>
      <c r="D2162" s="3">
        <v>396</v>
      </c>
      <c r="E2162" s="3" t="s">
        <v>2280</v>
      </c>
      <c r="F2162" s="3">
        <v>396</v>
      </c>
    </row>
    <row r="2163" spans="1:6" x14ac:dyDescent="0.25">
      <c r="A2163" s="2">
        <v>74173</v>
      </c>
      <c r="B2163" s="3">
        <v>99</v>
      </c>
      <c r="C2163" s="3">
        <v>74</v>
      </c>
      <c r="D2163" s="3">
        <v>456</v>
      </c>
      <c r="E2163" s="3" t="s">
        <v>2281</v>
      </c>
      <c r="F2163" s="3">
        <v>456</v>
      </c>
    </row>
    <row r="2164" spans="1:6" x14ac:dyDescent="0.25">
      <c r="A2164" s="2">
        <v>74174</v>
      </c>
      <c r="B2164" s="3">
        <v>100</v>
      </c>
      <c r="C2164" s="3">
        <v>74</v>
      </c>
      <c r="D2164" s="3">
        <v>1992</v>
      </c>
      <c r="E2164" s="3" t="s">
        <v>2282</v>
      </c>
      <c r="F2164" s="3">
        <v>1992</v>
      </c>
    </row>
    <row r="2165" spans="1:6" x14ac:dyDescent="0.25">
      <c r="A2165" s="2">
        <v>74175</v>
      </c>
      <c r="B2165" s="3">
        <v>101</v>
      </c>
      <c r="C2165" s="3">
        <v>74</v>
      </c>
      <c r="D2165" s="3">
        <v>2112</v>
      </c>
      <c r="E2165" s="3" t="s">
        <v>2283</v>
      </c>
      <c r="F2165" s="3">
        <v>2112</v>
      </c>
    </row>
    <row r="2166" spans="1:6" x14ac:dyDescent="0.25">
      <c r="A2166" s="2">
        <v>74176</v>
      </c>
      <c r="B2166" s="3">
        <v>102</v>
      </c>
      <c r="C2166" s="3">
        <v>74</v>
      </c>
      <c r="D2166" s="3">
        <v>9000</v>
      </c>
      <c r="E2166" s="3" t="s">
        <v>2284</v>
      </c>
      <c r="F2166" s="3">
        <v>9000</v>
      </c>
    </row>
    <row r="2167" spans="1:6" x14ac:dyDescent="0.25">
      <c r="A2167" s="2">
        <v>74177</v>
      </c>
      <c r="B2167" s="3">
        <v>103</v>
      </c>
      <c r="C2167" s="3">
        <v>74</v>
      </c>
      <c r="D2167" s="3">
        <v>7920</v>
      </c>
      <c r="E2167" s="3" t="s">
        <v>2285</v>
      </c>
      <c r="F2167" s="3">
        <v>7920</v>
      </c>
    </row>
    <row r="2168" spans="1:6" x14ac:dyDescent="0.25">
      <c r="A2168" s="2">
        <v>74178</v>
      </c>
      <c r="B2168" s="3">
        <v>104</v>
      </c>
      <c r="C2168" s="3">
        <v>74</v>
      </c>
      <c r="D2168" s="3">
        <v>1866240</v>
      </c>
      <c r="E2168" s="3" t="s">
        <v>2286</v>
      </c>
      <c r="F2168" s="3">
        <v>1866240</v>
      </c>
    </row>
    <row r="2169" spans="1:6" x14ac:dyDescent="0.25">
      <c r="A2169" s="2">
        <v>74179</v>
      </c>
      <c r="B2169" s="3">
        <v>105</v>
      </c>
      <c r="C2169" s="3">
        <v>74</v>
      </c>
      <c r="D2169" s="3">
        <v>2223</v>
      </c>
      <c r="E2169" s="3" t="s">
        <v>2287</v>
      </c>
      <c r="F2169" s="3">
        <v>2223</v>
      </c>
    </row>
    <row r="2170" spans="1:6" x14ac:dyDescent="0.25">
      <c r="A2170" s="2">
        <v>74180</v>
      </c>
      <c r="B2170" s="3">
        <v>106</v>
      </c>
      <c r="C2170" s="3">
        <v>74</v>
      </c>
      <c r="D2170" s="3">
        <v>2.0828016E+25</v>
      </c>
      <c r="E2170" s="3" t="s">
        <v>2288</v>
      </c>
      <c r="F2170" s="3">
        <v>2.0828016E+25</v>
      </c>
    </row>
    <row r="2171" spans="1:6" x14ac:dyDescent="0.25">
      <c r="A2171" s="2">
        <v>74181</v>
      </c>
      <c r="B2171" s="3">
        <v>107</v>
      </c>
      <c r="C2171" s="3">
        <v>74</v>
      </c>
      <c r="D2171" s="3">
        <v>10471680</v>
      </c>
      <c r="E2171" s="3" t="s">
        <v>2289</v>
      </c>
      <c r="F2171" s="3">
        <v>10471680</v>
      </c>
    </row>
    <row r="2172" spans="1:6" x14ac:dyDescent="0.25">
      <c r="A2172" s="2">
        <v>74182</v>
      </c>
      <c r="B2172" s="3">
        <v>108</v>
      </c>
      <c r="C2172" s="3">
        <v>74</v>
      </c>
      <c r="D2172" s="3" t="s">
        <v>4</v>
      </c>
      <c r="E2172" s="3" t="s">
        <v>2290</v>
      </c>
      <c r="F2172" s="3" t="s">
        <v>4</v>
      </c>
    </row>
    <row r="2173" spans="1:6" x14ac:dyDescent="0.25">
      <c r="A2173" s="2">
        <v>74183</v>
      </c>
      <c r="B2173" s="3">
        <v>109</v>
      </c>
      <c r="C2173" s="3">
        <v>74</v>
      </c>
      <c r="D2173" s="3">
        <v>2.1143592000000001E+28</v>
      </c>
      <c r="E2173" s="3" t="s">
        <v>2291</v>
      </c>
      <c r="F2173" s="3">
        <v>2.1143592000000001E+28</v>
      </c>
    </row>
    <row r="2174" spans="1:6" x14ac:dyDescent="0.25">
      <c r="A2174" s="2">
        <v>74184</v>
      </c>
      <c r="B2174" s="3">
        <v>110</v>
      </c>
      <c r="C2174" s="3">
        <v>74</v>
      </c>
      <c r="D2174" s="3" t="s">
        <v>4</v>
      </c>
      <c r="E2174" s="3" t="s">
        <v>2292</v>
      </c>
      <c r="F2174" s="3" t="s">
        <v>4</v>
      </c>
    </row>
    <row r="2175" spans="1:6" x14ac:dyDescent="0.25">
      <c r="A2175" s="2">
        <v>74185</v>
      </c>
      <c r="B2175" s="3">
        <v>111</v>
      </c>
      <c r="C2175" s="3">
        <v>74</v>
      </c>
      <c r="D2175" s="3">
        <v>6488639.9999999898</v>
      </c>
      <c r="E2175" s="3" t="s">
        <v>2293</v>
      </c>
      <c r="F2175" s="3">
        <v>6488639.9999999898</v>
      </c>
    </row>
    <row r="2176" spans="1:6" x14ac:dyDescent="0.25">
      <c r="A2176" s="2">
        <v>74186</v>
      </c>
      <c r="B2176" s="3">
        <v>112</v>
      </c>
      <c r="C2176" s="3">
        <v>74</v>
      </c>
      <c r="D2176" s="3">
        <v>7.2582479999999996E+26</v>
      </c>
      <c r="E2176" s="3" t="s">
        <v>2294</v>
      </c>
      <c r="F2176" s="3">
        <v>7.2582479999999996E+26</v>
      </c>
    </row>
    <row r="2177" spans="1:6" x14ac:dyDescent="0.25">
      <c r="A2177" s="2">
        <v>74187</v>
      </c>
      <c r="B2177" s="3">
        <v>113</v>
      </c>
      <c r="C2177" s="3">
        <v>74</v>
      </c>
      <c r="D2177" s="3">
        <v>86400</v>
      </c>
      <c r="E2177" s="3" t="s">
        <v>2295</v>
      </c>
      <c r="F2177" s="3">
        <v>86400</v>
      </c>
    </row>
    <row r="2178" spans="1:6" x14ac:dyDescent="0.25">
      <c r="A2178" s="2">
        <v>74188</v>
      </c>
      <c r="B2178" s="3">
        <v>114</v>
      </c>
      <c r="C2178" s="3">
        <v>74</v>
      </c>
      <c r="D2178" s="3">
        <v>6028992</v>
      </c>
      <c r="E2178" s="3" t="s">
        <v>2296</v>
      </c>
      <c r="F2178" s="3">
        <v>6028992</v>
      </c>
    </row>
    <row r="2179" spans="1:6" x14ac:dyDescent="0.25">
      <c r="A2179" s="2">
        <v>74189</v>
      </c>
      <c r="B2179" s="3">
        <v>115</v>
      </c>
      <c r="C2179" s="3">
        <v>74</v>
      </c>
      <c r="D2179" s="3">
        <v>642</v>
      </c>
      <c r="E2179" s="3" t="s">
        <v>2297</v>
      </c>
      <c r="F2179" s="3">
        <v>642</v>
      </c>
    </row>
    <row r="2180" spans="1:6" x14ac:dyDescent="0.25">
      <c r="A2180" s="2">
        <v>74190</v>
      </c>
      <c r="B2180" s="3">
        <v>116</v>
      </c>
      <c r="C2180" s="3">
        <v>74</v>
      </c>
      <c r="D2180" s="3">
        <v>1800</v>
      </c>
      <c r="E2180" s="3" t="s">
        <v>2298</v>
      </c>
      <c r="F2180" s="3">
        <v>1800</v>
      </c>
    </row>
    <row r="2181" spans="1:6" x14ac:dyDescent="0.25">
      <c r="A2181" s="2">
        <v>74191</v>
      </c>
      <c r="B2181" s="3">
        <v>117</v>
      </c>
      <c r="C2181" s="3">
        <v>74</v>
      </c>
      <c r="D2181" s="3">
        <v>2.9999999999999999E-7</v>
      </c>
      <c r="E2181" s="3" t="s">
        <v>2299</v>
      </c>
      <c r="F2181" s="3">
        <v>2.9999999999999999E-7</v>
      </c>
    </row>
    <row r="2182" spans="1:6" x14ac:dyDescent="0.25">
      <c r="A2182" s="2">
        <v>74193</v>
      </c>
      <c r="B2182" s="3">
        <v>119</v>
      </c>
      <c r="C2182" s="3">
        <v>74</v>
      </c>
      <c r="D2182" s="3">
        <v>2.9999999999999999E-7</v>
      </c>
      <c r="E2182" s="3" t="s">
        <v>2300</v>
      </c>
      <c r="F2182" s="3">
        <v>2.9999999999999999E-7</v>
      </c>
    </row>
    <row r="2183" spans="1:6" x14ac:dyDescent="0.25">
      <c r="A2183" s="2">
        <v>74194</v>
      </c>
      <c r="B2183" s="3">
        <v>120</v>
      </c>
      <c r="C2183" s="3">
        <v>74</v>
      </c>
      <c r="D2183" s="3">
        <v>2.9999999999999999E-7</v>
      </c>
      <c r="E2183" s="3" t="s">
        <v>2301</v>
      </c>
      <c r="F2183" s="3">
        <v>2.9999999999999999E-7</v>
      </c>
    </row>
    <row r="2184" spans="1:6" x14ac:dyDescent="0.25">
      <c r="A2184" s="2">
        <v>74195</v>
      </c>
      <c r="B2184" s="3">
        <v>121</v>
      </c>
      <c r="C2184" s="3">
        <v>74</v>
      </c>
      <c r="D2184" s="3">
        <v>1.6E-7</v>
      </c>
      <c r="E2184" s="3" t="s">
        <v>2302</v>
      </c>
      <c r="F2184" s="3">
        <v>1.6E-7</v>
      </c>
    </row>
    <row r="2185" spans="1:6" x14ac:dyDescent="0.25">
      <c r="A2185" s="2">
        <v>74196</v>
      </c>
      <c r="B2185" s="3">
        <v>122</v>
      </c>
      <c r="C2185" s="3">
        <v>74</v>
      </c>
      <c r="D2185" s="3">
        <v>1.6E-7</v>
      </c>
      <c r="E2185" s="3" t="s">
        <v>2303</v>
      </c>
      <c r="F2185" s="3">
        <v>1.6E-7</v>
      </c>
    </row>
    <row r="2186" spans="1:6" x14ac:dyDescent="0.25">
      <c r="A2186" s="2">
        <v>74197</v>
      </c>
      <c r="B2186" s="3">
        <v>123</v>
      </c>
      <c r="C2186" s="3">
        <v>74</v>
      </c>
      <c r="D2186" s="3">
        <v>1.6E-7</v>
      </c>
      <c r="E2186" s="3" t="s">
        <v>2304</v>
      </c>
      <c r="F2186" s="3">
        <v>1.6E-7</v>
      </c>
    </row>
    <row r="2187" spans="1:6" x14ac:dyDescent="0.25">
      <c r="A2187" s="2">
        <v>75160</v>
      </c>
      <c r="B2187" s="3">
        <v>85</v>
      </c>
      <c r="C2187" s="3">
        <v>75</v>
      </c>
      <c r="D2187" s="3">
        <v>8.1999999999999998E-4</v>
      </c>
      <c r="E2187" s="3" t="s">
        <v>2305</v>
      </c>
      <c r="F2187" s="3">
        <v>8.1999999999999998E-4</v>
      </c>
    </row>
    <row r="2188" spans="1:6" x14ac:dyDescent="0.25">
      <c r="A2188" s="2">
        <v>75161</v>
      </c>
      <c r="B2188" s="3">
        <v>86</v>
      </c>
      <c r="C2188" s="3">
        <v>75</v>
      </c>
      <c r="D2188" s="3">
        <v>4.4000000000000002E-4</v>
      </c>
      <c r="E2188" s="3" t="s">
        <v>2306</v>
      </c>
      <c r="F2188" s="3">
        <v>4.4000000000000002E-4</v>
      </c>
    </row>
    <row r="2189" spans="1:6" x14ac:dyDescent="0.25">
      <c r="A2189" s="2">
        <v>75162</v>
      </c>
      <c r="B2189" s="3">
        <v>87</v>
      </c>
      <c r="C2189" s="3">
        <v>75</v>
      </c>
      <c r="D2189" s="3">
        <v>0.107</v>
      </c>
      <c r="E2189" s="3" t="s">
        <v>2307</v>
      </c>
      <c r="F2189" s="3">
        <v>0.107</v>
      </c>
    </row>
    <row r="2190" spans="1:6" x14ac:dyDescent="0.25">
      <c r="A2190" s="2">
        <v>75163</v>
      </c>
      <c r="B2190" s="3">
        <v>88</v>
      </c>
      <c r="C2190" s="3">
        <v>75</v>
      </c>
      <c r="D2190" s="3">
        <v>0.39</v>
      </c>
      <c r="E2190" s="3" t="s">
        <v>2308</v>
      </c>
      <c r="F2190" s="3">
        <v>0.39</v>
      </c>
    </row>
    <row r="2191" spans="1:6" x14ac:dyDescent="0.25">
      <c r="A2191" s="2">
        <v>75164</v>
      </c>
      <c r="B2191" s="3">
        <v>89</v>
      </c>
      <c r="C2191" s="3">
        <v>75</v>
      </c>
      <c r="D2191" s="3">
        <v>0.85</v>
      </c>
      <c r="E2191" s="3" t="s">
        <v>2309</v>
      </c>
      <c r="F2191" s="3">
        <v>0.85</v>
      </c>
    </row>
    <row r="2192" spans="1:6" x14ac:dyDescent="0.25">
      <c r="A2192" s="2">
        <v>75165</v>
      </c>
      <c r="B2192" s="3">
        <v>90</v>
      </c>
      <c r="C2192" s="3">
        <v>75</v>
      </c>
      <c r="D2192" s="3">
        <v>1.6</v>
      </c>
      <c r="E2192" s="3" t="s">
        <v>2310</v>
      </c>
      <c r="F2192" s="3">
        <v>1.6</v>
      </c>
    </row>
    <row r="2193" spans="1:6" x14ac:dyDescent="0.25">
      <c r="A2193" s="2">
        <v>75166</v>
      </c>
      <c r="B2193" s="3">
        <v>91</v>
      </c>
      <c r="C2193" s="3">
        <v>75</v>
      </c>
      <c r="D2193" s="3">
        <v>2.25</v>
      </c>
      <c r="E2193" s="3" t="s">
        <v>2311</v>
      </c>
      <c r="F2193" s="3">
        <v>2.25</v>
      </c>
    </row>
    <row r="2194" spans="1:6" x14ac:dyDescent="0.25">
      <c r="A2194" s="2">
        <v>75167</v>
      </c>
      <c r="B2194" s="3">
        <v>92</v>
      </c>
      <c r="C2194" s="3">
        <v>75</v>
      </c>
      <c r="D2194" s="3">
        <v>5.9</v>
      </c>
      <c r="E2194" s="3" t="s">
        <v>2312</v>
      </c>
      <c r="F2194" s="3">
        <v>5.9</v>
      </c>
    </row>
    <row r="2195" spans="1:6" x14ac:dyDescent="0.25">
      <c r="A2195" s="2">
        <v>75168</v>
      </c>
      <c r="B2195" s="3">
        <v>93</v>
      </c>
      <c r="C2195" s="3">
        <v>75</v>
      </c>
      <c r="D2195" s="3">
        <v>4.4000000000000004</v>
      </c>
      <c r="E2195" s="3" t="s">
        <v>2313</v>
      </c>
      <c r="F2195" s="3">
        <v>4.4000000000000004</v>
      </c>
    </row>
    <row r="2196" spans="1:6" x14ac:dyDescent="0.25">
      <c r="A2196" s="2">
        <v>75169</v>
      </c>
      <c r="B2196" s="3">
        <v>94</v>
      </c>
      <c r="C2196" s="3">
        <v>75</v>
      </c>
      <c r="D2196" s="3">
        <v>8.1</v>
      </c>
      <c r="E2196" s="3" t="s">
        <v>2314</v>
      </c>
      <c r="F2196" s="3">
        <v>8.1</v>
      </c>
    </row>
    <row r="2197" spans="1:6" x14ac:dyDescent="0.25">
      <c r="A2197" s="2">
        <v>75170</v>
      </c>
      <c r="B2197" s="3">
        <v>95</v>
      </c>
      <c r="C2197" s="3">
        <v>75</v>
      </c>
      <c r="D2197" s="3">
        <v>9.1999999999999993</v>
      </c>
      <c r="E2197" s="3" t="s">
        <v>2315</v>
      </c>
      <c r="F2197" s="3">
        <v>9.1999999999999993</v>
      </c>
    </row>
    <row r="2198" spans="1:6" x14ac:dyDescent="0.25">
      <c r="A2198" s="2">
        <v>75171</v>
      </c>
      <c r="B2198" s="3">
        <v>96</v>
      </c>
      <c r="C2198" s="3">
        <v>75</v>
      </c>
      <c r="D2198" s="3">
        <v>15.2</v>
      </c>
      <c r="E2198" s="3" t="s">
        <v>2316</v>
      </c>
      <c r="F2198" s="3">
        <v>15.2</v>
      </c>
    </row>
    <row r="2199" spans="1:6" x14ac:dyDescent="0.25">
      <c r="A2199" s="2">
        <v>75172</v>
      </c>
      <c r="B2199" s="3">
        <v>97</v>
      </c>
      <c r="C2199" s="3">
        <v>75</v>
      </c>
      <c r="D2199" s="3">
        <v>55</v>
      </c>
      <c r="E2199" s="3" t="s">
        <v>2317</v>
      </c>
      <c r="F2199" s="3">
        <v>55</v>
      </c>
    </row>
    <row r="2200" spans="1:6" x14ac:dyDescent="0.25">
      <c r="A2200" s="2">
        <v>75173</v>
      </c>
      <c r="B2200" s="3">
        <v>98</v>
      </c>
      <c r="C2200" s="3">
        <v>75</v>
      </c>
      <c r="D2200" s="3">
        <v>118.8</v>
      </c>
      <c r="E2200" s="3" t="s">
        <v>2318</v>
      </c>
      <c r="F2200" s="3">
        <v>118.8</v>
      </c>
    </row>
    <row r="2201" spans="1:6" x14ac:dyDescent="0.25">
      <c r="A2201" s="2">
        <v>75174</v>
      </c>
      <c r="B2201" s="3">
        <v>99</v>
      </c>
      <c r="C2201" s="3">
        <v>75</v>
      </c>
      <c r="D2201" s="3">
        <v>144</v>
      </c>
      <c r="E2201" s="3" t="s">
        <v>2319</v>
      </c>
      <c r="F2201" s="3">
        <v>144</v>
      </c>
    </row>
    <row r="2202" spans="1:6" x14ac:dyDescent="0.25">
      <c r="A2202" s="2">
        <v>75175</v>
      </c>
      <c r="B2202" s="3">
        <v>100</v>
      </c>
      <c r="C2202" s="3">
        <v>75</v>
      </c>
      <c r="D2202" s="3">
        <v>353.4</v>
      </c>
      <c r="E2202" s="3" t="s">
        <v>2320</v>
      </c>
      <c r="F2202" s="3">
        <v>353.4</v>
      </c>
    </row>
    <row r="2203" spans="1:6" x14ac:dyDescent="0.25">
      <c r="A2203" s="2">
        <v>75176</v>
      </c>
      <c r="B2203" s="3">
        <v>101</v>
      </c>
      <c r="C2203" s="3">
        <v>75</v>
      </c>
      <c r="D2203" s="3">
        <v>318</v>
      </c>
      <c r="E2203" s="3" t="s">
        <v>2321</v>
      </c>
      <c r="F2203" s="3">
        <v>318</v>
      </c>
    </row>
    <row r="2204" spans="1:6" x14ac:dyDescent="0.25">
      <c r="A2204" s="2">
        <v>75177</v>
      </c>
      <c r="B2204" s="3">
        <v>102</v>
      </c>
      <c r="C2204" s="3">
        <v>75</v>
      </c>
      <c r="D2204" s="3">
        <v>840</v>
      </c>
      <c r="E2204" s="3" t="s">
        <v>2322</v>
      </c>
      <c r="F2204" s="3">
        <v>840</v>
      </c>
    </row>
    <row r="2205" spans="1:6" x14ac:dyDescent="0.25">
      <c r="A2205" s="2">
        <v>75178</v>
      </c>
      <c r="B2205" s="3">
        <v>103</v>
      </c>
      <c r="C2205" s="3">
        <v>75</v>
      </c>
      <c r="D2205" s="3">
        <v>792</v>
      </c>
      <c r="E2205" s="3" t="s">
        <v>2323</v>
      </c>
      <c r="F2205" s="3">
        <v>792</v>
      </c>
    </row>
    <row r="2206" spans="1:6" x14ac:dyDescent="0.25">
      <c r="A2206" s="2">
        <v>75179</v>
      </c>
      <c r="B2206" s="3">
        <v>104</v>
      </c>
      <c r="C2206" s="3">
        <v>75</v>
      </c>
      <c r="D2206" s="3">
        <v>1170</v>
      </c>
      <c r="E2206" s="3" t="s">
        <v>2324</v>
      </c>
      <c r="F2206" s="3">
        <v>1170</v>
      </c>
    </row>
    <row r="2207" spans="1:6" x14ac:dyDescent="0.25">
      <c r="A2207" s="2">
        <v>75180</v>
      </c>
      <c r="B2207" s="3">
        <v>105</v>
      </c>
      <c r="C2207" s="3">
        <v>75</v>
      </c>
      <c r="D2207" s="3">
        <v>147.6</v>
      </c>
      <c r="E2207" s="3" t="s">
        <v>2325</v>
      </c>
      <c r="F2207" s="3">
        <v>147.6</v>
      </c>
    </row>
    <row r="2208" spans="1:6" x14ac:dyDescent="0.25">
      <c r="A2208" s="2">
        <v>75181</v>
      </c>
      <c r="B2208" s="3">
        <v>106</v>
      </c>
      <c r="C2208" s="3">
        <v>75</v>
      </c>
      <c r="D2208" s="3">
        <v>71640</v>
      </c>
      <c r="E2208" s="3" t="s">
        <v>2326</v>
      </c>
      <c r="F2208" s="3">
        <v>71640</v>
      </c>
    </row>
    <row r="2209" spans="1:6" x14ac:dyDescent="0.25">
      <c r="A2209" s="2">
        <v>75182</v>
      </c>
      <c r="B2209" s="3">
        <v>107</v>
      </c>
      <c r="C2209" s="3">
        <v>75</v>
      </c>
      <c r="D2209" s="3">
        <v>231120</v>
      </c>
      <c r="E2209" s="3" t="s">
        <v>2327</v>
      </c>
      <c r="F2209" s="3">
        <v>231120</v>
      </c>
    </row>
    <row r="2210" spans="1:6" x14ac:dyDescent="0.25">
      <c r="A2210" s="2">
        <v>75183</v>
      </c>
      <c r="B2210" s="3">
        <v>108</v>
      </c>
      <c r="C2210" s="3">
        <v>75</v>
      </c>
      <c r="D2210" s="3">
        <v>6048000</v>
      </c>
      <c r="E2210" s="3" t="s">
        <v>2328</v>
      </c>
      <c r="F2210" s="3">
        <v>6048000</v>
      </c>
    </row>
    <row r="2211" spans="1:6" x14ac:dyDescent="0.25">
      <c r="A2211" s="2">
        <v>75184</v>
      </c>
      <c r="B2211" s="3">
        <v>109</v>
      </c>
      <c r="C2211" s="3">
        <v>75</v>
      </c>
      <c r="D2211" s="3">
        <v>3058560</v>
      </c>
      <c r="E2211" s="3" t="s">
        <v>2329</v>
      </c>
      <c r="F2211" s="3">
        <v>3058560</v>
      </c>
    </row>
    <row r="2212" spans="1:6" x14ac:dyDescent="0.25">
      <c r="A2212" s="2">
        <v>75185</v>
      </c>
      <c r="B2212" s="3">
        <v>110</v>
      </c>
      <c r="C2212" s="3">
        <v>75</v>
      </c>
      <c r="D2212" s="3" t="s">
        <v>4</v>
      </c>
      <c r="E2212" s="3" t="s">
        <v>2330</v>
      </c>
      <c r="F2212" s="3" t="s">
        <v>4</v>
      </c>
    </row>
    <row r="2213" spans="1:6" x14ac:dyDescent="0.25">
      <c r="A2213" s="2">
        <v>75186</v>
      </c>
      <c r="B2213" s="3">
        <v>111</v>
      </c>
      <c r="C2213" s="3">
        <v>75</v>
      </c>
      <c r="D2213" s="3">
        <v>321287.03999999998</v>
      </c>
      <c r="E2213" s="3" t="s">
        <v>2331</v>
      </c>
      <c r="F2213" s="3">
        <v>321287.03999999998</v>
      </c>
    </row>
    <row r="2214" spans="1:6" x14ac:dyDescent="0.25">
      <c r="A2214" s="2">
        <v>75187</v>
      </c>
      <c r="B2214" s="3">
        <v>112</v>
      </c>
      <c r="C2214" s="3">
        <v>75</v>
      </c>
      <c r="D2214" s="3">
        <v>1.36644408E+18</v>
      </c>
      <c r="E2214" s="3" t="s">
        <v>2332</v>
      </c>
      <c r="F2214" s="3">
        <v>1.36644408E+18</v>
      </c>
    </row>
    <row r="2215" spans="1:6" x14ac:dyDescent="0.25">
      <c r="A2215" s="2">
        <v>75188</v>
      </c>
      <c r="B2215" s="3">
        <v>113</v>
      </c>
      <c r="C2215" s="3">
        <v>75</v>
      </c>
      <c r="D2215" s="3">
        <v>61210.8</v>
      </c>
      <c r="E2215" s="3" t="s">
        <v>2333</v>
      </c>
      <c r="F2215" s="3">
        <v>61210.8</v>
      </c>
    </row>
    <row r="2216" spans="1:6" x14ac:dyDescent="0.25">
      <c r="A2216" s="2">
        <v>75189</v>
      </c>
      <c r="B2216" s="3">
        <v>114</v>
      </c>
      <c r="C2216" s="3">
        <v>75</v>
      </c>
      <c r="D2216" s="3">
        <v>87480</v>
      </c>
      <c r="E2216" s="3" t="s">
        <v>2334</v>
      </c>
      <c r="F2216" s="3">
        <v>87480</v>
      </c>
    </row>
    <row r="2217" spans="1:6" x14ac:dyDescent="0.25">
      <c r="A2217" s="2">
        <v>75190</v>
      </c>
      <c r="B2217" s="3">
        <v>115</v>
      </c>
      <c r="C2217" s="3">
        <v>75</v>
      </c>
      <c r="D2217" s="3">
        <v>186</v>
      </c>
      <c r="E2217" s="3" t="s">
        <v>2335</v>
      </c>
      <c r="F2217" s="3">
        <v>186</v>
      </c>
    </row>
    <row r="2218" spans="1:6" x14ac:dyDescent="0.25">
      <c r="A2218" s="2">
        <v>75191</v>
      </c>
      <c r="B2218" s="3">
        <v>116</v>
      </c>
      <c r="C2218" s="3">
        <v>75</v>
      </c>
      <c r="D2218" s="3">
        <v>588</v>
      </c>
      <c r="E2218" s="3" t="s">
        <v>2336</v>
      </c>
      <c r="F2218" s="3">
        <v>588</v>
      </c>
    </row>
    <row r="2219" spans="1:6" x14ac:dyDescent="0.25">
      <c r="A2219" s="2">
        <v>75192</v>
      </c>
      <c r="B2219" s="3">
        <v>117</v>
      </c>
      <c r="C2219" s="3">
        <v>75</v>
      </c>
      <c r="D2219" s="3">
        <v>16</v>
      </c>
      <c r="E2219" s="3" t="s">
        <v>2337</v>
      </c>
      <c r="F2219" s="3">
        <v>16</v>
      </c>
    </row>
    <row r="2220" spans="1:6" x14ac:dyDescent="0.25">
      <c r="A2220" s="2">
        <v>75194</v>
      </c>
      <c r="B2220" s="3">
        <v>119</v>
      </c>
      <c r="C2220" s="3">
        <v>75</v>
      </c>
      <c r="D2220" s="3">
        <v>5</v>
      </c>
      <c r="E2220" s="3" t="s">
        <v>2338</v>
      </c>
      <c r="F2220" s="3">
        <v>5</v>
      </c>
    </row>
    <row r="2221" spans="1:6" x14ac:dyDescent="0.25">
      <c r="A2221" s="2">
        <v>75195</v>
      </c>
      <c r="B2221" s="3">
        <v>120</v>
      </c>
      <c r="C2221" s="3">
        <v>75</v>
      </c>
      <c r="D2221" s="3">
        <v>6</v>
      </c>
      <c r="E2221" s="3" t="s">
        <v>2339</v>
      </c>
      <c r="F2221" s="3">
        <v>6</v>
      </c>
    </row>
    <row r="2222" spans="1:6" x14ac:dyDescent="0.25">
      <c r="A2222" s="2">
        <v>75196</v>
      </c>
      <c r="B2222" s="3">
        <v>121</v>
      </c>
      <c r="C2222" s="3">
        <v>75</v>
      </c>
      <c r="D2222" s="3">
        <v>3</v>
      </c>
      <c r="E2222" s="3" t="s">
        <v>2340</v>
      </c>
      <c r="F2222" s="3">
        <v>3</v>
      </c>
    </row>
    <row r="2223" spans="1:6" x14ac:dyDescent="0.25">
      <c r="A2223" s="2">
        <v>75197</v>
      </c>
      <c r="B2223" s="3">
        <v>122</v>
      </c>
      <c r="C2223" s="3">
        <v>75</v>
      </c>
      <c r="D2223" s="3">
        <v>1.6E-7</v>
      </c>
      <c r="E2223" s="3" t="s">
        <v>2341</v>
      </c>
      <c r="F2223" s="3">
        <v>1.6E-7</v>
      </c>
    </row>
    <row r="2224" spans="1:6" x14ac:dyDescent="0.25">
      <c r="A2224" s="2">
        <v>75198</v>
      </c>
      <c r="B2224" s="3">
        <v>123</v>
      </c>
      <c r="C2224" s="3">
        <v>75</v>
      </c>
      <c r="D2224" s="3">
        <v>1.6E-7</v>
      </c>
      <c r="E2224" s="3" t="s">
        <v>2342</v>
      </c>
      <c r="F2224" s="3">
        <v>1.6E-7</v>
      </c>
    </row>
    <row r="2225" spans="1:6" x14ac:dyDescent="0.25">
      <c r="A2225" s="2">
        <v>75199</v>
      </c>
      <c r="B2225" s="3">
        <v>124</v>
      </c>
      <c r="C2225" s="3">
        <v>75</v>
      </c>
      <c r="D2225" s="3">
        <v>1.6E-7</v>
      </c>
      <c r="E2225" s="3" t="s">
        <v>2343</v>
      </c>
      <c r="F2225" s="3">
        <v>1.6E-7</v>
      </c>
    </row>
    <row r="2226" spans="1:6" x14ac:dyDescent="0.25">
      <c r="A2226" s="2">
        <v>76161</v>
      </c>
      <c r="B2226" s="3">
        <v>85</v>
      </c>
      <c r="C2226" s="3">
        <v>76</v>
      </c>
      <c r="D2226" s="3">
        <v>6.3999999999999897E-4</v>
      </c>
      <c r="E2226" s="3" t="s">
        <v>2344</v>
      </c>
      <c r="F2226" s="3">
        <v>6.3999999999999897E-4</v>
      </c>
    </row>
    <row r="2227" spans="1:6" x14ac:dyDescent="0.25">
      <c r="A2227" s="2">
        <v>76162</v>
      </c>
      <c r="B2227" s="3">
        <v>86</v>
      </c>
      <c r="C2227" s="3">
        <v>76</v>
      </c>
      <c r="D2227" s="3">
        <v>2.0999999999999999E-3</v>
      </c>
      <c r="E2227" s="3" t="s">
        <v>2345</v>
      </c>
      <c r="F2227" s="3">
        <v>2.0999999999999999E-3</v>
      </c>
    </row>
    <row r="2228" spans="1:6" x14ac:dyDescent="0.25">
      <c r="A2228" s="2">
        <v>76163</v>
      </c>
      <c r="B2228" s="3">
        <v>87</v>
      </c>
      <c r="C2228" s="3">
        <v>76</v>
      </c>
      <c r="D2228" s="3">
        <v>5.4999999999999997E-3</v>
      </c>
      <c r="E2228" s="3" t="s">
        <v>2346</v>
      </c>
      <c r="F2228" s="3">
        <v>5.4999999999999997E-3</v>
      </c>
    </row>
    <row r="2229" spans="1:6" x14ac:dyDescent="0.25">
      <c r="A2229" s="2">
        <v>76164</v>
      </c>
      <c r="B2229" s="3">
        <v>88</v>
      </c>
      <c r="C2229" s="3">
        <v>76</v>
      </c>
      <c r="D2229" s="3">
        <v>2.1000000000000001E-2</v>
      </c>
      <c r="E2229" s="3" t="s">
        <v>2347</v>
      </c>
      <c r="F2229" s="3">
        <v>2.1000000000000001E-2</v>
      </c>
    </row>
    <row r="2230" spans="1:6" x14ac:dyDescent="0.25">
      <c r="A2230" s="2">
        <v>76165</v>
      </c>
      <c r="B2230" s="3">
        <v>89</v>
      </c>
      <c r="C2230" s="3">
        <v>76</v>
      </c>
      <c r="D2230" s="3">
        <v>7.0999999999999994E-2</v>
      </c>
      <c r="E2230" s="3" t="s">
        <v>2348</v>
      </c>
      <c r="F2230" s="3">
        <v>7.0999999999999994E-2</v>
      </c>
    </row>
    <row r="2231" spans="1:6" x14ac:dyDescent="0.25">
      <c r="A2231" s="2">
        <v>76166</v>
      </c>
      <c r="B2231" s="3">
        <v>90</v>
      </c>
      <c r="C2231" s="3">
        <v>76</v>
      </c>
      <c r="D2231" s="3">
        <v>0.20799999999999999</v>
      </c>
      <c r="E2231" s="3" t="s">
        <v>2349</v>
      </c>
      <c r="F2231" s="3">
        <v>0.20799999999999999</v>
      </c>
    </row>
    <row r="2232" spans="1:6" x14ac:dyDescent="0.25">
      <c r="A2232" s="2">
        <v>76167</v>
      </c>
      <c r="B2232" s="3">
        <v>91</v>
      </c>
      <c r="C2232" s="3">
        <v>76</v>
      </c>
      <c r="D2232" s="3">
        <v>0.81</v>
      </c>
      <c r="E2232" s="3" t="s">
        <v>2350</v>
      </c>
      <c r="F2232" s="3">
        <v>0.81</v>
      </c>
    </row>
    <row r="2233" spans="1:6" x14ac:dyDescent="0.25">
      <c r="A2233" s="2">
        <v>76168</v>
      </c>
      <c r="B2233" s="3">
        <v>92</v>
      </c>
      <c r="C2233" s="3">
        <v>76</v>
      </c>
      <c r="D2233" s="3">
        <v>2.1</v>
      </c>
      <c r="E2233" s="3" t="s">
        <v>2351</v>
      </c>
      <c r="F2233" s="3">
        <v>2.1</v>
      </c>
    </row>
    <row r="2234" spans="1:6" x14ac:dyDescent="0.25">
      <c r="A2234" s="2">
        <v>76169</v>
      </c>
      <c r="B2234" s="3">
        <v>93</v>
      </c>
      <c r="C2234" s="3">
        <v>76</v>
      </c>
      <c r="D2234" s="3">
        <v>3.43</v>
      </c>
      <c r="E2234" s="3" t="s">
        <v>2352</v>
      </c>
      <c r="F2234" s="3">
        <v>3.43</v>
      </c>
    </row>
    <row r="2235" spans="1:6" x14ac:dyDescent="0.25">
      <c r="A2235" s="2">
        <v>76170</v>
      </c>
      <c r="B2235" s="3">
        <v>94</v>
      </c>
      <c r="C2235" s="3">
        <v>76</v>
      </c>
      <c r="D2235" s="3">
        <v>7.37</v>
      </c>
      <c r="E2235" s="3" t="s">
        <v>2353</v>
      </c>
      <c r="F2235" s="3">
        <v>7.37</v>
      </c>
    </row>
    <row r="2236" spans="1:6" x14ac:dyDescent="0.25">
      <c r="A2236" s="2">
        <v>76171</v>
      </c>
      <c r="B2236" s="3">
        <v>95</v>
      </c>
      <c r="C2236" s="3">
        <v>76</v>
      </c>
      <c r="D2236" s="3">
        <v>8.3000000000000007</v>
      </c>
      <c r="E2236" s="3" t="s">
        <v>2354</v>
      </c>
      <c r="F2236" s="3">
        <v>8.3000000000000007</v>
      </c>
    </row>
    <row r="2237" spans="1:6" x14ac:dyDescent="0.25">
      <c r="A2237" s="2">
        <v>76172</v>
      </c>
      <c r="B2237" s="3">
        <v>96</v>
      </c>
      <c r="C2237" s="3">
        <v>76</v>
      </c>
      <c r="D2237" s="3">
        <v>19.2</v>
      </c>
      <c r="E2237" s="3" t="s">
        <v>2355</v>
      </c>
      <c r="F2237" s="3">
        <v>19.2</v>
      </c>
    </row>
    <row r="2238" spans="1:6" x14ac:dyDescent="0.25">
      <c r="A2238" s="2">
        <v>76173</v>
      </c>
      <c r="B2238" s="3">
        <v>97</v>
      </c>
      <c r="C2238" s="3">
        <v>76</v>
      </c>
      <c r="D2238" s="3">
        <v>22.4</v>
      </c>
      <c r="E2238" s="3" t="s">
        <v>2356</v>
      </c>
      <c r="F2238" s="3">
        <v>22.4</v>
      </c>
    </row>
    <row r="2239" spans="1:6" x14ac:dyDescent="0.25">
      <c r="A2239" s="2">
        <v>76174</v>
      </c>
      <c r="B2239" s="3">
        <v>98</v>
      </c>
      <c r="C2239" s="3">
        <v>76</v>
      </c>
      <c r="D2239" s="3">
        <v>44</v>
      </c>
      <c r="E2239" s="3" t="s">
        <v>2357</v>
      </c>
      <c r="F2239" s="3">
        <v>44</v>
      </c>
    </row>
    <row r="2240" spans="1:6" x14ac:dyDescent="0.25">
      <c r="A2240" s="2">
        <v>76175</v>
      </c>
      <c r="B2240" s="3">
        <v>99</v>
      </c>
      <c r="C2240" s="3">
        <v>76</v>
      </c>
      <c r="D2240" s="3">
        <v>84</v>
      </c>
      <c r="E2240" s="3" t="s">
        <v>2358</v>
      </c>
      <c r="F2240" s="3">
        <v>84</v>
      </c>
    </row>
    <row r="2241" spans="1:6" x14ac:dyDescent="0.25">
      <c r="A2241" s="2">
        <v>76176</v>
      </c>
      <c r="B2241" s="3">
        <v>100</v>
      </c>
      <c r="C2241" s="3">
        <v>76</v>
      </c>
      <c r="D2241" s="3">
        <v>216</v>
      </c>
      <c r="E2241" s="3" t="s">
        <v>2359</v>
      </c>
      <c r="F2241" s="3">
        <v>216</v>
      </c>
    </row>
    <row r="2242" spans="1:6" x14ac:dyDescent="0.25">
      <c r="A2242" s="2">
        <v>76177</v>
      </c>
      <c r="B2242" s="3">
        <v>101</v>
      </c>
      <c r="C2242" s="3">
        <v>76</v>
      </c>
      <c r="D2242" s="3">
        <v>180</v>
      </c>
      <c r="E2242" s="3" t="s">
        <v>2360</v>
      </c>
      <c r="F2242" s="3">
        <v>180</v>
      </c>
    </row>
    <row r="2243" spans="1:6" x14ac:dyDescent="0.25">
      <c r="A2243" s="2">
        <v>76178</v>
      </c>
      <c r="B2243" s="3">
        <v>102</v>
      </c>
      <c r="C2243" s="3">
        <v>76</v>
      </c>
      <c r="D2243" s="3">
        <v>300</v>
      </c>
      <c r="E2243" s="3" t="s">
        <v>2361</v>
      </c>
      <c r="F2243" s="3">
        <v>300</v>
      </c>
    </row>
    <row r="2244" spans="1:6" x14ac:dyDescent="0.25">
      <c r="A2244" s="2">
        <v>76179</v>
      </c>
      <c r="B2244" s="3">
        <v>103</v>
      </c>
      <c r="C2244" s="3">
        <v>76</v>
      </c>
      <c r="D2244" s="3">
        <v>390</v>
      </c>
      <c r="E2244" s="3" t="s">
        <v>2362</v>
      </c>
      <c r="F2244" s="3">
        <v>390</v>
      </c>
    </row>
    <row r="2245" spans="1:6" x14ac:dyDescent="0.25">
      <c r="A2245" s="2">
        <v>76180</v>
      </c>
      <c r="B2245" s="3">
        <v>104</v>
      </c>
      <c r="C2245" s="3">
        <v>76</v>
      </c>
      <c r="D2245" s="3">
        <v>1290</v>
      </c>
      <c r="E2245" s="3" t="s">
        <v>2363</v>
      </c>
      <c r="F2245" s="3">
        <v>1290</v>
      </c>
    </row>
    <row r="2246" spans="1:6" x14ac:dyDescent="0.25">
      <c r="A2246" s="2">
        <v>76181</v>
      </c>
      <c r="B2246" s="3">
        <v>105</v>
      </c>
      <c r="C2246" s="3">
        <v>76</v>
      </c>
      <c r="D2246" s="3">
        <v>6300</v>
      </c>
      <c r="E2246" s="3" t="s">
        <v>2364</v>
      </c>
      <c r="F2246" s="3">
        <v>6300</v>
      </c>
    </row>
    <row r="2247" spans="1:6" x14ac:dyDescent="0.25">
      <c r="A2247" s="2">
        <v>76182</v>
      </c>
      <c r="B2247" s="3">
        <v>106</v>
      </c>
      <c r="C2247" s="3">
        <v>76</v>
      </c>
      <c r="D2247" s="3">
        <v>78624</v>
      </c>
      <c r="E2247" s="3" t="s">
        <v>2365</v>
      </c>
      <c r="F2247" s="3">
        <v>78624</v>
      </c>
    </row>
    <row r="2248" spans="1:6" x14ac:dyDescent="0.25">
      <c r="A2248" s="2">
        <v>76183</v>
      </c>
      <c r="B2248" s="3">
        <v>107</v>
      </c>
      <c r="C2248" s="3">
        <v>76</v>
      </c>
      <c r="D2248" s="3">
        <v>46800</v>
      </c>
      <c r="E2248" s="3" t="s">
        <v>2366</v>
      </c>
      <c r="F2248" s="3">
        <v>46800</v>
      </c>
    </row>
    <row r="2249" spans="1:6" x14ac:dyDescent="0.25">
      <c r="A2249" s="2">
        <v>76184</v>
      </c>
      <c r="B2249" s="3">
        <v>108</v>
      </c>
      <c r="C2249" s="3">
        <v>76</v>
      </c>
      <c r="D2249" s="3">
        <v>1.7672256E+21</v>
      </c>
      <c r="E2249" s="3" t="s">
        <v>2367</v>
      </c>
      <c r="F2249" s="3">
        <v>1.7672256E+21</v>
      </c>
    </row>
    <row r="2250" spans="1:6" x14ac:dyDescent="0.25">
      <c r="A2250" s="2">
        <v>76185</v>
      </c>
      <c r="B2250" s="3">
        <v>109</v>
      </c>
      <c r="C2250" s="3">
        <v>76</v>
      </c>
      <c r="D2250" s="3">
        <v>8087039.9999999898</v>
      </c>
      <c r="E2250" s="3" t="s">
        <v>2368</v>
      </c>
      <c r="F2250" s="3">
        <v>8087039.9999999898</v>
      </c>
    </row>
    <row r="2251" spans="1:6" x14ac:dyDescent="0.25">
      <c r="A2251" s="2">
        <v>76186</v>
      </c>
      <c r="B2251" s="3">
        <v>110</v>
      </c>
      <c r="C2251" s="3">
        <v>76</v>
      </c>
      <c r="D2251" s="3">
        <v>6.3115200000000002E+22</v>
      </c>
      <c r="E2251" s="3" t="s">
        <v>2369</v>
      </c>
      <c r="F2251" s="3">
        <v>6.3115200000000002E+22</v>
      </c>
    </row>
    <row r="2252" spans="1:6" x14ac:dyDescent="0.25">
      <c r="A2252" s="2">
        <v>76187</v>
      </c>
      <c r="B2252" s="3">
        <v>111</v>
      </c>
      <c r="C2252" s="3">
        <v>76</v>
      </c>
      <c r="D2252" s="3" t="s">
        <v>4</v>
      </c>
      <c r="E2252" s="3" t="s">
        <v>2370</v>
      </c>
      <c r="F2252" s="3" t="s">
        <v>4</v>
      </c>
    </row>
    <row r="2253" spans="1:6" x14ac:dyDescent="0.25">
      <c r="A2253" s="2">
        <v>76188</v>
      </c>
      <c r="B2253" s="3">
        <v>112</v>
      </c>
      <c r="C2253" s="3">
        <v>76</v>
      </c>
      <c r="D2253" s="3" t="s">
        <v>4</v>
      </c>
      <c r="E2253" s="3" t="s">
        <v>2371</v>
      </c>
      <c r="F2253" s="3" t="s">
        <v>4</v>
      </c>
    </row>
    <row r="2254" spans="1:6" x14ac:dyDescent="0.25">
      <c r="A2254" s="2">
        <v>76189</v>
      </c>
      <c r="B2254" s="3">
        <v>113</v>
      </c>
      <c r="C2254" s="3">
        <v>76</v>
      </c>
      <c r="D2254" s="3" t="s">
        <v>4</v>
      </c>
      <c r="E2254" s="3" t="s">
        <v>2372</v>
      </c>
      <c r="F2254" s="3" t="s">
        <v>4</v>
      </c>
    </row>
    <row r="2255" spans="1:6" x14ac:dyDescent="0.25">
      <c r="A2255" s="2">
        <v>76190</v>
      </c>
      <c r="B2255" s="3">
        <v>114</v>
      </c>
      <c r="C2255" s="3">
        <v>76</v>
      </c>
      <c r="D2255" s="3" t="s">
        <v>4</v>
      </c>
      <c r="E2255" s="3" t="s">
        <v>2373</v>
      </c>
      <c r="F2255" s="3" t="s">
        <v>4</v>
      </c>
    </row>
    <row r="2256" spans="1:6" x14ac:dyDescent="0.25">
      <c r="A2256" s="2">
        <v>76191</v>
      </c>
      <c r="B2256" s="3">
        <v>115</v>
      </c>
      <c r="C2256" s="3">
        <v>76</v>
      </c>
      <c r="D2256" s="3">
        <v>1330560</v>
      </c>
      <c r="E2256" s="3" t="s">
        <v>2374</v>
      </c>
      <c r="F2256" s="3">
        <v>1330560</v>
      </c>
    </row>
    <row r="2257" spans="1:6" x14ac:dyDescent="0.25">
      <c r="A2257" s="2">
        <v>76192</v>
      </c>
      <c r="B2257" s="3">
        <v>116</v>
      </c>
      <c r="C2257" s="3">
        <v>76</v>
      </c>
      <c r="D2257" s="3" t="s">
        <v>4</v>
      </c>
      <c r="E2257" s="3" t="s">
        <v>2375</v>
      </c>
      <c r="F2257" s="3" t="s">
        <v>4</v>
      </c>
    </row>
    <row r="2258" spans="1:6" x14ac:dyDescent="0.25">
      <c r="A2258" s="2">
        <v>76193</v>
      </c>
      <c r="B2258" s="3">
        <v>117</v>
      </c>
      <c r="C2258" s="3">
        <v>76</v>
      </c>
      <c r="D2258" s="3">
        <v>108396</v>
      </c>
      <c r="E2258" s="3" t="s">
        <v>2376</v>
      </c>
      <c r="F2258" s="3">
        <v>108396</v>
      </c>
    </row>
    <row r="2259" spans="1:6" x14ac:dyDescent="0.25">
      <c r="A2259" s="2">
        <v>76194</v>
      </c>
      <c r="B2259" s="3">
        <v>118</v>
      </c>
      <c r="C2259" s="3">
        <v>76</v>
      </c>
      <c r="D2259" s="3">
        <v>189345600</v>
      </c>
      <c r="E2259" s="3" t="s">
        <v>2377</v>
      </c>
      <c r="F2259" s="3">
        <v>189345600</v>
      </c>
    </row>
    <row r="2260" spans="1:6" x14ac:dyDescent="0.25">
      <c r="A2260" s="2">
        <v>76195</v>
      </c>
      <c r="B2260" s="3">
        <v>119</v>
      </c>
      <c r="C2260" s="3">
        <v>76</v>
      </c>
      <c r="D2260" s="3">
        <v>540</v>
      </c>
      <c r="E2260" s="3" t="s">
        <v>2378</v>
      </c>
      <c r="F2260" s="3">
        <v>540</v>
      </c>
    </row>
    <row r="2261" spans="1:6" x14ac:dyDescent="0.25">
      <c r="A2261" s="2">
        <v>76196</v>
      </c>
      <c r="B2261" s="3">
        <v>120</v>
      </c>
      <c r="C2261" s="3">
        <v>76</v>
      </c>
      <c r="D2261" s="3">
        <v>2094</v>
      </c>
      <c r="E2261" s="3" t="s">
        <v>2379</v>
      </c>
      <c r="F2261" s="3">
        <v>2094</v>
      </c>
    </row>
    <row r="2262" spans="1:6" x14ac:dyDescent="0.25">
      <c r="A2262" s="2">
        <v>76197</v>
      </c>
      <c r="B2262" s="3">
        <v>121</v>
      </c>
      <c r="C2262" s="3">
        <v>76</v>
      </c>
      <c r="D2262" s="3">
        <v>168</v>
      </c>
      <c r="E2262" s="3" t="s">
        <v>2380</v>
      </c>
      <c r="F2262" s="3">
        <v>168</v>
      </c>
    </row>
    <row r="2263" spans="1:6" x14ac:dyDescent="0.25">
      <c r="A2263" s="2">
        <v>76199</v>
      </c>
      <c r="B2263" s="3">
        <v>123</v>
      </c>
      <c r="C2263" s="3">
        <v>76</v>
      </c>
      <c r="D2263" s="3">
        <v>5</v>
      </c>
      <c r="E2263" s="3" t="s">
        <v>2381</v>
      </c>
      <c r="F2263" s="3">
        <v>5</v>
      </c>
    </row>
    <row r="2264" spans="1:6" x14ac:dyDescent="0.25">
      <c r="A2264" s="2">
        <v>76200</v>
      </c>
      <c r="B2264" s="3">
        <v>124</v>
      </c>
      <c r="C2264" s="3">
        <v>76</v>
      </c>
      <c r="D2264" s="3">
        <v>6</v>
      </c>
      <c r="E2264" s="3" t="s">
        <v>2382</v>
      </c>
      <c r="F2264" s="3">
        <v>6</v>
      </c>
    </row>
    <row r="2265" spans="1:6" x14ac:dyDescent="0.25">
      <c r="A2265" s="2">
        <v>76201</v>
      </c>
      <c r="B2265" s="3">
        <v>125</v>
      </c>
      <c r="C2265" s="3">
        <v>76</v>
      </c>
      <c r="D2265" s="3">
        <v>1.6E-7</v>
      </c>
      <c r="E2265" s="3" t="s">
        <v>2383</v>
      </c>
      <c r="F2265" s="3">
        <v>1.6E-7</v>
      </c>
    </row>
    <row r="2266" spans="1:6" x14ac:dyDescent="0.25">
      <c r="A2266" s="2">
        <v>76202</v>
      </c>
      <c r="B2266" s="3">
        <v>126</v>
      </c>
      <c r="C2266" s="3">
        <v>76</v>
      </c>
      <c r="D2266" s="3">
        <v>1.6E-7</v>
      </c>
      <c r="E2266" s="3" t="s">
        <v>2384</v>
      </c>
      <c r="F2266" s="3">
        <v>1.6E-7</v>
      </c>
    </row>
    <row r="2267" spans="1:6" x14ac:dyDescent="0.25">
      <c r="A2267" s="2">
        <v>76203</v>
      </c>
      <c r="B2267" s="3">
        <v>127</v>
      </c>
      <c r="C2267" s="3">
        <v>76</v>
      </c>
      <c r="D2267" s="3">
        <v>1.6E-7</v>
      </c>
      <c r="E2267" s="3" t="s">
        <v>2385</v>
      </c>
      <c r="F2267" s="3">
        <v>1.6E-7</v>
      </c>
    </row>
    <row r="2268" spans="1:6" x14ac:dyDescent="0.25">
      <c r="A2268" s="2">
        <v>77164</v>
      </c>
      <c r="B2268" s="3">
        <v>87</v>
      </c>
      <c r="C2268" s="3">
        <v>77</v>
      </c>
      <c r="D2268" s="3">
        <v>6.9999999999999994E-5</v>
      </c>
      <c r="E2268" s="3" t="s">
        <v>2386</v>
      </c>
      <c r="F2268" s="3">
        <v>6.9999999999999994E-5</v>
      </c>
    </row>
    <row r="2269" spans="1:6" x14ac:dyDescent="0.25">
      <c r="A2269" s="2">
        <v>77166</v>
      </c>
      <c r="B2269" s="3">
        <v>89</v>
      </c>
      <c r="C2269" s="3">
        <v>77</v>
      </c>
      <c r="D2269" s="3">
        <v>1.0500000000000001E-2</v>
      </c>
      <c r="E2269" s="3" t="s">
        <v>2387</v>
      </c>
      <c r="F2269" s="3">
        <v>1.0500000000000001E-2</v>
      </c>
    </row>
    <row r="2270" spans="1:6" x14ac:dyDescent="0.25">
      <c r="A2270" s="2">
        <v>77167</v>
      </c>
      <c r="B2270" s="3">
        <v>90</v>
      </c>
      <c r="C2270" s="3">
        <v>77</v>
      </c>
      <c r="D2270" s="3">
        <v>0.03</v>
      </c>
      <c r="E2270" s="3" t="s">
        <v>2388</v>
      </c>
      <c r="F2270" s="3">
        <v>0.03</v>
      </c>
    </row>
    <row r="2271" spans="1:6" x14ac:dyDescent="0.25">
      <c r="A2271" s="2">
        <v>77168</v>
      </c>
      <c r="B2271" s="3">
        <v>91</v>
      </c>
      <c r="C2271" s="3">
        <v>77</v>
      </c>
      <c r="D2271" s="3">
        <v>0.222</v>
      </c>
      <c r="E2271" s="3" t="s">
        <v>2389</v>
      </c>
      <c r="F2271" s="3">
        <v>0.222</v>
      </c>
    </row>
    <row r="2272" spans="1:6" x14ac:dyDescent="0.25">
      <c r="A2272" s="2">
        <v>77169</v>
      </c>
      <c r="B2272" s="3">
        <v>92</v>
      </c>
      <c r="C2272" s="3">
        <v>77</v>
      </c>
      <c r="D2272" s="3">
        <v>0.56999999999999995</v>
      </c>
      <c r="E2272" s="3" t="s">
        <v>2390</v>
      </c>
      <c r="F2272" s="3">
        <v>0.56999999999999995</v>
      </c>
    </row>
    <row r="2273" spans="1:6" x14ac:dyDescent="0.25">
      <c r="A2273" s="2">
        <v>77170</v>
      </c>
      <c r="B2273" s="3">
        <v>93</v>
      </c>
      <c r="C2273" s="3">
        <v>77</v>
      </c>
      <c r="D2273" s="3">
        <v>0.87</v>
      </c>
      <c r="E2273" s="3" t="s">
        <v>2391</v>
      </c>
      <c r="F2273" s="3">
        <v>0.87</v>
      </c>
    </row>
    <row r="2274" spans="1:6" x14ac:dyDescent="0.25">
      <c r="A2274" s="2">
        <v>77171</v>
      </c>
      <c r="B2274" s="3">
        <v>94</v>
      </c>
      <c r="C2274" s="3">
        <v>77</v>
      </c>
      <c r="D2274" s="3">
        <v>3.2</v>
      </c>
      <c r="E2274" s="3" t="s">
        <v>2392</v>
      </c>
      <c r="F2274" s="3">
        <v>3.2</v>
      </c>
    </row>
    <row r="2275" spans="1:6" x14ac:dyDescent="0.25">
      <c r="A2275" s="2">
        <v>77172</v>
      </c>
      <c r="B2275" s="3">
        <v>95</v>
      </c>
      <c r="C2275" s="3">
        <v>77</v>
      </c>
      <c r="D2275" s="3">
        <v>4.4000000000000004</v>
      </c>
      <c r="E2275" s="3" t="s">
        <v>2393</v>
      </c>
      <c r="F2275" s="3">
        <v>4.4000000000000004</v>
      </c>
    </row>
    <row r="2276" spans="1:6" x14ac:dyDescent="0.25">
      <c r="A2276" s="2">
        <v>77173</v>
      </c>
      <c r="B2276" s="3">
        <v>96</v>
      </c>
      <c r="C2276" s="3">
        <v>77</v>
      </c>
      <c r="D2276" s="3">
        <v>9</v>
      </c>
      <c r="E2276" s="3" t="s">
        <v>2394</v>
      </c>
      <c r="F2276" s="3">
        <v>9</v>
      </c>
    </row>
    <row r="2277" spans="1:6" x14ac:dyDescent="0.25">
      <c r="A2277" s="2">
        <v>77174</v>
      </c>
      <c r="B2277" s="3">
        <v>97</v>
      </c>
      <c r="C2277" s="3">
        <v>77</v>
      </c>
      <c r="D2277" s="3">
        <v>7.9</v>
      </c>
      <c r="E2277" s="3" t="s">
        <v>2395</v>
      </c>
      <c r="F2277" s="3">
        <v>7.9</v>
      </c>
    </row>
    <row r="2278" spans="1:6" x14ac:dyDescent="0.25">
      <c r="A2278" s="2">
        <v>77175</v>
      </c>
      <c r="B2278" s="3">
        <v>98</v>
      </c>
      <c r="C2278" s="3">
        <v>77</v>
      </c>
      <c r="D2278" s="3">
        <v>9</v>
      </c>
      <c r="E2278" s="3" t="s">
        <v>2396</v>
      </c>
      <c r="F2278" s="3">
        <v>9</v>
      </c>
    </row>
    <row r="2279" spans="1:6" x14ac:dyDescent="0.25">
      <c r="A2279" s="2">
        <v>77176</v>
      </c>
      <c r="B2279" s="3">
        <v>99</v>
      </c>
      <c r="C2279" s="3">
        <v>77</v>
      </c>
      <c r="D2279" s="3">
        <v>8.6</v>
      </c>
      <c r="E2279" s="3" t="s">
        <v>2397</v>
      </c>
      <c r="F2279" s="3">
        <v>8.6</v>
      </c>
    </row>
    <row r="2280" spans="1:6" x14ac:dyDescent="0.25">
      <c r="A2280" s="2">
        <v>77177</v>
      </c>
      <c r="B2280" s="3">
        <v>100</v>
      </c>
      <c r="C2280" s="3">
        <v>77</v>
      </c>
      <c r="D2280" s="3">
        <v>30</v>
      </c>
      <c r="E2280" s="3" t="s">
        <v>2398</v>
      </c>
      <c r="F2280" s="3">
        <v>30</v>
      </c>
    </row>
    <row r="2281" spans="1:6" x14ac:dyDescent="0.25">
      <c r="A2281" s="2">
        <v>77178</v>
      </c>
      <c r="B2281" s="3">
        <v>101</v>
      </c>
      <c r="C2281" s="3">
        <v>77</v>
      </c>
      <c r="D2281" s="3">
        <v>12</v>
      </c>
      <c r="E2281" s="3" t="s">
        <v>2399</v>
      </c>
      <c r="F2281" s="3">
        <v>12</v>
      </c>
    </row>
    <row r="2282" spans="1:6" x14ac:dyDescent="0.25">
      <c r="A2282" s="2">
        <v>77179</v>
      </c>
      <c r="B2282" s="3">
        <v>102</v>
      </c>
      <c r="C2282" s="3">
        <v>77</v>
      </c>
      <c r="D2282" s="3">
        <v>79</v>
      </c>
      <c r="E2282" s="3" t="s">
        <v>2400</v>
      </c>
      <c r="F2282" s="3">
        <v>79</v>
      </c>
    </row>
    <row r="2283" spans="1:6" x14ac:dyDescent="0.25">
      <c r="A2283" s="2">
        <v>77180</v>
      </c>
      <c r="B2283" s="3">
        <v>103</v>
      </c>
      <c r="C2283" s="3">
        <v>77</v>
      </c>
      <c r="D2283" s="3">
        <v>90</v>
      </c>
      <c r="E2283" s="3" t="s">
        <v>2401</v>
      </c>
      <c r="F2283" s="3">
        <v>90</v>
      </c>
    </row>
    <row r="2284" spans="1:6" x14ac:dyDescent="0.25">
      <c r="A2284" s="2">
        <v>77181</v>
      </c>
      <c r="B2284" s="3">
        <v>104</v>
      </c>
      <c r="C2284" s="3">
        <v>77</v>
      </c>
      <c r="D2284" s="3">
        <v>294</v>
      </c>
      <c r="E2284" s="3" t="s">
        <v>2402</v>
      </c>
      <c r="F2284" s="3">
        <v>294</v>
      </c>
    </row>
    <row r="2285" spans="1:6" x14ac:dyDescent="0.25">
      <c r="A2285" s="2">
        <v>77182</v>
      </c>
      <c r="B2285" s="3">
        <v>105</v>
      </c>
      <c r="C2285" s="3">
        <v>77</v>
      </c>
      <c r="D2285" s="3">
        <v>900</v>
      </c>
      <c r="E2285" s="3" t="s">
        <v>2403</v>
      </c>
      <c r="F2285" s="3">
        <v>900</v>
      </c>
    </row>
    <row r="2286" spans="1:6" x14ac:dyDescent="0.25">
      <c r="A2286" s="2">
        <v>77183</v>
      </c>
      <c r="B2286" s="3">
        <v>106</v>
      </c>
      <c r="C2286" s="3">
        <v>77</v>
      </c>
      <c r="D2286" s="3">
        <v>3480</v>
      </c>
      <c r="E2286" s="3" t="s">
        <v>2404</v>
      </c>
      <c r="F2286" s="3">
        <v>3480</v>
      </c>
    </row>
    <row r="2287" spans="1:6" x14ac:dyDescent="0.25">
      <c r="A2287" s="2">
        <v>77184</v>
      </c>
      <c r="B2287" s="3">
        <v>107</v>
      </c>
      <c r="C2287" s="3">
        <v>77</v>
      </c>
      <c r="D2287" s="3">
        <v>11124</v>
      </c>
      <c r="E2287" s="3" t="s">
        <v>2405</v>
      </c>
      <c r="F2287" s="3">
        <v>11124</v>
      </c>
    </row>
    <row r="2288" spans="1:6" x14ac:dyDescent="0.25">
      <c r="A2288" s="2">
        <v>77185</v>
      </c>
      <c r="B2288" s="3">
        <v>108</v>
      </c>
      <c r="C2288" s="3">
        <v>77</v>
      </c>
      <c r="D2288" s="3">
        <v>51840</v>
      </c>
      <c r="E2288" s="3" t="s">
        <v>2406</v>
      </c>
      <c r="F2288" s="3">
        <v>51840</v>
      </c>
    </row>
    <row r="2289" spans="1:6" x14ac:dyDescent="0.25">
      <c r="A2289" s="2">
        <v>77186</v>
      </c>
      <c r="B2289" s="3">
        <v>109</v>
      </c>
      <c r="C2289" s="3">
        <v>77</v>
      </c>
      <c r="D2289" s="3">
        <v>59904</v>
      </c>
      <c r="E2289" s="3" t="s">
        <v>2407</v>
      </c>
      <c r="F2289" s="3">
        <v>59904</v>
      </c>
    </row>
    <row r="2290" spans="1:6" x14ac:dyDescent="0.25">
      <c r="A2290" s="2">
        <v>77187</v>
      </c>
      <c r="B2290" s="3">
        <v>110</v>
      </c>
      <c r="C2290" s="3">
        <v>77</v>
      </c>
      <c r="D2290" s="3">
        <v>37800</v>
      </c>
      <c r="E2290" s="3" t="s">
        <v>2408</v>
      </c>
      <c r="F2290" s="3">
        <v>37800</v>
      </c>
    </row>
    <row r="2291" spans="1:6" x14ac:dyDescent="0.25">
      <c r="A2291" s="2">
        <v>77188</v>
      </c>
      <c r="B2291" s="3">
        <v>111</v>
      </c>
      <c r="C2291" s="3">
        <v>77</v>
      </c>
      <c r="D2291" s="3">
        <v>149400</v>
      </c>
      <c r="E2291" s="3" t="s">
        <v>2409</v>
      </c>
      <c r="F2291" s="3">
        <v>149400</v>
      </c>
    </row>
    <row r="2292" spans="1:6" x14ac:dyDescent="0.25">
      <c r="A2292" s="2">
        <v>77189</v>
      </c>
      <c r="B2292" s="3">
        <v>112</v>
      </c>
      <c r="C2292" s="3">
        <v>77</v>
      </c>
      <c r="D2292" s="3">
        <v>1140480</v>
      </c>
      <c r="E2292" s="3" t="s">
        <v>2410</v>
      </c>
      <c r="F2292" s="3">
        <v>1140480</v>
      </c>
    </row>
    <row r="2293" spans="1:6" x14ac:dyDescent="0.25">
      <c r="A2293" s="2">
        <v>77190</v>
      </c>
      <c r="B2293" s="3">
        <v>113</v>
      </c>
      <c r="C2293" s="3">
        <v>77</v>
      </c>
      <c r="D2293" s="3">
        <v>1017792</v>
      </c>
      <c r="E2293" s="3" t="s">
        <v>2411</v>
      </c>
      <c r="F2293" s="3">
        <v>1017792</v>
      </c>
    </row>
    <row r="2294" spans="1:6" x14ac:dyDescent="0.25">
      <c r="A2294" s="2">
        <v>77191</v>
      </c>
      <c r="B2294" s="3">
        <v>114</v>
      </c>
      <c r="C2294" s="3">
        <v>77</v>
      </c>
      <c r="D2294" s="3" t="s">
        <v>4</v>
      </c>
      <c r="E2294" s="3" t="s">
        <v>2412</v>
      </c>
      <c r="F2294" s="3" t="s">
        <v>4</v>
      </c>
    </row>
    <row r="2295" spans="1:6" x14ac:dyDescent="0.25">
      <c r="A2295" s="2">
        <v>77192</v>
      </c>
      <c r="B2295" s="3">
        <v>115</v>
      </c>
      <c r="C2295" s="3">
        <v>77</v>
      </c>
      <c r="D2295" s="3">
        <v>6378825.5999999996</v>
      </c>
      <c r="E2295" s="3" t="s">
        <v>2413</v>
      </c>
      <c r="F2295" s="3">
        <v>6378825.5999999996</v>
      </c>
    </row>
    <row r="2296" spans="1:6" x14ac:dyDescent="0.25">
      <c r="A2296" s="2">
        <v>77193</v>
      </c>
      <c r="B2296" s="3">
        <v>116</v>
      </c>
      <c r="C2296" s="3">
        <v>77</v>
      </c>
      <c r="D2296" s="3" t="s">
        <v>4</v>
      </c>
      <c r="E2296" s="3" t="s">
        <v>2414</v>
      </c>
      <c r="F2296" s="3" t="s">
        <v>4</v>
      </c>
    </row>
    <row r="2297" spans="1:6" x14ac:dyDescent="0.25">
      <c r="A2297" s="2">
        <v>77194</v>
      </c>
      <c r="B2297" s="3">
        <v>117</v>
      </c>
      <c r="C2297" s="3">
        <v>77</v>
      </c>
      <c r="D2297" s="3">
        <v>69408</v>
      </c>
      <c r="E2297" s="3" t="s">
        <v>2415</v>
      </c>
      <c r="F2297" s="3">
        <v>69408</v>
      </c>
    </row>
    <row r="2298" spans="1:6" x14ac:dyDescent="0.25">
      <c r="A2298" s="2">
        <v>77195</v>
      </c>
      <c r="B2298" s="3">
        <v>118</v>
      </c>
      <c r="C2298" s="3">
        <v>77</v>
      </c>
      <c r="D2298" s="3">
        <v>8244</v>
      </c>
      <c r="E2298" s="3" t="s">
        <v>2416</v>
      </c>
      <c r="F2298" s="3">
        <v>8244</v>
      </c>
    </row>
    <row r="2299" spans="1:6" x14ac:dyDescent="0.25">
      <c r="A2299" s="2">
        <v>77196</v>
      </c>
      <c r="B2299" s="3">
        <v>119</v>
      </c>
      <c r="C2299" s="3">
        <v>77</v>
      </c>
      <c r="D2299" s="3">
        <v>52</v>
      </c>
      <c r="E2299" s="3" t="s">
        <v>2417</v>
      </c>
      <c r="F2299" s="3">
        <v>52</v>
      </c>
    </row>
    <row r="2300" spans="1:6" x14ac:dyDescent="0.25">
      <c r="A2300" s="2">
        <v>77197</v>
      </c>
      <c r="B2300" s="3">
        <v>120</v>
      </c>
      <c r="C2300" s="3">
        <v>77</v>
      </c>
      <c r="D2300" s="3">
        <v>348</v>
      </c>
      <c r="E2300" s="3" t="s">
        <v>2418</v>
      </c>
      <c r="F2300" s="3">
        <v>348</v>
      </c>
    </row>
    <row r="2301" spans="1:6" x14ac:dyDescent="0.25">
      <c r="A2301" s="2">
        <v>77198</v>
      </c>
      <c r="B2301" s="3">
        <v>121</v>
      </c>
      <c r="C2301" s="3">
        <v>77</v>
      </c>
      <c r="D2301" s="3">
        <v>8</v>
      </c>
      <c r="E2301" s="3" t="s">
        <v>2419</v>
      </c>
      <c r="F2301" s="3">
        <v>8</v>
      </c>
    </row>
    <row r="2302" spans="1:6" x14ac:dyDescent="0.25">
      <c r="A2302" s="2">
        <v>77199</v>
      </c>
      <c r="B2302" s="3">
        <v>122</v>
      </c>
      <c r="C2302" s="3">
        <v>77</v>
      </c>
      <c r="D2302" s="3">
        <v>6</v>
      </c>
      <c r="E2302" s="3" t="s">
        <v>2420</v>
      </c>
      <c r="F2302" s="3">
        <v>6</v>
      </c>
    </row>
    <row r="2303" spans="1:6" x14ac:dyDescent="0.25">
      <c r="A2303" s="2">
        <v>77200</v>
      </c>
      <c r="B2303" s="3">
        <v>123</v>
      </c>
      <c r="C2303" s="3">
        <v>77</v>
      </c>
      <c r="D2303" s="3">
        <v>2.9999999999999999E-7</v>
      </c>
      <c r="E2303" s="3" t="s">
        <v>2421</v>
      </c>
      <c r="F2303" s="3">
        <v>2.9999999999999999E-7</v>
      </c>
    </row>
    <row r="2304" spans="1:6" x14ac:dyDescent="0.25">
      <c r="A2304" s="2">
        <v>77201</v>
      </c>
      <c r="B2304" s="3">
        <v>124</v>
      </c>
      <c r="C2304" s="3">
        <v>77</v>
      </c>
      <c r="D2304" s="3">
        <v>2.9999999999999999E-7</v>
      </c>
      <c r="E2304" s="3" t="s">
        <v>2422</v>
      </c>
      <c r="F2304" s="3">
        <v>2.9999999999999999E-7</v>
      </c>
    </row>
    <row r="2305" spans="1:6" x14ac:dyDescent="0.25">
      <c r="A2305" s="2">
        <v>77202</v>
      </c>
      <c r="B2305" s="3">
        <v>125</v>
      </c>
      <c r="C2305" s="3">
        <v>77</v>
      </c>
      <c r="D2305" s="3">
        <v>11</v>
      </c>
      <c r="E2305" s="3" t="s">
        <v>2423</v>
      </c>
      <c r="F2305" s="3">
        <v>11</v>
      </c>
    </row>
    <row r="2306" spans="1:6" x14ac:dyDescent="0.25">
      <c r="A2306" s="2">
        <v>77203</v>
      </c>
      <c r="B2306" s="3">
        <v>126</v>
      </c>
      <c r="C2306" s="3">
        <v>77</v>
      </c>
      <c r="D2306" s="3">
        <v>1.6E-7</v>
      </c>
      <c r="E2306" s="3" t="s">
        <v>2424</v>
      </c>
      <c r="F2306" s="3">
        <v>1.6E-7</v>
      </c>
    </row>
    <row r="2307" spans="1:6" x14ac:dyDescent="0.25">
      <c r="A2307" s="2">
        <v>77204</v>
      </c>
      <c r="B2307" s="3">
        <v>127</v>
      </c>
      <c r="C2307" s="3">
        <v>77</v>
      </c>
      <c r="D2307" s="3">
        <v>1.6E-7</v>
      </c>
      <c r="E2307" s="3" t="s">
        <v>2425</v>
      </c>
      <c r="F2307" s="3">
        <v>1.6E-7</v>
      </c>
    </row>
    <row r="2308" spans="1:6" x14ac:dyDescent="0.25">
      <c r="A2308" s="2">
        <v>77205</v>
      </c>
      <c r="B2308" s="3">
        <v>128</v>
      </c>
      <c r="C2308" s="3">
        <v>77</v>
      </c>
      <c r="D2308" s="3">
        <v>1.6E-7</v>
      </c>
      <c r="E2308" s="3" t="s">
        <v>2426</v>
      </c>
      <c r="F2308" s="3">
        <v>1.6E-7</v>
      </c>
    </row>
    <row r="2309" spans="1:6" x14ac:dyDescent="0.25">
      <c r="A2309" s="2">
        <v>78166</v>
      </c>
      <c r="B2309" s="3">
        <v>88</v>
      </c>
      <c r="C2309" s="3">
        <v>78</v>
      </c>
      <c r="D2309" s="3">
        <v>2.9999999999999997E-4</v>
      </c>
      <c r="E2309" s="3" t="s">
        <v>2427</v>
      </c>
      <c r="F2309" s="3">
        <v>2.9999999999999997E-4</v>
      </c>
    </row>
    <row r="2310" spans="1:6" x14ac:dyDescent="0.25">
      <c r="A2310" s="2">
        <v>78167</v>
      </c>
      <c r="B2310" s="3">
        <v>89</v>
      </c>
      <c r="C2310" s="3">
        <v>78</v>
      </c>
      <c r="D2310" s="3">
        <v>7.7999999999999999E-4</v>
      </c>
      <c r="E2310" s="3" t="s">
        <v>2428</v>
      </c>
      <c r="F2310" s="3">
        <v>7.7999999999999999E-4</v>
      </c>
    </row>
    <row r="2311" spans="1:6" x14ac:dyDescent="0.25">
      <c r="A2311" s="2">
        <v>78168</v>
      </c>
      <c r="B2311" s="3">
        <v>90</v>
      </c>
      <c r="C2311" s="3">
        <v>78</v>
      </c>
      <c r="D2311" s="3">
        <v>2.0200000000000001E-3</v>
      </c>
      <c r="E2311" s="3" t="s">
        <v>2429</v>
      </c>
      <c r="F2311" s="3">
        <v>2.0200000000000001E-3</v>
      </c>
    </row>
    <row r="2312" spans="1:6" x14ac:dyDescent="0.25">
      <c r="A2312" s="2">
        <v>78169</v>
      </c>
      <c r="B2312" s="3">
        <v>91</v>
      </c>
      <c r="C2312" s="3">
        <v>78</v>
      </c>
      <c r="D2312" s="3">
        <v>6.9899999999999997E-3</v>
      </c>
      <c r="E2312" s="3" t="s">
        <v>2430</v>
      </c>
      <c r="F2312" s="3">
        <v>6.9899999999999997E-3</v>
      </c>
    </row>
    <row r="2313" spans="1:6" x14ac:dyDescent="0.25">
      <c r="A2313" s="2">
        <v>78170</v>
      </c>
      <c r="B2313" s="3">
        <v>92</v>
      </c>
      <c r="C2313" s="3">
        <v>78</v>
      </c>
      <c r="D2313" s="3">
        <v>1.38E-2</v>
      </c>
      <c r="E2313" s="3" t="s">
        <v>2431</v>
      </c>
      <c r="F2313" s="3">
        <v>1.38E-2</v>
      </c>
    </row>
    <row r="2314" spans="1:6" x14ac:dyDescent="0.25">
      <c r="A2314" s="2">
        <v>78171</v>
      </c>
      <c r="B2314" s="3">
        <v>93</v>
      </c>
      <c r="C2314" s="3">
        <v>78</v>
      </c>
      <c r="D2314" s="3">
        <v>4.5499999999999999E-2</v>
      </c>
      <c r="E2314" s="3" t="s">
        <v>2432</v>
      </c>
      <c r="F2314" s="3">
        <v>4.5499999999999999E-2</v>
      </c>
    </row>
    <row r="2315" spans="1:6" x14ac:dyDescent="0.25">
      <c r="A2315" s="2">
        <v>78172</v>
      </c>
      <c r="B2315" s="3">
        <v>94</v>
      </c>
      <c r="C2315" s="3">
        <v>78</v>
      </c>
      <c r="D2315" s="3">
        <v>9.7599999999999895E-2</v>
      </c>
      <c r="E2315" s="3" t="s">
        <v>2433</v>
      </c>
      <c r="F2315" s="3">
        <v>9.7599999999999895E-2</v>
      </c>
    </row>
    <row r="2316" spans="1:6" x14ac:dyDescent="0.25">
      <c r="A2316" s="2">
        <v>78173</v>
      </c>
      <c r="B2316" s="3">
        <v>95</v>
      </c>
      <c r="C2316" s="3">
        <v>78</v>
      </c>
      <c r="D2316" s="3">
        <v>0.38200000000000001</v>
      </c>
      <c r="E2316" s="3" t="s">
        <v>2434</v>
      </c>
      <c r="F2316" s="3">
        <v>0.38200000000000001</v>
      </c>
    </row>
    <row r="2317" spans="1:6" x14ac:dyDescent="0.25">
      <c r="A2317" s="2">
        <v>78174</v>
      </c>
      <c r="B2317" s="3">
        <v>96</v>
      </c>
      <c r="C2317" s="3">
        <v>78</v>
      </c>
      <c r="D2317" s="3">
        <v>0.88900000000000001</v>
      </c>
      <c r="E2317" s="3" t="s">
        <v>2435</v>
      </c>
      <c r="F2317" s="3">
        <v>0.88900000000000001</v>
      </c>
    </row>
    <row r="2318" spans="1:6" x14ac:dyDescent="0.25">
      <c r="A2318" s="2">
        <v>78175</v>
      </c>
      <c r="B2318" s="3">
        <v>97</v>
      </c>
      <c r="C2318" s="3">
        <v>78</v>
      </c>
      <c r="D2318" s="3">
        <v>2.5299999999999998</v>
      </c>
      <c r="E2318" s="3" t="s">
        <v>2436</v>
      </c>
      <c r="F2318" s="3">
        <v>2.5299999999999998</v>
      </c>
    </row>
    <row r="2319" spans="1:6" x14ac:dyDescent="0.25">
      <c r="A2319" s="2">
        <v>78176</v>
      </c>
      <c r="B2319" s="3">
        <v>98</v>
      </c>
      <c r="C2319" s="3">
        <v>78</v>
      </c>
      <c r="D2319" s="3">
        <v>6.33</v>
      </c>
      <c r="E2319" s="3" t="s">
        <v>2437</v>
      </c>
      <c r="F2319" s="3">
        <v>6.33</v>
      </c>
    </row>
    <row r="2320" spans="1:6" x14ac:dyDescent="0.25">
      <c r="A2320" s="2">
        <v>78177</v>
      </c>
      <c r="B2320" s="3">
        <v>99</v>
      </c>
      <c r="C2320" s="3">
        <v>78</v>
      </c>
      <c r="D2320" s="3">
        <v>10.6</v>
      </c>
      <c r="E2320" s="3" t="s">
        <v>2438</v>
      </c>
      <c r="F2320" s="3">
        <v>10.6</v>
      </c>
    </row>
    <row r="2321" spans="1:6" x14ac:dyDescent="0.25">
      <c r="A2321" s="2">
        <v>78178</v>
      </c>
      <c r="B2321" s="3">
        <v>100</v>
      </c>
      <c r="C2321" s="3">
        <v>78</v>
      </c>
      <c r="D2321" s="3">
        <v>20.7</v>
      </c>
      <c r="E2321" s="3" t="s">
        <v>2439</v>
      </c>
      <c r="F2321" s="3">
        <v>20.7</v>
      </c>
    </row>
    <row r="2322" spans="1:6" x14ac:dyDescent="0.25">
      <c r="A2322" s="2">
        <v>78179</v>
      </c>
      <c r="B2322" s="3">
        <v>101</v>
      </c>
      <c r="C2322" s="3">
        <v>78</v>
      </c>
      <c r="D2322" s="3">
        <v>21.2</v>
      </c>
      <c r="E2322" s="3" t="s">
        <v>2440</v>
      </c>
      <c r="F2322" s="3">
        <v>21.2</v>
      </c>
    </row>
    <row r="2323" spans="1:6" x14ac:dyDescent="0.25">
      <c r="A2323" s="2">
        <v>78180</v>
      </c>
      <c r="B2323" s="3">
        <v>102</v>
      </c>
      <c r="C2323" s="3">
        <v>78</v>
      </c>
      <c r="D2323" s="3">
        <v>56</v>
      </c>
      <c r="E2323" s="3" t="s">
        <v>2441</v>
      </c>
      <c r="F2323" s="3">
        <v>56</v>
      </c>
    </row>
    <row r="2324" spans="1:6" x14ac:dyDescent="0.25">
      <c r="A2324" s="2">
        <v>78181</v>
      </c>
      <c r="B2324" s="3">
        <v>103</v>
      </c>
      <c r="C2324" s="3">
        <v>78</v>
      </c>
      <c r="D2324" s="3">
        <v>52</v>
      </c>
      <c r="E2324" s="3" t="s">
        <v>2442</v>
      </c>
      <c r="F2324" s="3">
        <v>52</v>
      </c>
    </row>
    <row r="2325" spans="1:6" x14ac:dyDescent="0.25">
      <c r="A2325" s="2">
        <v>78182</v>
      </c>
      <c r="B2325" s="3">
        <v>104</v>
      </c>
      <c r="C2325" s="3">
        <v>78</v>
      </c>
      <c r="D2325" s="3">
        <v>160.19999999999999</v>
      </c>
      <c r="E2325" s="3" t="s">
        <v>2443</v>
      </c>
      <c r="F2325" s="3">
        <v>160.19999999999999</v>
      </c>
    </row>
    <row r="2326" spans="1:6" x14ac:dyDescent="0.25">
      <c r="A2326" s="2">
        <v>78183</v>
      </c>
      <c r="B2326" s="3">
        <v>105</v>
      </c>
      <c r="C2326" s="3">
        <v>78</v>
      </c>
      <c r="D2326" s="3">
        <v>43</v>
      </c>
      <c r="E2326" s="3" t="s">
        <v>2444</v>
      </c>
      <c r="F2326" s="3">
        <v>43</v>
      </c>
    </row>
    <row r="2327" spans="1:6" x14ac:dyDescent="0.25">
      <c r="A2327" s="2">
        <v>78184</v>
      </c>
      <c r="B2327" s="3">
        <v>106</v>
      </c>
      <c r="C2327" s="3">
        <v>78</v>
      </c>
      <c r="D2327" s="3">
        <v>1038</v>
      </c>
      <c r="E2327" s="3" t="s">
        <v>2445</v>
      </c>
      <c r="F2327" s="3">
        <v>1038</v>
      </c>
    </row>
    <row r="2328" spans="1:6" x14ac:dyDescent="0.25">
      <c r="A2328" s="2">
        <v>78185</v>
      </c>
      <c r="B2328" s="3">
        <v>107</v>
      </c>
      <c r="C2328" s="3">
        <v>78</v>
      </c>
      <c r="D2328" s="3">
        <v>4254</v>
      </c>
      <c r="E2328" s="3" t="s">
        <v>2446</v>
      </c>
      <c r="F2328" s="3">
        <v>4254</v>
      </c>
    </row>
    <row r="2329" spans="1:6" x14ac:dyDescent="0.25">
      <c r="A2329" s="2">
        <v>78186</v>
      </c>
      <c r="B2329" s="3">
        <v>108</v>
      </c>
      <c r="C2329" s="3">
        <v>78</v>
      </c>
      <c r="D2329" s="3">
        <v>7488</v>
      </c>
      <c r="E2329" s="3" t="s">
        <v>2447</v>
      </c>
      <c r="F2329" s="3">
        <v>7488</v>
      </c>
    </row>
    <row r="2330" spans="1:6" x14ac:dyDescent="0.25">
      <c r="A2330" s="2">
        <v>78187</v>
      </c>
      <c r="B2330" s="3">
        <v>109</v>
      </c>
      <c r="C2330" s="3">
        <v>78</v>
      </c>
      <c r="D2330" s="3">
        <v>8460</v>
      </c>
      <c r="E2330" s="3" t="s">
        <v>2448</v>
      </c>
      <c r="F2330" s="3">
        <v>8460</v>
      </c>
    </row>
    <row r="2331" spans="1:6" x14ac:dyDescent="0.25">
      <c r="A2331" s="2">
        <v>78188</v>
      </c>
      <c r="B2331" s="3">
        <v>110</v>
      </c>
      <c r="C2331" s="3">
        <v>78</v>
      </c>
      <c r="D2331" s="3">
        <v>881279.99999999895</v>
      </c>
      <c r="E2331" s="3" t="s">
        <v>2449</v>
      </c>
      <c r="F2331" s="3">
        <v>881279.99999999895</v>
      </c>
    </row>
    <row r="2332" spans="1:6" x14ac:dyDescent="0.25">
      <c r="A2332" s="2">
        <v>78189</v>
      </c>
      <c r="B2332" s="3">
        <v>111</v>
      </c>
      <c r="C2332" s="3">
        <v>78</v>
      </c>
      <c r="D2332" s="3">
        <v>39132</v>
      </c>
      <c r="E2332" s="3" t="s">
        <v>2450</v>
      </c>
      <c r="F2332" s="3">
        <v>39132</v>
      </c>
    </row>
    <row r="2333" spans="1:6" x14ac:dyDescent="0.25">
      <c r="A2333" s="2">
        <v>78190</v>
      </c>
      <c r="B2333" s="3">
        <v>112</v>
      </c>
      <c r="C2333" s="3">
        <v>78</v>
      </c>
      <c r="D2333" s="3">
        <v>2.051244E+19</v>
      </c>
      <c r="E2333" s="3" t="s">
        <v>2451</v>
      </c>
      <c r="F2333" s="3">
        <v>2.051244E+19</v>
      </c>
    </row>
    <row r="2334" spans="1:6" x14ac:dyDescent="0.25">
      <c r="A2334" s="2">
        <v>78191</v>
      </c>
      <c r="B2334" s="3">
        <v>113</v>
      </c>
      <c r="C2334" s="3">
        <v>78</v>
      </c>
      <c r="D2334" s="3">
        <v>244512</v>
      </c>
      <c r="E2334" s="3" t="s">
        <v>2452</v>
      </c>
      <c r="F2334" s="3">
        <v>244512</v>
      </c>
    </row>
    <row r="2335" spans="1:6" x14ac:dyDescent="0.25">
      <c r="A2335" s="2">
        <v>78192</v>
      </c>
      <c r="B2335" s="3">
        <v>114</v>
      </c>
      <c r="C2335" s="3">
        <v>78</v>
      </c>
      <c r="D2335" s="3" t="s">
        <v>4</v>
      </c>
      <c r="E2335" s="3" t="s">
        <v>2453</v>
      </c>
      <c r="F2335" s="3" t="s">
        <v>4</v>
      </c>
    </row>
    <row r="2336" spans="1:6" x14ac:dyDescent="0.25">
      <c r="A2336" s="2">
        <v>78193</v>
      </c>
      <c r="B2336" s="3">
        <v>115</v>
      </c>
      <c r="C2336" s="3">
        <v>78</v>
      </c>
      <c r="D2336" s="3">
        <v>1577880000</v>
      </c>
      <c r="E2336" s="3" t="s">
        <v>2454</v>
      </c>
      <c r="F2336" s="3">
        <v>1577880000</v>
      </c>
    </row>
    <row r="2337" spans="1:6" x14ac:dyDescent="0.25">
      <c r="A2337" s="2">
        <v>78194</v>
      </c>
      <c r="B2337" s="3">
        <v>116</v>
      </c>
      <c r="C2337" s="3">
        <v>78</v>
      </c>
      <c r="D2337" s="3" t="s">
        <v>4</v>
      </c>
      <c r="E2337" s="3" t="s">
        <v>2455</v>
      </c>
      <c r="F2337" s="3" t="s">
        <v>4</v>
      </c>
    </row>
    <row r="2338" spans="1:6" x14ac:dyDescent="0.25">
      <c r="A2338" s="2">
        <v>78195</v>
      </c>
      <c r="B2338" s="3">
        <v>117</v>
      </c>
      <c r="C2338" s="3">
        <v>78</v>
      </c>
      <c r="D2338" s="3" t="s">
        <v>4</v>
      </c>
      <c r="E2338" s="3" t="s">
        <v>2456</v>
      </c>
      <c r="F2338" s="3" t="s">
        <v>4</v>
      </c>
    </row>
    <row r="2339" spans="1:6" x14ac:dyDescent="0.25">
      <c r="A2339" s="2">
        <v>78196</v>
      </c>
      <c r="B2339" s="3">
        <v>118</v>
      </c>
      <c r="C2339" s="3">
        <v>78</v>
      </c>
      <c r="D2339" s="3" t="s">
        <v>4</v>
      </c>
      <c r="E2339" s="3" t="s">
        <v>2457</v>
      </c>
      <c r="F2339" s="3" t="s">
        <v>4</v>
      </c>
    </row>
    <row r="2340" spans="1:6" x14ac:dyDescent="0.25">
      <c r="A2340" s="2">
        <v>78197</v>
      </c>
      <c r="B2340" s="3">
        <v>119</v>
      </c>
      <c r="C2340" s="3">
        <v>78</v>
      </c>
      <c r="D2340" s="3">
        <v>71609.399999999994</v>
      </c>
      <c r="E2340" s="3" t="s">
        <v>2458</v>
      </c>
      <c r="F2340" s="3">
        <v>71609.399999999994</v>
      </c>
    </row>
    <row r="2341" spans="1:6" x14ac:dyDescent="0.25">
      <c r="A2341" s="2">
        <v>78198</v>
      </c>
      <c r="B2341" s="3">
        <v>120</v>
      </c>
      <c r="C2341" s="3">
        <v>78</v>
      </c>
      <c r="D2341" s="3" t="s">
        <v>4</v>
      </c>
      <c r="E2341" s="3" t="s">
        <v>2459</v>
      </c>
      <c r="F2341" s="3" t="s">
        <v>4</v>
      </c>
    </row>
    <row r="2342" spans="1:6" x14ac:dyDescent="0.25">
      <c r="A2342" s="2">
        <v>78199</v>
      </c>
      <c r="B2342" s="3">
        <v>121</v>
      </c>
      <c r="C2342" s="3">
        <v>78</v>
      </c>
      <c r="D2342" s="3">
        <v>1848</v>
      </c>
      <c r="E2342" s="3" t="s">
        <v>2460</v>
      </c>
      <c r="F2342" s="3">
        <v>1848</v>
      </c>
    </row>
    <row r="2343" spans="1:6" x14ac:dyDescent="0.25">
      <c r="A2343" s="2">
        <v>78200</v>
      </c>
      <c r="B2343" s="3">
        <v>122</v>
      </c>
      <c r="C2343" s="3">
        <v>78</v>
      </c>
      <c r="D2343" s="3">
        <v>45360</v>
      </c>
      <c r="E2343" s="3" t="s">
        <v>2461</v>
      </c>
      <c r="F2343" s="3">
        <v>45360</v>
      </c>
    </row>
    <row r="2344" spans="1:6" x14ac:dyDescent="0.25">
      <c r="A2344" s="2">
        <v>78201</v>
      </c>
      <c r="B2344" s="3">
        <v>123</v>
      </c>
      <c r="C2344" s="3">
        <v>78</v>
      </c>
      <c r="D2344" s="3">
        <v>150</v>
      </c>
      <c r="E2344" s="3" t="s">
        <v>2462</v>
      </c>
      <c r="F2344" s="3">
        <v>150</v>
      </c>
    </row>
    <row r="2345" spans="1:6" x14ac:dyDescent="0.25">
      <c r="A2345" s="2">
        <v>78202</v>
      </c>
      <c r="B2345" s="3">
        <v>124</v>
      </c>
      <c r="C2345" s="3">
        <v>78</v>
      </c>
      <c r="D2345" s="3">
        <v>158400</v>
      </c>
      <c r="E2345" s="3" t="s">
        <v>2463</v>
      </c>
      <c r="F2345" s="3">
        <v>158400</v>
      </c>
    </row>
    <row r="2346" spans="1:6" x14ac:dyDescent="0.25">
      <c r="A2346" s="2">
        <v>78203</v>
      </c>
      <c r="B2346" s="3">
        <v>125</v>
      </c>
      <c r="C2346" s="3">
        <v>78</v>
      </c>
      <c r="D2346" s="3">
        <v>10</v>
      </c>
      <c r="E2346" s="3" t="s">
        <v>2464</v>
      </c>
      <c r="F2346" s="3">
        <v>10</v>
      </c>
    </row>
    <row r="2347" spans="1:6" x14ac:dyDescent="0.25">
      <c r="A2347" s="2">
        <v>78204</v>
      </c>
      <c r="B2347" s="3">
        <v>126</v>
      </c>
      <c r="C2347" s="3">
        <v>78</v>
      </c>
      <c r="D2347" s="3">
        <v>10.3</v>
      </c>
      <c r="E2347" s="3" t="s">
        <v>2465</v>
      </c>
      <c r="F2347" s="3">
        <v>10.3</v>
      </c>
    </row>
    <row r="2348" spans="1:6" x14ac:dyDescent="0.25">
      <c r="A2348" s="2">
        <v>78205</v>
      </c>
      <c r="B2348" s="3">
        <v>127</v>
      </c>
      <c r="C2348" s="3">
        <v>78</v>
      </c>
      <c r="D2348" s="3">
        <v>2.9999999999999999E-7</v>
      </c>
      <c r="E2348" s="3" t="s">
        <v>2466</v>
      </c>
      <c r="F2348" s="3">
        <v>2.9999999999999999E-7</v>
      </c>
    </row>
    <row r="2349" spans="1:6" x14ac:dyDescent="0.25">
      <c r="A2349" s="2">
        <v>78206</v>
      </c>
      <c r="B2349" s="3">
        <v>128</v>
      </c>
      <c r="C2349" s="3">
        <v>78</v>
      </c>
      <c r="D2349" s="3">
        <v>1.6E-7</v>
      </c>
      <c r="E2349" s="3" t="s">
        <v>2467</v>
      </c>
      <c r="F2349" s="3">
        <v>1.6E-7</v>
      </c>
    </row>
    <row r="2350" spans="1:6" x14ac:dyDescent="0.25">
      <c r="A2350" s="2">
        <v>78207</v>
      </c>
      <c r="B2350" s="3">
        <v>129</v>
      </c>
      <c r="C2350" s="3">
        <v>78</v>
      </c>
      <c r="D2350" s="3">
        <v>1.6E-7</v>
      </c>
      <c r="E2350" s="3" t="s">
        <v>2468</v>
      </c>
      <c r="F2350" s="3">
        <v>1.6E-7</v>
      </c>
    </row>
    <row r="2351" spans="1:6" x14ac:dyDescent="0.25">
      <c r="A2351" s="2">
        <v>78208</v>
      </c>
      <c r="B2351" s="3">
        <v>130</v>
      </c>
      <c r="C2351" s="3">
        <v>78</v>
      </c>
      <c r="D2351" s="3">
        <v>1.6E-7</v>
      </c>
      <c r="E2351" s="3" t="s">
        <v>2469</v>
      </c>
      <c r="F2351" s="3">
        <v>1.6E-7</v>
      </c>
    </row>
    <row r="2352" spans="1:6" x14ac:dyDescent="0.25">
      <c r="A2352" s="2">
        <v>79170</v>
      </c>
      <c r="B2352" s="3">
        <v>91</v>
      </c>
      <c r="C2352" s="3">
        <v>79</v>
      </c>
      <c r="D2352" s="3">
        <v>2.8600000000000001E-4</v>
      </c>
      <c r="E2352" s="3" t="s">
        <v>2470</v>
      </c>
      <c r="F2352" s="3">
        <v>2.8600000000000001E-4</v>
      </c>
    </row>
    <row r="2353" spans="1:6" x14ac:dyDescent="0.25">
      <c r="A2353" s="2">
        <v>79171</v>
      </c>
      <c r="B2353" s="3">
        <v>92</v>
      </c>
      <c r="C2353" s="3">
        <v>79</v>
      </c>
      <c r="D2353" s="3">
        <v>1.7E-5</v>
      </c>
      <c r="E2353" s="3" t="s">
        <v>2471</v>
      </c>
      <c r="F2353" s="3">
        <v>1.7E-5</v>
      </c>
    </row>
    <row r="2354" spans="1:6" x14ac:dyDescent="0.25">
      <c r="A2354" s="2">
        <v>79172</v>
      </c>
      <c r="B2354" s="3">
        <v>93</v>
      </c>
      <c r="C2354" s="3">
        <v>79</v>
      </c>
      <c r="D2354" s="3">
        <v>2.1999999999999999E-2</v>
      </c>
      <c r="E2354" s="3" t="s">
        <v>2472</v>
      </c>
      <c r="F2354" s="3">
        <v>2.1999999999999999E-2</v>
      </c>
    </row>
    <row r="2355" spans="1:6" x14ac:dyDescent="0.25">
      <c r="A2355" s="2">
        <v>79173</v>
      </c>
      <c r="B2355" s="3">
        <v>94</v>
      </c>
      <c r="C2355" s="3">
        <v>79</v>
      </c>
      <c r="D2355" s="3">
        <v>2.63E-2</v>
      </c>
      <c r="E2355" s="3" t="s">
        <v>2473</v>
      </c>
      <c r="F2355" s="3">
        <v>2.63E-2</v>
      </c>
    </row>
    <row r="2356" spans="1:6" x14ac:dyDescent="0.25">
      <c r="A2356" s="2">
        <v>79174</v>
      </c>
      <c r="B2356" s="3">
        <v>95</v>
      </c>
      <c r="C2356" s="3">
        <v>79</v>
      </c>
      <c r="D2356" s="3">
        <v>0.13900000000000001</v>
      </c>
      <c r="E2356" s="3" t="s">
        <v>2474</v>
      </c>
      <c r="F2356" s="3">
        <v>0.13900000000000001</v>
      </c>
    </row>
    <row r="2357" spans="1:6" x14ac:dyDescent="0.25">
      <c r="A2357" s="2">
        <v>79176</v>
      </c>
      <c r="B2357" s="3">
        <v>97</v>
      </c>
      <c r="C2357" s="3">
        <v>79</v>
      </c>
      <c r="D2357" s="3">
        <v>1.05</v>
      </c>
      <c r="E2357" s="3" t="s">
        <v>2475</v>
      </c>
      <c r="F2357" s="3">
        <v>1.05</v>
      </c>
    </row>
    <row r="2358" spans="1:6" x14ac:dyDescent="0.25">
      <c r="A2358" s="2">
        <v>79177</v>
      </c>
      <c r="B2358" s="3">
        <v>98</v>
      </c>
      <c r="C2358" s="3">
        <v>79</v>
      </c>
      <c r="D2358" s="3">
        <v>1.53</v>
      </c>
      <c r="E2358" s="3" t="s">
        <v>2476</v>
      </c>
      <c r="F2358" s="3">
        <v>1.53</v>
      </c>
    </row>
    <row r="2359" spans="1:6" x14ac:dyDescent="0.25">
      <c r="A2359" s="2">
        <v>79178</v>
      </c>
      <c r="B2359" s="3">
        <v>99</v>
      </c>
      <c r="C2359" s="3">
        <v>79</v>
      </c>
      <c r="D2359" s="3">
        <v>2.6</v>
      </c>
      <c r="E2359" s="3" t="s">
        <v>2477</v>
      </c>
      <c r="F2359" s="3">
        <v>2.6</v>
      </c>
    </row>
    <row r="2360" spans="1:6" x14ac:dyDescent="0.25">
      <c r="A2360" s="2">
        <v>79179</v>
      </c>
      <c r="B2360" s="3">
        <v>100</v>
      </c>
      <c r="C2360" s="3">
        <v>79</v>
      </c>
      <c r="D2360" s="3">
        <v>7.1</v>
      </c>
      <c r="E2360" s="3" t="s">
        <v>2478</v>
      </c>
      <c r="F2360" s="3">
        <v>7.1</v>
      </c>
    </row>
    <row r="2361" spans="1:6" x14ac:dyDescent="0.25">
      <c r="A2361" s="2">
        <v>79180</v>
      </c>
      <c r="B2361" s="3">
        <v>101</v>
      </c>
      <c r="C2361" s="3">
        <v>79</v>
      </c>
      <c r="D2361" s="3">
        <v>8.4</v>
      </c>
      <c r="E2361" s="3" t="s">
        <v>2479</v>
      </c>
      <c r="F2361" s="3">
        <v>8.4</v>
      </c>
    </row>
    <row r="2362" spans="1:6" x14ac:dyDescent="0.25">
      <c r="A2362" s="2">
        <v>79181</v>
      </c>
      <c r="B2362" s="3">
        <v>102</v>
      </c>
      <c r="C2362" s="3">
        <v>79</v>
      </c>
      <c r="D2362" s="3">
        <v>13.7</v>
      </c>
      <c r="E2362" s="3" t="s">
        <v>2480</v>
      </c>
      <c r="F2362" s="3">
        <v>13.7</v>
      </c>
    </row>
    <row r="2363" spans="1:6" x14ac:dyDescent="0.25">
      <c r="A2363" s="2">
        <v>79182</v>
      </c>
      <c r="B2363" s="3">
        <v>103</v>
      </c>
      <c r="C2363" s="3">
        <v>79</v>
      </c>
      <c r="D2363" s="3">
        <v>15.5</v>
      </c>
      <c r="E2363" s="3" t="s">
        <v>2481</v>
      </c>
      <c r="F2363" s="3">
        <v>15.5</v>
      </c>
    </row>
    <row r="2364" spans="1:6" x14ac:dyDescent="0.25">
      <c r="A2364" s="2">
        <v>79183</v>
      </c>
      <c r="B2364" s="3">
        <v>104</v>
      </c>
      <c r="C2364" s="3">
        <v>79</v>
      </c>
      <c r="D2364" s="3">
        <v>42.8</v>
      </c>
      <c r="E2364" s="3" t="s">
        <v>2482</v>
      </c>
      <c r="F2364" s="3">
        <v>42.8</v>
      </c>
    </row>
    <row r="2365" spans="1:6" x14ac:dyDescent="0.25">
      <c r="A2365" s="2">
        <v>79184</v>
      </c>
      <c r="B2365" s="3">
        <v>105</v>
      </c>
      <c r="C2365" s="3">
        <v>79</v>
      </c>
      <c r="D2365" s="3">
        <v>20.6</v>
      </c>
      <c r="E2365" s="3" t="s">
        <v>2483</v>
      </c>
      <c r="F2365" s="3">
        <v>20.6</v>
      </c>
    </row>
    <row r="2366" spans="1:6" x14ac:dyDescent="0.25">
      <c r="A2366" s="2">
        <v>79185</v>
      </c>
      <c r="B2366" s="3">
        <v>106</v>
      </c>
      <c r="C2366" s="3">
        <v>79</v>
      </c>
      <c r="D2366" s="3">
        <v>255</v>
      </c>
      <c r="E2366" s="3" t="s">
        <v>2484</v>
      </c>
      <c r="F2366" s="3">
        <v>255</v>
      </c>
    </row>
    <row r="2367" spans="1:6" x14ac:dyDescent="0.25">
      <c r="A2367" s="2">
        <v>79186</v>
      </c>
      <c r="B2367" s="3">
        <v>107</v>
      </c>
      <c r="C2367" s="3">
        <v>79</v>
      </c>
      <c r="D2367" s="3">
        <v>642</v>
      </c>
      <c r="E2367" s="3" t="s">
        <v>2485</v>
      </c>
      <c r="F2367" s="3">
        <v>642</v>
      </c>
    </row>
    <row r="2368" spans="1:6" x14ac:dyDescent="0.25">
      <c r="A2368" s="2">
        <v>79187</v>
      </c>
      <c r="B2368" s="3">
        <v>108</v>
      </c>
      <c r="C2368" s="3">
        <v>79</v>
      </c>
      <c r="D2368" s="3">
        <v>504</v>
      </c>
      <c r="E2368" s="3" t="s">
        <v>2486</v>
      </c>
      <c r="F2368" s="3">
        <v>504</v>
      </c>
    </row>
    <row r="2369" spans="1:6" x14ac:dyDescent="0.25">
      <c r="A2369" s="2">
        <v>79188</v>
      </c>
      <c r="B2369" s="3">
        <v>109</v>
      </c>
      <c r="C2369" s="3">
        <v>79</v>
      </c>
      <c r="D2369" s="3">
        <v>530.4</v>
      </c>
      <c r="E2369" s="3" t="s">
        <v>2487</v>
      </c>
      <c r="F2369" s="3">
        <v>530.4</v>
      </c>
    </row>
    <row r="2370" spans="1:6" x14ac:dyDescent="0.25">
      <c r="A2370" s="2">
        <v>79189</v>
      </c>
      <c r="B2370" s="3">
        <v>110</v>
      </c>
      <c r="C2370" s="3">
        <v>79</v>
      </c>
      <c r="D2370" s="3">
        <v>1722</v>
      </c>
      <c r="E2370" s="3" t="s">
        <v>2488</v>
      </c>
      <c r="F2370" s="3">
        <v>1722</v>
      </c>
    </row>
    <row r="2371" spans="1:6" x14ac:dyDescent="0.25">
      <c r="A2371" s="2">
        <v>79190</v>
      </c>
      <c r="B2371" s="3">
        <v>111</v>
      </c>
      <c r="C2371" s="3">
        <v>79</v>
      </c>
      <c r="D2371" s="3">
        <v>2568</v>
      </c>
      <c r="E2371" s="3" t="s">
        <v>2489</v>
      </c>
      <c r="F2371" s="3">
        <v>2568</v>
      </c>
    </row>
    <row r="2372" spans="1:6" x14ac:dyDescent="0.25">
      <c r="A2372" s="2">
        <v>79191</v>
      </c>
      <c r="B2372" s="3">
        <v>112</v>
      </c>
      <c r="C2372" s="3">
        <v>79</v>
      </c>
      <c r="D2372" s="3">
        <v>11448</v>
      </c>
      <c r="E2372" s="3" t="s">
        <v>2490</v>
      </c>
      <c r="F2372" s="3">
        <v>11448</v>
      </c>
    </row>
    <row r="2373" spans="1:6" x14ac:dyDescent="0.25">
      <c r="A2373" s="2">
        <v>79192</v>
      </c>
      <c r="B2373" s="3">
        <v>113</v>
      </c>
      <c r="C2373" s="3">
        <v>79</v>
      </c>
      <c r="D2373" s="3">
        <v>17784</v>
      </c>
      <c r="E2373" s="3" t="s">
        <v>2491</v>
      </c>
      <c r="F2373" s="3">
        <v>17784</v>
      </c>
    </row>
    <row r="2374" spans="1:6" x14ac:dyDescent="0.25">
      <c r="A2374" s="2">
        <v>79193</v>
      </c>
      <c r="B2374" s="3">
        <v>114</v>
      </c>
      <c r="C2374" s="3">
        <v>79</v>
      </c>
      <c r="D2374" s="3">
        <v>63539.999999999898</v>
      </c>
      <c r="E2374" s="3" t="s">
        <v>2492</v>
      </c>
      <c r="F2374" s="3">
        <v>63539.999999999898</v>
      </c>
    </row>
    <row r="2375" spans="1:6" x14ac:dyDescent="0.25">
      <c r="A2375" s="2">
        <v>79194</v>
      </c>
      <c r="B2375" s="3">
        <v>115</v>
      </c>
      <c r="C2375" s="3">
        <v>79</v>
      </c>
      <c r="D2375" s="3">
        <v>136872</v>
      </c>
      <c r="E2375" s="3" t="s">
        <v>2493</v>
      </c>
      <c r="F2375" s="3">
        <v>136872</v>
      </c>
    </row>
    <row r="2376" spans="1:6" x14ac:dyDescent="0.25">
      <c r="A2376" s="2">
        <v>79195</v>
      </c>
      <c r="B2376" s="3">
        <v>116</v>
      </c>
      <c r="C2376" s="3">
        <v>79</v>
      </c>
      <c r="D2376" s="3">
        <v>16071264</v>
      </c>
      <c r="E2376" s="3" t="s">
        <v>2494</v>
      </c>
      <c r="F2376" s="3">
        <v>16071264</v>
      </c>
    </row>
    <row r="2377" spans="1:6" x14ac:dyDescent="0.25">
      <c r="A2377" s="2">
        <v>79196</v>
      </c>
      <c r="B2377" s="3">
        <v>117</v>
      </c>
      <c r="C2377" s="3">
        <v>79</v>
      </c>
      <c r="D2377" s="3">
        <v>532820.16</v>
      </c>
      <c r="E2377" s="3" t="s">
        <v>2495</v>
      </c>
      <c r="F2377" s="3">
        <v>532820.16</v>
      </c>
    </row>
    <row r="2378" spans="1:6" x14ac:dyDescent="0.25">
      <c r="A2378" s="2">
        <v>79197</v>
      </c>
      <c r="B2378" s="3">
        <v>118</v>
      </c>
      <c r="C2378" s="3">
        <v>79</v>
      </c>
      <c r="D2378" s="3" t="s">
        <v>4</v>
      </c>
      <c r="E2378" s="3" t="s">
        <v>2496</v>
      </c>
      <c r="F2378" s="3" t="s">
        <v>4</v>
      </c>
    </row>
    <row r="2379" spans="1:6" x14ac:dyDescent="0.25">
      <c r="A2379" s="2">
        <v>79198</v>
      </c>
      <c r="B2379" s="3">
        <v>119</v>
      </c>
      <c r="C2379" s="3">
        <v>79</v>
      </c>
      <c r="D2379" s="3">
        <v>232770.24</v>
      </c>
      <c r="E2379" s="3" t="s">
        <v>2497</v>
      </c>
      <c r="F2379" s="3">
        <v>232770.24</v>
      </c>
    </row>
    <row r="2380" spans="1:6" x14ac:dyDescent="0.25">
      <c r="A2380" s="2">
        <v>79199</v>
      </c>
      <c r="B2380" s="3">
        <v>120</v>
      </c>
      <c r="C2380" s="3">
        <v>79</v>
      </c>
      <c r="D2380" s="3">
        <v>271209.59999999998</v>
      </c>
      <c r="E2380" s="3" t="s">
        <v>2498</v>
      </c>
      <c r="F2380" s="3">
        <v>271209.59999999998</v>
      </c>
    </row>
    <row r="2381" spans="1:6" x14ac:dyDescent="0.25">
      <c r="A2381" s="2">
        <v>79200</v>
      </c>
      <c r="B2381" s="3">
        <v>121</v>
      </c>
      <c r="C2381" s="3">
        <v>79</v>
      </c>
      <c r="D2381" s="3">
        <v>2904</v>
      </c>
      <c r="E2381" s="3" t="s">
        <v>2499</v>
      </c>
      <c r="F2381" s="3">
        <v>2904</v>
      </c>
    </row>
    <row r="2382" spans="1:6" x14ac:dyDescent="0.25">
      <c r="A2382" s="2">
        <v>79201</v>
      </c>
      <c r="B2382" s="3">
        <v>122</v>
      </c>
      <c r="C2382" s="3">
        <v>79</v>
      </c>
      <c r="D2382" s="3">
        <v>1560</v>
      </c>
      <c r="E2382" s="3" t="s">
        <v>2500</v>
      </c>
      <c r="F2382" s="3">
        <v>1560</v>
      </c>
    </row>
    <row r="2383" spans="1:6" x14ac:dyDescent="0.25">
      <c r="A2383" s="2">
        <v>79202</v>
      </c>
      <c r="B2383" s="3">
        <v>123</v>
      </c>
      <c r="C2383" s="3">
        <v>79</v>
      </c>
      <c r="D2383" s="3">
        <v>28.4</v>
      </c>
      <c r="E2383" s="3" t="s">
        <v>2501</v>
      </c>
      <c r="F2383" s="3">
        <v>28.4</v>
      </c>
    </row>
    <row r="2384" spans="1:6" x14ac:dyDescent="0.25">
      <c r="A2384" s="2">
        <v>79203</v>
      </c>
      <c r="B2384" s="3">
        <v>124</v>
      </c>
      <c r="C2384" s="3">
        <v>79</v>
      </c>
      <c r="D2384" s="3">
        <v>60</v>
      </c>
      <c r="E2384" s="3" t="s">
        <v>2502</v>
      </c>
      <c r="F2384" s="3">
        <v>60</v>
      </c>
    </row>
    <row r="2385" spans="1:6" x14ac:dyDescent="0.25">
      <c r="A2385" s="2">
        <v>79204</v>
      </c>
      <c r="B2385" s="3">
        <v>125</v>
      </c>
      <c r="C2385" s="3">
        <v>79</v>
      </c>
      <c r="D2385" s="3">
        <v>39.799999999999997</v>
      </c>
      <c r="E2385" s="3" t="s">
        <v>2503</v>
      </c>
      <c r="F2385" s="3">
        <v>39.799999999999997</v>
      </c>
    </row>
    <row r="2386" spans="1:6" x14ac:dyDescent="0.25">
      <c r="A2386" s="2">
        <v>79205</v>
      </c>
      <c r="B2386" s="3">
        <v>126</v>
      </c>
      <c r="C2386" s="3">
        <v>79</v>
      </c>
      <c r="D2386" s="3">
        <v>32.5</v>
      </c>
      <c r="E2386" s="3" t="s">
        <v>2504</v>
      </c>
      <c r="F2386" s="3">
        <v>32.5</v>
      </c>
    </row>
    <row r="2387" spans="1:6" x14ac:dyDescent="0.25">
      <c r="A2387" s="2">
        <v>79206</v>
      </c>
      <c r="B2387" s="3">
        <v>127</v>
      </c>
      <c r="C2387" s="3">
        <v>79</v>
      </c>
      <c r="D2387" s="3">
        <v>40</v>
      </c>
      <c r="E2387" s="3" t="s">
        <v>2505</v>
      </c>
      <c r="F2387" s="3">
        <v>40</v>
      </c>
    </row>
    <row r="2388" spans="1:6" x14ac:dyDescent="0.25">
      <c r="A2388" s="2">
        <v>79207</v>
      </c>
      <c r="B2388" s="3">
        <v>128</v>
      </c>
      <c r="C2388" s="3">
        <v>79</v>
      </c>
      <c r="D2388" s="3">
        <v>2.9999999999999999E-7</v>
      </c>
      <c r="E2388" s="3" t="s">
        <v>2506</v>
      </c>
      <c r="F2388" s="3">
        <v>2.9999999999999999E-7</v>
      </c>
    </row>
    <row r="2389" spans="1:6" x14ac:dyDescent="0.25">
      <c r="A2389" s="2">
        <v>79208</v>
      </c>
      <c r="B2389" s="3">
        <v>129</v>
      </c>
      <c r="C2389" s="3">
        <v>79</v>
      </c>
      <c r="D2389" s="3">
        <v>2.9999999999999999E-7</v>
      </c>
      <c r="E2389" s="3" t="s">
        <v>2507</v>
      </c>
      <c r="F2389" s="3">
        <v>2.9999999999999999E-7</v>
      </c>
    </row>
    <row r="2390" spans="1:6" x14ac:dyDescent="0.25">
      <c r="A2390" s="2">
        <v>79209</v>
      </c>
      <c r="B2390" s="3">
        <v>130</v>
      </c>
      <c r="C2390" s="3">
        <v>79</v>
      </c>
      <c r="D2390" s="3">
        <v>2.9999999999999999E-7</v>
      </c>
      <c r="E2390" s="3" t="s">
        <v>2508</v>
      </c>
      <c r="F2390" s="3">
        <v>2.9999999999999999E-7</v>
      </c>
    </row>
    <row r="2391" spans="1:6" x14ac:dyDescent="0.25">
      <c r="A2391" s="2">
        <v>79210</v>
      </c>
      <c r="B2391" s="3">
        <v>131</v>
      </c>
      <c r="C2391" s="3">
        <v>79</v>
      </c>
      <c r="D2391" s="3">
        <v>2.9999999999999999E-7</v>
      </c>
      <c r="E2391" s="3" t="s">
        <v>2509</v>
      </c>
      <c r="F2391" s="3">
        <v>2.9999999999999999E-7</v>
      </c>
    </row>
    <row r="2392" spans="1:6" x14ac:dyDescent="0.25">
      <c r="A2392" s="2">
        <v>80171</v>
      </c>
      <c r="B2392" s="3">
        <v>91</v>
      </c>
      <c r="C2392" s="3">
        <v>80</v>
      </c>
      <c r="D2392" s="3">
        <v>5.8999999999999998E-5</v>
      </c>
      <c r="E2392" s="3" t="s">
        <v>2510</v>
      </c>
      <c r="F2392" s="3">
        <v>5.8999999999999998E-5</v>
      </c>
    </row>
    <row r="2393" spans="1:6" x14ac:dyDescent="0.25">
      <c r="A2393" s="2">
        <v>80172</v>
      </c>
      <c r="B2393" s="3">
        <v>92</v>
      </c>
      <c r="C2393" s="3">
        <v>80</v>
      </c>
      <c r="D2393" s="3">
        <v>2.30999999999999E-4</v>
      </c>
      <c r="E2393" s="3" t="s">
        <v>2511</v>
      </c>
      <c r="F2393" s="3">
        <v>2.30999999999999E-4</v>
      </c>
    </row>
    <row r="2394" spans="1:6" x14ac:dyDescent="0.25">
      <c r="A2394" s="2">
        <v>80173</v>
      </c>
      <c r="B2394" s="3">
        <v>93</v>
      </c>
      <c r="C2394" s="3">
        <v>80</v>
      </c>
      <c r="D2394" s="3">
        <v>8.0000000000000004E-4</v>
      </c>
      <c r="E2394" s="3" t="s">
        <v>2512</v>
      </c>
      <c r="F2394" s="3">
        <v>8.0000000000000004E-4</v>
      </c>
    </row>
    <row r="2395" spans="1:6" x14ac:dyDescent="0.25">
      <c r="A2395" s="2">
        <v>80174</v>
      </c>
      <c r="B2395" s="3">
        <v>94</v>
      </c>
      <c r="C2395" s="3">
        <v>80</v>
      </c>
      <c r="D2395" s="3">
        <v>2.0999999999999999E-3</v>
      </c>
      <c r="E2395" s="3" t="s">
        <v>2513</v>
      </c>
      <c r="F2395" s="3">
        <v>2.0999999999999999E-3</v>
      </c>
    </row>
    <row r="2396" spans="1:6" x14ac:dyDescent="0.25">
      <c r="A2396" s="2">
        <v>80175</v>
      </c>
      <c r="B2396" s="3">
        <v>95</v>
      </c>
      <c r="C2396" s="3">
        <v>80</v>
      </c>
      <c r="D2396" s="3">
        <v>1.06E-2</v>
      </c>
      <c r="E2396" s="3" t="s">
        <v>2514</v>
      </c>
      <c r="F2396" s="3">
        <v>1.06E-2</v>
      </c>
    </row>
    <row r="2397" spans="1:6" x14ac:dyDescent="0.25">
      <c r="A2397" s="2">
        <v>80176</v>
      </c>
      <c r="B2397" s="3">
        <v>96</v>
      </c>
      <c r="C2397" s="3">
        <v>80</v>
      </c>
      <c r="D2397" s="3">
        <v>2.0299999999999999E-2</v>
      </c>
      <c r="E2397" s="3" t="s">
        <v>2515</v>
      </c>
      <c r="F2397" s="3">
        <v>2.0299999999999999E-2</v>
      </c>
    </row>
    <row r="2398" spans="1:6" x14ac:dyDescent="0.25">
      <c r="A2398" s="2">
        <v>80177</v>
      </c>
      <c r="B2398" s="3">
        <v>97</v>
      </c>
      <c r="C2398" s="3">
        <v>80</v>
      </c>
      <c r="D2398" s="3">
        <v>0.11799999999999999</v>
      </c>
      <c r="E2398" s="3" t="s">
        <v>2516</v>
      </c>
      <c r="F2398" s="3">
        <v>0.11799999999999999</v>
      </c>
    </row>
    <row r="2399" spans="1:6" x14ac:dyDescent="0.25">
      <c r="A2399" s="2">
        <v>80178</v>
      </c>
      <c r="B2399" s="3">
        <v>98</v>
      </c>
      <c r="C2399" s="3">
        <v>80</v>
      </c>
      <c r="D2399" s="3">
        <v>0.26650000000000001</v>
      </c>
      <c r="E2399" s="3" t="s">
        <v>2517</v>
      </c>
      <c r="F2399" s="3">
        <v>0.26650000000000001</v>
      </c>
    </row>
    <row r="2400" spans="1:6" x14ac:dyDescent="0.25">
      <c r="A2400" s="2">
        <v>80179</v>
      </c>
      <c r="B2400" s="3">
        <v>99</v>
      </c>
      <c r="C2400" s="3">
        <v>80</v>
      </c>
      <c r="D2400" s="3">
        <v>1.05</v>
      </c>
      <c r="E2400" s="3" t="s">
        <v>2518</v>
      </c>
      <c r="F2400" s="3">
        <v>1.05</v>
      </c>
    </row>
    <row r="2401" spans="1:6" x14ac:dyDescent="0.25">
      <c r="A2401" s="2">
        <v>80180</v>
      </c>
      <c r="B2401" s="3">
        <v>100</v>
      </c>
      <c r="C2401" s="3">
        <v>80</v>
      </c>
      <c r="D2401" s="3">
        <v>2.59</v>
      </c>
      <c r="E2401" s="3" t="s">
        <v>2519</v>
      </c>
      <c r="F2401" s="3">
        <v>2.59</v>
      </c>
    </row>
    <row r="2402" spans="1:6" x14ac:dyDescent="0.25">
      <c r="A2402" s="2">
        <v>80181</v>
      </c>
      <c r="B2402" s="3">
        <v>101</v>
      </c>
      <c r="C2402" s="3">
        <v>80</v>
      </c>
      <c r="D2402" s="3">
        <v>3.6</v>
      </c>
      <c r="E2402" s="3" t="s">
        <v>2520</v>
      </c>
      <c r="F2402" s="3">
        <v>3.6</v>
      </c>
    </row>
    <row r="2403" spans="1:6" x14ac:dyDescent="0.25">
      <c r="A2403" s="2">
        <v>80182</v>
      </c>
      <c r="B2403" s="3">
        <v>102</v>
      </c>
      <c r="C2403" s="3">
        <v>80</v>
      </c>
      <c r="D2403" s="3">
        <v>10.83</v>
      </c>
      <c r="E2403" s="3" t="s">
        <v>2521</v>
      </c>
      <c r="F2403" s="3">
        <v>10.83</v>
      </c>
    </row>
    <row r="2404" spans="1:6" x14ac:dyDescent="0.25">
      <c r="A2404" s="2">
        <v>80183</v>
      </c>
      <c r="B2404" s="3">
        <v>103</v>
      </c>
      <c r="C2404" s="3">
        <v>80</v>
      </c>
      <c r="D2404" s="3">
        <v>9.4</v>
      </c>
      <c r="E2404" s="3" t="s">
        <v>2522</v>
      </c>
      <c r="F2404" s="3">
        <v>9.4</v>
      </c>
    </row>
    <row r="2405" spans="1:6" x14ac:dyDescent="0.25">
      <c r="A2405" s="2">
        <v>80184</v>
      </c>
      <c r="B2405" s="3">
        <v>104</v>
      </c>
      <c r="C2405" s="3">
        <v>80</v>
      </c>
      <c r="D2405" s="3">
        <v>30.87</v>
      </c>
      <c r="E2405" s="3" t="s">
        <v>2523</v>
      </c>
      <c r="F2405" s="3">
        <v>30.87</v>
      </c>
    </row>
    <row r="2406" spans="1:6" x14ac:dyDescent="0.25">
      <c r="A2406" s="2">
        <v>80185</v>
      </c>
      <c r="B2406" s="3">
        <v>105</v>
      </c>
      <c r="C2406" s="3">
        <v>80</v>
      </c>
      <c r="D2406" s="3">
        <v>49.1</v>
      </c>
      <c r="E2406" s="3" t="s">
        <v>2524</v>
      </c>
      <c r="F2406" s="3">
        <v>49.1</v>
      </c>
    </row>
    <row r="2407" spans="1:6" x14ac:dyDescent="0.25">
      <c r="A2407" s="2">
        <v>80186</v>
      </c>
      <c r="B2407" s="3">
        <v>106</v>
      </c>
      <c r="C2407" s="3">
        <v>80</v>
      </c>
      <c r="D2407" s="3">
        <v>82.8</v>
      </c>
      <c r="E2407" s="3" t="s">
        <v>2525</v>
      </c>
      <c r="F2407" s="3">
        <v>82.8</v>
      </c>
    </row>
    <row r="2408" spans="1:6" x14ac:dyDescent="0.25">
      <c r="A2408" s="2">
        <v>80187</v>
      </c>
      <c r="B2408" s="3">
        <v>107</v>
      </c>
      <c r="C2408" s="3">
        <v>80</v>
      </c>
      <c r="D2408" s="3">
        <v>114</v>
      </c>
      <c r="E2408" s="3" t="s">
        <v>2526</v>
      </c>
      <c r="F2408" s="3">
        <v>114</v>
      </c>
    </row>
    <row r="2409" spans="1:6" x14ac:dyDescent="0.25">
      <c r="A2409" s="2">
        <v>80188</v>
      </c>
      <c r="B2409" s="3">
        <v>108</v>
      </c>
      <c r="C2409" s="3">
        <v>80</v>
      </c>
      <c r="D2409" s="3">
        <v>195</v>
      </c>
      <c r="E2409" s="3" t="s">
        <v>2527</v>
      </c>
      <c r="F2409" s="3">
        <v>195</v>
      </c>
    </row>
    <row r="2410" spans="1:6" x14ac:dyDescent="0.25">
      <c r="A2410" s="2">
        <v>80189</v>
      </c>
      <c r="B2410" s="3">
        <v>109</v>
      </c>
      <c r="C2410" s="3">
        <v>80</v>
      </c>
      <c r="D2410" s="3">
        <v>456</v>
      </c>
      <c r="E2410" s="3" t="s">
        <v>2528</v>
      </c>
      <c r="F2410" s="3">
        <v>456</v>
      </c>
    </row>
    <row r="2411" spans="1:6" x14ac:dyDescent="0.25">
      <c r="A2411" s="2">
        <v>80190</v>
      </c>
      <c r="B2411" s="3">
        <v>110</v>
      </c>
      <c r="C2411" s="3">
        <v>80</v>
      </c>
      <c r="D2411" s="3">
        <v>1200</v>
      </c>
      <c r="E2411" s="3" t="s">
        <v>2529</v>
      </c>
      <c r="F2411" s="3">
        <v>1200</v>
      </c>
    </row>
    <row r="2412" spans="1:6" x14ac:dyDescent="0.25">
      <c r="A2412" s="2">
        <v>80191</v>
      </c>
      <c r="B2412" s="3">
        <v>111</v>
      </c>
      <c r="C2412" s="3">
        <v>80</v>
      </c>
      <c r="D2412" s="3">
        <v>2940</v>
      </c>
      <c r="E2412" s="3" t="s">
        <v>2530</v>
      </c>
      <c r="F2412" s="3">
        <v>2940</v>
      </c>
    </row>
    <row r="2413" spans="1:6" x14ac:dyDescent="0.25">
      <c r="A2413" s="2">
        <v>80192</v>
      </c>
      <c r="B2413" s="3">
        <v>112</v>
      </c>
      <c r="C2413" s="3">
        <v>80</v>
      </c>
      <c r="D2413" s="3">
        <v>17460</v>
      </c>
      <c r="E2413" s="3" t="s">
        <v>2531</v>
      </c>
      <c r="F2413" s="3">
        <v>17460</v>
      </c>
    </row>
    <row r="2414" spans="1:6" x14ac:dyDescent="0.25">
      <c r="A2414" s="2">
        <v>80193</v>
      </c>
      <c r="B2414" s="3">
        <v>113</v>
      </c>
      <c r="C2414" s="3">
        <v>80</v>
      </c>
      <c r="D2414" s="3">
        <v>13680</v>
      </c>
      <c r="E2414" s="3" t="s">
        <v>2532</v>
      </c>
      <c r="F2414" s="3">
        <v>13680</v>
      </c>
    </row>
    <row r="2415" spans="1:6" x14ac:dyDescent="0.25">
      <c r="A2415" s="2">
        <v>80194</v>
      </c>
      <c r="B2415" s="3">
        <v>114</v>
      </c>
      <c r="C2415" s="3">
        <v>80</v>
      </c>
      <c r="D2415" s="3">
        <v>14011574400</v>
      </c>
      <c r="E2415" s="3" t="s">
        <v>2533</v>
      </c>
      <c r="F2415" s="3">
        <v>14011574400</v>
      </c>
    </row>
    <row r="2416" spans="1:6" x14ac:dyDescent="0.25">
      <c r="A2416" s="2">
        <v>80195</v>
      </c>
      <c r="B2416" s="3">
        <v>115</v>
      </c>
      <c r="C2416" s="3">
        <v>80</v>
      </c>
      <c r="D2416" s="3">
        <v>37908</v>
      </c>
      <c r="E2416" s="3" t="s">
        <v>2534</v>
      </c>
      <c r="F2416" s="3">
        <v>37908</v>
      </c>
    </row>
    <row r="2417" spans="1:6" x14ac:dyDescent="0.25">
      <c r="A2417" s="2">
        <v>80196</v>
      </c>
      <c r="B2417" s="3">
        <v>116</v>
      </c>
      <c r="C2417" s="3">
        <v>80</v>
      </c>
      <c r="D2417" s="3" t="s">
        <v>4</v>
      </c>
      <c r="E2417" s="3" t="s">
        <v>2535</v>
      </c>
      <c r="F2417" s="3" t="s">
        <v>4</v>
      </c>
    </row>
    <row r="2418" spans="1:6" x14ac:dyDescent="0.25">
      <c r="A2418" s="2">
        <v>80197</v>
      </c>
      <c r="B2418" s="3">
        <v>117</v>
      </c>
      <c r="C2418" s="3">
        <v>80</v>
      </c>
      <c r="D2418" s="3">
        <v>230904</v>
      </c>
      <c r="E2418" s="3" t="s">
        <v>2536</v>
      </c>
      <c r="F2418" s="3">
        <v>230904</v>
      </c>
    </row>
    <row r="2419" spans="1:6" x14ac:dyDescent="0.25">
      <c r="A2419" s="2">
        <v>80198</v>
      </c>
      <c r="B2419" s="3">
        <v>118</v>
      </c>
      <c r="C2419" s="3">
        <v>80</v>
      </c>
      <c r="D2419" s="3" t="s">
        <v>4</v>
      </c>
      <c r="E2419" s="3" t="s">
        <v>2537</v>
      </c>
      <c r="F2419" s="3" t="s">
        <v>4</v>
      </c>
    </row>
    <row r="2420" spans="1:6" x14ac:dyDescent="0.25">
      <c r="A2420" s="2">
        <v>80199</v>
      </c>
      <c r="B2420" s="3">
        <v>119</v>
      </c>
      <c r="C2420" s="3">
        <v>80</v>
      </c>
      <c r="D2420" s="3" t="s">
        <v>4</v>
      </c>
      <c r="E2420" s="3" t="s">
        <v>2538</v>
      </c>
      <c r="F2420" s="3" t="s">
        <v>4</v>
      </c>
    </row>
    <row r="2421" spans="1:6" x14ac:dyDescent="0.25">
      <c r="A2421" s="2">
        <v>80200</v>
      </c>
      <c r="B2421" s="3">
        <v>120</v>
      </c>
      <c r="C2421" s="3">
        <v>80</v>
      </c>
      <c r="D2421" s="3" t="s">
        <v>4</v>
      </c>
      <c r="E2421" s="3" t="s">
        <v>2539</v>
      </c>
      <c r="F2421" s="3" t="s">
        <v>4</v>
      </c>
    </row>
    <row r="2422" spans="1:6" x14ac:dyDescent="0.25">
      <c r="A2422" s="2">
        <v>80201</v>
      </c>
      <c r="B2422" s="3">
        <v>121</v>
      </c>
      <c r="C2422" s="3">
        <v>80</v>
      </c>
      <c r="D2422" s="3" t="s">
        <v>4</v>
      </c>
      <c r="E2422" s="3" t="s">
        <v>2540</v>
      </c>
      <c r="F2422" s="3" t="s">
        <v>4</v>
      </c>
    </row>
    <row r="2423" spans="1:6" x14ac:dyDescent="0.25">
      <c r="A2423" s="2">
        <v>80202</v>
      </c>
      <c r="B2423" s="3">
        <v>122</v>
      </c>
      <c r="C2423" s="3">
        <v>80</v>
      </c>
      <c r="D2423" s="3" t="s">
        <v>4</v>
      </c>
      <c r="E2423" s="3" t="s">
        <v>2541</v>
      </c>
      <c r="F2423" s="3" t="s">
        <v>4</v>
      </c>
    </row>
    <row r="2424" spans="1:6" x14ac:dyDescent="0.25">
      <c r="A2424" s="2">
        <v>80203</v>
      </c>
      <c r="B2424" s="3">
        <v>123</v>
      </c>
      <c r="C2424" s="3">
        <v>80</v>
      </c>
      <c r="D2424" s="3">
        <v>4025721.6</v>
      </c>
      <c r="E2424" s="3" t="s">
        <v>2542</v>
      </c>
      <c r="F2424" s="3">
        <v>4025721.6</v>
      </c>
    </row>
    <row r="2425" spans="1:6" x14ac:dyDescent="0.25">
      <c r="A2425" s="2">
        <v>80204</v>
      </c>
      <c r="B2425" s="3">
        <v>124</v>
      </c>
      <c r="C2425" s="3">
        <v>80</v>
      </c>
      <c r="D2425" s="3" t="s">
        <v>4</v>
      </c>
      <c r="E2425" s="3" t="s">
        <v>2543</v>
      </c>
      <c r="F2425" s="3" t="s">
        <v>4</v>
      </c>
    </row>
    <row r="2426" spans="1:6" x14ac:dyDescent="0.25">
      <c r="A2426" s="2">
        <v>80205</v>
      </c>
      <c r="B2426" s="3">
        <v>125</v>
      </c>
      <c r="C2426" s="3">
        <v>80</v>
      </c>
      <c r="D2426" s="3">
        <v>308.39999999999998</v>
      </c>
      <c r="E2426" s="3" t="s">
        <v>2544</v>
      </c>
      <c r="F2426" s="3">
        <v>308.39999999999998</v>
      </c>
    </row>
    <row r="2427" spans="1:6" x14ac:dyDescent="0.25">
      <c r="A2427" s="2">
        <v>80206</v>
      </c>
      <c r="B2427" s="3">
        <v>126</v>
      </c>
      <c r="C2427" s="3">
        <v>80</v>
      </c>
      <c r="D2427" s="3">
        <v>499.2</v>
      </c>
      <c r="E2427" s="3" t="s">
        <v>2545</v>
      </c>
      <c r="F2427" s="3">
        <v>499.2</v>
      </c>
    </row>
    <row r="2428" spans="1:6" x14ac:dyDescent="0.25">
      <c r="A2428" s="2">
        <v>80207</v>
      </c>
      <c r="B2428" s="3">
        <v>127</v>
      </c>
      <c r="C2428" s="3">
        <v>80</v>
      </c>
      <c r="D2428" s="3">
        <v>174</v>
      </c>
      <c r="E2428" s="3" t="s">
        <v>2546</v>
      </c>
      <c r="F2428" s="3">
        <v>174</v>
      </c>
    </row>
    <row r="2429" spans="1:6" x14ac:dyDescent="0.25">
      <c r="A2429" s="2">
        <v>80208</v>
      </c>
      <c r="B2429" s="3">
        <v>128</v>
      </c>
      <c r="C2429" s="3">
        <v>80</v>
      </c>
      <c r="D2429" s="3">
        <v>2460</v>
      </c>
      <c r="E2429" s="3" t="s">
        <v>2547</v>
      </c>
      <c r="F2429" s="3">
        <v>2460</v>
      </c>
    </row>
    <row r="2430" spans="1:6" x14ac:dyDescent="0.25">
      <c r="A2430" s="2">
        <v>80209</v>
      </c>
      <c r="B2430" s="3">
        <v>129</v>
      </c>
      <c r="C2430" s="3">
        <v>80</v>
      </c>
      <c r="D2430" s="3">
        <v>36</v>
      </c>
      <c r="E2430" s="3" t="s">
        <v>2548</v>
      </c>
      <c r="F2430" s="3">
        <v>36</v>
      </c>
    </row>
    <row r="2431" spans="1:6" x14ac:dyDescent="0.25">
      <c r="A2431" s="2">
        <v>80210</v>
      </c>
      <c r="B2431" s="3">
        <v>130</v>
      </c>
      <c r="C2431" s="3">
        <v>80</v>
      </c>
      <c r="D2431" s="3">
        <v>2.9999999999999999E-7</v>
      </c>
      <c r="E2431" s="3" t="s">
        <v>2549</v>
      </c>
      <c r="F2431" s="3">
        <v>2.9999999999999999E-7</v>
      </c>
    </row>
    <row r="2432" spans="1:6" x14ac:dyDescent="0.25">
      <c r="A2432" s="2">
        <v>80211</v>
      </c>
      <c r="B2432" s="3">
        <v>131</v>
      </c>
      <c r="C2432" s="3">
        <v>80</v>
      </c>
      <c r="D2432" s="3">
        <v>2.9999999999999999E-7</v>
      </c>
      <c r="E2432" s="3" t="s">
        <v>2550</v>
      </c>
      <c r="F2432" s="3">
        <v>2.9999999999999999E-7</v>
      </c>
    </row>
    <row r="2433" spans="1:6" x14ac:dyDescent="0.25">
      <c r="A2433" s="2">
        <v>80212</v>
      </c>
      <c r="B2433" s="3">
        <v>132</v>
      </c>
      <c r="C2433" s="3">
        <v>80</v>
      </c>
      <c r="D2433" s="3">
        <v>2.9999999999999999E-7</v>
      </c>
      <c r="E2433" s="3" t="s">
        <v>2551</v>
      </c>
      <c r="F2433" s="3">
        <v>2.9999999999999999E-7</v>
      </c>
    </row>
    <row r="2434" spans="1:6" x14ac:dyDescent="0.25">
      <c r="A2434" s="2">
        <v>80213</v>
      </c>
      <c r="B2434" s="3">
        <v>133</v>
      </c>
      <c r="C2434" s="3">
        <v>80</v>
      </c>
      <c r="D2434" s="3">
        <v>2.9999999999999999E-7</v>
      </c>
      <c r="E2434" s="3" t="s">
        <v>2552</v>
      </c>
      <c r="F2434" s="3">
        <v>2.9999999999999999E-7</v>
      </c>
    </row>
    <row r="2435" spans="1:6" x14ac:dyDescent="0.25">
      <c r="A2435" s="2">
        <v>80214</v>
      </c>
      <c r="B2435" s="3">
        <v>134</v>
      </c>
      <c r="C2435" s="3">
        <v>80</v>
      </c>
      <c r="D2435" s="3">
        <v>2.9999999999999999E-7</v>
      </c>
      <c r="E2435" s="3" t="s">
        <v>2553</v>
      </c>
      <c r="F2435" s="3">
        <v>2.9999999999999999E-7</v>
      </c>
    </row>
    <row r="2436" spans="1:6" x14ac:dyDescent="0.25">
      <c r="A2436" s="2">
        <v>80215</v>
      </c>
      <c r="B2436" s="3">
        <v>135</v>
      </c>
      <c r="C2436" s="3">
        <v>80</v>
      </c>
      <c r="D2436" s="3">
        <v>2.9999999999999999E-7</v>
      </c>
      <c r="E2436" s="3" t="s">
        <v>2554</v>
      </c>
      <c r="F2436" s="3">
        <v>2.9999999999999999E-7</v>
      </c>
    </row>
    <row r="2437" spans="1:6" x14ac:dyDescent="0.25">
      <c r="A2437" s="2">
        <v>80216</v>
      </c>
      <c r="B2437" s="3">
        <v>136</v>
      </c>
      <c r="C2437" s="3">
        <v>80</v>
      </c>
      <c r="D2437" s="3">
        <v>2.9999999999999999E-7</v>
      </c>
      <c r="E2437" s="3" t="s">
        <v>2555</v>
      </c>
      <c r="F2437" s="3">
        <v>2.9999999999999999E-7</v>
      </c>
    </row>
    <row r="2438" spans="1:6" x14ac:dyDescent="0.25">
      <c r="A2438" s="2">
        <v>81176</v>
      </c>
      <c r="B2438" s="3">
        <v>95</v>
      </c>
      <c r="C2438" s="3">
        <v>81</v>
      </c>
      <c r="D2438" s="3">
        <v>5.1999999999999998E-3</v>
      </c>
      <c r="E2438" s="3" t="s">
        <v>2556</v>
      </c>
      <c r="F2438" s="3">
        <v>5.1999999999999998E-3</v>
      </c>
    </row>
    <row r="2439" spans="1:6" x14ac:dyDescent="0.25">
      <c r="A2439" s="2">
        <v>81177</v>
      </c>
      <c r="B2439" s="3">
        <v>96</v>
      </c>
      <c r="C2439" s="3">
        <v>81</v>
      </c>
      <c r="D2439" s="3">
        <v>1.7999999999999999E-2</v>
      </c>
      <c r="E2439" s="3" t="s">
        <v>2557</v>
      </c>
      <c r="F2439" s="3">
        <v>1.7999999999999999E-2</v>
      </c>
    </row>
    <row r="2440" spans="1:6" x14ac:dyDescent="0.25">
      <c r="A2440" s="2">
        <v>81178</v>
      </c>
      <c r="B2440" s="3">
        <v>97</v>
      </c>
      <c r="C2440" s="3">
        <v>81</v>
      </c>
      <c r="D2440" s="3">
        <v>0.254</v>
      </c>
      <c r="E2440" s="3" t="s">
        <v>2558</v>
      </c>
      <c r="F2440" s="3">
        <v>0.254</v>
      </c>
    </row>
    <row r="2441" spans="1:6" x14ac:dyDescent="0.25">
      <c r="A2441" s="2">
        <v>81179</v>
      </c>
      <c r="B2441" s="3">
        <v>98</v>
      </c>
      <c r="C2441" s="3">
        <v>81</v>
      </c>
      <c r="D2441" s="3">
        <v>0.23</v>
      </c>
      <c r="E2441" s="3" t="s">
        <v>2559</v>
      </c>
      <c r="F2441" s="3">
        <v>0.23</v>
      </c>
    </row>
    <row r="2442" spans="1:6" x14ac:dyDescent="0.25">
      <c r="A2442" s="2">
        <v>81180</v>
      </c>
      <c r="B2442" s="3">
        <v>99</v>
      </c>
      <c r="C2442" s="3">
        <v>81</v>
      </c>
      <c r="D2442" s="3">
        <v>1.0900000000000001</v>
      </c>
      <c r="E2442" s="3" t="s">
        <v>2560</v>
      </c>
      <c r="F2442" s="3">
        <v>1.0900000000000001</v>
      </c>
    </row>
    <row r="2443" spans="1:6" x14ac:dyDescent="0.25">
      <c r="A2443" s="2">
        <v>81181</v>
      </c>
      <c r="B2443" s="3">
        <v>100</v>
      </c>
      <c r="C2443" s="3">
        <v>81</v>
      </c>
      <c r="D2443" s="3">
        <v>3.2</v>
      </c>
      <c r="E2443" s="3" t="s">
        <v>2561</v>
      </c>
      <c r="F2443" s="3">
        <v>3.2</v>
      </c>
    </row>
    <row r="2444" spans="1:6" x14ac:dyDescent="0.25">
      <c r="A2444" s="2">
        <v>81182</v>
      </c>
      <c r="B2444" s="3">
        <v>101</v>
      </c>
      <c r="C2444" s="3">
        <v>81</v>
      </c>
      <c r="D2444" s="3">
        <v>3.1</v>
      </c>
      <c r="E2444" s="3" t="s">
        <v>2562</v>
      </c>
      <c r="F2444" s="3">
        <v>3.1</v>
      </c>
    </row>
    <row r="2445" spans="1:6" x14ac:dyDescent="0.25">
      <c r="A2445" s="2">
        <v>81183</v>
      </c>
      <c r="B2445" s="3">
        <v>102</v>
      </c>
      <c r="C2445" s="3">
        <v>81</v>
      </c>
      <c r="D2445" s="3">
        <v>6.9</v>
      </c>
      <c r="E2445" s="3" t="s">
        <v>2563</v>
      </c>
      <c r="F2445" s="3">
        <v>6.9</v>
      </c>
    </row>
    <row r="2446" spans="1:6" x14ac:dyDescent="0.25">
      <c r="A2446" s="2">
        <v>81184</v>
      </c>
      <c r="B2446" s="3">
        <v>103</v>
      </c>
      <c r="C2446" s="3">
        <v>81</v>
      </c>
      <c r="D2446" s="3">
        <v>10.1</v>
      </c>
      <c r="E2446" s="3" t="s">
        <v>2564</v>
      </c>
      <c r="F2446" s="3">
        <v>10.1</v>
      </c>
    </row>
    <row r="2447" spans="1:6" x14ac:dyDescent="0.25">
      <c r="A2447" s="2">
        <v>81185</v>
      </c>
      <c r="B2447" s="3">
        <v>104</v>
      </c>
      <c r="C2447" s="3">
        <v>81</v>
      </c>
      <c r="D2447" s="3">
        <v>19.5</v>
      </c>
      <c r="E2447" s="3" t="s">
        <v>2565</v>
      </c>
      <c r="F2447" s="3">
        <v>19.5</v>
      </c>
    </row>
    <row r="2448" spans="1:6" x14ac:dyDescent="0.25">
      <c r="A2448" s="2">
        <v>81186</v>
      </c>
      <c r="B2448" s="3">
        <v>105</v>
      </c>
      <c r="C2448" s="3">
        <v>81</v>
      </c>
      <c r="D2448" s="3">
        <v>27.5</v>
      </c>
      <c r="E2448" s="3" t="s">
        <v>2566</v>
      </c>
      <c r="F2448" s="3">
        <v>27.5</v>
      </c>
    </row>
    <row r="2449" spans="1:6" x14ac:dyDescent="0.25">
      <c r="A2449" s="2">
        <v>81187</v>
      </c>
      <c r="B2449" s="3">
        <v>106</v>
      </c>
      <c r="C2449" s="3">
        <v>81</v>
      </c>
      <c r="D2449" s="3">
        <v>51</v>
      </c>
      <c r="E2449" s="3" t="s">
        <v>2567</v>
      </c>
      <c r="F2449" s="3">
        <v>51</v>
      </c>
    </row>
    <row r="2450" spans="1:6" x14ac:dyDescent="0.25">
      <c r="A2450" s="2">
        <v>81188</v>
      </c>
      <c r="B2450" s="3">
        <v>107</v>
      </c>
      <c r="C2450" s="3">
        <v>81</v>
      </c>
      <c r="D2450" s="3">
        <v>71</v>
      </c>
      <c r="E2450" s="3" t="s">
        <v>2568</v>
      </c>
      <c r="F2450" s="3">
        <v>71</v>
      </c>
    </row>
    <row r="2451" spans="1:6" x14ac:dyDescent="0.25">
      <c r="A2451" s="2">
        <v>81189</v>
      </c>
      <c r="B2451" s="3">
        <v>108</v>
      </c>
      <c r="C2451" s="3">
        <v>81</v>
      </c>
      <c r="D2451" s="3">
        <v>138</v>
      </c>
      <c r="E2451" s="3" t="s">
        <v>2569</v>
      </c>
      <c r="F2451" s="3">
        <v>138</v>
      </c>
    </row>
    <row r="2452" spans="1:6" x14ac:dyDescent="0.25">
      <c r="A2452" s="2">
        <v>81190</v>
      </c>
      <c r="B2452" s="3">
        <v>109</v>
      </c>
      <c r="C2452" s="3">
        <v>81</v>
      </c>
      <c r="D2452" s="3">
        <v>156</v>
      </c>
      <c r="E2452" s="3" t="s">
        <v>2570</v>
      </c>
      <c r="F2452" s="3">
        <v>156</v>
      </c>
    </row>
    <row r="2453" spans="1:6" x14ac:dyDescent="0.25">
      <c r="A2453" s="2">
        <v>81191</v>
      </c>
      <c r="B2453" s="3">
        <v>110</v>
      </c>
      <c r="C2453" s="3">
        <v>81</v>
      </c>
      <c r="D2453" s="3">
        <v>313.2</v>
      </c>
      <c r="E2453" s="3" t="s">
        <v>2571</v>
      </c>
      <c r="F2453" s="3">
        <v>313.2</v>
      </c>
    </row>
    <row r="2454" spans="1:6" x14ac:dyDescent="0.25">
      <c r="A2454" s="2">
        <v>81192</v>
      </c>
      <c r="B2454" s="3">
        <v>111</v>
      </c>
      <c r="C2454" s="3">
        <v>81</v>
      </c>
      <c r="D2454" s="3">
        <v>576</v>
      </c>
      <c r="E2454" s="3" t="s">
        <v>2572</v>
      </c>
      <c r="F2454" s="3">
        <v>576</v>
      </c>
    </row>
    <row r="2455" spans="1:6" x14ac:dyDescent="0.25">
      <c r="A2455" s="2">
        <v>81193</v>
      </c>
      <c r="B2455" s="3">
        <v>112</v>
      </c>
      <c r="C2455" s="3">
        <v>81</v>
      </c>
      <c r="D2455" s="3">
        <v>1296</v>
      </c>
      <c r="E2455" s="3" t="s">
        <v>2573</v>
      </c>
      <c r="F2455" s="3">
        <v>1296</v>
      </c>
    </row>
    <row r="2456" spans="1:6" x14ac:dyDescent="0.25">
      <c r="A2456" s="2">
        <v>81194</v>
      </c>
      <c r="B2456" s="3">
        <v>113</v>
      </c>
      <c r="C2456" s="3">
        <v>81</v>
      </c>
      <c r="D2456" s="3">
        <v>1980</v>
      </c>
      <c r="E2456" s="3" t="s">
        <v>2574</v>
      </c>
      <c r="F2456" s="3">
        <v>1980</v>
      </c>
    </row>
    <row r="2457" spans="1:6" x14ac:dyDescent="0.25">
      <c r="A2457" s="2">
        <v>81195</v>
      </c>
      <c r="B2457" s="3">
        <v>114</v>
      </c>
      <c r="C2457" s="3">
        <v>81</v>
      </c>
      <c r="D2457" s="3">
        <v>4176</v>
      </c>
      <c r="E2457" s="3" t="s">
        <v>2575</v>
      </c>
      <c r="F2457" s="3">
        <v>4176</v>
      </c>
    </row>
    <row r="2458" spans="1:6" x14ac:dyDescent="0.25">
      <c r="A2458" s="2">
        <v>81196</v>
      </c>
      <c r="B2458" s="3">
        <v>115</v>
      </c>
      <c r="C2458" s="3">
        <v>81</v>
      </c>
      <c r="D2458" s="3">
        <v>6624</v>
      </c>
      <c r="E2458" s="3" t="s">
        <v>2576</v>
      </c>
      <c r="F2458" s="3">
        <v>6624</v>
      </c>
    </row>
    <row r="2459" spans="1:6" x14ac:dyDescent="0.25">
      <c r="A2459" s="2">
        <v>81197</v>
      </c>
      <c r="B2459" s="3">
        <v>116</v>
      </c>
      <c r="C2459" s="3">
        <v>81</v>
      </c>
      <c r="D2459" s="3">
        <v>10224</v>
      </c>
      <c r="E2459" s="3" t="s">
        <v>2577</v>
      </c>
      <c r="F2459" s="3">
        <v>10224</v>
      </c>
    </row>
    <row r="2460" spans="1:6" x14ac:dyDescent="0.25">
      <c r="A2460" s="2">
        <v>81198</v>
      </c>
      <c r="B2460" s="3">
        <v>117</v>
      </c>
      <c r="C2460" s="3">
        <v>81</v>
      </c>
      <c r="D2460" s="3">
        <v>19080</v>
      </c>
      <c r="E2460" s="3" t="s">
        <v>2578</v>
      </c>
      <c r="F2460" s="3">
        <v>19080</v>
      </c>
    </row>
    <row r="2461" spans="1:6" x14ac:dyDescent="0.25">
      <c r="A2461" s="2">
        <v>81199</v>
      </c>
      <c r="B2461" s="3">
        <v>118</v>
      </c>
      <c r="C2461" s="3">
        <v>81</v>
      </c>
      <c r="D2461" s="3">
        <v>26712</v>
      </c>
      <c r="E2461" s="3" t="s">
        <v>2579</v>
      </c>
      <c r="F2461" s="3">
        <v>26712</v>
      </c>
    </row>
    <row r="2462" spans="1:6" x14ac:dyDescent="0.25">
      <c r="A2462" s="2">
        <v>81200</v>
      </c>
      <c r="B2462" s="3">
        <v>119</v>
      </c>
      <c r="C2462" s="3">
        <v>81</v>
      </c>
      <c r="D2462" s="3">
        <v>93960</v>
      </c>
      <c r="E2462" s="3" t="s">
        <v>2580</v>
      </c>
      <c r="F2462" s="3">
        <v>93960</v>
      </c>
    </row>
    <row r="2463" spans="1:6" x14ac:dyDescent="0.25">
      <c r="A2463" s="2">
        <v>81201</v>
      </c>
      <c r="B2463" s="3">
        <v>120</v>
      </c>
      <c r="C2463" s="3">
        <v>81</v>
      </c>
      <c r="D2463" s="3">
        <v>262837.44</v>
      </c>
      <c r="E2463" s="3" t="s">
        <v>2581</v>
      </c>
      <c r="F2463" s="3">
        <v>262837.44</v>
      </c>
    </row>
    <row r="2464" spans="1:6" x14ac:dyDescent="0.25">
      <c r="A2464" s="2">
        <v>81202</v>
      </c>
      <c r="B2464" s="3">
        <v>121</v>
      </c>
      <c r="C2464" s="3">
        <v>81</v>
      </c>
      <c r="D2464" s="3">
        <v>1063584</v>
      </c>
      <c r="E2464" s="3" t="s">
        <v>2582</v>
      </c>
      <c r="F2464" s="3">
        <v>1063584</v>
      </c>
    </row>
    <row r="2465" spans="1:6" x14ac:dyDescent="0.25">
      <c r="A2465" s="2">
        <v>81203</v>
      </c>
      <c r="B2465" s="3">
        <v>122</v>
      </c>
      <c r="C2465" s="3">
        <v>81</v>
      </c>
      <c r="D2465" s="3" t="s">
        <v>4</v>
      </c>
      <c r="E2465" s="3" t="s">
        <v>2583</v>
      </c>
      <c r="F2465" s="3" t="s">
        <v>4</v>
      </c>
    </row>
    <row r="2466" spans="1:6" x14ac:dyDescent="0.25">
      <c r="A2466" s="2">
        <v>81204</v>
      </c>
      <c r="B2466" s="3">
        <v>123</v>
      </c>
      <c r="C2466" s="3">
        <v>81</v>
      </c>
      <c r="D2466" s="3">
        <v>119382400.8</v>
      </c>
      <c r="E2466" s="3" t="s">
        <v>2584</v>
      </c>
      <c r="F2466" s="3">
        <v>119382400.8</v>
      </c>
    </row>
    <row r="2467" spans="1:6" x14ac:dyDescent="0.25">
      <c r="A2467" s="2">
        <v>81205</v>
      </c>
      <c r="B2467" s="3">
        <v>124</v>
      </c>
      <c r="C2467" s="3">
        <v>81</v>
      </c>
      <c r="D2467" s="3" t="s">
        <v>4</v>
      </c>
      <c r="E2467" s="3" t="s">
        <v>2585</v>
      </c>
      <c r="F2467" s="3" t="s">
        <v>4</v>
      </c>
    </row>
    <row r="2468" spans="1:6" x14ac:dyDescent="0.25">
      <c r="A2468" s="2">
        <v>81206</v>
      </c>
      <c r="B2468" s="3">
        <v>125</v>
      </c>
      <c r="C2468" s="3">
        <v>81</v>
      </c>
      <c r="D2468" s="3">
        <v>252.12</v>
      </c>
      <c r="E2468" s="3" t="s">
        <v>2586</v>
      </c>
      <c r="F2468" s="3">
        <v>252.12</v>
      </c>
    </row>
    <row r="2469" spans="1:6" x14ac:dyDescent="0.25">
      <c r="A2469" s="2">
        <v>81207</v>
      </c>
      <c r="B2469" s="3">
        <v>126</v>
      </c>
      <c r="C2469" s="3">
        <v>81</v>
      </c>
      <c r="D2469" s="3">
        <v>286.2</v>
      </c>
      <c r="E2469" s="3" t="s">
        <v>2587</v>
      </c>
      <c r="F2469" s="3">
        <v>286.2</v>
      </c>
    </row>
    <row r="2470" spans="1:6" x14ac:dyDescent="0.25">
      <c r="A2470" s="2">
        <v>81208</v>
      </c>
      <c r="B2470" s="3">
        <v>127</v>
      </c>
      <c r="C2470" s="3">
        <v>81</v>
      </c>
      <c r="D2470" s="3">
        <v>183.18</v>
      </c>
      <c r="E2470" s="3" t="s">
        <v>2588</v>
      </c>
      <c r="F2470" s="3">
        <v>183.18</v>
      </c>
    </row>
    <row r="2471" spans="1:6" x14ac:dyDescent="0.25">
      <c r="A2471" s="2">
        <v>81209</v>
      </c>
      <c r="B2471" s="3">
        <v>128</v>
      </c>
      <c r="C2471" s="3">
        <v>81</v>
      </c>
      <c r="D2471" s="3">
        <v>129.72</v>
      </c>
      <c r="E2471" s="3" t="s">
        <v>2589</v>
      </c>
      <c r="F2471" s="3">
        <v>129.72</v>
      </c>
    </row>
    <row r="2472" spans="1:6" x14ac:dyDescent="0.25">
      <c r="A2472" s="2">
        <v>81210</v>
      </c>
      <c r="B2472" s="3">
        <v>129</v>
      </c>
      <c r="C2472" s="3">
        <v>81</v>
      </c>
      <c r="D2472" s="3">
        <v>78</v>
      </c>
      <c r="E2472" s="3" t="s">
        <v>2590</v>
      </c>
      <c r="F2472" s="3">
        <v>78</v>
      </c>
    </row>
    <row r="2473" spans="1:6" x14ac:dyDescent="0.25">
      <c r="A2473" s="2">
        <v>81211</v>
      </c>
      <c r="B2473" s="3">
        <v>130</v>
      </c>
      <c r="C2473" s="3">
        <v>81</v>
      </c>
      <c r="D2473" s="3">
        <v>88</v>
      </c>
      <c r="E2473" s="3" t="s">
        <v>2591</v>
      </c>
      <c r="F2473" s="3">
        <v>88</v>
      </c>
    </row>
    <row r="2474" spans="1:6" x14ac:dyDescent="0.25">
      <c r="A2474" s="2">
        <v>81212</v>
      </c>
      <c r="B2474" s="3">
        <v>131</v>
      </c>
      <c r="C2474" s="3">
        <v>81</v>
      </c>
      <c r="D2474" s="3">
        <v>2.9999999999999999E-7</v>
      </c>
      <c r="E2474" s="3" t="s">
        <v>2592</v>
      </c>
      <c r="F2474" s="3">
        <v>2.9999999999999999E-7</v>
      </c>
    </row>
    <row r="2475" spans="1:6" x14ac:dyDescent="0.25">
      <c r="A2475" s="2">
        <v>81213</v>
      </c>
      <c r="B2475" s="3">
        <v>132</v>
      </c>
      <c r="C2475" s="3">
        <v>81</v>
      </c>
      <c r="D2475" s="3">
        <v>101</v>
      </c>
      <c r="E2475" s="3" t="s">
        <v>2593</v>
      </c>
      <c r="F2475" s="3">
        <v>101</v>
      </c>
    </row>
    <row r="2476" spans="1:6" x14ac:dyDescent="0.25">
      <c r="A2476" s="2">
        <v>81214</v>
      </c>
      <c r="B2476" s="3">
        <v>133</v>
      </c>
      <c r="C2476" s="3">
        <v>81</v>
      </c>
      <c r="D2476" s="3">
        <v>2.9999999999999999E-7</v>
      </c>
      <c r="E2476" s="3" t="s">
        <v>2594</v>
      </c>
      <c r="F2476" s="3">
        <v>2.9999999999999999E-7</v>
      </c>
    </row>
    <row r="2477" spans="1:6" x14ac:dyDescent="0.25">
      <c r="A2477" s="2">
        <v>81215</v>
      </c>
      <c r="B2477" s="3">
        <v>134</v>
      </c>
      <c r="C2477" s="3">
        <v>81</v>
      </c>
      <c r="D2477" s="3">
        <v>2.9999999999999999E-7</v>
      </c>
      <c r="E2477" s="3" t="s">
        <v>2595</v>
      </c>
      <c r="F2477" s="3">
        <v>2.9999999999999999E-7</v>
      </c>
    </row>
    <row r="2478" spans="1:6" x14ac:dyDescent="0.25">
      <c r="A2478" s="2">
        <v>81216</v>
      </c>
      <c r="B2478" s="3">
        <v>135</v>
      </c>
      <c r="C2478" s="3">
        <v>81</v>
      </c>
      <c r="D2478" s="3">
        <v>2.9999999999999999E-7</v>
      </c>
      <c r="E2478" s="3" t="s">
        <v>2596</v>
      </c>
      <c r="F2478" s="3">
        <v>2.9999999999999999E-7</v>
      </c>
    </row>
    <row r="2479" spans="1:6" x14ac:dyDescent="0.25">
      <c r="A2479" s="2">
        <v>81217</v>
      </c>
      <c r="B2479" s="3">
        <v>136</v>
      </c>
      <c r="C2479" s="3">
        <v>81</v>
      </c>
      <c r="D2479" s="3">
        <v>2.9999999999999999E-7</v>
      </c>
      <c r="E2479" s="3" t="s">
        <v>2597</v>
      </c>
      <c r="F2479" s="3">
        <v>2.9999999999999999E-7</v>
      </c>
    </row>
    <row r="2480" spans="1:6" x14ac:dyDescent="0.25">
      <c r="A2480" s="2">
        <v>82178</v>
      </c>
      <c r="B2480" s="3">
        <v>96</v>
      </c>
      <c r="C2480" s="3">
        <v>82</v>
      </c>
      <c r="D2480" s="3">
        <v>1.2E-4</v>
      </c>
      <c r="E2480" s="3" t="s">
        <v>2598</v>
      </c>
      <c r="F2480" s="3">
        <v>1.2E-4</v>
      </c>
    </row>
    <row r="2481" spans="1:6" x14ac:dyDescent="0.25">
      <c r="A2481" s="2">
        <v>82179</v>
      </c>
      <c r="B2481" s="3">
        <v>97</v>
      </c>
      <c r="C2481" s="3">
        <v>82</v>
      </c>
      <c r="D2481" s="3">
        <v>3.5000000000000001E-3</v>
      </c>
      <c r="E2481" s="3" t="s">
        <v>2599</v>
      </c>
      <c r="F2481" s="3">
        <v>3.5000000000000001E-3</v>
      </c>
    </row>
    <row r="2482" spans="1:6" x14ac:dyDescent="0.25">
      <c r="A2482" s="2">
        <v>82180</v>
      </c>
      <c r="B2482" s="3">
        <v>98</v>
      </c>
      <c r="C2482" s="3">
        <v>82</v>
      </c>
      <c r="D2482" s="3">
        <v>4.0999999999999899E-3</v>
      </c>
      <c r="E2482" s="3" t="s">
        <v>2600</v>
      </c>
      <c r="F2482" s="3">
        <v>4.0999999999999899E-3</v>
      </c>
    </row>
    <row r="2483" spans="1:6" x14ac:dyDescent="0.25">
      <c r="A2483" s="2">
        <v>82181</v>
      </c>
      <c r="B2483" s="3">
        <v>99</v>
      </c>
      <c r="C2483" s="3">
        <v>82</v>
      </c>
      <c r="D2483" s="3">
        <v>3.5999999999999997E-2</v>
      </c>
      <c r="E2483" s="3" t="s">
        <v>2601</v>
      </c>
      <c r="F2483" s="3">
        <v>3.5999999999999997E-2</v>
      </c>
    </row>
    <row r="2484" spans="1:6" x14ac:dyDescent="0.25">
      <c r="A2484" s="2">
        <v>82182</v>
      </c>
      <c r="B2484" s="3">
        <v>100</v>
      </c>
      <c r="C2484" s="3">
        <v>82</v>
      </c>
      <c r="D2484" s="3">
        <v>5.5E-2</v>
      </c>
      <c r="E2484" s="3" t="s">
        <v>2602</v>
      </c>
      <c r="F2484" s="3">
        <v>5.5E-2</v>
      </c>
    </row>
    <row r="2485" spans="1:6" x14ac:dyDescent="0.25">
      <c r="A2485" s="2">
        <v>82183</v>
      </c>
      <c r="B2485" s="3">
        <v>101</v>
      </c>
      <c r="C2485" s="3">
        <v>82</v>
      </c>
      <c r="D2485" s="3">
        <v>0.53500000000000003</v>
      </c>
      <c r="E2485" s="3" t="s">
        <v>2603</v>
      </c>
      <c r="F2485" s="3">
        <v>0.53500000000000003</v>
      </c>
    </row>
    <row r="2486" spans="1:6" x14ac:dyDescent="0.25">
      <c r="A2486" s="2">
        <v>82184</v>
      </c>
      <c r="B2486" s="3">
        <v>102</v>
      </c>
      <c r="C2486" s="3">
        <v>82</v>
      </c>
      <c r="D2486" s="3">
        <v>0.49</v>
      </c>
      <c r="E2486" s="3" t="s">
        <v>2604</v>
      </c>
      <c r="F2486" s="3">
        <v>0.49</v>
      </c>
    </row>
    <row r="2487" spans="1:6" x14ac:dyDescent="0.25">
      <c r="A2487" s="2">
        <v>82185</v>
      </c>
      <c r="B2487" s="3">
        <v>103</v>
      </c>
      <c r="C2487" s="3">
        <v>82</v>
      </c>
      <c r="D2487" s="3">
        <v>6.3</v>
      </c>
      <c r="E2487" s="3" t="s">
        <v>2605</v>
      </c>
      <c r="F2487" s="3">
        <v>6.3</v>
      </c>
    </row>
    <row r="2488" spans="1:6" x14ac:dyDescent="0.25">
      <c r="A2488" s="2">
        <v>82186</v>
      </c>
      <c r="B2488" s="3">
        <v>104</v>
      </c>
      <c r="C2488" s="3">
        <v>82</v>
      </c>
      <c r="D2488" s="3">
        <v>4.82</v>
      </c>
      <c r="E2488" s="3" t="s">
        <v>2606</v>
      </c>
      <c r="F2488" s="3">
        <v>4.82</v>
      </c>
    </row>
    <row r="2489" spans="1:6" x14ac:dyDescent="0.25">
      <c r="A2489" s="2">
        <v>82187</v>
      </c>
      <c r="B2489" s="3">
        <v>105</v>
      </c>
      <c r="C2489" s="3">
        <v>82</v>
      </c>
      <c r="D2489" s="3">
        <v>15.2</v>
      </c>
      <c r="E2489" s="3" t="s">
        <v>2607</v>
      </c>
      <c r="F2489" s="3">
        <v>15.2</v>
      </c>
    </row>
    <row r="2490" spans="1:6" x14ac:dyDescent="0.25">
      <c r="A2490" s="2">
        <v>82188</v>
      </c>
      <c r="B2490" s="3">
        <v>106</v>
      </c>
      <c r="C2490" s="3">
        <v>82</v>
      </c>
      <c r="D2490" s="3">
        <v>25.1</v>
      </c>
      <c r="E2490" s="3" t="s">
        <v>2608</v>
      </c>
      <c r="F2490" s="3">
        <v>25.1</v>
      </c>
    </row>
    <row r="2491" spans="1:6" x14ac:dyDescent="0.25">
      <c r="A2491" s="2">
        <v>82189</v>
      </c>
      <c r="B2491" s="3">
        <v>107</v>
      </c>
      <c r="C2491" s="3">
        <v>82</v>
      </c>
      <c r="D2491" s="3">
        <v>39</v>
      </c>
      <c r="E2491" s="3" t="s">
        <v>2609</v>
      </c>
      <c r="F2491" s="3">
        <v>39</v>
      </c>
    </row>
    <row r="2492" spans="1:6" x14ac:dyDescent="0.25">
      <c r="A2492" s="2">
        <v>82190</v>
      </c>
      <c r="B2492" s="3">
        <v>108</v>
      </c>
      <c r="C2492" s="3">
        <v>82</v>
      </c>
      <c r="D2492" s="3">
        <v>71</v>
      </c>
      <c r="E2492" s="3" t="s">
        <v>2610</v>
      </c>
      <c r="F2492" s="3">
        <v>71</v>
      </c>
    </row>
    <row r="2493" spans="1:6" x14ac:dyDescent="0.25">
      <c r="A2493" s="2">
        <v>82191</v>
      </c>
      <c r="B2493" s="3">
        <v>109</v>
      </c>
      <c r="C2493" s="3">
        <v>82</v>
      </c>
      <c r="D2493" s="3">
        <v>79.8</v>
      </c>
      <c r="E2493" s="3" t="s">
        <v>2611</v>
      </c>
      <c r="F2493" s="3">
        <v>79.8</v>
      </c>
    </row>
    <row r="2494" spans="1:6" x14ac:dyDescent="0.25">
      <c r="A2494" s="2">
        <v>82192</v>
      </c>
      <c r="B2494" s="3">
        <v>110</v>
      </c>
      <c r="C2494" s="3">
        <v>82</v>
      </c>
      <c r="D2494" s="3">
        <v>210</v>
      </c>
      <c r="E2494" s="3" t="s">
        <v>2612</v>
      </c>
      <c r="F2494" s="3">
        <v>210</v>
      </c>
    </row>
    <row r="2495" spans="1:6" x14ac:dyDescent="0.25">
      <c r="A2495" s="2">
        <v>82193</v>
      </c>
      <c r="B2495" s="3">
        <v>111</v>
      </c>
      <c r="C2495" s="3">
        <v>82</v>
      </c>
      <c r="D2495" s="3">
        <v>348</v>
      </c>
      <c r="E2495" s="3" t="s">
        <v>2613</v>
      </c>
      <c r="F2495" s="3">
        <v>348</v>
      </c>
    </row>
    <row r="2496" spans="1:6" x14ac:dyDescent="0.25">
      <c r="A2496" s="2">
        <v>82194</v>
      </c>
      <c r="B2496" s="3">
        <v>112</v>
      </c>
      <c r="C2496" s="3">
        <v>82</v>
      </c>
      <c r="D2496" s="3">
        <v>642</v>
      </c>
      <c r="E2496" s="3" t="s">
        <v>2614</v>
      </c>
      <c r="F2496" s="3">
        <v>642</v>
      </c>
    </row>
    <row r="2497" spans="1:6" x14ac:dyDescent="0.25">
      <c r="A2497" s="2">
        <v>82195</v>
      </c>
      <c r="B2497" s="3">
        <v>113</v>
      </c>
      <c r="C2497" s="3">
        <v>82</v>
      </c>
      <c r="D2497" s="3">
        <v>900</v>
      </c>
      <c r="E2497" s="3" t="s">
        <v>2615</v>
      </c>
      <c r="F2497" s="3">
        <v>900</v>
      </c>
    </row>
    <row r="2498" spans="1:6" x14ac:dyDescent="0.25">
      <c r="A2498" s="2">
        <v>82196</v>
      </c>
      <c r="B2498" s="3">
        <v>114</v>
      </c>
      <c r="C2498" s="3">
        <v>82</v>
      </c>
      <c r="D2498" s="3">
        <v>2220</v>
      </c>
      <c r="E2498" s="3" t="s">
        <v>2616</v>
      </c>
      <c r="F2498" s="3">
        <v>2220</v>
      </c>
    </row>
    <row r="2499" spans="1:6" x14ac:dyDescent="0.25">
      <c r="A2499" s="2">
        <v>82197</v>
      </c>
      <c r="B2499" s="3">
        <v>115</v>
      </c>
      <c r="C2499" s="3">
        <v>82</v>
      </c>
      <c r="D2499" s="3">
        <v>486</v>
      </c>
      <c r="E2499" s="3" t="s">
        <v>2617</v>
      </c>
      <c r="F2499" s="3">
        <v>486</v>
      </c>
    </row>
    <row r="2500" spans="1:6" x14ac:dyDescent="0.25">
      <c r="A2500" s="2">
        <v>82198</v>
      </c>
      <c r="B2500" s="3">
        <v>116</v>
      </c>
      <c r="C2500" s="3">
        <v>82</v>
      </c>
      <c r="D2500" s="3">
        <v>8640</v>
      </c>
      <c r="E2500" s="3" t="s">
        <v>2618</v>
      </c>
      <c r="F2500" s="3">
        <v>8640</v>
      </c>
    </row>
    <row r="2501" spans="1:6" x14ac:dyDescent="0.25">
      <c r="A2501" s="2">
        <v>82199</v>
      </c>
      <c r="B2501" s="3">
        <v>117</v>
      </c>
      <c r="C2501" s="3">
        <v>82</v>
      </c>
      <c r="D2501" s="3">
        <v>5400</v>
      </c>
      <c r="E2501" s="3" t="s">
        <v>2619</v>
      </c>
      <c r="F2501" s="3">
        <v>5400</v>
      </c>
    </row>
    <row r="2502" spans="1:6" x14ac:dyDescent="0.25">
      <c r="A2502" s="2">
        <v>82200</v>
      </c>
      <c r="B2502" s="3">
        <v>118</v>
      </c>
      <c r="C2502" s="3">
        <v>82</v>
      </c>
      <c r="D2502" s="3">
        <v>77400</v>
      </c>
      <c r="E2502" s="3" t="s">
        <v>2620</v>
      </c>
      <c r="F2502" s="3">
        <v>77400</v>
      </c>
    </row>
    <row r="2503" spans="1:6" x14ac:dyDescent="0.25">
      <c r="A2503" s="2">
        <v>82201</v>
      </c>
      <c r="B2503" s="3">
        <v>119</v>
      </c>
      <c r="C2503" s="3">
        <v>82</v>
      </c>
      <c r="D2503" s="3">
        <v>33588</v>
      </c>
      <c r="E2503" s="3" t="s">
        <v>2621</v>
      </c>
      <c r="F2503" s="3">
        <v>33588</v>
      </c>
    </row>
    <row r="2504" spans="1:6" x14ac:dyDescent="0.25">
      <c r="A2504" s="2">
        <v>82202</v>
      </c>
      <c r="B2504" s="3">
        <v>120</v>
      </c>
      <c r="C2504" s="3">
        <v>82</v>
      </c>
      <c r="D2504" s="3">
        <v>1656774000000</v>
      </c>
      <c r="E2504" s="3" t="s">
        <v>2622</v>
      </c>
      <c r="F2504" s="3">
        <v>1656774000000</v>
      </c>
    </row>
    <row r="2505" spans="1:6" x14ac:dyDescent="0.25">
      <c r="A2505" s="2">
        <v>82203</v>
      </c>
      <c r="B2505" s="3">
        <v>121</v>
      </c>
      <c r="C2505" s="3">
        <v>82</v>
      </c>
      <c r="D2505" s="3">
        <v>186912</v>
      </c>
      <c r="E2505" s="3" t="s">
        <v>2623</v>
      </c>
      <c r="F2505" s="3">
        <v>186912</v>
      </c>
    </row>
    <row r="2506" spans="1:6" x14ac:dyDescent="0.25">
      <c r="A2506" s="2">
        <v>82204</v>
      </c>
      <c r="B2506" s="3">
        <v>122</v>
      </c>
      <c r="C2506" s="3">
        <v>82</v>
      </c>
      <c r="D2506" s="3">
        <v>4.418064E+24</v>
      </c>
      <c r="E2506" s="3" t="s">
        <v>2624</v>
      </c>
      <c r="F2506" s="3">
        <v>4.418064E+24</v>
      </c>
    </row>
    <row r="2507" spans="1:6" x14ac:dyDescent="0.25">
      <c r="A2507" s="2">
        <v>82205</v>
      </c>
      <c r="B2507" s="3">
        <v>123</v>
      </c>
      <c r="C2507" s="3">
        <v>82</v>
      </c>
      <c r="D2507" s="3">
        <v>545946480000000</v>
      </c>
      <c r="E2507" s="3" t="s">
        <v>2625</v>
      </c>
      <c r="F2507" s="3">
        <v>545946480000000</v>
      </c>
    </row>
    <row r="2508" spans="1:6" x14ac:dyDescent="0.25">
      <c r="A2508" s="2">
        <v>82206</v>
      </c>
      <c r="B2508" s="3">
        <v>124</v>
      </c>
      <c r="C2508" s="3">
        <v>82</v>
      </c>
      <c r="D2508" s="3" t="s">
        <v>4</v>
      </c>
      <c r="E2508" s="3" t="s">
        <v>2626</v>
      </c>
      <c r="F2508" s="3" t="s">
        <v>4</v>
      </c>
    </row>
    <row r="2509" spans="1:6" x14ac:dyDescent="0.25">
      <c r="A2509" s="2">
        <v>82207</v>
      </c>
      <c r="B2509" s="3">
        <v>125</v>
      </c>
      <c r="C2509" s="3">
        <v>82</v>
      </c>
      <c r="D2509" s="3" t="s">
        <v>4</v>
      </c>
      <c r="E2509" s="3" t="s">
        <v>2627</v>
      </c>
      <c r="F2509" s="3" t="s">
        <v>4</v>
      </c>
    </row>
    <row r="2510" spans="1:6" x14ac:dyDescent="0.25">
      <c r="A2510" s="2">
        <v>82208</v>
      </c>
      <c r="B2510" s="3">
        <v>126</v>
      </c>
      <c r="C2510" s="3">
        <v>82</v>
      </c>
      <c r="D2510" s="3" t="s">
        <v>4</v>
      </c>
      <c r="E2510" s="3" t="s">
        <v>2628</v>
      </c>
      <c r="F2510" s="3" t="s">
        <v>4</v>
      </c>
    </row>
    <row r="2511" spans="1:6" x14ac:dyDescent="0.25">
      <c r="A2511" s="2">
        <v>82209</v>
      </c>
      <c r="B2511" s="3">
        <v>127</v>
      </c>
      <c r="C2511" s="3">
        <v>82</v>
      </c>
      <c r="D2511" s="3">
        <v>11642.4</v>
      </c>
      <c r="E2511" s="3" t="s">
        <v>2629</v>
      </c>
      <c r="F2511" s="3">
        <v>11642.4</v>
      </c>
    </row>
    <row r="2512" spans="1:6" x14ac:dyDescent="0.25">
      <c r="A2512" s="2">
        <v>82210</v>
      </c>
      <c r="B2512" s="3">
        <v>128</v>
      </c>
      <c r="C2512" s="3">
        <v>82</v>
      </c>
      <c r="D2512" s="3">
        <v>700578720</v>
      </c>
      <c r="E2512" s="3" t="s">
        <v>2630</v>
      </c>
      <c r="F2512" s="3">
        <v>700578720</v>
      </c>
    </row>
    <row r="2513" spans="1:6" x14ac:dyDescent="0.25">
      <c r="A2513" s="2">
        <v>82211</v>
      </c>
      <c r="B2513" s="3">
        <v>129</v>
      </c>
      <c r="C2513" s="3">
        <v>82</v>
      </c>
      <c r="D2513" s="3">
        <v>2166</v>
      </c>
      <c r="E2513" s="3" t="s">
        <v>2631</v>
      </c>
      <c r="F2513" s="3">
        <v>2166</v>
      </c>
    </row>
    <row r="2514" spans="1:6" x14ac:dyDescent="0.25">
      <c r="A2514" s="2">
        <v>82212</v>
      </c>
      <c r="B2514" s="3">
        <v>130</v>
      </c>
      <c r="C2514" s="3">
        <v>82</v>
      </c>
      <c r="D2514" s="3">
        <v>38304</v>
      </c>
      <c r="E2514" s="3" t="s">
        <v>2632</v>
      </c>
      <c r="F2514" s="3">
        <v>38304</v>
      </c>
    </row>
    <row r="2515" spans="1:6" x14ac:dyDescent="0.25">
      <c r="A2515" s="2">
        <v>82213</v>
      </c>
      <c r="B2515" s="3">
        <v>131</v>
      </c>
      <c r="C2515" s="3">
        <v>82</v>
      </c>
      <c r="D2515" s="3">
        <v>612</v>
      </c>
      <c r="E2515" s="3" t="s">
        <v>2633</v>
      </c>
      <c r="F2515" s="3">
        <v>612</v>
      </c>
    </row>
    <row r="2516" spans="1:6" x14ac:dyDescent="0.25">
      <c r="A2516" s="2">
        <v>82214</v>
      </c>
      <c r="B2516" s="3">
        <v>132</v>
      </c>
      <c r="C2516" s="3">
        <v>82</v>
      </c>
      <c r="D2516" s="3">
        <v>1623.6</v>
      </c>
      <c r="E2516" s="3" t="s">
        <v>2634</v>
      </c>
      <c r="F2516" s="3">
        <v>1623.6</v>
      </c>
    </row>
    <row r="2517" spans="1:6" x14ac:dyDescent="0.25">
      <c r="A2517" s="2">
        <v>82215</v>
      </c>
      <c r="B2517" s="3">
        <v>133</v>
      </c>
      <c r="C2517" s="3">
        <v>82</v>
      </c>
      <c r="D2517" s="3">
        <v>147</v>
      </c>
      <c r="E2517" s="3" t="s">
        <v>2635</v>
      </c>
      <c r="F2517" s="3">
        <v>147</v>
      </c>
    </row>
    <row r="2518" spans="1:6" x14ac:dyDescent="0.25">
      <c r="A2518" s="2">
        <v>82216</v>
      </c>
      <c r="B2518" s="3">
        <v>134</v>
      </c>
      <c r="C2518" s="3">
        <v>82</v>
      </c>
      <c r="D2518" s="3">
        <v>2.9999999999999999E-7</v>
      </c>
      <c r="E2518" s="3" t="s">
        <v>2636</v>
      </c>
      <c r="F2518" s="3">
        <v>2.9999999999999999E-7</v>
      </c>
    </row>
    <row r="2519" spans="1:6" x14ac:dyDescent="0.25">
      <c r="A2519" s="2">
        <v>82217</v>
      </c>
      <c r="B2519" s="3">
        <v>135</v>
      </c>
      <c r="C2519" s="3">
        <v>82</v>
      </c>
      <c r="D2519" s="3">
        <v>2.9999999999999999E-7</v>
      </c>
      <c r="E2519" s="3" t="s">
        <v>2637</v>
      </c>
      <c r="F2519" s="3">
        <v>2.9999999999999999E-7</v>
      </c>
    </row>
    <row r="2520" spans="1:6" x14ac:dyDescent="0.25">
      <c r="A2520" s="2">
        <v>82218</v>
      </c>
      <c r="B2520" s="3">
        <v>136</v>
      </c>
      <c r="C2520" s="3">
        <v>82</v>
      </c>
      <c r="D2520" s="3">
        <v>2.9999999999999999E-7</v>
      </c>
      <c r="E2520" s="3" t="s">
        <v>2638</v>
      </c>
      <c r="F2520" s="3">
        <v>2.9999999999999999E-7</v>
      </c>
    </row>
    <row r="2521" spans="1:6" x14ac:dyDescent="0.25">
      <c r="A2521" s="2">
        <v>82219</v>
      </c>
      <c r="B2521" s="3">
        <v>137</v>
      </c>
      <c r="C2521" s="3">
        <v>82</v>
      </c>
      <c r="D2521" s="3">
        <v>2.9999999999999999E-7</v>
      </c>
      <c r="E2521" s="3" t="s">
        <v>2639</v>
      </c>
      <c r="F2521" s="3">
        <v>2.9999999999999999E-7</v>
      </c>
    </row>
    <row r="2522" spans="1:6" x14ac:dyDescent="0.25">
      <c r="A2522" s="2">
        <v>82220</v>
      </c>
      <c r="B2522" s="3">
        <v>138</v>
      </c>
      <c r="C2522" s="3">
        <v>82</v>
      </c>
      <c r="D2522" s="3">
        <v>2.9999999999999999E-7</v>
      </c>
      <c r="E2522" s="3" t="s">
        <v>2640</v>
      </c>
      <c r="F2522" s="3">
        <v>2.9999999999999999E-7</v>
      </c>
    </row>
    <row r="2523" spans="1:6" x14ac:dyDescent="0.25">
      <c r="A2523" s="2">
        <v>83184</v>
      </c>
      <c r="B2523" s="3">
        <v>101</v>
      </c>
      <c r="C2523" s="3">
        <v>83</v>
      </c>
      <c r="D2523" s="3">
        <v>1.2999999999999999E-2</v>
      </c>
      <c r="E2523" s="3" t="s">
        <v>2641</v>
      </c>
      <c r="F2523" s="3">
        <v>1.2999999999999999E-2</v>
      </c>
    </row>
    <row r="2524" spans="1:6" x14ac:dyDescent="0.25">
      <c r="A2524" s="2">
        <v>83185</v>
      </c>
      <c r="B2524" s="3">
        <v>102</v>
      </c>
      <c r="C2524" s="3">
        <v>83</v>
      </c>
      <c r="D2524" s="3">
        <v>5.8E-5</v>
      </c>
      <c r="E2524" s="3" t="s">
        <v>2642</v>
      </c>
      <c r="F2524" s="3">
        <v>5.8E-5</v>
      </c>
    </row>
    <row r="2525" spans="1:6" x14ac:dyDescent="0.25">
      <c r="A2525" s="2">
        <v>83186</v>
      </c>
      <c r="B2525" s="3">
        <v>103</v>
      </c>
      <c r="C2525" s="3">
        <v>83</v>
      </c>
      <c r="D2525" s="3">
        <v>1.4800000000000001E-2</v>
      </c>
      <c r="E2525" s="3" t="s">
        <v>2643</v>
      </c>
      <c r="F2525" s="3">
        <v>1.4800000000000001E-2</v>
      </c>
    </row>
    <row r="2526" spans="1:6" x14ac:dyDescent="0.25">
      <c r="A2526" s="2">
        <v>83187</v>
      </c>
      <c r="B2526" s="3">
        <v>104</v>
      </c>
      <c r="C2526" s="3">
        <v>83</v>
      </c>
      <c r="D2526" s="3">
        <v>3.6999999999999998E-2</v>
      </c>
      <c r="E2526" s="3" t="s">
        <v>2644</v>
      </c>
      <c r="F2526" s="3">
        <v>3.6999999999999998E-2</v>
      </c>
    </row>
    <row r="2527" spans="1:6" x14ac:dyDescent="0.25">
      <c r="A2527" s="2">
        <v>83188</v>
      </c>
      <c r="B2527" s="3">
        <v>105</v>
      </c>
      <c r="C2527" s="3">
        <v>83</v>
      </c>
      <c r="D2527" s="3">
        <v>0.26500000000000001</v>
      </c>
      <c r="E2527" s="3" t="s">
        <v>2645</v>
      </c>
      <c r="F2527" s="3">
        <v>0.26500000000000001</v>
      </c>
    </row>
    <row r="2528" spans="1:6" x14ac:dyDescent="0.25">
      <c r="A2528" s="2">
        <v>83189</v>
      </c>
      <c r="B2528" s="3">
        <v>106</v>
      </c>
      <c r="C2528" s="3">
        <v>83</v>
      </c>
      <c r="D2528" s="3">
        <v>0.67400000000000004</v>
      </c>
      <c r="E2528" s="3" t="s">
        <v>2646</v>
      </c>
      <c r="F2528" s="3">
        <v>0.67400000000000004</v>
      </c>
    </row>
    <row r="2529" spans="1:6" x14ac:dyDescent="0.25">
      <c r="A2529" s="2">
        <v>83190</v>
      </c>
      <c r="B2529" s="3">
        <v>107</v>
      </c>
      <c r="C2529" s="3">
        <v>83</v>
      </c>
      <c r="D2529" s="3">
        <v>6.3</v>
      </c>
      <c r="E2529" s="3" t="s">
        <v>2647</v>
      </c>
      <c r="F2529" s="3">
        <v>6.3</v>
      </c>
    </row>
    <row r="2530" spans="1:6" x14ac:dyDescent="0.25">
      <c r="A2530" s="2">
        <v>83191</v>
      </c>
      <c r="B2530" s="3">
        <v>108</v>
      </c>
      <c r="C2530" s="3">
        <v>83</v>
      </c>
      <c r="D2530" s="3">
        <v>12.4</v>
      </c>
      <c r="E2530" s="3" t="s">
        <v>2648</v>
      </c>
      <c r="F2530" s="3">
        <v>12.4</v>
      </c>
    </row>
    <row r="2531" spans="1:6" x14ac:dyDescent="0.25">
      <c r="A2531" s="2">
        <v>83192</v>
      </c>
      <c r="B2531" s="3">
        <v>109</v>
      </c>
      <c r="C2531" s="3">
        <v>83</v>
      </c>
      <c r="D2531" s="3">
        <v>34.6</v>
      </c>
      <c r="E2531" s="3" t="s">
        <v>2649</v>
      </c>
      <c r="F2531" s="3">
        <v>34.6</v>
      </c>
    </row>
    <row r="2532" spans="1:6" x14ac:dyDescent="0.25">
      <c r="A2532" s="2">
        <v>83193</v>
      </c>
      <c r="B2532" s="3">
        <v>110</v>
      </c>
      <c r="C2532" s="3">
        <v>83</v>
      </c>
      <c r="D2532" s="3">
        <v>63.6</v>
      </c>
      <c r="E2532" s="3" t="s">
        <v>2650</v>
      </c>
      <c r="F2532" s="3">
        <v>63.6</v>
      </c>
    </row>
    <row r="2533" spans="1:6" x14ac:dyDescent="0.25">
      <c r="A2533" s="2">
        <v>83194</v>
      </c>
      <c r="B2533" s="3">
        <v>111</v>
      </c>
      <c r="C2533" s="3">
        <v>83</v>
      </c>
      <c r="D2533" s="3">
        <v>95</v>
      </c>
      <c r="E2533" s="3" t="s">
        <v>2651</v>
      </c>
      <c r="F2533" s="3">
        <v>95</v>
      </c>
    </row>
    <row r="2534" spans="1:6" x14ac:dyDescent="0.25">
      <c r="A2534" s="2">
        <v>83195</v>
      </c>
      <c r="B2534" s="3">
        <v>112</v>
      </c>
      <c r="C2534" s="3">
        <v>83</v>
      </c>
      <c r="D2534" s="3">
        <v>183</v>
      </c>
      <c r="E2534" s="3" t="s">
        <v>2652</v>
      </c>
      <c r="F2534" s="3">
        <v>183</v>
      </c>
    </row>
    <row r="2535" spans="1:6" x14ac:dyDescent="0.25">
      <c r="A2535" s="2">
        <v>83196</v>
      </c>
      <c r="B2535" s="3">
        <v>113</v>
      </c>
      <c r="C2535" s="3">
        <v>83</v>
      </c>
      <c r="D2535" s="3">
        <v>308</v>
      </c>
      <c r="E2535" s="3" t="s">
        <v>2653</v>
      </c>
      <c r="F2535" s="3">
        <v>308</v>
      </c>
    </row>
    <row r="2536" spans="1:6" x14ac:dyDescent="0.25">
      <c r="A2536" s="2">
        <v>83197</v>
      </c>
      <c r="B2536" s="3">
        <v>114</v>
      </c>
      <c r="C2536" s="3">
        <v>83</v>
      </c>
      <c r="D2536" s="3">
        <v>559.79999999999995</v>
      </c>
      <c r="E2536" s="3" t="s">
        <v>2654</v>
      </c>
      <c r="F2536" s="3">
        <v>559.79999999999995</v>
      </c>
    </row>
    <row r="2537" spans="1:6" x14ac:dyDescent="0.25">
      <c r="A2537" s="2">
        <v>83198</v>
      </c>
      <c r="B2537" s="3">
        <v>115</v>
      </c>
      <c r="C2537" s="3">
        <v>83</v>
      </c>
      <c r="D2537" s="3">
        <v>618</v>
      </c>
      <c r="E2537" s="3" t="s">
        <v>2655</v>
      </c>
      <c r="F2537" s="3">
        <v>618</v>
      </c>
    </row>
    <row r="2538" spans="1:6" x14ac:dyDescent="0.25">
      <c r="A2538" s="2">
        <v>83199</v>
      </c>
      <c r="B2538" s="3">
        <v>116</v>
      </c>
      <c r="C2538" s="3">
        <v>83</v>
      </c>
      <c r="D2538" s="3">
        <v>1620</v>
      </c>
      <c r="E2538" s="3" t="s">
        <v>2656</v>
      </c>
      <c r="F2538" s="3">
        <v>1620</v>
      </c>
    </row>
    <row r="2539" spans="1:6" x14ac:dyDescent="0.25">
      <c r="A2539" s="2">
        <v>83200</v>
      </c>
      <c r="B2539" s="3">
        <v>117</v>
      </c>
      <c r="C2539" s="3">
        <v>83</v>
      </c>
      <c r="D2539" s="3">
        <v>2184</v>
      </c>
      <c r="E2539" s="3" t="s">
        <v>2657</v>
      </c>
      <c r="F2539" s="3">
        <v>2184</v>
      </c>
    </row>
    <row r="2540" spans="1:6" x14ac:dyDescent="0.25">
      <c r="A2540" s="2">
        <v>83201</v>
      </c>
      <c r="B2540" s="3">
        <v>118</v>
      </c>
      <c r="C2540" s="3">
        <v>83</v>
      </c>
      <c r="D2540" s="3">
        <v>6180</v>
      </c>
      <c r="E2540" s="3" t="s">
        <v>2658</v>
      </c>
      <c r="F2540" s="3">
        <v>6180</v>
      </c>
    </row>
    <row r="2541" spans="1:6" x14ac:dyDescent="0.25">
      <c r="A2541" s="2">
        <v>83202</v>
      </c>
      <c r="B2541" s="3">
        <v>119</v>
      </c>
      <c r="C2541" s="3">
        <v>83</v>
      </c>
      <c r="D2541" s="3">
        <v>6156</v>
      </c>
      <c r="E2541" s="3" t="s">
        <v>2659</v>
      </c>
      <c r="F2541" s="3">
        <v>6156</v>
      </c>
    </row>
    <row r="2542" spans="1:6" x14ac:dyDescent="0.25">
      <c r="A2542" s="2">
        <v>83203</v>
      </c>
      <c r="B2542" s="3">
        <v>120</v>
      </c>
      <c r="C2542" s="3">
        <v>83</v>
      </c>
      <c r="D2542" s="3">
        <v>42336</v>
      </c>
      <c r="E2542" s="3" t="s">
        <v>2660</v>
      </c>
      <c r="F2542" s="3">
        <v>42336</v>
      </c>
    </row>
    <row r="2543" spans="1:6" x14ac:dyDescent="0.25">
      <c r="A2543" s="2">
        <v>83204</v>
      </c>
      <c r="B2543" s="3">
        <v>121</v>
      </c>
      <c r="C2543" s="3">
        <v>83</v>
      </c>
      <c r="D2543" s="3">
        <v>40392</v>
      </c>
      <c r="E2543" s="3" t="s">
        <v>2661</v>
      </c>
      <c r="F2543" s="3">
        <v>40392</v>
      </c>
    </row>
    <row r="2544" spans="1:6" x14ac:dyDescent="0.25">
      <c r="A2544" s="2">
        <v>83205</v>
      </c>
      <c r="B2544" s="3">
        <v>122</v>
      </c>
      <c r="C2544" s="3">
        <v>83</v>
      </c>
      <c r="D2544" s="3">
        <v>1322784</v>
      </c>
      <c r="E2544" s="3" t="s">
        <v>2662</v>
      </c>
      <c r="F2544" s="3">
        <v>1322784</v>
      </c>
    </row>
    <row r="2545" spans="1:6" x14ac:dyDescent="0.25">
      <c r="A2545" s="2">
        <v>83206</v>
      </c>
      <c r="B2545" s="3">
        <v>123</v>
      </c>
      <c r="C2545" s="3">
        <v>83</v>
      </c>
      <c r="D2545" s="3">
        <v>539395.19999999995</v>
      </c>
      <c r="E2545" s="3" t="s">
        <v>2663</v>
      </c>
      <c r="F2545" s="3">
        <v>539395.19999999995</v>
      </c>
    </row>
    <row r="2546" spans="1:6" x14ac:dyDescent="0.25">
      <c r="A2546" s="2">
        <v>83207</v>
      </c>
      <c r="B2546" s="3">
        <v>124</v>
      </c>
      <c r="C2546" s="3">
        <v>83</v>
      </c>
      <c r="D2546" s="3">
        <v>995642280</v>
      </c>
      <c r="E2546" s="3" t="s">
        <v>2664</v>
      </c>
      <c r="F2546" s="3">
        <v>995642280</v>
      </c>
    </row>
    <row r="2547" spans="1:6" x14ac:dyDescent="0.25">
      <c r="A2547" s="2">
        <v>83208</v>
      </c>
      <c r="B2547" s="3">
        <v>125</v>
      </c>
      <c r="C2547" s="3">
        <v>83</v>
      </c>
      <c r="D2547" s="3">
        <v>11613196800000</v>
      </c>
      <c r="E2547" s="3" t="s">
        <v>2665</v>
      </c>
      <c r="F2547" s="3">
        <v>11613196800000</v>
      </c>
    </row>
    <row r="2548" spans="1:6" x14ac:dyDescent="0.25">
      <c r="A2548" s="2">
        <v>83209</v>
      </c>
      <c r="B2548" s="3">
        <v>126</v>
      </c>
      <c r="C2548" s="3">
        <v>83</v>
      </c>
      <c r="D2548" s="3">
        <v>6.3430775999999998E+26</v>
      </c>
      <c r="E2548" s="3" t="s">
        <v>2666</v>
      </c>
      <c r="F2548" s="3">
        <v>6.3430775999999998E+26</v>
      </c>
    </row>
    <row r="2549" spans="1:6" x14ac:dyDescent="0.25">
      <c r="A2549" s="2">
        <v>83210</v>
      </c>
      <c r="B2549" s="3">
        <v>127</v>
      </c>
      <c r="C2549" s="3">
        <v>83</v>
      </c>
      <c r="D2549" s="3">
        <v>433036.79999999999</v>
      </c>
      <c r="E2549" s="3" t="s">
        <v>2667</v>
      </c>
      <c r="F2549" s="3">
        <v>433036.79999999999</v>
      </c>
    </row>
    <row r="2550" spans="1:6" x14ac:dyDescent="0.25">
      <c r="A2550" s="2">
        <v>83211</v>
      </c>
      <c r="B2550" s="3">
        <v>128</v>
      </c>
      <c r="C2550" s="3">
        <v>83</v>
      </c>
      <c r="D2550" s="3">
        <v>128.4</v>
      </c>
      <c r="E2550" s="3" t="s">
        <v>2668</v>
      </c>
      <c r="F2550" s="3">
        <v>128.4</v>
      </c>
    </row>
    <row r="2551" spans="1:6" x14ac:dyDescent="0.25">
      <c r="A2551" s="2">
        <v>83212</v>
      </c>
      <c r="B2551" s="3">
        <v>129</v>
      </c>
      <c r="C2551" s="3">
        <v>83</v>
      </c>
      <c r="D2551" s="3">
        <v>3633</v>
      </c>
      <c r="E2551" s="3" t="s">
        <v>2669</v>
      </c>
      <c r="F2551" s="3">
        <v>3633</v>
      </c>
    </row>
    <row r="2552" spans="1:6" x14ac:dyDescent="0.25">
      <c r="A2552" s="2">
        <v>83213</v>
      </c>
      <c r="B2552" s="3">
        <v>130</v>
      </c>
      <c r="C2552" s="3">
        <v>83</v>
      </c>
      <c r="D2552" s="3">
        <v>2736.6</v>
      </c>
      <c r="E2552" s="3" t="s">
        <v>2670</v>
      </c>
      <c r="F2552" s="3">
        <v>2736.6</v>
      </c>
    </row>
    <row r="2553" spans="1:6" x14ac:dyDescent="0.25">
      <c r="A2553" s="2">
        <v>83214</v>
      </c>
      <c r="B2553" s="3">
        <v>131</v>
      </c>
      <c r="C2553" s="3">
        <v>83</v>
      </c>
      <c r="D2553" s="3">
        <v>1194</v>
      </c>
      <c r="E2553" s="3" t="s">
        <v>2671</v>
      </c>
      <c r="F2553" s="3">
        <v>1194</v>
      </c>
    </row>
    <row r="2554" spans="1:6" x14ac:dyDescent="0.25">
      <c r="A2554" s="2">
        <v>83215</v>
      </c>
      <c r="B2554" s="3">
        <v>132</v>
      </c>
      <c r="C2554" s="3">
        <v>83</v>
      </c>
      <c r="D2554" s="3">
        <v>456</v>
      </c>
      <c r="E2554" s="3" t="s">
        <v>2672</v>
      </c>
      <c r="F2554" s="3">
        <v>456</v>
      </c>
    </row>
    <row r="2555" spans="1:6" x14ac:dyDescent="0.25">
      <c r="A2555" s="2">
        <v>83216</v>
      </c>
      <c r="B2555" s="3">
        <v>133</v>
      </c>
      <c r="C2555" s="3">
        <v>83</v>
      </c>
      <c r="D2555" s="3">
        <v>135</v>
      </c>
      <c r="E2555" s="3" t="s">
        <v>2673</v>
      </c>
      <c r="F2555" s="3">
        <v>135</v>
      </c>
    </row>
    <row r="2556" spans="1:6" x14ac:dyDescent="0.25">
      <c r="A2556" s="2">
        <v>83217</v>
      </c>
      <c r="B2556" s="3">
        <v>134</v>
      </c>
      <c r="C2556" s="3">
        <v>83</v>
      </c>
      <c r="D2556" s="3">
        <v>98.5</v>
      </c>
      <c r="E2556" s="3" t="s">
        <v>2674</v>
      </c>
      <c r="F2556" s="3">
        <v>98.5</v>
      </c>
    </row>
    <row r="2557" spans="1:6" x14ac:dyDescent="0.25">
      <c r="A2557" s="2">
        <v>83218</v>
      </c>
      <c r="B2557" s="3">
        <v>135</v>
      </c>
      <c r="C2557" s="3">
        <v>83</v>
      </c>
      <c r="D2557" s="3">
        <v>33</v>
      </c>
      <c r="E2557" s="3" t="s">
        <v>2675</v>
      </c>
      <c r="F2557" s="3">
        <v>33</v>
      </c>
    </row>
    <row r="2558" spans="1:6" x14ac:dyDescent="0.25">
      <c r="A2558" s="2">
        <v>83219</v>
      </c>
      <c r="B2558" s="3">
        <v>136</v>
      </c>
      <c r="C2558" s="3">
        <v>83</v>
      </c>
      <c r="D2558" s="3">
        <v>22</v>
      </c>
      <c r="E2558" s="3" t="s">
        <v>2676</v>
      </c>
      <c r="F2558" s="3">
        <v>22</v>
      </c>
    </row>
    <row r="2559" spans="1:6" x14ac:dyDescent="0.25">
      <c r="A2559" s="2">
        <v>83220</v>
      </c>
      <c r="B2559" s="3">
        <v>137</v>
      </c>
      <c r="C2559" s="3">
        <v>83</v>
      </c>
      <c r="D2559" s="3">
        <v>2.9999999999999999E-7</v>
      </c>
      <c r="E2559" s="3" t="s">
        <v>2677</v>
      </c>
      <c r="F2559" s="3">
        <v>2.9999999999999999E-7</v>
      </c>
    </row>
    <row r="2560" spans="1:6" x14ac:dyDescent="0.25">
      <c r="A2560" s="2">
        <v>83221</v>
      </c>
      <c r="B2560" s="3">
        <v>138</v>
      </c>
      <c r="C2560" s="3">
        <v>83</v>
      </c>
      <c r="D2560" s="3">
        <v>2.9999999999999999E-7</v>
      </c>
      <c r="E2560" s="3" t="s">
        <v>2678</v>
      </c>
      <c r="F2560" s="3">
        <v>2.9999999999999999E-7</v>
      </c>
    </row>
    <row r="2561" spans="1:6" x14ac:dyDescent="0.25">
      <c r="A2561" s="2">
        <v>83222</v>
      </c>
      <c r="B2561" s="3">
        <v>139</v>
      </c>
      <c r="C2561" s="3">
        <v>83</v>
      </c>
      <c r="D2561" s="3">
        <v>2.9999999999999999E-7</v>
      </c>
      <c r="E2561" s="3" t="s">
        <v>2679</v>
      </c>
      <c r="F2561" s="3">
        <v>2.9999999999999999E-7</v>
      </c>
    </row>
    <row r="2562" spans="1:6" x14ac:dyDescent="0.25">
      <c r="A2562" s="2">
        <v>83223</v>
      </c>
      <c r="B2562" s="3">
        <v>140</v>
      </c>
      <c r="C2562" s="3">
        <v>83</v>
      </c>
      <c r="D2562" s="3">
        <v>2.9999999999999999E-7</v>
      </c>
      <c r="E2562" s="3" t="s">
        <v>2680</v>
      </c>
      <c r="F2562" s="3">
        <v>2.9999999999999999E-7</v>
      </c>
    </row>
    <row r="2563" spans="1:6" x14ac:dyDescent="0.25">
      <c r="A2563" s="2">
        <v>83224</v>
      </c>
      <c r="B2563" s="3">
        <v>141</v>
      </c>
      <c r="C2563" s="3">
        <v>83</v>
      </c>
      <c r="D2563" s="3">
        <v>2.9999999999999999E-7</v>
      </c>
      <c r="E2563" s="3" t="s">
        <v>2681</v>
      </c>
      <c r="F2563" s="3">
        <v>2.9999999999999999E-7</v>
      </c>
    </row>
    <row r="2564" spans="1:6" x14ac:dyDescent="0.25">
      <c r="A2564" s="2">
        <v>84186</v>
      </c>
      <c r="B2564" s="3">
        <v>102</v>
      </c>
      <c r="C2564" s="3">
        <v>84</v>
      </c>
      <c r="D2564" s="3">
        <v>2.8E-5</v>
      </c>
      <c r="E2564" s="3" t="s">
        <v>2682</v>
      </c>
      <c r="F2564" s="3">
        <v>2.8E-5</v>
      </c>
    </row>
    <row r="2565" spans="1:6" x14ac:dyDescent="0.25">
      <c r="A2565" s="2">
        <v>84187</v>
      </c>
      <c r="B2565" s="3">
        <v>103</v>
      </c>
      <c r="C2565" s="3">
        <v>84</v>
      </c>
      <c r="D2565" s="3">
        <v>1.4E-3</v>
      </c>
      <c r="E2565" s="3" t="s">
        <v>2683</v>
      </c>
      <c r="F2565" s="3">
        <v>1.4E-3</v>
      </c>
    </row>
    <row r="2566" spans="1:6" x14ac:dyDescent="0.25">
      <c r="A2566" s="2">
        <v>84188</v>
      </c>
      <c r="B2566" s="3">
        <v>104</v>
      </c>
      <c r="C2566" s="3">
        <v>84</v>
      </c>
      <c r="D2566" s="3">
        <v>2.7500000000000002E-4</v>
      </c>
      <c r="E2566" s="3" t="s">
        <v>2684</v>
      </c>
      <c r="F2566" s="3">
        <v>2.7500000000000002E-4</v>
      </c>
    </row>
    <row r="2567" spans="1:6" x14ac:dyDescent="0.25">
      <c r="A2567" s="2">
        <v>84189</v>
      </c>
      <c r="B2567" s="3">
        <v>105</v>
      </c>
      <c r="C2567" s="3">
        <v>84</v>
      </c>
      <c r="D2567" s="3">
        <v>3.5000000000000001E-3</v>
      </c>
      <c r="E2567" s="3" t="s">
        <v>2685</v>
      </c>
      <c r="F2567" s="3">
        <v>3.5000000000000001E-3</v>
      </c>
    </row>
    <row r="2568" spans="1:6" x14ac:dyDescent="0.25">
      <c r="A2568" s="2">
        <v>84190</v>
      </c>
      <c r="B2568" s="3">
        <v>106</v>
      </c>
      <c r="C2568" s="3">
        <v>84</v>
      </c>
      <c r="D2568" s="3">
        <v>2.4599999999999999E-3</v>
      </c>
      <c r="E2568" s="3" t="s">
        <v>2686</v>
      </c>
      <c r="F2568" s="3">
        <v>2.4599999999999999E-3</v>
      </c>
    </row>
    <row r="2569" spans="1:6" x14ac:dyDescent="0.25">
      <c r="A2569" s="2">
        <v>84191</v>
      </c>
      <c r="B2569" s="3">
        <v>107</v>
      </c>
      <c r="C2569" s="3">
        <v>84</v>
      </c>
      <c r="D2569" s="3">
        <v>2.1999999999999999E-2</v>
      </c>
      <c r="E2569" s="3" t="s">
        <v>2687</v>
      </c>
      <c r="F2569" s="3">
        <v>2.1999999999999999E-2</v>
      </c>
    </row>
    <row r="2570" spans="1:6" x14ac:dyDescent="0.25">
      <c r="A2570" s="2">
        <v>84192</v>
      </c>
      <c r="B2570" s="3">
        <v>108</v>
      </c>
      <c r="C2570" s="3">
        <v>84</v>
      </c>
      <c r="D2570" s="3">
        <v>3.2199999999999999E-2</v>
      </c>
      <c r="E2570" s="3" t="s">
        <v>2688</v>
      </c>
      <c r="F2570" s="3">
        <v>3.2199999999999999E-2</v>
      </c>
    </row>
    <row r="2571" spans="1:6" x14ac:dyDescent="0.25">
      <c r="A2571" s="2">
        <v>84193</v>
      </c>
      <c r="B2571" s="3">
        <v>109</v>
      </c>
      <c r="C2571" s="3">
        <v>84</v>
      </c>
      <c r="D2571" s="3">
        <v>0.245</v>
      </c>
      <c r="E2571" s="3" t="s">
        <v>2689</v>
      </c>
      <c r="F2571" s="3">
        <v>0.245</v>
      </c>
    </row>
    <row r="2572" spans="1:6" x14ac:dyDescent="0.25">
      <c r="A2572" s="2">
        <v>84194</v>
      </c>
      <c r="B2572" s="3">
        <v>110</v>
      </c>
      <c r="C2572" s="3">
        <v>84</v>
      </c>
      <c r="D2572" s="3">
        <v>0.39200000000000002</v>
      </c>
      <c r="E2572" s="3" t="s">
        <v>2690</v>
      </c>
      <c r="F2572" s="3">
        <v>0.39200000000000002</v>
      </c>
    </row>
    <row r="2573" spans="1:6" x14ac:dyDescent="0.25">
      <c r="A2573" s="2">
        <v>84195</v>
      </c>
      <c r="B2573" s="3">
        <v>111</v>
      </c>
      <c r="C2573" s="3">
        <v>84</v>
      </c>
      <c r="D2573" s="3">
        <v>4.6399999999999997</v>
      </c>
      <c r="E2573" s="3" t="s">
        <v>2691</v>
      </c>
      <c r="F2573" s="3">
        <v>4.6399999999999997</v>
      </c>
    </row>
    <row r="2574" spans="1:6" x14ac:dyDescent="0.25">
      <c r="A2574" s="2">
        <v>84196</v>
      </c>
      <c r="B2574" s="3">
        <v>112</v>
      </c>
      <c r="C2574" s="3">
        <v>84</v>
      </c>
      <c r="D2574" s="3">
        <v>5.8</v>
      </c>
      <c r="E2574" s="3" t="s">
        <v>2692</v>
      </c>
      <c r="F2574" s="3">
        <v>5.8</v>
      </c>
    </row>
    <row r="2575" spans="1:6" x14ac:dyDescent="0.25">
      <c r="A2575" s="2">
        <v>84197</v>
      </c>
      <c r="B2575" s="3">
        <v>113</v>
      </c>
      <c r="C2575" s="3">
        <v>84</v>
      </c>
      <c r="D2575" s="3">
        <v>84</v>
      </c>
      <c r="E2575" s="3" t="s">
        <v>2693</v>
      </c>
      <c r="F2575" s="3">
        <v>84</v>
      </c>
    </row>
    <row r="2576" spans="1:6" x14ac:dyDescent="0.25">
      <c r="A2576" s="2">
        <v>84198</v>
      </c>
      <c r="B2576" s="3">
        <v>114</v>
      </c>
      <c r="C2576" s="3">
        <v>84</v>
      </c>
      <c r="D2576" s="3">
        <v>105.6</v>
      </c>
      <c r="E2576" s="3" t="s">
        <v>2694</v>
      </c>
      <c r="F2576" s="3">
        <v>105.6</v>
      </c>
    </row>
    <row r="2577" spans="1:6" x14ac:dyDescent="0.25">
      <c r="A2577" s="2">
        <v>84199</v>
      </c>
      <c r="B2577" s="3">
        <v>115</v>
      </c>
      <c r="C2577" s="3">
        <v>84</v>
      </c>
      <c r="D2577" s="3">
        <v>328.2</v>
      </c>
      <c r="E2577" s="3" t="s">
        <v>2695</v>
      </c>
      <c r="F2577" s="3">
        <v>328.2</v>
      </c>
    </row>
    <row r="2578" spans="1:6" x14ac:dyDescent="0.25">
      <c r="A2578" s="2">
        <v>84200</v>
      </c>
      <c r="B2578" s="3">
        <v>116</v>
      </c>
      <c r="C2578" s="3">
        <v>84</v>
      </c>
      <c r="D2578" s="3">
        <v>690.6</v>
      </c>
      <c r="E2578" s="3" t="s">
        <v>2696</v>
      </c>
      <c r="F2578" s="3">
        <v>690.6</v>
      </c>
    </row>
    <row r="2579" spans="1:6" x14ac:dyDescent="0.25">
      <c r="A2579" s="2">
        <v>84201</v>
      </c>
      <c r="B2579" s="3">
        <v>117</v>
      </c>
      <c r="C2579" s="3">
        <v>84</v>
      </c>
      <c r="D2579" s="3">
        <v>936</v>
      </c>
      <c r="E2579" s="3" t="s">
        <v>2697</v>
      </c>
      <c r="F2579" s="3">
        <v>936</v>
      </c>
    </row>
    <row r="2580" spans="1:6" x14ac:dyDescent="0.25">
      <c r="A2580" s="2">
        <v>84202</v>
      </c>
      <c r="B2580" s="3">
        <v>118</v>
      </c>
      <c r="C2580" s="3">
        <v>84</v>
      </c>
      <c r="D2580" s="3">
        <v>2676</v>
      </c>
      <c r="E2580" s="3" t="s">
        <v>2698</v>
      </c>
      <c r="F2580" s="3">
        <v>2676</v>
      </c>
    </row>
    <row r="2581" spans="1:6" x14ac:dyDescent="0.25">
      <c r="A2581" s="2">
        <v>84203</v>
      </c>
      <c r="B2581" s="3">
        <v>119</v>
      </c>
      <c r="C2581" s="3">
        <v>84</v>
      </c>
      <c r="D2581" s="3">
        <v>2202</v>
      </c>
      <c r="E2581" s="3" t="s">
        <v>2699</v>
      </c>
      <c r="F2581" s="3">
        <v>2202</v>
      </c>
    </row>
    <row r="2582" spans="1:6" x14ac:dyDescent="0.25">
      <c r="A2582" s="2">
        <v>84204</v>
      </c>
      <c r="B2582" s="3">
        <v>120</v>
      </c>
      <c r="C2582" s="3">
        <v>84</v>
      </c>
      <c r="D2582" s="3">
        <v>12668.4</v>
      </c>
      <c r="E2582" s="3" t="s">
        <v>2700</v>
      </c>
      <c r="F2582" s="3">
        <v>12668.4</v>
      </c>
    </row>
    <row r="2583" spans="1:6" x14ac:dyDescent="0.25">
      <c r="A2583" s="2">
        <v>84205</v>
      </c>
      <c r="B2583" s="3">
        <v>121</v>
      </c>
      <c r="C2583" s="3">
        <v>84</v>
      </c>
      <c r="D2583" s="3">
        <v>6264</v>
      </c>
      <c r="E2583" s="3" t="s">
        <v>2701</v>
      </c>
      <c r="F2583" s="3">
        <v>6264</v>
      </c>
    </row>
    <row r="2584" spans="1:6" x14ac:dyDescent="0.25">
      <c r="A2584" s="2">
        <v>84206</v>
      </c>
      <c r="B2584" s="3">
        <v>122</v>
      </c>
      <c r="C2584" s="3">
        <v>84</v>
      </c>
      <c r="D2584" s="3">
        <v>760320</v>
      </c>
      <c r="E2584" s="3" t="s">
        <v>2702</v>
      </c>
      <c r="F2584" s="3">
        <v>760320</v>
      </c>
    </row>
    <row r="2585" spans="1:6" x14ac:dyDescent="0.25">
      <c r="A2585" s="2">
        <v>84207</v>
      </c>
      <c r="B2585" s="3">
        <v>123</v>
      </c>
      <c r="C2585" s="3">
        <v>84</v>
      </c>
      <c r="D2585" s="3">
        <v>20880</v>
      </c>
      <c r="E2585" s="3" t="s">
        <v>2703</v>
      </c>
      <c r="F2585" s="3">
        <v>20880</v>
      </c>
    </row>
    <row r="2586" spans="1:6" x14ac:dyDescent="0.25">
      <c r="A2586" s="2">
        <v>84208</v>
      </c>
      <c r="B2586" s="3">
        <v>124</v>
      </c>
      <c r="C2586" s="3">
        <v>84</v>
      </c>
      <c r="D2586" s="3">
        <v>91453924.799999997</v>
      </c>
      <c r="E2586" s="3" t="s">
        <v>2704</v>
      </c>
      <c r="F2586" s="3">
        <v>91453924.799999997</v>
      </c>
    </row>
    <row r="2587" spans="1:6" x14ac:dyDescent="0.25">
      <c r="A2587" s="2">
        <v>84209</v>
      </c>
      <c r="B2587" s="3">
        <v>125</v>
      </c>
      <c r="C2587" s="3">
        <v>84</v>
      </c>
      <c r="D2587" s="3">
        <v>3913142400</v>
      </c>
      <c r="E2587" s="3" t="s">
        <v>2705</v>
      </c>
      <c r="F2587" s="3">
        <v>3913142400</v>
      </c>
    </row>
    <row r="2588" spans="1:6" x14ac:dyDescent="0.25">
      <c r="A2588" s="2">
        <v>84210</v>
      </c>
      <c r="B2588" s="3">
        <v>126</v>
      </c>
      <c r="C2588" s="3">
        <v>84</v>
      </c>
      <c r="D2588" s="3">
        <v>11955686.4</v>
      </c>
      <c r="E2588" s="3" t="s">
        <v>2706</v>
      </c>
      <c r="F2588" s="3">
        <v>11955686.4</v>
      </c>
    </row>
    <row r="2589" spans="1:6" x14ac:dyDescent="0.25">
      <c r="A2589" s="2">
        <v>84211</v>
      </c>
      <c r="B2589" s="3">
        <v>127</v>
      </c>
      <c r="C2589" s="3">
        <v>84</v>
      </c>
      <c r="D2589" s="3">
        <v>0.51600000000000001</v>
      </c>
      <c r="E2589" s="3" t="s">
        <v>2707</v>
      </c>
      <c r="F2589" s="3">
        <v>0.51600000000000001</v>
      </c>
    </row>
    <row r="2590" spans="1:6" x14ac:dyDescent="0.25">
      <c r="A2590" s="2">
        <v>84212</v>
      </c>
      <c r="B2590" s="3">
        <v>128</v>
      </c>
      <c r="C2590" s="3">
        <v>84</v>
      </c>
      <c r="D2590" s="3">
        <v>2.9899999999999901E-7</v>
      </c>
      <c r="E2590" s="3" t="s">
        <v>2708</v>
      </c>
      <c r="F2590" s="3">
        <v>2.9899999999999901E-7</v>
      </c>
    </row>
    <row r="2591" spans="1:6" x14ac:dyDescent="0.25">
      <c r="A2591" s="2">
        <v>84213</v>
      </c>
      <c r="B2591" s="3">
        <v>129</v>
      </c>
      <c r="C2591" s="3">
        <v>84</v>
      </c>
      <c r="D2591" s="3">
        <v>3.72E-6</v>
      </c>
      <c r="E2591" s="3" t="s">
        <v>2709</v>
      </c>
      <c r="F2591" s="3">
        <v>3.72E-6</v>
      </c>
    </row>
    <row r="2592" spans="1:6" x14ac:dyDescent="0.25">
      <c r="A2592" s="2">
        <v>84214</v>
      </c>
      <c r="B2592" s="3">
        <v>130</v>
      </c>
      <c r="C2592" s="3">
        <v>84</v>
      </c>
      <c r="D2592" s="3">
        <v>1.6359999999999999E-4</v>
      </c>
      <c r="E2592" s="3" t="s">
        <v>2710</v>
      </c>
      <c r="F2592" s="3">
        <v>1.6359999999999999E-4</v>
      </c>
    </row>
    <row r="2593" spans="1:6" x14ac:dyDescent="0.25">
      <c r="A2593" s="2">
        <v>84215</v>
      </c>
      <c r="B2593" s="3">
        <v>131</v>
      </c>
      <c r="C2593" s="3">
        <v>84</v>
      </c>
      <c r="D2593" s="3">
        <v>1.781E-3</v>
      </c>
      <c r="E2593" s="3" t="s">
        <v>2711</v>
      </c>
      <c r="F2593" s="3">
        <v>1.781E-3</v>
      </c>
    </row>
    <row r="2594" spans="1:6" x14ac:dyDescent="0.25">
      <c r="A2594" s="2">
        <v>84216</v>
      </c>
      <c r="B2594" s="3">
        <v>132</v>
      </c>
      <c r="C2594" s="3">
        <v>84</v>
      </c>
      <c r="D2594" s="3">
        <v>0.14499999999999999</v>
      </c>
      <c r="E2594" s="3" t="s">
        <v>2712</v>
      </c>
      <c r="F2594" s="3">
        <v>0.14499999999999999</v>
      </c>
    </row>
    <row r="2595" spans="1:6" x14ac:dyDescent="0.25">
      <c r="A2595" s="2">
        <v>84217</v>
      </c>
      <c r="B2595" s="3">
        <v>133</v>
      </c>
      <c r="C2595" s="3">
        <v>84</v>
      </c>
      <c r="D2595" s="3">
        <v>1.53</v>
      </c>
      <c r="E2595" s="3" t="s">
        <v>2713</v>
      </c>
      <c r="F2595" s="3">
        <v>1.53</v>
      </c>
    </row>
    <row r="2596" spans="1:6" x14ac:dyDescent="0.25">
      <c r="A2596" s="2">
        <v>84218</v>
      </c>
      <c r="B2596" s="3">
        <v>134</v>
      </c>
      <c r="C2596" s="3">
        <v>84</v>
      </c>
      <c r="D2596" s="3">
        <v>185.88</v>
      </c>
      <c r="E2596" s="3" t="s">
        <v>2714</v>
      </c>
      <c r="F2596" s="3">
        <v>185.88</v>
      </c>
    </row>
    <row r="2597" spans="1:6" x14ac:dyDescent="0.25">
      <c r="A2597" s="2">
        <v>84219</v>
      </c>
      <c r="B2597" s="3">
        <v>135</v>
      </c>
      <c r="C2597" s="3">
        <v>84</v>
      </c>
      <c r="D2597" s="3">
        <v>620</v>
      </c>
      <c r="E2597" s="3" t="s">
        <v>2715</v>
      </c>
      <c r="F2597" s="3">
        <v>620</v>
      </c>
    </row>
    <row r="2598" spans="1:6" x14ac:dyDescent="0.25">
      <c r="A2598" s="2">
        <v>84220</v>
      </c>
      <c r="B2598" s="3">
        <v>136</v>
      </c>
      <c r="C2598" s="3">
        <v>84</v>
      </c>
      <c r="D2598" s="3">
        <v>2.9999999999999999E-7</v>
      </c>
      <c r="E2598" s="3" t="s">
        <v>2716</v>
      </c>
      <c r="F2598" s="3">
        <v>2.9999999999999999E-7</v>
      </c>
    </row>
    <row r="2599" spans="1:6" x14ac:dyDescent="0.25">
      <c r="A2599" s="2">
        <v>84221</v>
      </c>
      <c r="B2599" s="3">
        <v>137</v>
      </c>
      <c r="C2599" s="3">
        <v>84</v>
      </c>
      <c r="D2599" s="3">
        <v>112</v>
      </c>
      <c r="E2599" s="3" t="s">
        <v>2717</v>
      </c>
      <c r="F2599" s="3">
        <v>112</v>
      </c>
    </row>
    <row r="2600" spans="1:6" x14ac:dyDescent="0.25">
      <c r="A2600" s="2">
        <v>84222</v>
      </c>
      <c r="B2600" s="3">
        <v>138</v>
      </c>
      <c r="C2600" s="3">
        <v>84</v>
      </c>
      <c r="D2600" s="3">
        <v>550</v>
      </c>
      <c r="E2600" s="3" t="s">
        <v>2718</v>
      </c>
      <c r="F2600" s="3">
        <v>550</v>
      </c>
    </row>
    <row r="2601" spans="1:6" x14ac:dyDescent="0.25">
      <c r="A2601" s="2">
        <v>84223</v>
      </c>
      <c r="B2601" s="3">
        <v>139</v>
      </c>
      <c r="C2601" s="3">
        <v>84</v>
      </c>
      <c r="D2601" s="3">
        <v>2.9999999999999999E-7</v>
      </c>
      <c r="E2601" s="3" t="s">
        <v>2719</v>
      </c>
      <c r="F2601" s="3">
        <v>2.9999999999999999E-7</v>
      </c>
    </row>
    <row r="2602" spans="1:6" x14ac:dyDescent="0.25">
      <c r="A2602" s="2">
        <v>84224</v>
      </c>
      <c r="B2602" s="3">
        <v>140</v>
      </c>
      <c r="C2602" s="3">
        <v>84</v>
      </c>
      <c r="D2602" s="3">
        <v>2.9999999999999999E-7</v>
      </c>
      <c r="E2602" s="3" t="s">
        <v>2720</v>
      </c>
      <c r="F2602" s="3">
        <v>2.9999999999999999E-7</v>
      </c>
    </row>
    <row r="2603" spans="1:6" x14ac:dyDescent="0.25">
      <c r="A2603" s="2">
        <v>84225</v>
      </c>
      <c r="B2603" s="3">
        <v>141</v>
      </c>
      <c r="C2603" s="3">
        <v>84</v>
      </c>
      <c r="D2603" s="3">
        <v>2.9999999999999999E-7</v>
      </c>
      <c r="E2603" s="3" t="s">
        <v>2721</v>
      </c>
      <c r="F2603" s="3">
        <v>2.9999999999999999E-7</v>
      </c>
    </row>
    <row r="2604" spans="1:6" x14ac:dyDescent="0.25">
      <c r="A2604" s="2">
        <v>84226</v>
      </c>
      <c r="B2604" s="3">
        <v>142</v>
      </c>
      <c r="C2604" s="3">
        <v>84</v>
      </c>
      <c r="D2604" s="3">
        <v>2.9999999999999999E-7</v>
      </c>
      <c r="E2604" s="3" t="s">
        <v>2722</v>
      </c>
      <c r="F2604" s="3">
        <v>2.9999999999999999E-7</v>
      </c>
    </row>
    <row r="2605" spans="1:6" x14ac:dyDescent="0.25">
      <c r="A2605" s="2">
        <v>84227</v>
      </c>
      <c r="B2605" s="3">
        <v>143</v>
      </c>
      <c r="C2605" s="3">
        <v>84</v>
      </c>
      <c r="D2605" s="3">
        <v>2.9999999999999999E-7</v>
      </c>
      <c r="E2605" s="3" t="s">
        <v>2723</v>
      </c>
      <c r="F2605" s="3">
        <v>2.9999999999999999E-7</v>
      </c>
    </row>
    <row r="2606" spans="1:6" x14ac:dyDescent="0.25">
      <c r="A2606" s="2">
        <v>85191</v>
      </c>
      <c r="B2606" s="3">
        <v>106</v>
      </c>
      <c r="C2606" s="3">
        <v>85</v>
      </c>
      <c r="D2606" s="3">
        <v>1.6999999999999999E-3</v>
      </c>
      <c r="E2606" s="3" t="s">
        <v>2724</v>
      </c>
      <c r="F2606" s="3">
        <v>1.6999999999999999E-3</v>
      </c>
    </row>
    <row r="2607" spans="1:6" x14ac:dyDescent="0.25">
      <c r="A2607" s="2">
        <v>85192</v>
      </c>
      <c r="B2607" s="3">
        <v>107</v>
      </c>
      <c r="C2607" s="3">
        <v>85</v>
      </c>
      <c r="D2607" s="3">
        <v>1.15E-2</v>
      </c>
      <c r="E2607" s="3" t="s">
        <v>2725</v>
      </c>
      <c r="F2607" s="3">
        <v>1.15E-2</v>
      </c>
    </row>
    <row r="2608" spans="1:6" x14ac:dyDescent="0.25">
      <c r="A2608" s="2">
        <v>85193</v>
      </c>
      <c r="B2608" s="3">
        <v>108</v>
      </c>
      <c r="C2608" s="3">
        <v>85</v>
      </c>
      <c r="D2608" s="3">
        <v>2.8000000000000001E-2</v>
      </c>
      <c r="E2608" s="3" t="s">
        <v>2726</v>
      </c>
      <c r="F2608" s="3">
        <v>2.8000000000000001E-2</v>
      </c>
    </row>
    <row r="2609" spans="1:6" x14ac:dyDescent="0.25">
      <c r="A2609" s="2">
        <v>85194</v>
      </c>
      <c r="B2609" s="3">
        <v>109</v>
      </c>
      <c r="C2609" s="3">
        <v>85</v>
      </c>
      <c r="D2609" s="3">
        <v>0.31</v>
      </c>
      <c r="E2609" s="3" t="s">
        <v>2727</v>
      </c>
      <c r="F2609" s="3">
        <v>0.31</v>
      </c>
    </row>
    <row r="2610" spans="1:6" x14ac:dyDescent="0.25">
      <c r="A2610" s="2">
        <v>85195</v>
      </c>
      <c r="B2610" s="3">
        <v>110</v>
      </c>
      <c r="C2610" s="3">
        <v>85</v>
      </c>
      <c r="D2610" s="3">
        <v>0.28999999999999998</v>
      </c>
      <c r="E2610" s="3" t="s">
        <v>2728</v>
      </c>
      <c r="F2610" s="3">
        <v>0.28999999999999998</v>
      </c>
    </row>
    <row r="2611" spans="1:6" x14ac:dyDescent="0.25">
      <c r="A2611" s="2">
        <v>85196</v>
      </c>
      <c r="B2611" s="3">
        <v>111</v>
      </c>
      <c r="C2611" s="3">
        <v>85</v>
      </c>
      <c r="D2611" s="3">
        <v>0.38800000000000001</v>
      </c>
      <c r="E2611" s="3" t="s">
        <v>2729</v>
      </c>
      <c r="F2611" s="3">
        <v>0.38800000000000001</v>
      </c>
    </row>
    <row r="2612" spans="1:6" x14ac:dyDescent="0.25">
      <c r="A2612" s="2">
        <v>85197</v>
      </c>
      <c r="B2612" s="3">
        <v>112</v>
      </c>
      <c r="C2612" s="3">
        <v>85</v>
      </c>
      <c r="D2612" s="3">
        <v>0.38800000000000001</v>
      </c>
      <c r="E2612" s="3" t="s">
        <v>2730</v>
      </c>
      <c r="F2612" s="3">
        <v>0.38800000000000001</v>
      </c>
    </row>
    <row r="2613" spans="1:6" x14ac:dyDescent="0.25">
      <c r="A2613" s="2">
        <v>85198</v>
      </c>
      <c r="B2613" s="3">
        <v>113</v>
      </c>
      <c r="C2613" s="3">
        <v>85</v>
      </c>
      <c r="D2613" s="3">
        <v>4.2</v>
      </c>
      <c r="E2613" s="3" t="s">
        <v>2731</v>
      </c>
      <c r="F2613" s="3">
        <v>4.2</v>
      </c>
    </row>
    <row r="2614" spans="1:6" x14ac:dyDescent="0.25">
      <c r="A2614" s="2">
        <v>85199</v>
      </c>
      <c r="B2614" s="3">
        <v>114</v>
      </c>
      <c r="C2614" s="3">
        <v>85</v>
      </c>
      <c r="D2614" s="3">
        <v>6.92</v>
      </c>
      <c r="E2614" s="3" t="s">
        <v>2732</v>
      </c>
      <c r="F2614" s="3">
        <v>6.92</v>
      </c>
    </row>
    <row r="2615" spans="1:6" x14ac:dyDescent="0.25">
      <c r="A2615" s="2">
        <v>85200</v>
      </c>
      <c r="B2615" s="3">
        <v>115</v>
      </c>
      <c r="C2615" s="3">
        <v>85</v>
      </c>
      <c r="D2615" s="3">
        <v>43</v>
      </c>
      <c r="E2615" s="3" t="s">
        <v>2733</v>
      </c>
      <c r="F2615" s="3">
        <v>43</v>
      </c>
    </row>
    <row r="2616" spans="1:6" x14ac:dyDescent="0.25">
      <c r="A2616" s="2">
        <v>85201</v>
      </c>
      <c r="B2616" s="3">
        <v>116</v>
      </c>
      <c r="C2616" s="3">
        <v>85</v>
      </c>
      <c r="D2616" s="3">
        <v>85.2</v>
      </c>
      <c r="E2616" s="3" t="s">
        <v>2734</v>
      </c>
      <c r="F2616" s="3">
        <v>85.2</v>
      </c>
    </row>
    <row r="2617" spans="1:6" x14ac:dyDescent="0.25">
      <c r="A2617" s="2">
        <v>85202</v>
      </c>
      <c r="B2617" s="3">
        <v>117</v>
      </c>
      <c r="C2617" s="3">
        <v>85</v>
      </c>
      <c r="D2617" s="3">
        <v>184</v>
      </c>
      <c r="E2617" s="3" t="s">
        <v>2735</v>
      </c>
      <c r="F2617" s="3">
        <v>184</v>
      </c>
    </row>
    <row r="2618" spans="1:6" x14ac:dyDescent="0.25">
      <c r="A2618" s="2">
        <v>85203</v>
      </c>
      <c r="B2618" s="3">
        <v>118</v>
      </c>
      <c r="C2618" s="3">
        <v>85</v>
      </c>
      <c r="D2618" s="3">
        <v>444</v>
      </c>
      <c r="E2618" s="3" t="s">
        <v>2736</v>
      </c>
      <c r="F2618" s="3">
        <v>444</v>
      </c>
    </row>
    <row r="2619" spans="1:6" x14ac:dyDescent="0.25">
      <c r="A2619" s="2">
        <v>85204</v>
      </c>
      <c r="B2619" s="3">
        <v>119</v>
      </c>
      <c r="C2619" s="3">
        <v>85</v>
      </c>
      <c r="D2619" s="3">
        <v>547.19999999999902</v>
      </c>
      <c r="E2619" s="3" t="s">
        <v>2737</v>
      </c>
      <c r="F2619" s="3">
        <v>547.19999999999902</v>
      </c>
    </row>
    <row r="2620" spans="1:6" x14ac:dyDescent="0.25">
      <c r="A2620" s="2">
        <v>85205</v>
      </c>
      <c r="B2620" s="3">
        <v>120</v>
      </c>
      <c r="C2620" s="3">
        <v>85</v>
      </c>
      <c r="D2620" s="3">
        <v>1614</v>
      </c>
      <c r="E2620" s="3" t="s">
        <v>2738</v>
      </c>
      <c r="F2620" s="3">
        <v>1614</v>
      </c>
    </row>
    <row r="2621" spans="1:6" x14ac:dyDescent="0.25">
      <c r="A2621" s="2">
        <v>85206</v>
      </c>
      <c r="B2621" s="3">
        <v>121</v>
      </c>
      <c r="C2621" s="3">
        <v>85</v>
      </c>
      <c r="D2621" s="3">
        <v>1836</v>
      </c>
      <c r="E2621" s="3" t="s">
        <v>2739</v>
      </c>
      <c r="F2621" s="3">
        <v>1836</v>
      </c>
    </row>
    <row r="2622" spans="1:6" x14ac:dyDescent="0.25">
      <c r="A2622" s="2">
        <v>85207</v>
      </c>
      <c r="B2622" s="3">
        <v>122</v>
      </c>
      <c r="C2622" s="3">
        <v>85</v>
      </c>
      <c r="D2622" s="3">
        <v>6516</v>
      </c>
      <c r="E2622" s="3" t="s">
        <v>2740</v>
      </c>
      <c r="F2622" s="3">
        <v>6516</v>
      </c>
    </row>
    <row r="2623" spans="1:6" x14ac:dyDescent="0.25">
      <c r="A2623" s="2">
        <v>85208</v>
      </c>
      <c r="B2623" s="3">
        <v>123</v>
      </c>
      <c r="C2623" s="3">
        <v>85</v>
      </c>
      <c r="D2623" s="3">
        <v>5868</v>
      </c>
      <c r="E2623" s="3" t="s">
        <v>2741</v>
      </c>
      <c r="F2623" s="3">
        <v>5868</v>
      </c>
    </row>
    <row r="2624" spans="1:6" x14ac:dyDescent="0.25">
      <c r="A2624" s="2">
        <v>85209</v>
      </c>
      <c r="B2624" s="3">
        <v>124</v>
      </c>
      <c r="C2624" s="3">
        <v>85</v>
      </c>
      <c r="D2624" s="3">
        <v>19512</v>
      </c>
      <c r="E2624" s="3" t="s">
        <v>2742</v>
      </c>
      <c r="F2624" s="3">
        <v>19512</v>
      </c>
    </row>
    <row r="2625" spans="1:6" x14ac:dyDescent="0.25">
      <c r="A2625" s="2">
        <v>85210</v>
      </c>
      <c r="B2625" s="3">
        <v>125</v>
      </c>
      <c r="C2625" s="3">
        <v>85</v>
      </c>
      <c r="D2625" s="3">
        <v>29160</v>
      </c>
      <c r="E2625" s="3" t="s">
        <v>2743</v>
      </c>
      <c r="F2625" s="3">
        <v>29160</v>
      </c>
    </row>
    <row r="2626" spans="1:6" x14ac:dyDescent="0.25">
      <c r="A2626" s="2">
        <v>85211</v>
      </c>
      <c r="B2626" s="3">
        <v>126</v>
      </c>
      <c r="C2626" s="3">
        <v>85</v>
      </c>
      <c r="D2626" s="3">
        <v>25970.400000000001</v>
      </c>
      <c r="E2626" s="3" t="s">
        <v>2744</v>
      </c>
      <c r="F2626" s="3">
        <v>25970.400000000001</v>
      </c>
    </row>
    <row r="2627" spans="1:6" x14ac:dyDescent="0.25">
      <c r="A2627" s="2">
        <v>85212</v>
      </c>
      <c r="B2627" s="3">
        <v>127</v>
      </c>
      <c r="C2627" s="3">
        <v>85</v>
      </c>
      <c r="D2627" s="3">
        <v>0.314</v>
      </c>
      <c r="E2627" s="3" t="s">
        <v>2745</v>
      </c>
      <c r="F2627" s="3">
        <v>0.314</v>
      </c>
    </row>
    <row r="2628" spans="1:6" x14ac:dyDescent="0.25">
      <c r="A2628" s="2">
        <v>85213</v>
      </c>
      <c r="B2628" s="3">
        <v>128</v>
      </c>
      <c r="C2628" s="3">
        <v>85</v>
      </c>
      <c r="D2628" s="3">
        <v>1.2499999999999999E-7</v>
      </c>
      <c r="E2628" s="3" t="s">
        <v>2746</v>
      </c>
      <c r="F2628" s="3">
        <v>1.2499999999999999E-7</v>
      </c>
    </row>
    <row r="2629" spans="1:6" x14ac:dyDescent="0.25">
      <c r="A2629" s="2">
        <v>85214</v>
      </c>
      <c r="B2629" s="3">
        <v>129</v>
      </c>
      <c r="C2629" s="3">
        <v>85</v>
      </c>
      <c r="D2629" s="3">
        <v>5.5799999999999999E-7</v>
      </c>
      <c r="E2629" s="3" t="s">
        <v>2747</v>
      </c>
      <c r="F2629" s="3">
        <v>5.5799999999999999E-7</v>
      </c>
    </row>
    <row r="2630" spans="1:6" x14ac:dyDescent="0.25">
      <c r="A2630" s="2">
        <v>85215</v>
      </c>
      <c r="B2630" s="3">
        <v>130</v>
      </c>
      <c r="C2630" s="3">
        <v>85</v>
      </c>
      <c r="D2630" s="3">
        <v>1E-4</v>
      </c>
      <c r="E2630" s="3" t="s">
        <v>2748</v>
      </c>
      <c r="F2630" s="3">
        <v>1E-4</v>
      </c>
    </row>
    <row r="2631" spans="1:6" x14ac:dyDescent="0.25">
      <c r="A2631" s="2">
        <v>85216</v>
      </c>
      <c r="B2631" s="3">
        <v>131</v>
      </c>
      <c r="C2631" s="3">
        <v>85</v>
      </c>
      <c r="D2631" s="3">
        <v>2.9999999999999997E-4</v>
      </c>
      <c r="E2631" s="3" t="s">
        <v>2749</v>
      </c>
      <c r="F2631" s="3">
        <v>2.9999999999999997E-4</v>
      </c>
    </row>
    <row r="2632" spans="1:6" x14ac:dyDescent="0.25">
      <c r="A2632" s="2">
        <v>85217</v>
      </c>
      <c r="B2632" s="3">
        <v>132</v>
      </c>
      <c r="C2632" s="3">
        <v>85</v>
      </c>
      <c r="D2632" s="3">
        <v>3.2299999999999898E-2</v>
      </c>
      <c r="E2632" s="3" t="s">
        <v>2750</v>
      </c>
      <c r="F2632" s="3">
        <v>3.2299999999999898E-2</v>
      </c>
    </row>
    <row r="2633" spans="1:6" x14ac:dyDescent="0.25">
      <c r="A2633" s="2">
        <v>85218</v>
      </c>
      <c r="B2633" s="3">
        <v>133</v>
      </c>
      <c r="C2633" s="3">
        <v>85</v>
      </c>
      <c r="D2633" s="3">
        <v>1.5</v>
      </c>
      <c r="E2633" s="3" t="s">
        <v>2751</v>
      </c>
      <c r="F2633" s="3">
        <v>1.5</v>
      </c>
    </row>
    <row r="2634" spans="1:6" x14ac:dyDescent="0.25">
      <c r="A2634" s="2">
        <v>85219</v>
      </c>
      <c r="B2634" s="3">
        <v>134</v>
      </c>
      <c r="C2634" s="3">
        <v>85</v>
      </c>
      <c r="D2634" s="3">
        <v>56</v>
      </c>
      <c r="E2634" s="3" t="s">
        <v>2752</v>
      </c>
      <c r="F2634" s="3">
        <v>56</v>
      </c>
    </row>
    <row r="2635" spans="1:6" x14ac:dyDescent="0.25">
      <c r="A2635" s="2">
        <v>85220</v>
      </c>
      <c r="B2635" s="3">
        <v>135</v>
      </c>
      <c r="C2635" s="3">
        <v>85</v>
      </c>
      <c r="D2635" s="3">
        <v>222.6</v>
      </c>
      <c r="E2635" s="3" t="s">
        <v>2753</v>
      </c>
      <c r="F2635" s="3">
        <v>222.6</v>
      </c>
    </row>
    <row r="2636" spans="1:6" x14ac:dyDescent="0.25">
      <c r="A2636" s="2">
        <v>85221</v>
      </c>
      <c r="B2636" s="3">
        <v>136</v>
      </c>
      <c r="C2636" s="3">
        <v>85</v>
      </c>
      <c r="D2636" s="3">
        <v>138</v>
      </c>
      <c r="E2636" s="3" t="s">
        <v>2754</v>
      </c>
      <c r="F2636" s="3">
        <v>138</v>
      </c>
    </row>
    <row r="2637" spans="1:6" x14ac:dyDescent="0.25">
      <c r="A2637" s="2">
        <v>85222</v>
      </c>
      <c r="B2637" s="3">
        <v>137</v>
      </c>
      <c r="C2637" s="3">
        <v>85</v>
      </c>
      <c r="D2637" s="3">
        <v>54</v>
      </c>
      <c r="E2637" s="3" t="s">
        <v>2755</v>
      </c>
      <c r="F2637" s="3">
        <v>54</v>
      </c>
    </row>
    <row r="2638" spans="1:6" x14ac:dyDescent="0.25">
      <c r="A2638" s="2">
        <v>85223</v>
      </c>
      <c r="B2638" s="3">
        <v>138</v>
      </c>
      <c r="C2638" s="3">
        <v>85</v>
      </c>
      <c r="D2638" s="3">
        <v>50</v>
      </c>
      <c r="E2638" s="3" t="s">
        <v>2756</v>
      </c>
      <c r="F2638" s="3">
        <v>50</v>
      </c>
    </row>
    <row r="2639" spans="1:6" x14ac:dyDescent="0.25">
      <c r="A2639" s="2">
        <v>85224</v>
      </c>
      <c r="B2639" s="3">
        <v>139</v>
      </c>
      <c r="C2639" s="3">
        <v>85</v>
      </c>
      <c r="D2639" s="3">
        <v>78</v>
      </c>
      <c r="E2639" s="3" t="s">
        <v>2757</v>
      </c>
      <c r="F2639" s="3">
        <v>78</v>
      </c>
    </row>
    <row r="2640" spans="1:6" x14ac:dyDescent="0.25">
      <c r="A2640" s="2">
        <v>85225</v>
      </c>
      <c r="B2640" s="3">
        <v>140</v>
      </c>
      <c r="C2640" s="3">
        <v>85</v>
      </c>
      <c r="D2640" s="3">
        <v>2.9999999999999999E-7</v>
      </c>
      <c r="E2640" s="3" t="s">
        <v>2758</v>
      </c>
      <c r="F2640" s="3">
        <v>2.9999999999999999E-7</v>
      </c>
    </row>
    <row r="2641" spans="1:6" x14ac:dyDescent="0.25">
      <c r="A2641" s="2">
        <v>85226</v>
      </c>
      <c r="B2641" s="3">
        <v>141</v>
      </c>
      <c r="C2641" s="3">
        <v>85</v>
      </c>
      <c r="D2641" s="3">
        <v>2.9999999999999999E-7</v>
      </c>
      <c r="E2641" s="3" t="s">
        <v>2759</v>
      </c>
      <c r="F2641" s="3">
        <v>2.9999999999999999E-7</v>
      </c>
    </row>
    <row r="2642" spans="1:6" x14ac:dyDescent="0.25">
      <c r="A2642" s="2">
        <v>85227</v>
      </c>
      <c r="B2642" s="3">
        <v>142</v>
      </c>
      <c r="C2642" s="3">
        <v>85</v>
      </c>
      <c r="D2642" s="3">
        <v>2.9999999999999999E-7</v>
      </c>
      <c r="E2642" s="3" t="s">
        <v>2760</v>
      </c>
      <c r="F2642" s="3">
        <v>2.9999999999999999E-7</v>
      </c>
    </row>
    <row r="2643" spans="1:6" x14ac:dyDescent="0.25">
      <c r="A2643" s="2">
        <v>85228</v>
      </c>
      <c r="B2643" s="3">
        <v>143</v>
      </c>
      <c r="C2643" s="3">
        <v>85</v>
      </c>
      <c r="D2643" s="3">
        <v>2.9999999999999999E-7</v>
      </c>
      <c r="E2643" s="3" t="s">
        <v>2761</v>
      </c>
      <c r="F2643" s="3">
        <v>2.9999999999999999E-7</v>
      </c>
    </row>
    <row r="2644" spans="1:6" x14ac:dyDescent="0.25">
      <c r="A2644" s="2">
        <v>85229</v>
      </c>
      <c r="B2644" s="3">
        <v>144</v>
      </c>
      <c r="C2644" s="3">
        <v>85</v>
      </c>
      <c r="D2644" s="3">
        <v>2.9999999999999999E-7</v>
      </c>
      <c r="E2644" s="3" t="s">
        <v>2762</v>
      </c>
      <c r="F2644" s="3">
        <v>2.9999999999999999E-7</v>
      </c>
    </row>
    <row r="2645" spans="1:6" x14ac:dyDescent="0.25">
      <c r="A2645" s="2">
        <v>86193</v>
      </c>
      <c r="B2645" s="3">
        <v>107</v>
      </c>
      <c r="C2645" s="3">
        <v>86</v>
      </c>
      <c r="D2645" s="3">
        <v>1.15E-3</v>
      </c>
      <c r="E2645" s="3" t="s">
        <v>2763</v>
      </c>
      <c r="F2645" s="3">
        <v>1.15E-3</v>
      </c>
    </row>
    <row r="2646" spans="1:6" x14ac:dyDescent="0.25">
      <c r="A2646" s="2">
        <v>86194</v>
      </c>
      <c r="B2646" s="3">
        <v>108</v>
      </c>
      <c r="C2646" s="3">
        <v>86</v>
      </c>
      <c r="D2646" s="3">
        <v>7.7999999999999999E-4</v>
      </c>
      <c r="E2646" s="3" t="s">
        <v>2764</v>
      </c>
      <c r="F2646" s="3">
        <v>7.7999999999999999E-4</v>
      </c>
    </row>
    <row r="2647" spans="1:6" x14ac:dyDescent="0.25">
      <c r="A2647" s="2">
        <v>86195</v>
      </c>
      <c r="B2647" s="3">
        <v>109</v>
      </c>
      <c r="C2647" s="3">
        <v>86</v>
      </c>
      <c r="D2647" s="3">
        <v>6.0000000000000001E-3</v>
      </c>
      <c r="E2647" s="3" t="s">
        <v>2765</v>
      </c>
      <c r="F2647" s="3">
        <v>6.0000000000000001E-3</v>
      </c>
    </row>
    <row r="2648" spans="1:6" x14ac:dyDescent="0.25">
      <c r="A2648" s="2">
        <v>86196</v>
      </c>
      <c r="B2648" s="3">
        <v>110</v>
      </c>
      <c r="C2648" s="3">
        <v>86</v>
      </c>
      <c r="D2648" s="3">
        <v>4.4000000000000003E-3</v>
      </c>
      <c r="E2648" s="3" t="s">
        <v>2766</v>
      </c>
      <c r="F2648" s="3">
        <v>4.4000000000000003E-3</v>
      </c>
    </row>
    <row r="2649" spans="1:6" x14ac:dyDescent="0.25">
      <c r="A2649" s="2">
        <v>86197</v>
      </c>
      <c r="B2649" s="3">
        <v>111</v>
      </c>
      <c r="C2649" s="3">
        <v>86</v>
      </c>
      <c r="D2649" s="3">
        <v>5.3999999999999999E-2</v>
      </c>
      <c r="E2649" s="3" t="s">
        <v>2767</v>
      </c>
      <c r="F2649" s="3">
        <v>5.3999999999999999E-2</v>
      </c>
    </row>
    <row r="2650" spans="1:6" x14ac:dyDescent="0.25">
      <c r="A2650" s="2">
        <v>86198</v>
      </c>
      <c r="B2650" s="3">
        <v>112</v>
      </c>
      <c r="C2650" s="3">
        <v>86</v>
      </c>
      <c r="D2650" s="3">
        <v>6.5000000000000002E-2</v>
      </c>
      <c r="E2650" s="3" t="s">
        <v>2768</v>
      </c>
      <c r="F2650" s="3">
        <v>6.5000000000000002E-2</v>
      </c>
    </row>
    <row r="2651" spans="1:6" x14ac:dyDescent="0.25">
      <c r="A2651" s="2">
        <v>86199</v>
      </c>
      <c r="B2651" s="3">
        <v>113</v>
      </c>
      <c r="C2651" s="3">
        <v>86</v>
      </c>
      <c r="D2651" s="3">
        <v>0.59</v>
      </c>
      <c r="E2651" s="3" t="s">
        <v>2769</v>
      </c>
      <c r="F2651" s="3">
        <v>0.59</v>
      </c>
    </row>
    <row r="2652" spans="1:6" x14ac:dyDescent="0.25">
      <c r="A2652" s="2">
        <v>86200</v>
      </c>
      <c r="B2652" s="3">
        <v>114</v>
      </c>
      <c r="C2652" s="3">
        <v>86</v>
      </c>
      <c r="D2652" s="3">
        <v>1.03</v>
      </c>
      <c r="E2652" s="3" t="s">
        <v>2770</v>
      </c>
      <c r="F2652" s="3">
        <v>1.03</v>
      </c>
    </row>
    <row r="2653" spans="1:6" x14ac:dyDescent="0.25">
      <c r="A2653" s="2">
        <v>86201</v>
      </c>
      <c r="B2653" s="3">
        <v>115</v>
      </c>
      <c r="C2653" s="3">
        <v>86</v>
      </c>
      <c r="D2653" s="3">
        <v>7</v>
      </c>
      <c r="E2653" s="3" t="s">
        <v>2771</v>
      </c>
      <c r="F2653" s="3">
        <v>7</v>
      </c>
    </row>
    <row r="2654" spans="1:6" x14ac:dyDescent="0.25">
      <c r="A2654" s="2">
        <v>86202</v>
      </c>
      <c r="B2654" s="3">
        <v>116</v>
      </c>
      <c r="C2654" s="3">
        <v>86</v>
      </c>
      <c r="D2654" s="3">
        <v>9.6999999999999993</v>
      </c>
      <c r="E2654" s="3" t="s">
        <v>2772</v>
      </c>
      <c r="F2654" s="3">
        <v>9.6999999999999993</v>
      </c>
    </row>
    <row r="2655" spans="1:6" x14ac:dyDescent="0.25">
      <c r="A2655" s="2">
        <v>86203</v>
      </c>
      <c r="B2655" s="3">
        <v>117</v>
      </c>
      <c r="C2655" s="3">
        <v>86</v>
      </c>
      <c r="D2655" s="3">
        <v>44</v>
      </c>
      <c r="E2655" s="3" t="s">
        <v>2773</v>
      </c>
      <c r="F2655" s="3">
        <v>44</v>
      </c>
    </row>
    <row r="2656" spans="1:6" x14ac:dyDescent="0.25">
      <c r="A2656" s="2">
        <v>86204</v>
      </c>
      <c r="B2656" s="3">
        <v>118</v>
      </c>
      <c r="C2656" s="3">
        <v>86</v>
      </c>
      <c r="D2656" s="3">
        <v>74.5</v>
      </c>
      <c r="E2656" s="3" t="s">
        <v>2774</v>
      </c>
      <c r="F2656" s="3">
        <v>74.5</v>
      </c>
    </row>
    <row r="2657" spans="1:6" x14ac:dyDescent="0.25">
      <c r="A2657" s="2">
        <v>86205</v>
      </c>
      <c r="B2657" s="3">
        <v>119</v>
      </c>
      <c r="C2657" s="3">
        <v>86</v>
      </c>
      <c r="D2657" s="3">
        <v>170</v>
      </c>
      <c r="E2657" s="3" t="s">
        <v>2775</v>
      </c>
      <c r="F2657" s="3">
        <v>170</v>
      </c>
    </row>
    <row r="2658" spans="1:6" x14ac:dyDescent="0.25">
      <c r="A2658" s="2">
        <v>86206</v>
      </c>
      <c r="B2658" s="3">
        <v>120</v>
      </c>
      <c r="C2658" s="3">
        <v>86</v>
      </c>
      <c r="D2658" s="3">
        <v>340.2</v>
      </c>
      <c r="E2658" s="3" t="s">
        <v>2776</v>
      </c>
      <c r="F2658" s="3">
        <v>340.2</v>
      </c>
    </row>
    <row r="2659" spans="1:6" x14ac:dyDescent="0.25">
      <c r="A2659" s="2">
        <v>86207</v>
      </c>
      <c r="B2659" s="3">
        <v>121</v>
      </c>
      <c r="C2659" s="3">
        <v>86</v>
      </c>
      <c r="D2659" s="3">
        <v>555</v>
      </c>
      <c r="E2659" s="3" t="s">
        <v>2777</v>
      </c>
      <c r="F2659" s="3">
        <v>555</v>
      </c>
    </row>
    <row r="2660" spans="1:6" x14ac:dyDescent="0.25">
      <c r="A2660" s="2">
        <v>86208</v>
      </c>
      <c r="B2660" s="3">
        <v>122</v>
      </c>
      <c r="C2660" s="3">
        <v>86</v>
      </c>
      <c r="D2660" s="3">
        <v>1461</v>
      </c>
      <c r="E2660" s="3" t="s">
        <v>2778</v>
      </c>
      <c r="F2660" s="3">
        <v>1461</v>
      </c>
    </row>
    <row r="2661" spans="1:6" x14ac:dyDescent="0.25">
      <c r="A2661" s="2">
        <v>86209</v>
      </c>
      <c r="B2661" s="3">
        <v>123</v>
      </c>
      <c r="C2661" s="3">
        <v>86</v>
      </c>
      <c r="D2661" s="3">
        <v>1728</v>
      </c>
      <c r="E2661" s="3" t="s">
        <v>2779</v>
      </c>
      <c r="F2661" s="3">
        <v>1728</v>
      </c>
    </row>
    <row r="2662" spans="1:6" x14ac:dyDescent="0.25">
      <c r="A2662" s="2">
        <v>86210</v>
      </c>
      <c r="B2662" s="3">
        <v>124</v>
      </c>
      <c r="C2662" s="3">
        <v>86</v>
      </c>
      <c r="D2662" s="3">
        <v>8640</v>
      </c>
      <c r="E2662" s="3" t="s">
        <v>2780</v>
      </c>
      <c r="F2662" s="3">
        <v>8640</v>
      </c>
    </row>
    <row r="2663" spans="1:6" x14ac:dyDescent="0.25">
      <c r="A2663" s="2">
        <v>86211</v>
      </c>
      <c r="B2663" s="3">
        <v>125</v>
      </c>
      <c r="C2663" s="3">
        <v>86</v>
      </c>
      <c r="D2663" s="3">
        <v>52560</v>
      </c>
      <c r="E2663" s="3" t="s">
        <v>2781</v>
      </c>
      <c r="F2663" s="3">
        <v>52560</v>
      </c>
    </row>
    <row r="2664" spans="1:6" x14ac:dyDescent="0.25">
      <c r="A2664" s="2">
        <v>86212</v>
      </c>
      <c r="B2664" s="3">
        <v>126</v>
      </c>
      <c r="C2664" s="3">
        <v>86</v>
      </c>
      <c r="D2664" s="3">
        <v>1434</v>
      </c>
      <c r="E2664" s="3" t="s">
        <v>2782</v>
      </c>
      <c r="F2664" s="3">
        <v>1434</v>
      </c>
    </row>
    <row r="2665" spans="1:6" x14ac:dyDescent="0.25">
      <c r="A2665" s="2">
        <v>86213</v>
      </c>
      <c r="B2665" s="3">
        <v>127</v>
      </c>
      <c r="C2665" s="3">
        <v>86</v>
      </c>
      <c r="D2665" s="3">
        <v>1.95E-2</v>
      </c>
      <c r="E2665" s="3" t="s">
        <v>2783</v>
      </c>
      <c r="F2665" s="3">
        <v>1.95E-2</v>
      </c>
    </row>
    <row r="2666" spans="1:6" x14ac:dyDescent="0.25">
      <c r="A2666" s="2">
        <v>86214</v>
      </c>
      <c r="B2666" s="3">
        <v>128</v>
      </c>
      <c r="C2666" s="3">
        <v>86</v>
      </c>
      <c r="D2666" s="3">
        <v>2.7000000000000001E-7</v>
      </c>
      <c r="E2666" s="3" t="s">
        <v>2784</v>
      </c>
      <c r="F2666" s="3">
        <v>2.7000000000000001E-7</v>
      </c>
    </row>
    <row r="2667" spans="1:6" x14ac:dyDescent="0.25">
      <c r="A2667" s="2">
        <v>86215</v>
      </c>
      <c r="B2667" s="3">
        <v>129</v>
      </c>
      <c r="C2667" s="3">
        <v>86</v>
      </c>
      <c r="D2667" s="3">
        <v>2.2999999999999898E-6</v>
      </c>
      <c r="E2667" s="3" t="s">
        <v>2785</v>
      </c>
      <c r="F2667" s="3">
        <v>2.2999999999999898E-6</v>
      </c>
    </row>
    <row r="2668" spans="1:6" x14ac:dyDescent="0.25">
      <c r="A2668" s="2">
        <v>86216</v>
      </c>
      <c r="B2668" s="3">
        <v>130</v>
      </c>
      <c r="C2668" s="3">
        <v>86</v>
      </c>
      <c r="D2668" s="3">
        <v>4.4999999999999901E-5</v>
      </c>
      <c r="E2668" s="3" t="s">
        <v>2786</v>
      </c>
      <c r="F2668" s="3">
        <v>4.4999999999999901E-5</v>
      </c>
    </row>
    <row r="2669" spans="1:6" x14ac:dyDescent="0.25">
      <c r="A2669" s="2">
        <v>86217</v>
      </c>
      <c r="B2669" s="3">
        <v>131</v>
      </c>
      <c r="C2669" s="3">
        <v>86</v>
      </c>
      <c r="D2669" s="3">
        <v>5.4000000000000001E-4</v>
      </c>
      <c r="E2669" s="3" t="s">
        <v>2787</v>
      </c>
      <c r="F2669" s="3">
        <v>5.4000000000000001E-4</v>
      </c>
    </row>
    <row r="2670" spans="1:6" x14ac:dyDescent="0.25">
      <c r="A2670" s="2">
        <v>86218</v>
      </c>
      <c r="B2670" s="3">
        <v>132</v>
      </c>
      <c r="C2670" s="3">
        <v>86</v>
      </c>
      <c r="D2670" s="3">
        <v>3.5000000000000003E-2</v>
      </c>
      <c r="E2670" s="3" t="s">
        <v>2788</v>
      </c>
      <c r="F2670" s="3">
        <v>3.5000000000000003E-2</v>
      </c>
    </row>
    <row r="2671" spans="1:6" x14ac:dyDescent="0.25">
      <c r="A2671" s="2">
        <v>86219</v>
      </c>
      <c r="B2671" s="3">
        <v>133</v>
      </c>
      <c r="C2671" s="3">
        <v>86</v>
      </c>
      <c r="D2671" s="3">
        <v>3.96</v>
      </c>
      <c r="E2671" s="3" t="s">
        <v>2789</v>
      </c>
      <c r="F2671" s="3">
        <v>3.96</v>
      </c>
    </row>
    <row r="2672" spans="1:6" x14ac:dyDescent="0.25">
      <c r="A2672" s="2">
        <v>86220</v>
      </c>
      <c r="B2672" s="3">
        <v>134</v>
      </c>
      <c r="C2672" s="3">
        <v>86</v>
      </c>
      <c r="D2672" s="3">
        <v>55.6</v>
      </c>
      <c r="E2672" s="3" t="s">
        <v>2790</v>
      </c>
      <c r="F2672" s="3">
        <v>55.6</v>
      </c>
    </row>
    <row r="2673" spans="1:6" x14ac:dyDescent="0.25">
      <c r="A2673" s="2">
        <v>86221</v>
      </c>
      <c r="B2673" s="3">
        <v>135</v>
      </c>
      <c r="C2673" s="3">
        <v>86</v>
      </c>
      <c r="D2673" s="3">
        <v>1500</v>
      </c>
      <c r="E2673" s="3" t="s">
        <v>2791</v>
      </c>
      <c r="F2673" s="3">
        <v>1500</v>
      </c>
    </row>
    <row r="2674" spans="1:6" x14ac:dyDescent="0.25">
      <c r="A2674" s="2">
        <v>86222</v>
      </c>
      <c r="B2674" s="3">
        <v>136</v>
      </c>
      <c r="C2674" s="3">
        <v>86</v>
      </c>
      <c r="D2674" s="3">
        <v>330350.40000000002</v>
      </c>
      <c r="E2674" s="3" t="s">
        <v>2792</v>
      </c>
      <c r="F2674" s="3">
        <v>330350.40000000002</v>
      </c>
    </row>
    <row r="2675" spans="1:6" x14ac:dyDescent="0.25">
      <c r="A2675" s="2">
        <v>86223</v>
      </c>
      <c r="B2675" s="3">
        <v>137</v>
      </c>
      <c r="C2675" s="3">
        <v>86</v>
      </c>
      <c r="D2675" s="3">
        <v>1458</v>
      </c>
      <c r="E2675" s="3" t="s">
        <v>2793</v>
      </c>
      <c r="F2675" s="3">
        <v>1458</v>
      </c>
    </row>
    <row r="2676" spans="1:6" x14ac:dyDescent="0.25">
      <c r="A2676" s="2">
        <v>86224</v>
      </c>
      <c r="B2676" s="3">
        <v>138</v>
      </c>
      <c r="C2676" s="3">
        <v>86</v>
      </c>
      <c r="D2676" s="3">
        <v>6420</v>
      </c>
      <c r="E2676" s="3" t="s">
        <v>2794</v>
      </c>
      <c r="F2676" s="3">
        <v>6420</v>
      </c>
    </row>
    <row r="2677" spans="1:6" x14ac:dyDescent="0.25">
      <c r="A2677" s="2">
        <v>86225</v>
      </c>
      <c r="B2677" s="3">
        <v>139</v>
      </c>
      <c r="C2677" s="3">
        <v>86</v>
      </c>
      <c r="D2677" s="3">
        <v>279.60000000000002</v>
      </c>
      <c r="E2677" s="3" t="s">
        <v>2795</v>
      </c>
      <c r="F2677" s="3">
        <v>279.60000000000002</v>
      </c>
    </row>
    <row r="2678" spans="1:6" x14ac:dyDescent="0.25">
      <c r="A2678" s="2">
        <v>86226</v>
      </c>
      <c r="B2678" s="3">
        <v>140</v>
      </c>
      <c r="C2678" s="3">
        <v>86</v>
      </c>
      <c r="D2678" s="3">
        <v>444</v>
      </c>
      <c r="E2678" s="3" t="s">
        <v>2796</v>
      </c>
      <c r="F2678" s="3">
        <v>444</v>
      </c>
    </row>
    <row r="2679" spans="1:6" x14ac:dyDescent="0.25">
      <c r="A2679" s="2">
        <v>86227</v>
      </c>
      <c r="B2679" s="3">
        <v>141</v>
      </c>
      <c r="C2679" s="3">
        <v>86</v>
      </c>
      <c r="D2679" s="3">
        <v>20.2</v>
      </c>
      <c r="E2679" s="3" t="s">
        <v>2797</v>
      </c>
      <c r="F2679" s="3">
        <v>20.2</v>
      </c>
    </row>
    <row r="2680" spans="1:6" x14ac:dyDescent="0.25">
      <c r="A2680" s="2">
        <v>86228</v>
      </c>
      <c r="B2680" s="3">
        <v>142</v>
      </c>
      <c r="C2680" s="3">
        <v>86</v>
      </c>
      <c r="D2680" s="3">
        <v>65</v>
      </c>
      <c r="E2680" s="3" t="s">
        <v>2798</v>
      </c>
      <c r="F2680" s="3">
        <v>65</v>
      </c>
    </row>
    <row r="2681" spans="1:6" x14ac:dyDescent="0.25">
      <c r="A2681" s="2">
        <v>86229</v>
      </c>
      <c r="B2681" s="3">
        <v>143</v>
      </c>
      <c r="C2681" s="3">
        <v>86</v>
      </c>
      <c r="D2681" s="3">
        <v>12</v>
      </c>
      <c r="E2681" s="3" t="s">
        <v>2799</v>
      </c>
      <c r="F2681" s="3">
        <v>12</v>
      </c>
    </row>
    <row r="2682" spans="1:6" x14ac:dyDescent="0.25">
      <c r="A2682" s="2">
        <v>86230</v>
      </c>
      <c r="B2682" s="3">
        <v>144</v>
      </c>
      <c r="C2682" s="3">
        <v>86</v>
      </c>
      <c r="D2682" s="3">
        <v>2.9999999999999999E-7</v>
      </c>
      <c r="E2682" s="3" t="s">
        <v>2800</v>
      </c>
      <c r="F2682" s="3">
        <v>2.9999999999999999E-7</v>
      </c>
    </row>
    <row r="2683" spans="1:6" x14ac:dyDescent="0.25">
      <c r="A2683" s="2">
        <v>86231</v>
      </c>
      <c r="B2683" s="3">
        <v>145</v>
      </c>
      <c r="C2683" s="3">
        <v>86</v>
      </c>
      <c r="D2683" s="3">
        <v>2.9999999999999999E-7</v>
      </c>
      <c r="E2683" s="3" t="s">
        <v>2801</v>
      </c>
      <c r="F2683" s="3">
        <v>2.9999999999999999E-7</v>
      </c>
    </row>
    <row r="2684" spans="1:6" x14ac:dyDescent="0.25">
      <c r="A2684" s="2">
        <v>87197</v>
      </c>
      <c r="B2684" s="3">
        <v>110</v>
      </c>
      <c r="C2684" s="3">
        <v>87</v>
      </c>
      <c r="D2684" s="3">
        <v>5.9999999999999995E-4</v>
      </c>
      <c r="E2684" s="3" t="s">
        <v>2802</v>
      </c>
      <c r="F2684" s="3">
        <v>5.9999999999999995E-4</v>
      </c>
    </row>
    <row r="2685" spans="1:6" x14ac:dyDescent="0.25">
      <c r="A2685" s="2">
        <v>87198</v>
      </c>
      <c r="B2685" s="3">
        <v>111</v>
      </c>
      <c r="C2685" s="3">
        <v>87</v>
      </c>
      <c r="D2685" s="3">
        <v>1.4999999999999999E-2</v>
      </c>
      <c r="E2685" s="3" t="s">
        <v>2803</v>
      </c>
      <c r="F2685" s="3">
        <v>1.4999999999999999E-2</v>
      </c>
    </row>
    <row r="2686" spans="1:6" x14ac:dyDescent="0.25">
      <c r="A2686" s="2">
        <v>87199</v>
      </c>
      <c r="B2686" s="3">
        <v>112</v>
      </c>
      <c r="C2686" s="3">
        <v>87</v>
      </c>
      <c r="D2686" s="3">
        <v>4.4999999999999997E-3</v>
      </c>
      <c r="E2686" s="3" t="s">
        <v>2804</v>
      </c>
      <c r="F2686" s="3">
        <v>4.4999999999999997E-3</v>
      </c>
    </row>
    <row r="2687" spans="1:6" x14ac:dyDescent="0.25">
      <c r="A2687" s="2">
        <v>87200</v>
      </c>
      <c r="B2687" s="3">
        <v>113</v>
      </c>
      <c r="C2687" s="3">
        <v>87</v>
      </c>
      <c r="D2687" s="3">
        <v>4.9000000000000002E-2</v>
      </c>
      <c r="E2687" s="3" t="s">
        <v>2805</v>
      </c>
      <c r="F2687" s="3">
        <v>4.9000000000000002E-2</v>
      </c>
    </row>
    <row r="2688" spans="1:6" x14ac:dyDescent="0.25">
      <c r="A2688" s="2">
        <v>87201</v>
      </c>
      <c r="B2688" s="3">
        <v>114</v>
      </c>
      <c r="C2688" s="3">
        <v>87</v>
      </c>
      <c r="D2688" s="3">
        <v>6.2E-2</v>
      </c>
      <c r="E2688" s="3" t="s">
        <v>2806</v>
      </c>
      <c r="F2688" s="3">
        <v>6.2E-2</v>
      </c>
    </row>
    <row r="2689" spans="1:6" x14ac:dyDescent="0.25">
      <c r="A2689" s="2">
        <v>87202</v>
      </c>
      <c r="B2689" s="3">
        <v>115</v>
      </c>
      <c r="C2689" s="3">
        <v>87</v>
      </c>
      <c r="D2689" s="3">
        <v>0.372</v>
      </c>
      <c r="E2689" s="3" t="s">
        <v>2807</v>
      </c>
      <c r="F2689" s="3">
        <v>0.372</v>
      </c>
    </row>
    <row r="2690" spans="1:6" x14ac:dyDescent="0.25">
      <c r="A2690" s="2">
        <v>87203</v>
      </c>
      <c r="B2690" s="3">
        <v>116</v>
      </c>
      <c r="C2690" s="3">
        <v>87</v>
      </c>
      <c r="D2690" s="3">
        <v>0.55000000000000004</v>
      </c>
      <c r="E2690" s="3" t="s">
        <v>2808</v>
      </c>
      <c r="F2690" s="3">
        <v>0.55000000000000004</v>
      </c>
    </row>
    <row r="2691" spans="1:6" x14ac:dyDescent="0.25">
      <c r="A2691" s="2">
        <v>87204</v>
      </c>
      <c r="B2691" s="3">
        <v>117</v>
      </c>
      <c r="C2691" s="3">
        <v>87</v>
      </c>
      <c r="D2691" s="3">
        <v>1.8</v>
      </c>
      <c r="E2691" s="3" t="s">
        <v>2809</v>
      </c>
      <c r="F2691" s="3">
        <v>1.8</v>
      </c>
    </row>
    <row r="2692" spans="1:6" x14ac:dyDescent="0.25">
      <c r="A2692" s="2">
        <v>87205</v>
      </c>
      <c r="B2692" s="3">
        <v>118</v>
      </c>
      <c r="C2692" s="3">
        <v>87</v>
      </c>
      <c r="D2692" s="3">
        <v>3.97</v>
      </c>
      <c r="E2692" s="3" t="s">
        <v>2810</v>
      </c>
      <c r="F2692" s="3">
        <v>3.97</v>
      </c>
    </row>
    <row r="2693" spans="1:6" x14ac:dyDescent="0.25">
      <c r="A2693" s="2">
        <v>87206</v>
      </c>
      <c r="B2693" s="3">
        <v>119</v>
      </c>
      <c r="C2693" s="3">
        <v>87</v>
      </c>
      <c r="D2693" s="3">
        <v>16</v>
      </c>
      <c r="E2693" s="3" t="s">
        <v>2811</v>
      </c>
      <c r="F2693" s="3">
        <v>16</v>
      </c>
    </row>
    <row r="2694" spans="1:6" x14ac:dyDescent="0.25">
      <c r="A2694" s="2">
        <v>87207</v>
      </c>
      <c r="B2694" s="3">
        <v>120</v>
      </c>
      <c r="C2694" s="3">
        <v>87</v>
      </c>
      <c r="D2694" s="3">
        <v>14.8</v>
      </c>
      <c r="E2694" s="3" t="s">
        <v>2812</v>
      </c>
      <c r="F2694" s="3">
        <v>14.8</v>
      </c>
    </row>
    <row r="2695" spans="1:6" x14ac:dyDescent="0.25">
      <c r="A2695" s="2">
        <v>87208</v>
      </c>
      <c r="B2695" s="3">
        <v>121</v>
      </c>
      <c r="C2695" s="3">
        <v>87</v>
      </c>
      <c r="D2695" s="3">
        <v>59.1</v>
      </c>
      <c r="E2695" s="3" t="s">
        <v>2813</v>
      </c>
      <c r="F2695" s="3">
        <v>59.1</v>
      </c>
    </row>
    <row r="2696" spans="1:6" x14ac:dyDescent="0.25">
      <c r="A2696" s="2">
        <v>87209</v>
      </c>
      <c r="B2696" s="3">
        <v>122</v>
      </c>
      <c r="C2696" s="3">
        <v>87</v>
      </c>
      <c r="D2696" s="3">
        <v>50.5</v>
      </c>
      <c r="E2696" s="3" t="s">
        <v>2814</v>
      </c>
      <c r="F2696" s="3">
        <v>50.5</v>
      </c>
    </row>
    <row r="2697" spans="1:6" x14ac:dyDescent="0.25">
      <c r="A2697" s="2">
        <v>87210</v>
      </c>
      <c r="B2697" s="3">
        <v>123</v>
      </c>
      <c r="C2697" s="3">
        <v>87</v>
      </c>
      <c r="D2697" s="3">
        <v>190.8</v>
      </c>
      <c r="E2697" s="3" t="s">
        <v>2815</v>
      </c>
      <c r="F2697" s="3">
        <v>190.8</v>
      </c>
    </row>
    <row r="2698" spans="1:6" x14ac:dyDescent="0.25">
      <c r="A2698" s="2">
        <v>87211</v>
      </c>
      <c r="B2698" s="3">
        <v>124</v>
      </c>
      <c r="C2698" s="3">
        <v>87</v>
      </c>
      <c r="D2698" s="3">
        <v>186</v>
      </c>
      <c r="E2698" s="3" t="s">
        <v>2816</v>
      </c>
      <c r="F2698" s="3">
        <v>186</v>
      </c>
    </row>
    <row r="2699" spans="1:6" x14ac:dyDescent="0.25">
      <c r="A2699" s="2">
        <v>87212</v>
      </c>
      <c r="B2699" s="3">
        <v>125</v>
      </c>
      <c r="C2699" s="3">
        <v>87</v>
      </c>
      <c r="D2699" s="3">
        <v>1200</v>
      </c>
      <c r="E2699" s="3" t="s">
        <v>2817</v>
      </c>
      <c r="F2699" s="3">
        <v>1200</v>
      </c>
    </row>
    <row r="2700" spans="1:6" x14ac:dyDescent="0.25">
      <c r="A2700" s="2">
        <v>87213</v>
      </c>
      <c r="B2700" s="3">
        <v>126</v>
      </c>
      <c r="C2700" s="3">
        <v>87</v>
      </c>
      <c r="D2700" s="3">
        <v>34.82</v>
      </c>
      <c r="E2700" s="3" t="s">
        <v>2818</v>
      </c>
      <c r="F2700" s="3">
        <v>34.82</v>
      </c>
    </row>
    <row r="2701" spans="1:6" x14ac:dyDescent="0.25">
      <c r="A2701" s="2">
        <v>87214</v>
      </c>
      <c r="B2701" s="3">
        <v>127</v>
      </c>
      <c r="C2701" s="3">
        <v>87</v>
      </c>
      <c r="D2701" s="3">
        <v>5.0000000000000001E-3</v>
      </c>
      <c r="E2701" s="3" t="s">
        <v>2819</v>
      </c>
      <c r="F2701" s="3">
        <v>5.0000000000000001E-3</v>
      </c>
    </row>
    <row r="2702" spans="1:6" x14ac:dyDescent="0.25">
      <c r="A2702" s="2">
        <v>87215</v>
      </c>
      <c r="B2702" s="3">
        <v>128</v>
      </c>
      <c r="C2702" s="3">
        <v>87</v>
      </c>
      <c r="D2702" s="3">
        <v>8.6000000000000002E-8</v>
      </c>
      <c r="E2702" s="3" t="s">
        <v>2820</v>
      </c>
      <c r="F2702" s="3">
        <v>8.6000000000000002E-8</v>
      </c>
    </row>
    <row r="2703" spans="1:6" x14ac:dyDescent="0.25">
      <c r="A2703" s="2">
        <v>87216</v>
      </c>
      <c r="B2703" s="3">
        <v>129</v>
      </c>
      <c r="C2703" s="3">
        <v>87</v>
      </c>
      <c r="D2703" s="3">
        <v>6.9999999999999997E-7</v>
      </c>
      <c r="E2703" s="3" t="s">
        <v>2821</v>
      </c>
      <c r="F2703" s="3">
        <v>6.9999999999999997E-7</v>
      </c>
    </row>
    <row r="2704" spans="1:6" x14ac:dyDescent="0.25">
      <c r="A2704" s="2">
        <v>87217</v>
      </c>
      <c r="B2704" s="3">
        <v>130</v>
      </c>
      <c r="C2704" s="3">
        <v>87</v>
      </c>
      <c r="D2704" s="3">
        <v>1.8999999999999899E-5</v>
      </c>
      <c r="E2704" s="3" t="s">
        <v>2822</v>
      </c>
      <c r="F2704" s="3">
        <v>1.8999999999999899E-5</v>
      </c>
    </row>
    <row r="2705" spans="1:6" x14ac:dyDescent="0.25">
      <c r="A2705" s="2">
        <v>87218</v>
      </c>
      <c r="B2705" s="3">
        <v>131</v>
      </c>
      <c r="C2705" s="3">
        <v>87</v>
      </c>
      <c r="D2705" s="3">
        <v>1E-3</v>
      </c>
      <c r="E2705" s="3" t="s">
        <v>2823</v>
      </c>
      <c r="F2705" s="3">
        <v>1E-3</v>
      </c>
    </row>
    <row r="2706" spans="1:6" x14ac:dyDescent="0.25">
      <c r="A2706" s="2">
        <v>87219</v>
      </c>
      <c r="B2706" s="3">
        <v>132</v>
      </c>
      <c r="C2706" s="3">
        <v>87</v>
      </c>
      <c r="D2706" s="3">
        <v>0.02</v>
      </c>
      <c r="E2706" s="3" t="s">
        <v>2824</v>
      </c>
      <c r="F2706" s="3">
        <v>0.02</v>
      </c>
    </row>
    <row r="2707" spans="1:6" x14ac:dyDescent="0.25">
      <c r="A2707" s="2">
        <v>87220</v>
      </c>
      <c r="B2707" s="3">
        <v>133</v>
      </c>
      <c r="C2707" s="3">
        <v>87</v>
      </c>
      <c r="D2707" s="3">
        <v>27.4</v>
      </c>
      <c r="E2707" s="3" t="s">
        <v>2825</v>
      </c>
      <c r="F2707" s="3">
        <v>27.4</v>
      </c>
    </row>
    <row r="2708" spans="1:6" x14ac:dyDescent="0.25">
      <c r="A2708" s="2">
        <v>87221</v>
      </c>
      <c r="B2708" s="3">
        <v>134</v>
      </c>
      <c r="C2708" s="3">
        <v>87</v>
      </c>
      <c r="D2708" s="3">
        <v>286.10000000000002</v>
      </c>
      <c r="E2708" s="3" t="s">
        <v>2826</v>
      </c>
      <c r="F2708" s="3">
        <v>286.10000000000002</v>
      </c>
    </row>
    <row r="2709" spans="1:6" x14ac:dyDescent="0.25">
      <c r="A2709" s="2">
        <v>87222</v>
      </c>
      <c r="B2709" s="3">
        <v>135</v>
      </c>
      <c r="C2709" s="3">
        <v>87</v>
      </c>
      <c r="D2709" s="3">
        <v>852</v>
      </c>
      <c r="E2709" s="3" t="s">
        <v>2827</v>
      </c>
      <c r="F2709" s="3">
        <v>852</v>
      </c>
    </row>
    <row r="2710" spans="1:6" x14ac:dyDescent="0.25">
      <c r="A2710" s="2">
        <v>87223</v>
      </c>
      <c r="B2710" s="3">
        <v>136</v>
      </c>
      <c r="C2710" s="3">
        <v>87</v>
      </c>
      <c r="D2710" s="3">
        <v>1320</v>
      </c>
      <c r="E2710" s="3" t="s">
        <v>2828</v>
      </c>
      <c r="F2710" s="3">
        <v>1320</v>
      </c>
    </row>
    <row r="2711" spans="1:6" x14ac:dyDescent="0.25">
      <c r="A2711" s="2">
        <v>87224</v>
      </c>
      <c r="B2711" s="3">
        <v>137</v>
      </c>
      <c r="C2711" s="3">
        <v>87</v>
      </c>
      <c r="D2711" s="3">
        <v>199.8</v>
      </c>
      <c r="E2711" s="3" t="s">
        <v>2829</v>
      </c>
      <c r="F2711" s="3">
        <v>199.8</v>
      </c>
    </row>
    <row r="2712" spans="1:6" x14ac:dyDescent="0.25">
      <c r="A2712" s="2">
        <v>87225</v>
      </c>
      <c r="B2712" s="3">
        <v>138</v>
      </c>
      <c r="C2712" s="3">
        <v>87</v>
      </c>
      <c r="D2712" s="3">
        <v>237</v>
      </c>
      <c r="E2712" s="3" t="s">
        <v>2830</v>
      </c>
      <c r="F2712" s="3">
        <v>237</v>
      </c>
    </row>
    <row r="2713" spans="1:6" x14ac:dyDescent="0.25">
      <c r="A2713" s="2">
        <v>87226</v>
      </c>
      <c r="B2713" s="3">
        <v>139</v>
      </c>
      <c r="C2713" s="3">
        <v>87</v>
      </c>
      <c r="D2713" s="3">
        <v>49</v>
      </c>
      <c r="E2713" s="3" t="s">
        <v>2831</v>
      </c>
      <c r="F2713" s="3">
        <v>49</v>
      </c>
    </row>
    <row r="2714" spans="1:6" x14ac:dyDescent="0.25">
      <c r="A2714" s="2">
        <v>87227</v>
      </c>
      <c r="B2714" s="3">
        <v>140</v>
      </c>
      <c r="C2714" s="3">
        <v>87</v>
      </c>
      <c r="D2714" s="3">
        <v>148.19999999999999</v>
      </c>
      <c r="E2714" s="3" t="s">
        <v>2832</v>
      </c>
      <c r="F2714" s="3">
        <v>148.19999999999999</v>
      </c>
    </row>
    <row r="2715" spans="1:6" x14ac:dyDescent="0.25">
      <c r="A2715" s="2">
        <v>87228</v>
      </c>
      <c r="B2715" s="3">
        <v>141</v>
      </c>
      <c r="C2715" s="3">
        <v>87</v>
      </c>
      <c r="D2715" s="3">
        <v>38</v>
      </c>
      <c r="E2715" s="3" t="s">
        <v>2833</v>
      </c>
      <c r="F2715" s="3">
        <v>38</v>
      </c>
    </row>
    <row r="2716" spans="1:6" x14ac:dyDescent="0.25">
      <c r="A2716" s="2">
        <v>87229</v>
      </c>
      <c r="B2716" s="3">
        <v>142</v>
      </c>
      <c r="C2716" s="3">
        <v>87</v>
      </c>
      <c r="D2716" s="3">
        <v>50.2</v>
      </c>
      <c r="E2716" s="3" t="s">
        <v>2834</v>
      </c>
      <c r="F2716" s="3">
        <v>50.2</v>
      </c>
    </row>
    <row r="2717" spans="1:6" x14ac:dyDescent="0.25">
      <c r="A2717" s="2">
        <v>87230</v>
      </c>
      <c r="B2717" s="3">
        <v>143</v>
      </c>
      <c r="C2717" s="3">
        <v>87</v>
      </c>
      <c r="D2717" s="3">
        <v>19.100000000000001</v>
      </c>
      <c r="E2717" s="3" t="s">
        <v>2835</v>
      </c>
      <c r="F2717" s="3">
        <v>19.100000000000001</v>
      </c>
    </row>
    <row r="2718" spans="1:6" x14ac:dyDescent="0.25">
      <c r="A2718" s="2">
        <v>87231</v>
      </c>
      <c r="B2718" s="3">
        <v>144</v>
      </c>
      <c r="C2718" s="3">
        <v>87</v>
      </c>
      <c r="D2718" s="3">
        <v>17.600000000000001</v>
      </c>
      <c r="E2718" s="3" t="s">
        <v>2836</v>
      </c>
      <c r="F2718" s="3">
        <v>17.600000000000001</v>
      </c>
    </row>
    <row r="2719" spans="1:6" x14ac:dyDescent="0.25">
      <c r="A2719" s="2">
        <v>87232</v>
      </c>
      <c r="B2719" s="3">
        <v>145</v>
      </c>
      <c r="C2719" s="3">
        <v>87</v>
      </c>
      <c r="D2719" s="3">
        <v>5.5</v>
      </c>
      <c r="E2719" s="3" t="s">
        <v>2837</v>
      </c>
      <c r="F2719" s="3">
        <v>5.5</v>
      </c>
    </row>
    <row r="2720" spans="1:6" x14ac:dyDescent="0.25">
      <c r="A2720" s="2">
        <v>87233</v>
      </c>
      <c r="B2720" s="3">
        <v>146</v>
      </c>
      <c r="C2720" s="3">
        <v>87</v>
      </c>
      <c r="D2720" s="3">
        <v>0.9</v>
      </c>
      <c r="E2720" s="3" t="s">
        <v>2838</v>
      </c>
      <c r="F2720" s="3">
        <v>0.9</v>
      </c>
    </row>
    <row r="2721" spans="1:6" x14ac:dyDescent="0.25">
      <c r="A2721" s="2">
        <v>88201</v>
      </c>
      <c r="B2721" s="3">
        <v>113</v>
      </c>
      <c r="C2721" s="3">
        <v>88</v>
      </c>
      <c r="D2721" s="3">
        <v>1.6000000000000001E-3</v>
      </c>
      <c r="E2721" s="3" t="s">
        <v>2839</v>
      </c>
      <c r="F2721" s="3">
        <v>1.6000000000000001E-3</v>
      </c>
    </row>
    <row r="2722" spans="1:6" x14ac:dyDescent="0.25">
      <c r="A2722" s="2">
        <v>88202</v>
      </c>
      <c r="B2722" s="3">
        <v>114</v>
      </c>
      <c r="C2722" s="3">
        <v>88</v>
      </c>
      <c r="D2722" s="3">
        <v>3.8E-3</v>
      </c>
      <c r="E2722" s="3" t="s">
        <v>2840</v>
      </c>
      <c r="F2722" s="3">
        <v>3.8E-3</v>
      </c>
    </row>
    <row r="2723" spans="1:6" x14ac:dyDescent="0.25">
      <c r="A2723" s="2">
        <v>88203</v>
      </c>
      <c r="B2723" s="3">
        <v>115</v>
      </c>
      <c r="C2723" s="3">
        <v>88</v>
      </c>
      <c r="D2723" s="3">
        <v>3.1E-2</v>
      </c>
      <c r="E2723" s="3" t="s">
        <v>2841</v>
      </c>
      <c r="F2723" s="3">
        <v>3.1E-2</v>
      </c>
    </row>
    <row r="2724" spans="1:6" x14ac:dyDescent="0.25">
      <c r="A2724" s="2">
        <v>88204</v>
      </c>
      <c r="B2724" s="3">
        <v>116</v>
      </c>
      <c r="C2724" s="3">
        <v>88</v>
      </c>
      <c r="D2724" s="3">
        <v>5.7000000000000002E-2</v>
      </c>
      <c r="E2724" s="3" t="s">
        <v>2842</v>
      </c>
      <c r="F2724" s="3">
        <v>5.7000000000000002E-2</v>
      </c>
    </row>
    <row r="2725" spans="1:6" x14ac:dyDescent="0.25">
      <c r="A2725" s="2">
        <v>88205</v>
      </c>
      <c r="B2725" s="3">
        <v>117</v>
      </c>
      <c r="C2725" s="3">
        <v>88</v>
      </c>
      <c r="D2725" s="3">
        <v>0.21</v>
      </c>
      <c r="E2725" s="3" t="s">
        <v>2843</v>
      </c>
      <c r="F2725" s="3">
        <v>0.21</v>
      </c>
    </row>
    <row r="2726" spans="1:6" x14ac:dyDescent="0.25">
      <c r="A2726" s="2">
        <v>88206</v>
      </c>
      <c r="B2726" s="3">
        <v>118</v>
      </c>
      <c r="C2726" s="3">
        <v>88</v>
      </c>
      <c r="D2726" s="3">
        <v>0.24</v>
      </c>
      <c r="E2726" s="3" t="s">
        <v>2844</v>
      </c>
      <c r="F2726" s="3">
        <v>0.24</v>
      </c>
    </row>
    <row r="2727" spans="1:6" x14ac:dyDescent="0.25">
      <c r="A2727" s="2">
        <v>88207</v>
      </c>
      <c r="B2727" s="3">
        <v>119</v>
      </c>
      <c r="C2727" s="3">
        <v>88</v>
      </c>
      <c r="D2727" s="3">
        <v>1.35</v>
      </c>
      <c r="E2727" s="3" t="s">
        <v>2845</v>
      </c>
      <c r="F2727" s="3">
        <v>1.35</v>
      </c>
    </row>
    <row r="2728" spans="1:6" x14ac:dyDescent="0.25">
      <c r="A2728" s="2">
        <v>88208</v>
      </c>
      <c r="B2728" s="3">
        <v>120</v>
      </c>
      <c r="C2728" s="3">
        <v>88</v>
      </c>
      <c r="D2728" s="3">
        <v>1.3</v>
      </c>
      <c r="E2728" s="3" t="s">
        <v>2846</v>
      </c>
      <c r="F2728" s="3">
        <v>1.3</v>
      </c>
    </row>
    <row r="2729" spans="1:6" x14ac:dyDescent="0.25">
      <c r="A2729" s="2">
        <v>88209</v>
      </c>
      <c r="B2729" s="3">
        <v>121</v>
      </c>
      <c r="C2729" s="3">
        <v>88</v>
      </c>
      <c r="D2729" s="3">
        <v>4.5999999999999996</v>
      </c>
      <c r="E2729" s="3" t="s">
        <v>2847</v>
      </c>
      <c r="F2729" s="3">
        <v>4.5999999999999996</v>
      </c>
    </row>
    <row r="2730" spans="1:6" x14ac:dyDescent="0.25">
      <c r="A2730" s="2">
        <v>88210</v>
      </c>
      <c r="B2730" s="3">
        <v>122</v>
      </c>
      <c r="C2730" s="3">
        <v>88</v>
      </c>
      <c r="D2730" s="3">
        <v>3.7</v>
      </c>
      <c r="E2730" s="3" t="s">
        <v>2848</v>
      </c>
      <c r="F2730" s="3">
        <v>3.7</v>
      </c>
    </row>
    <row r="2731" spans="1:6" x14ac:dyDescent="0.25">
      <c r="A2731" s="2">
        <v>88211</v>
      </c>
      <c r="B2731" s="3">
        <v>123</v>
      </c>
      <c r="C2731" s="3">
        <v>88</v>
      </c>
      <c r="D2731" s="3">
        <v>13</v>
      </c>
      <c r="E2731" s="3" t="s">
        <v>2849</v>
      </c>
      <c r="F2731" s="3">
        <v>13</v>
      </c>
    </row>
    <row r="2732" spans="1:6" x14ac:dyDescent="0.25">
      <c r="A2732" s="2">
        <v>88212</v>
      </c>
      <c r="B2732" s="3">
        <v>124</v>
      </c>
      <c r="C2732" s="3">
        <v>88</v>
      </c>
      <c r="D2732" s="3">
        <v>13</v>
      </c>
      <c r="E2732" s="3" t="s">
        <v>2850</v>
      </c>
      <c r="F2732" s="3">
        <v>13</v>
      </c>
    </row>
    <row r="2733" spans="1:6" x14ac:dyDescent="0.25">
      <c r="A2733" s="2">
        <v>88213</v>
      </c>
      <c r="B2733" s="3">
        <v>125</v>
      </c>
      <c r="C2733" s="3">
        <v>88</v>
      </c>
      <c r="D2733" s="3">
        <v>163.80000000000001</v>
      </c>
      <c r="E2733" s="3" t="s">
        <v>2851</v>
      </c>
      <c r="F2733" s="3">
        <v>163.80000000000001</v>
      </c>
    </row>
    <row r="2734" spans="1:6" x14ac:dyDescent="0.25">
      <c r="A2734" s="2">
        <v>88214</v>
      </c>
      <c r="B2734" s="3">
        <v>126</v>
      </c>
      <c r="C2734" s="3">
        <v>88</v>
      </c>
      <c r="D2734" s="3">
        <v>2.46</v>
      </c>
      <c r="E2734" s="3" t="s">
        <v>2852</v>
      </c>
      <c r="F2734" s="3">
        <v>2.46</v>
      </c>
    </row>
    <row r="2735" spans="1:6" x14ac:dyDescent="0.25">
      <c r="A2735" s="2">
        <v>88215</v>
      </c>
      <c r="B2735" s="3">
        <v>127</v>
      </c>
      <c r="C2735" s="3">
        <v>88</v>
      </c>
      <c r="D2735" s="3">
        <v>1.66E-3</v>
      </c>
      <c r="E2735" s="3" t="s">
        <v>2853</v>
      </c>
      <c r="F2735" s="3">
        <v>1.66E-3</v>
      </c>
    </row>
    <row r="2736" spans="1:6" x14ac:dyDescent="0.25">
      <c r="A2736" s="2">
        <v>88216</v>
      </c>
      <c r="B2736" s="3">
        <v>128</v>
      </c>
      <c r="C2736" s="3">
        <v>88</v>
      </c>
      <c r="D2736" s="3">
        <v>1.8199999999999999E-7</v>
      </c>
      <c r="E2736" s="3" t="s">
        <v>2854</v>
      </c>
      <c r="F2736" s="3">
        <v>1.8199999999999999E-7</v>
      </c>
    </row>
    <row r="2737" spans="1:6" x14ac:dyDescent="0.25">
      <c r="A2737" s="2">
        <v>88217</v>
      </c>
      <c r="B2737" s="3">
        <v>129</v>
      </c>
      <c r="C2737" s="3">
        <v>88</v>
      </c>
      <c r="D2737" s="3">
        <v>1.5999999999999999E-6</v>
      </c>
      <c r="E2737" s="3" t="s">
        <v>2855</v>
      </c>
      <c r="F2737" s="3">
        <v>1.5999999999999999E-6</v>
      </c>
    </row>
    <row r="2738" spans="1:6" x14ac:dyDescent="0.25">
      <c r="A2738" s="2">
        <v>88218</v>
      </c>
      <c r="B2738" s="3">
        <v>130</v>
      </c>
      <c r="C2738" s="3">
        <v>88</v>
      </c>
      <c r="D2738" s="3">
        <v>2.5199999999999999E-5</v>
      </c>
      <c r="E2738" s="3" t="s">
        <v>2856</v>
      </c>
      <c r="F2738" s="3">
        <v>2.5199999999999999E-5</v>
      </c>
    </row>
    <row r="2739" spans="1:6" x14ac:dyDescent="0.25">
      <c r="A2739" s="2">
        <v>88219</v>
      </c>
      <c r="B2739" s="3">
        <v>131</v>
      </c>
      <c r="C2739" s="3">
        <v>88</v>
      </c>
      <c r="D2739" s="3">
        <v>0.01</v>
      </c>
      <c r="E2739" s="3" t="s">
        <v>2857</v>
      </c>
      <c r="F2739" s="3">
        <v>0.01</v>
      </c>
    </row>
    <row r="2740" spans="1:6" x14ac:dyDescent="0.25">
      <c r="A2740" s="2">
        <v>88220</v>
      </c>
      <c r="B2740" s="3">
        <v>132</v>
      </c>
      <c r="C2740" s="3">
        <v>88</v>
      </c>
      <c r="D2740" s="3">
        <v>1.7999999999999999E-2</v>
      </c>
      <c r="E2740" s="3" t="s">
        <v>2858</v>
      </c>
      <c r="F2740" s="3">
        <v>1.7999999999999999E-2</v>
      </c>
    </row>
    <row r="2741" spans="1:6" x14ac:dyDescent="0.25">
      <c r="A2741" s="2">
        <v>88221</v>
      </c>
      <c r="B2741" s="3">
        <v>133</v>
      </c>
      <c r="C2741" s="3">
        <v>88</v>
      </c>
      <c r="D2741" s="3">
        <v>28</v>
      </c>
      <c r="E2741" s="3" t="s">
        <v>2859</v>
      </c>
      <c r="F2741" s="3">
        <v>28</v>
      </c>
    </row>
    <row r="2742" spans="1:6" x14ac:dyDescent="0.25">
      <c r="A2742" s="2">
        <v>88222</v>
      </c>
      <c r="B2742" s="3">
        <v>134</v>
      </c>
      <c r="C2742" s="3">
        <v>88</v>
      </c>
      <c r="D2742" s="3">
        <v>38</v>
      </c>
      <c r="E2742" s="3" t="s">
        <v>2860</v>
      </c>
      <c r="F2742" s="3">
        <v>38</v>
      </c>
    </row>
    <row r="2743" spans="1:6" x14ac:dyDescent="0.25">
      <c r="A2743" s="2">
        <v>88223</v>
      </c>
      <c r="B2743" s="3">
        <v>135</v>
      </c>
      <c r="C2743" s="3">
        <v>88</v>
      </c>
      <c r="D2743" s="3">
        <v>987552</v>
      </c>
      <c r="E2743" s="3" t="s">
        <v>2861</v>
      </c>
      <c r="F2743" s="3">
        <v>987552</v>
      </c>
    </row>
    <row r="2744" spans="1:6" x14ac:dyDescent="0.25">
      <c r="A2744" s="2">
        <v>88224</v>
      </c>
      <c r="B2744" s="3">
        <v>136</v>
      </c>
      <c r="C2744" s="3">
        <v>88</v>
      </c>
      <c r="D2744" s="3">
        <v>313796.15999999997</v>
      </c>
      <c r="E2744" s="3" t="s">
        <v>2862</v>
      </c>
      <c r="F2744" s="3">
        <v>313796.15999999997</v>
      </c>
    </row>
    <row r="2745" spans="1:6" x14ac:dyDescent="0.25">
      <c r="A2745" s="2">
        <v>88225</v>
      </c>
      <c r="B2745" s="3">
        <v>137</v>
      </c>
      <c r="C2745" s="3">
        <v>88</v>
      </c>
      <c r="D2745" s="3">
        <v>1287360</v>
      </c>
      <c r="E2745" s="3" t="s">
        <v>2863</v>
      </c>
      <c r="F2745" s="3">
        <v>1287360</v>
      </c>
    </row>
    <row r="2746" spans="1:6" x14ac:dyDescent="0.25">
      <c r="A2746" s="2">
        <v>88226</v>
      </c>
      <c r="B2746" s="3">
        <v>138</v>
      </c>
      <c r="C2746" s="3">
        <v>88</v>
      </c>
      <c r="D2746" s="3">
        <v>50492160000</v>
      </c>
      <c r="E2746" s="3" t="s">
        <v>2864</v>
      </c>
      <c r="F2746" s="3">
        <v>50492160000</v>
      </c>
    </row>
    <row r="2747" spans="1:6" x14ac:dyDescent="0.25">
      <c r="A2747" s="2">
        <v>88227</v>
      </c>
      <c r="B2747" s="3">
        <v>139</v>
      </c>
      <c r="C2747" s="3">
        <v>88</v>
      </c>
      <c r="D2747" s="3">
        <v>2532</v>
      </c>
      <c r="E2747" s="3" t="s">
        <v>2865</v>
      </c>
      <c r="F2747" s="3">
        <v>2532</v>
      </c>
    </row>
    <row r="2748" spans="1:6" x14ac:dyDescent="0.25">
      <c r="A2748" s="2">
        <v>88228</v>
      </c>
      <c r="B2748" s="3">
        <v>140</v>
      </c>
      <c r="C2748" s="3">
        <v>88</v>
      </c>
      <c r="D2748" s="3">
        <v>181456200</v>
      </c>
      <c r="E2748" s="3" t="s">
        <v>2866</v>
      </c>
      <c r="F2748" s="3">
        <v>181456200</v>
      </c>
    </row>
    <row r="2749" spans="1:6" x14ac:dyDescent="0.25">
      <c r="A2749" s="2">
        <v>88229</v>
      </c>
      <c r="B2749" s="3">
        <v>141</v>
      </c>
      <c r="C2749" s="3">
        <v>88</v>
      </c>
      <c r="D2749" s="3">
        <v>240</v>
      </c>
      <c r="E2749" s="3" t="s">
        <v>2867</v>
      </c>
      <c r="F2749" s="3">
        <v>240</v>
      </c>
    </row>
    <row r="2750" spans="1:6" x14ac:dyDescent="0.25">
      <c r="A2750" s="2">
        <v>88230</v>
      </c>
      <c r="B2750" s="3">
        <v>142</v>
      </c>
      <c r="C2750" s="3">
        <v>88</v>
      </c>
      <c r="D2750" s="3">
        <v>5580</v>
      </c>
      <c r="E2750" s="3" t="s">
        <v>2868</v>
      </c>
      <c r="F2750" s="3">
        <v>5580</v>
      </c>
    </row>
    <row r="2751" spans="1:6" x14ac:dyDescent="0.25">
      <c r="A2751" s="2">
        <v>88231</v>
      </c>
      <c r="B2751" s="3">
        <v>143</v>
      </c>
      <c r="C2751" s="3">
        <v>88</v>
      </c>
      <c r="D2751" s="3">
        <v>104</v>
      </c>
      <c r="E2751" s="3" t="s">
        <v>2869</v>
      </c>
      <c r="F2751" s="3">
        <v>104</v>
      </c>
    </row>
    <row r="2752" spans="1:6" x14ac:dyDescent="0.25">
      <c r="A2752" s="2">
        <v>88232</v>
      </c>
      <c r="B2752" s="3">
        <v>144</v>
      </c>
      <c r="C2752" s="3">
        <v>88</v>
      </c>
      <c r="D2752" s="3">
        <v>252</v>
      </c>
      <c r="E2752" s="3" t="s">
        <v>2870</v>
      </c>
      <c r="F2752" s="3">
        <v>252</v>
      </c>
    </row>
    <row r="2753" spans="1:6" x14ac:dyDescent="0.25">
      <c r="A2753" s="2">
        <v>88233</v>
      </c>
      <c r="B2753" s="3">
        <v>145</v>
      </c>
      <c r="C2753" s="3">
        <v>88</v>
      </c>
      <c r="D2753" s="3">
        <v>30</v>
      </c>
      <c r="E2753" s="3" t="s">
        <v>2871</v>
      </c>
      <c r="F2753" s="3">
        <v>30</v>
      </c>
    </row>
    <row r="2754" spans="1:6" x14ac:dyDescent="0.25">
      <c r="A2754" s="2">
        <v>88234</v>
      </c>
      <c r="B2754" s="3">
        <v>146</v>
      </c>
      <c r="C2754" s="3">
        <v>88</v>
      </c>
      <c r="D2754" s="3">
        <v>30</v>
      </c>
      <c r="E2754" s="3" t="s">
        <v>2872</v>
      </c>
      <c r="F2754" s="3">
        <v>30</v>
      </c>
    </row>
    <row r="2755" spans="1:6" x14ac:dyDescent="0.25">
      <c r="A2755" s="2">
        <v>89205</v>
      </c>
      <c r="B2755" s="3">
        <v>116</v>
      </c>
      <c r="C2755" s="3">
        <v>89</v>
      </c>
      <c r="D2755" s="3">
        <v>0.02</v>
      </c>
      <c r="E2755" s="3" t="s">
        <v>2873</v>
      </c>
      <c r="F2755" s="3">
        <v>0.02</v>
      </c>
    </row>
    <row r="2756" spans="1:6" x14ac:dyDescent="0.25">
      <c r="A2756" s="2">
        <v>89206</v>
      </c>
      <c r="B2756" s="3">
        <v>117</v>
      </c>
      <c r="C2756" s="3">
        <v>89</v>
      </c>
      <c r="D2756" s="3">
        <v>2.1999999999999999E-2</v>
      </c>
      <c r="E2756" s="3" t="s">
        <v>2874</v>
      </c>
      <c r="F2756" s="3">
        <v>2.1999999999999999E-2</v>
      </c>
    </row>
    <row r="2757" spans="1:6" x14ac:dyDescent="0.25">
      <c r="A2757" s="2">
        <v>89207</v>
      </c>
      <c r="B2757" s="3">
        <v>118</v>
      </c>
      <c r="C2757" s="3">
        <v>89</v>
      </c>
      <c r="D2757" s="3">
        <v>2.7E-2</v>
      </c>
      <c r="E2757" s="3" t="s">
        <v>2875</v>
      </c>
      <c r="F2757" s="3">
        <v>2.7E-2</v>
      </c>
    </row>
    <row r="2758" spans="1:6" x14ac:dyDescent="0.25">
      <c r="A2758" s="2">
        <v>89208</v>
      </c>
      <c r="B2758" s="3">
        <v>119</v>
      </c>
      <c r="C2758" s="3">
        <v>89</v>
      </c>
      <c r="D2758" s="3">
        <v>9.5000000000000001E-2</v>
      </c>
      <c r="E2758" s="3" t="s">
        <v>2876</v>
      </c>
      <c r="F2758" s="3">
        <v>9.5000000000000001E-2</v>
      </c>
    </row>
    <row r="2759" spans="1:6" x14ac:dyDescent="0.25">
      <c r="A2759" s="2">
        <v>89209</v>
      </c>
      <c r="B2759" s="3">
        <v>120</v>
      </c>
      <c r="C2759" s="3">
        <v>89</v>
      </c>
      <c r="D2759" s="3">
        <v>8.6999999999999994E-2</v>
      </c>
      <c r="E2759" s="3" t="s">
        <v>2877</v>
      </c>
      <c r="F2759" s="3">
        <v>8.6999999999999994E-2</v>
      </c>
    </row>
    <row r="2760" spans="1:6" x14ac:dyDescent="0.25">
      <c r="A2760" s="2">
        <v>89210</v>
      </c>
      <c r="B2760" s="3">
        <v>121</v>
      </c>
      <c r="C2760" s="3">
        <v>89</v>
      </c>
      <c r="D2760" s="3">
        <v>0.35</v>
      </c>
      <c r="E2760" s="3" t="s">
        <v>2878</v>
      </c>
      <c r="F2760" s="3">
        <v>0.35</v>
      </c>
    </row>
    <row r="2761" spans="1:6" x14ac:dyDescent="0.25">
      <c r="A2761" s="2">
        <v>89211</v>
      </c>
      <c r="B2761" s="3">
        <v>122</v>
      </c>
      <c r="C2761" s="3">
        <v>89</v>
      </c>
      <c r="D2761" s="3">
        <v>0.21</v>
      </c>
      <c r="E2761" s="3" t="s">
        <v>2879</v>
      </c>
      <c r="F2761" s="3">
        <v>0.21</v>
      </c>
    </row>
    <row r="2762" spans="1:6" x14ac:dyDescent="0.25">
      <c r="A2762" s="2">
        <v>89212</v>
      </c>
      <c r="B2762" s="3">
        <v>123</v>
      </c>
      <c r="C2762" s="3">
        <v>89</v>
      </c>
      <c r="D2762" s="3">
        <v>0.93</v>
      </c>
      <c r="E2762" s="3" t="s">
        <v>2880</v>
      </c>
      <c r="F2762" s="3">
        <v>0.93</v>
      </c>
    </row>
    <row r="2763" spans="1:6" x14ac:dyDescent="0.25">
      <c r="A2763" s="2">
        <v>89213</v>
      </c>
      <c r="B2763" s="3">
        <v>124</v>
      </c>
      <c r="C2763" s="3">
        <v>89</v>
      </c>
      <c r="D2763" s="3">
        <v>0.73799999999999999</v>
      </c>
      <c r="E2763" s="3" t="s">
        <v>2881</v>
      </c>
      <c r="F2763" s="3">
        <v>0.73799999999999999</v>
      </c>
    </row>
    <row r="2764" spans="1:6" x14ac:dyDescent="0.25">
      <c r="A2764" s="2">
        <v>89214</v>
      </c>
      <c r="B2764" s="3">
        <v>125</v>
      </c>
      <c r="C2764" s="3">
        <v>89</v>
      </c>
      <c r="D2764" s="3">
        <v>8.1999999999999993</v>
      </c>
      <c r="E2764" s="3" t="s">
        <v>2882</v>
      </c>
      <c r="F2764" s="3">
        <v>8.1999999999999993</v>
      </c>
    </row>
    <row r="2765" spans="1:6" x14ac:dyDescent="0.25">
      <c r="A2765" s="2">
        <v>89215</v>
      </c>
      <c r="B2765" s="3">
        <v>126</v>
      </c>
      <c r="C2765" s="3">
        <v>89</v>
      </c>
      <c r="D2765" s="3">
        <v>0.17</v>
      </c>
      <c r="E2765" s="3" t="s">
        <v>2883</v>
      </c>
      <c r="F2765" s="3">
        <v>0.17</v>
      </c>
    </row>
    <row r="2766" spans="1:6" x14ac:dyDescent="0.25">
      <c r="A2766" s="2">
        <v>89216</v>
      </c>
      <c r="B2766" s="3">
        <v>127</v>
      </c>
      <c r="C2766" s="3">
        <v>89</v>
      </c>
      <c r="D2766" s="3">
        <v>4.3999999999999899E-4</v>
      </c>
      <c r="E2766" s="3" t="s">
        <v>2884</v>
      </c>
      <c r="F2766" s="3">
        <v>4.3999999999999899E-4</v>
      </c>
    </row>
    <row r="2767" spans="1:6" x14ac:dyDescent="0.25">
      <c r="A2767" s="2">
        <v>89217</v>
      </c>
      <c r="B2767" s="3">
        <v>128</v>
      </c>
      <c r="C2767" s="3">
        <v>89</v>
      </c>
      <c r="D2767" s="3">
        <v>6.8999999999999996E-8</v>
      </c>
      <c r="E2767" s="3" t="s">
        <v>2885</v>
      </c>
      <c r="F2767" s="3">
        <v>6.8999999999999996E-8</v>
      </c>
    </row>
    <row r="2768" spans="1:6" x14ac:dyDescent="0.25">
      <c r="A2768" s="2">
        <v>89218</v>
      </c>
      <c r="B2768" s="3">
        <v>129</v>
      </c>
      <c r="C2768" s="3">
        <v>89</v>
      </c>
      <c r="D2768" s="3">
        <v>1.08E-6</v>
      </c>
      <c r="E2768" s="3" t="s">
        <v>2886</v>
      </c>
      <c r="F2768" s="3">
        <v>1.08E-6</v>
      </c>
    </row>
    <row r="2769" spans="1:6" x14ac:dyDescent="0.25">
      <c r="A2769" s="2">
        <v>89219</v>
      </c>
      <c r="B2769" s="3">
        <v>130</v>
      </c>
      <c r="C2769" s="3">
        <v>89</v>
      </c>
      <c r="D2769" s="3">
        <v>1.1800000000000001E-5</v>
      </c>
      <c r="E2769" s="3" t="s">
        <v>2887</v>
      </c>
      <c r="F2769" s="3">
        <v>1.1800000000000001E-5</v>
      </c>
    </row>
    <row r="2770" spans="1:6" x14ac:dyDescent="0.25">
      <c r="A2770" s="2">
        <v>89220</v>
      </c>
      <c r="B2770" s="3">
        <v>131</v>
      </c>
      <c r="C2770" s="3">
        <v>89</v>
      </c>
      <c r="D2770" s="3">
        <v>2.64E-2</v>
      </c>
      <c r="E2770" s="3" t="s">
        <v>2888</v>
      </c>
      <c r="F2770" s="3">
        <v>2.64E-2</v>
      </c>
    </row>
    <row r="2771" spans="1:6" x14ac:dyDescent="0.25">
      <c r="A2771" s="2">
        <v>89221</v>
      </c>
      <c r="B2771" s="3">
        <v>132</v>
      </c>
      <c r="C2771" s="3">
        <v>89</v>
      </c>
      <c r="D2771" s="3">
        <v>5.1999999999999998E-2</v>
      </c>
      <c r="E2771" s="3" t="s">
        <v>2889</v>
      </c>
      <c r="F2771" s="3">
        <v>5.1999999999999998E-2</v>
      </c>
    </row>
    <row r="2772" spans="1:6" x14ac:dyDescent="0.25">
      <c r="A2772" s="2">
        <v>89222</v>
      </c>
      <c r="B2772" s="3">
        <v>133</v>
      </c>
      <c r="C2772" s="3">
        <v>89</v>
      </c>
      <c r="D2772" s="3">
        <v>5</v>
      </c>
      <c r="E2772" s="3" t="s">
        <v>2890</v>
      </c>
      <c r="F2772" s="3">
        <v>5</v>
      </c>
    </row>
    <row r="2773" spans="1:6" x14ac:dyDescent="0.25">
      <c r="A2773" s="2">
        <v>89223</v>
      </c>
      <c r="B2773" s="3">
        <v>134</v>
      </c>
      <c r="C2773" s="3">
        <v>89</v>
      </c>
      <c r="D2773" s="3">
        <v>126</v>
      </c>
      <c r="E2773" s="3" t="s">
        <v>2891</v>
      </c>
      <c r="F2773" s="3">
        <v>126</v>
      </c>
    </row>
    <row r="2774" spans="1:6" x14ac:dyDescent="0.25">
      <c r="A2774" s="2">
        <v>89224</v>
      </c>
      <c r="B2774" s="3">
        <v>135</v>
      </c>
      <c r="C2774" s="3">
        <v>89</v>
      </c>
      <c r="D2774" s="3">
        <v>10008</v>
      </c>
      <c r="E2774" s="3" t="s">
        <v>2892</v>
      </c>
      <c r="F2774" s="3">
        <v>10008</v>
      </c>
    </row>
    <row r="2775" spans="1:6" x14ac:dyDescent="0.25">
      <c r="A2775" s="2">
        <v>89225</v>
      </c>
      <c r="B2775" s="3">
        <v>136</v>
      </c>
      <c r="C2775" s="3">
        <v>89</v>
      </c>
      <c r="D2775" s="3">
        <v>857088</v>
      </c>
      <c r="E2775" s="3" t="s">
        <v>2893</v>
      </c>
      <c r="F2775" s="3">
        <v>857088</v>
      </c>
    </row>
    <row r="2776" spans="1:6" x14ac:dyDescent="0.25">
      <c r="A2776" s="2">
        <v>89226</v>
      </c>
      <c r="B2776" s="3">
        <v>137</v>
      </c>
      <c r="C2776" s="3">
        <v>89</v>
      </c>
      <c r="D2776" s="3">
        <v>105732</v>
      </c>
      <c r="E2776" s="3" t="s">
        <v>2894</v>
      </c>
      <c r="F2776" s="3">
        <v>105732</v>
      </c>
    </row>
    <row r="2777" spans="1:6" x14ac:dyDescent="0.25">
      <c r="A2777" s="2">
        <v>89227</v>
      </c>
      <c r="B2777" s="3">
        <v>138</v>
      </c>
      <c r="C2777" s="3">
        <v>89</v>
      </c>
      <c r="D2777" s="3">
        <v>687072067.19999897</v>
      </c>
      <c r="E2777" s="3" t="s">
        <v>2895</v>
      </c>
      <c r="F2777" s="3">
        <v>687072067.19999897</v>
      </c>
    </row>
    <row r="2778" spans="1:6" x14ac:dyDescent="0.25">
      <c r="A2778" s="2">
        <v>89228</v>
      </c>
      <c r="B2778" s="3">
        <v>139</v>
      </c>
      <c r="C2778" s="3">
        <v>89</v>
      </c>
      <c r="D2778" s="3">
        <v>22140</v>
      </c>
      <c r="E2778" s="3" t="s">
        <v>2896</v>
      </c>
      <c r="F2778" s="3">
        <v>22140</v>
      </c>
    </row>
    <row r="2779" spans="1:6" x14ac:dyDescent="0.25">
      <c r="A2779" s="2">
        <v>89229</v>
      </c>
      <c r="B2779" s="3">
        <v>140</v>
      </c>
      <c r="C2779" s="3">
        <v>89</v>
      </c>
      <c r="D2779" s="3">
        <v>3762</v>
      </c>
      <c r="E2779" s="3" t="s">
        <v>2897</v>
      </c>
      <c r="F2779" s="3">
        <v>3762</v>
      </c>
    </row>
    <row r="2780" spans="1:6" x14ac:dyDescent="0.25">
      <c r="A2780" s="2">
        <v>89230</v>
      </c>
      <c r="B2780" s="3">
        <v>141</v>
      </c>
      <c r="C2780" s="3">
        <v>89</v>
      </c>
      <c r="D2780" s="3">
        <v>122</v>
      </c>
      <c r="E2780" s="3" t="s">
        <v>2898</v>
      </c>
      <c r="F2780" s="3">
        <v>122</v>
      </c>
    </row>
    <row r="2781" spans="1:6" x14ac:dyDescent="0.25">
      <c r="A2781" s="2">
        <v>89231</v>
      </c>
      <c r="B2781" s="3">
        <v>142</v>
      </c>
      <c r="C2781" s="3">
        <v>89</v>
      </c>
      <c r="D2781" s="3">
        <v>450</v>
      </c>
      <c r="E2781" s="3" t="s">
        <v>2899</v>
      </c>
      <c r="F2781" s="3">
        <v>450</v>
      </c>
    </row>
    <row r="2782" spans="1:6" x14ac:dyDescent="0.25">
      <c r="A2782" s="2">
        <v>89232</v>
      </c>
      <c r="B2782" s="3">
        <v>143</v>
      </c>
      <c r="C2782" s="3">
        <v>89</v>
      </c>
      <c r="D2782" s="3">
        <v>119</v>
      </c>
      <c r="E2782" s="3" t="s">
        <v>2900</v>
      </c>
      <c r="F2782" s="3">
        <v>119</v>
      </c>
    </row>
    <row r="2783" spans="1:6" x14ac:dyDescent="0.25">
      <c r="A2783" s="2">
        <v>89233</v>
      </c>
      <c r="B2783" s="3">
        <v>144</v>
      </c>
      <c r="C2783" s="3">
        <v>89</v>
      </c>
      <c r="D2783" s="3">
        <v>145</v>
      </c>
      <c r="E2783" s="3" t="s">
        <v>2901</v>
      </c>
      <c r="F2783" s="3">
        <v>145</v>
      </c>
    </row>
    <row r="2784" spans="1:6" x14ac:dyDescent="0.25">
      <c r="A2784" s="2">
        <v>89234</v>
      </c>
      <c r="B2784" s="3">
        <v>145</v>
      </c>
      <c r="C2784" s="3">
        <v>89</v>
      </c>
      <c r="D2784" s="3">
        <v>44</v>
      </c>
      <c r="E2784" s="3" t="s">
        <v>2902</v>
      </c>
      <c r="F2784" s="3">
        <v>44</v>
      </c>
    </row>
    <row r="2785" spans="1:6" x14ac:dyDescent="0.25">
      <c r="A2785" s="2">
        <v>89235</v>
      </c>
      <c r="B2785" s="3">
        <v>146</v>
      </c>
      <c r="C2785" s="3">
        <v>89</v>
      </c>
      <c r="D2785" s="3">
        <v>62</v>
      </c>
      <c r="E2785" s="3" t="s">
        <v>2903</v>
      </c>
      <c r="F2785" s="3">
        <v>62</v>
      </c>
    </row>
    <row r="2786" spans="1:6" x14ac:dyDescent="0.25">
      <c r="A2786" s="2">
        <v>89236</v>
      </c>
      <c r="B2786" s="3">
        <v>147</v>
      </c>
      <c r="C2786" s="3">
        <v>89</v>
      </c>
      <c r="D2786" s="3">
        <v>72</v>
      </c>
      <c r="E2786" s="3" t="s">
        <v>2904</v>
      </c>
      <c r="F2786" s="3">
        <v>72</v>
      </c>
    </row>
    <row r="2787" spans="1:6" x14ac:dyDescent="0.25">
      <c r="A2787" s="2">
        <v>90208</v>
      </c>
      <c r="B2787" s="3">
        <v>118</v>
      </c>
      <c r="C2787" s="3">
        <v>90</v>
      </c>
      <c r="D2787" s="3">
        <v>1.6999999999999999E-3</v>
      </c>
      <c r="E2787" s="3" t="s">
        <v>2905</v>
      </c>
      <c r="F2787" s="3">
        <v>1.6999999999999999E-3</v>
      </c>
    </row>
    <row r="2788" spans="1:6" x14ac:dyDescent="0.25">
      <c r="A2788" s="2">
        <v>90209</v>
      </c>
      <c r="B2788" s="3">
        <v>119</v>
      </c>
      <c r="C2788" s="3">
        <v>90</v>
      </c>
      <c r="D2788" s="3">
        <v>2.5000000000000001E-3</v>
      </c>
      <c r="E2788" s="3" t="s">
        <v>2906</v>
      </c>
      <c r="F2788" s="3">
        <v>2.5000000000000001E-3</v>
      </c>
    </row>
    <row r="2789" spans="1:6" x14ac:dyDescent="0.25">
      <c r="A2789" s="2">
        <v>90210</v>
      </c>
      <c r="B2789" s="3">
        <v>120</v>
      </c>
      <c r="C2789" s="3">
        <v>90</v>
      </c>
      <c r="D2789" s="3">
        <v>1.6E-2</v>
      </c>
      <c r="E2789" s="3" t="s">
        <v>2907</v>
      </c>
      <c r="F2789" s="3">
        <v>1.6E-2</v>
      </c>
    </row>
    <row r="2790" spans="1:6" x14ac:dyDescent="0.25">
      <c r="A2790" s="2">
        <v>90211</v>
      </c>
      <c r="B2790" s="3">
        <v>121</v>
      </c>
      <c r="C2790" s="3">
        <v>90</v>
      </c>
      <c r="D2790" s="3">
        <v>3.6999999999999998E-2</v>
      </c>
      <c r="E2790" s="3" t="s">
        <v>2908</v>
      </c>
      <c r="F2790" s="3">
        <v>3.6999999999999998E-2</v>
      </c>
    </row>
    <row r="2791" spans="1:6" x14ac:dyDescent="0.25">
      <c r="A2791" s="2">
        <v>90212</v>
      </c>
      <c r="B2791" s="3">
        <v>122</v>
      </c>
      <c r="C2791" s="3">
        <v>90</v>
      </c>
      <c r="D2791" s="3">
        <v>3.1699999999999999E-2</v>
      </c>
      <c r="E2791" s="3" t="s">
        <v>2909</v>
      </c>
      <c r="F2791" s="3">
        <v>3.1699999999999999E-2</v>
      </c>
    </row>
    <row r="2792" spans="1:6" x14ac:dyDescent="0.25">
      <c r="A2792" s="2">
        <v>90213</v>
      </c>
      <c r="B2792" s="3">
        <v>123</v>
      </c>
      <c r="C2792" s="3">
        <v>90</v>
      </c>
      <c r="D2792" s="3">
        <v>0.14399999999999999</v>
      </c>
      <c r="E2792" s="3" t="s">
        <v>2910</v>
      </c>
      <c r="F2792" s="3">
        <v>0.14399999999999999</v>
      </c>
    </row>
    <row r="2793" spans="1:6" x14ac:dyDescent="0.25">
      <c r="A2793" s="2">
        <v>90214</v>
      </c>
      <c r="B2793" s="3">
        <v>124</v>
      </c>
      <c r="C2793" s="3">
        <v>90</v>
      </c>
      <c r="D2793" s="3">
        <v>8.6999999999999994E-2</v>
      </c>
      <c r="E2793" s="3" t="s">
        <v>2911</v>
      </c>
      <c r="F2793" s="3">
        <v>8.6999999999999994E-2</v>
      </c>
    </row>
    <row r="2794" spans="1:6" x14ac:dyDescent="0.25">
      <c r="A2794" s="2">
        <v>90215</v>
      </c>
      <c r="B2794" s="3">
        <v>125</v>
      </c>
      <c r="C2794" s="3">
        <v>90</v>
      </c>
      <c r="D2794" s="3">
        <v>1.2</v>
      </c>
      <c r="E2794" s="3" t="s">
        <v>2912</v>
      </c>
      <c r="F2794" s="3">
        <v>1.2</v>
      </c>
    </row>
    <row r="2795" spans="1:6" x14ac:dyDescent="0.25">
      <c r="A2795" s="2">
        <v>90216</v>
      </c>
      <c r="B2795" s="3">
        <v>126</v>
      </c>
      <c r="C2795" s="3">
        <v>90</v>
      </c>
      <c r="D2795" s="3">
        <v>2.5999999999999999E-2</v>
      </c>
      <c r="E2795" s="3" t="s">
        <v>2913</v>
      </c>
      <c r="F2795" s="3">
        <v>2.5999999999999999E-2</v>
      </c>
    </row>
    <row r="2796" spans="1:6" x14ac:dyDescent="0.25">
      <c r="A2796" s="2">
        <v>90217</v>
      </c>
      <c r="B2796" s="3">
        <v>127</v>
      </c>
      <c r="C2796" s="3">
        <v>90</v>
      </c>
      <c r="D2796" s="3">
        <v>2.41E-4</v>
      </c>
      <c r="E2796" s="3" t="s">
        <v>2914</v>
      </c>
      <c r="F2796" s="3">
        <v>2.41E-4</v>
      </c>
    </row>
    <row r="2797" spans="1:6" x14ac:dyDescent="0.25">
      <c r="A2797" s="2">
        <v>90218</v>
      </c>
      <c r="B2797" s="3">
        <v>128</v>
      </c>
      <c r="C2797" s="3">
        <v>90</v>
      </c>
      <c r="D2797" s="3">
        <v>1.17E-7</v>
      </c>
      <c r="E2797" s="3" t="s">
        <v>2915</v>
      </c>
      <c r="F2797" s="3">
        <v>1.17E-7</v>
      </c>
    </row>
    <row r="2798" spans="1:6" x14ac:dyDescent="0.25">
      <c r="A2798" s="2">
        <v>90219</v>
      </c>
      <c r="B2798" s="3">
        <v>129</v>
      </c>
      <c r="C2798" s="3">
        <v>90</v>
      </c>
      <c r="D2798" s="3">
        <v>1.0499999999999999E-6</v>
      </c>
      <c r="E2798" s="3" t="s">
        <v>2916</v>
      </c>
      <c r="F2798" s="3">
        <v>1.0499999999999999E-6</v>
      </c>
    </row>
    <row r="2799" spans="1:6" x14ac:dyDescent="0.25">
      <c r="A2799" s="2">
        <v>90220</v>
      </c>
      <c r="B2799" s="3">
        <v>130</v>
      </c>
      <c r="C2799" s="3">
        <v>90</v>
      </c>
      <c r="D2799" s="3">
        <v>9.6999999999999901E-6</v>
      </c>
      <c r="E2799" s="3" t="s">
        <v>2917</v>
      </c>
      <c r="F2799" s="3">
        <v>9.6999999999999901E-6</v>
      </c>
    </row>
    <row r="2800" spans="1:6" x14ac:dyDescent="0.25">
      <c r="A2800" s="2">
        <v>90221</v>
      </c>
      <c r="B2800" s="3">
        <v>131</v>
      </c>
      <c r="C2800" s="3">
        <v>90</v>
      </c>
      <c r="D2800" s="3">
        <v>1.6800000000000001E-3</v>
      </c>
      <c r="E2800" s="3" t="s">
        <v>2918</v>
      </c>
      <c r="F2800" s="3">
        <v>1.6800000000000001E-3</v>
      </c>
    </row>
    <row r="2801" spans="1:6" x14ac:dyDescent="0.25">
      <c r="A2801" s="2">
        <v>90222</v>
      </c>
      <c r="B2801" s="3">
        <v>132</v>
      </c>
      <c r="C2801" s="3">
        <v>90</v>
      </c>
      <c r="D2801" s="3">
        <v>2.8E-3</v>
      </c>
      <c r="E2801" s="3" t="s">
        <v>2919</v>
      </c>
      <c r="F2801" s="3">
        <v>2.8E-3</v>
      </c>
    </row>
    <row r="2802" spans="1:6" x14ac:dyDescent="0.25">
      <c r="A2802" s="2">
        <v>90223</v>
      </c>
      <c r="B2802" s="3">
        <v>133</v>
      </c>
      <c r="C2802" s="3">
        <v>90</v>
      </c>
      <c r="D2802" s="3">
        <v>0.6</v>
      </c>
      <c r="E2802" s="3" t="s">
        <v>2920</v>
      </c>
      <c r="F2802" s="3">
        <v>0.6</v>
      </c>
    </row>
    <row r="2803" spans="1:6" x14ac:dyDescent="0.25">
      <c r="A2803" s="2">
        <v>90224</v>
      </c>
      <c r="B2803" s="3">
        <v>134</v>
      </c>
      <c r="C2803" s="3">
        <v>90</v>
      </c>
      <c r="D2803" s="3">
        <v>1.04</v>
      </c>
      <c r="E2803" s="3" t="s">
        <v>2921</v>
      </c>
      <c r="F2803" s="3">
        <v>1.04</v>
      </c>
    </row>
    <row r="2804" spans="1:6" x14ac:dyDescent="0.25">
      <c r="A2804" s="2">
        <v>90225</v>
      </c>
      <c r="B2804" s="3">
        <v>135</v>
      </c>
      <c r="C2804" s="3">
        <v>90</v>
      </c>
      <c r="D2804" s="3">
        <v>525</v>
      </c>
      <c r="E2804" s="3" t="s">
        <v>2922</v>
      </c>
      <c r="F2804" s="3">
        <v>525</v>
      </c>
    </row>
    <row r="2805" spans="1:6" x14ac:dyDescent="0.25">
      <c r="A2805" s="2">
        <v>90226</v>
      </c>
      <c r="B2805" s="3">
        <v>136</v>
      </c>
      <c r="C2805" s="3">
        <v>90</v>
      </c>
      <c r="D2805" s="3">
        <v>1834.2</v>
      </c>
      <c r="E2805" s="3" t="s">
        <v>2923</v>
      </c>
      <c r="F2805" s="3">
        <v>1834.2</v>
      </c>
    </row>
    <row r="2806" spans="1:6" x14ac:dyDescent="0.25">
      <c r="A2806" s="2">
        <v>90227</v>
      </c>
      <c r="B2806" s="3">
        <v>137</v>
      </c>
      <c r="C2806" s="3">
        <v>90</v>
      </c>
      <c r="D2806" s="3">
        <v>1615420.79999999</v>
      </c>
      <c r="E2806" s="3" t="s">
        <v>2924</v>
      </c>
      <c r="F2806" s="3">
        <v>1615420.79999999</v>
      </c>
    </row>
    <row r="2807" spans="1:6" x14ac:dyDescent="0.25">
      <c r="A2807" s="2">
        <v>90228</v>
      </c>
      <c r="B2807" s="3">
        <v>138</v>
      </c>
      <c r="C2807" s="3">
        <v>90</v>
      </c>
      <c r="D2807" s="3">
        <v>60353910</v>
      </c>
      <c r="E2807" s="3" t="s">
        <v>2925</v>
      </c>
      <c r="F2807" s="3">
        <v>60353910</v>
      </c>
    </row>
    <row r="2808" spans="1:6" x14ac:dyDescent="0.25">
      <c r="A2808" s="2">
        <v>90229</v>
      </c>
      <c r="B2808" s="3">
        <v>139</v>
      </c>
      <c r="C2808" s="3">
        <v>90</v>
      </c>
      <c r="D2808" s="3">
        <v>250314883200</v>
      </c>
      <c r="E2808" s="3" t="s">
        <v>2926</v>
      </c>
      <c r="F2808" s="3">
        <v>250314883200</v>
      </c>
    </row>
    <row r="2809" spans="1:6" x14ac:dyDescent="0.25">
      <c r="A2809" s="2">
        <v>90230</v>
      </c>
      <c r="B2809" s="3">
        <v>140</v>
      </c>
      <c r="C2809" s="3">
        <v>90</v>
      </c>
      <c r="D2809" s="3">
        <v>2379443040000</v>
      </c>
      <c r="E2809" s="3" t="s">
        <v>2927</v>
      </c>
      <c r="F2809" s="3">
        <v>2379443040000</v>
      </c>
    </row>
    <row r="2810" spans="1:6" x14ac:dyDescent="0.25">
      <c r="A2810" s="2">
        <v>90231</v>
      </c>
      <c r="B2810" s="3">
        <v>141</v>
      </c>
      <c r="C2810" s="3">
        <v>90</v>
      </c>
      <c r="D2810" s="3">
        <v>91872</v>
      </c>
      <c r="E2810" s="3" t="s">
        <v>2928</v>
      </c>
      <c r="F2810" s="3">
        <v>91872</v>
      </c>
    </row>
    <row r="2811" spans="1:6" x14ac:dyDescent="0.25">
      <c r="A2811" s="2">
        <v>90232</v>
      </c>
      <c r="B2811" s="3">
        <v>142</v>
      </c>
      <c r="C2811" s="3">
        <v>90</v>
      </c>
      <c r="D2811" s="3">
        <v>4.418064E+17</v>
      </c>
      <c r="E2811" s="3" t="s">
        <v>2929</v>
      </c>
      <c r="F2811" s="3">
        <v>4.418064E+17</v>
      </c>
    </row>
    <row r="2812" spans="1:6" x14ac:dyDescent="0.25">
      <c r="A2812" s="2">
        <v>90233</v>
      </c>
      <c r="B2812" s="3">
        <v>143</v>
      </c>
      <c r="C2812" s="3">
        <v>90</v>
      </c>
      <c r="D2812" s="3">
        <v>1309.8</v>
      </c>
      <c r="E2812" s="3" t="s">
        <v>2930</v>
      </c>
      <c r="F2812" s="3">
        <v>1309.8</v>
      </c>
    </row>
    <row r="2813" spans="1:6" x14ac:dyDescent="0.25">
      <c r="A2813" s="2">
        <v>90234</v>
      </c>
      <c r="B2813" s="3">
        <v>144</v>
      </c>
      <c r="C2813" s="3">
        <v>90</v>
      </c>
      <c r="D2813" s="3">
        <v>2082240</v>
      </c>
      <c r="E2813" s="3" t="s">
        <v>2931</v>
      </c>
      <c r="F2813" s="3">
        <v>2082240</v>
      </c>
    </row>
    <row r="2814" spans="1:6" x14ac:dyDescent="0.25">
      <c r="A2814" s="2">
        <v>90235</v>
      </c>
      <c r="B2814" s="3">
        <v>145</v>
      </c>
      <c r="C2814" s="3">
        <v>90</v>
      </c>
      <c r="D2814" s="3">
        <v>426</v>
      </c>
      <c r="E2814" s="3" t="s">
        <v>2932</v>
      </c>
      <c r="F2814" s="3">
        <v>426</v>
      </c>
    </row>
    <row r="2815" spans="1:6" x14ac:dyDescent="0.25">
      <c r="A2815" s="2">
        <v>90236</v>
      </c>
      <c r="B2815" s="3">
        <v>146</v>
      </c>
      <c r="C2815" s="3">
        <v>90</v>
      </c>
      <c r="D2815" s="3">
        <v>2238</v>
      </c>
      <c r="E2815" s="3" t="s">
        <v>2933</v>
      </c>
      <c r="F2815" s="3">
        <v>2238</v>
      </c>
    </row>
    <row r="2816" spans="1:6" x14ac:dyDescent="0.25">
      <c r="A2816" s="2">
        <v>90237</v>
      </c>
      <c r="B2816" s="3">
        <v>147</v>
      </c>
      <c r="C2816" s="3">
        <v>90</v>
      </c>
      <c r="D2816" s="3">
        <v>282</v>
      </c>
      <c r="E2816" s="3" t="s">
        <v>2934</v>
      </c>
      <c r="F2816" s="3">
        <v>282</v>
      </c>
    </row>
    <row r="2817" spans="1:6" x14ac:dyDescent="0.25">
      <c r="A2817" s="2">
        <v>90238</v>
      </c>
      <c r="B2817" s="3">
        <v>148</v>
      </c>
      <c r="C2817" s="3">
        <v>90</v>
      </c>
      <c r="D2817" s="3">
        <v>564</v>
      </c>
      <c r="E2817" s="3" t="s">
        <v>2935</v>
      </c>
      <c r="F2817" s="3">
        <v>564</v>
      </c>
    </row>
    <row r="2818" spans="1:6" x14ac:dyDescent="0.25">
      <c r="A2818" s="2">
        <v>91211</v>
      </c>
      <c r="B2818" s="3">
        <v>120</v>
      </c>
      <c r="C2818" s="3">
        <v>91</v>
      </c>
      <c r="D2818" s="3">
        <v>2.9999999999999999E-7</v>
      </c>
      <c r="E2818" s="3" t="s">
        <v>2936</v>
      </c>
      <c r="F2818" s="3">
        <v>2.9999999999999999E-7</v>
      </c>
    </row>
    <row r="2819" spans="1:6" x14ac:dyDescent="0.25">
      <c r="A2819" s="2">
        <v>91212</v>
      </c>
      <c r="B2819" s="3">
        <v>121</v>
      </c>
      <c r="C2819" s="3">
        <v>91</v>
      </c>
      <c r="D2819" s="3">
        <v>5.09999999999999E-3</v>
      </c>
      <c r="E2819" s="3" t="s">
        <v>2937</v>
      </c>
      <c r="F2819" s="3">
        <v>5.09999999999999E-3</v>
      </c>
    </row>
    <row r="2820" spans="1:6" x14ac:dyDescent="0.25">
      <c r="A2820" s="2">
        <v>91213</v>
      </c>
      <c r="B2820" s="3">
        <v>122</v>
      </c>
      <c r="C2820" s="3">
        <v>91</v>
      </c>
      <c r="D2820" s="3">
        <v>5.3E-3</v>
      </c>
      <c r="E2820" s="3" t="s">
        <v>2938</v>
      </c>
      <c r="F2820" s="3">
        <v>5.3E-3</v>
      </c>
    </row>
    <row r="2821" spans="1:6" x14ac:dyDescent="0.25">
      <c r="A2821" s="2">
        <v>91214</v>
      </c>
      <c r="B2821" s="3">
        <v>123</v>
      </c>
      <c r="C2821" s="3">
        <v>91</v>
      </c>
      <c r="D2821" s="3">
        <v>1.7000000000000001E-2</v>
      </c>
      <c r="E2821" s="3" t="s">
        <v>2939</v>
      </c>
      <c r="F2821" s="3">
        <v>1.7000000000000001E-2</v>
      </c>
    </row>
    <row r="2822" spans="1:6" x14ac:dyDescent="0.25">
      <c r="A2822" s="2">
        <v>91215</v>
      </c>
      <c r="B2822" s="3">
        <v>124</v>
      </c>
      <c r="C2822" s="3">
        <v>91</v>
      </c>
      <c r="D2822" s="3">
        <v>1.4E-2</v>
      </c>
      <c r="E2822" s="3" t="s">
        <v>2940</v>
      </c>
      <c r="F2822" s="3">
        <v>1.4E-2</v>
      </c>
    </row>
    <row r="2823" spans="1:6" x14ac:dyDescent="0.25">
      <c r="A2823" s="2">
        <v>91216</v>
      </c>
      <c r="B2823" s="3">
        <v>125</v>
      </c>
      <c r="C2823" s="3">
        <v>91</v>
      </c>
      <c r="D2823" s="3">
        <v>0.15</v>
      </c>
      <c r="E2823" s="3" t="s">
        <v>2941</v>
      </c>
      <c r="F2823" s="3">
        <v>0.15</v>
      </c>
    </row>
    <row r="2824" spans="1:6" x14ac:dyDescent="0.25">
      <c r="A2824" s="2">
        <v>91217</v>
      </c>
      <c r="B2824" s="3">
        <v>126</v>
      </c>
      <c r="C2824" s="3">
        <v>91</v>
      </c>
      <c r="D2824" s="3">
        <v>3.5999999999999999E-3</v>
      </c>
      <c r="E2824" s="3" t="s">
        <v>2942</v>
      </c>
      <c r="F2824" s="3">
        <v>3.5999999999999999E-3</v>
      </c>
    </row>
    <row r="2825" spans="1:6" x14ac:dyDescent="0.25">
      <c r="A2825" s="2">
        <v>91218</v>
      </c>
      <c r="B2825" s="3">
        <v>127</v>
      </c>
      <c r="C2825" s="3">
        <v>91</v>
      </c>
      <c r="D2825" s="3">
        <v>1.13E-4</v>
      </c>
      <c r="E2825" s="3" t="s">
        <v>2943</v>
      </c>
      <c r="F2825" s="3">
        <v>1.13E-4</v>
      </c>
    </row>
    <row r="2826" spans="1:6" x14ac:dyDescent="0.25">
      <c r="A2826" s="2">
        <v>91219</v>
      </c>
      <c r="B2826" s="3">
        <v>128</v>
      </c>
      <c r="C2826" s="3">
        <v>91</v>
      </c>
      <c r="D2826" s="3">
        <v>5.2999999999999998E-8</v>
      </c>
      <c r="E2826" s="3" t="s">
        <v>2944</v>
      </c>
      <c r="F2826" s="3">
        <v>5.2999999999999998E-8</v>
      </c>
    </row>
    <row r="2827" spans="1:6" x14ac:dyDescent="0.25">
      <c r="A2827" s="2">
        <v>91220</v>
      </c>
      <c r="B2827" s="3">
        <v>129</v>
      </c>
      <c r="C2827" s="3">
        <v>91</v>
      </c>
      <c r="D2827" s="3">
        <v>7.7999999999999899E-7</v>
      </c>
      <c r="E2827" s="3" t="s">
        <v>2945</v>
      </c>
      <c r="F2827" s="3">
        <v>7.7999999999999899E-7</v>
      </c>
    </row>
    <row r="2828" spans="1:6" x14ac:dyDescent="0.25">
      <c r="A2828" s="2">
        <v>91221</v>
      </c>
      <c r="B2828" s="3">
        <v>130</v>
      </c>
      <c r="C2828" s="3">
        <v>91</v>
      </c>
      <c r="D2828" s="3">
        <v>5.9000000000000003E-6</v>
      </c>
      <c r="E2828" s="3" t="s">
        <v>2946</v>
      </c>
      <c r="F2828" s="3">
        <v>5.9000000000000003E-6</v>
      </c>
    </row>
    <row r="2829" spans="1:6" x14ac:dyDescent="0.25">
      <c r="A2829" s="2">
        <v>91222</v>
      </c>
      <c r="B2829" s="3">
        <v>131</v>
      </c>
      <c r="C2829" s="3">
        <v>91</v>
      </c>
      <c r="D2829" s="3">
        <v>2.8999999999999998E-3</v>
      </c>
      <c r="E2829" s="3" t="s">
        <v>2947</v>
      </c>
      <c r="F2829" s="3">
        <v>2.8999999999999998E-3</v>
      </c>
    </row>
    <row r="2830" spans="1:6" x14ac:dyDescent="0.25">
      <c r="A2830" s="2">
        <v>91223</v>
      </c>
      <c r="B2830" s="3">
        <v>132</v>
      </c>
      <c r="C2830" s="3">
        <v>91</v>
      </c>
      <c r="D2830" s="3">
        <v>5.09999999999999E-3</v>
      </c>
      <c r="E2830" s="3" t="s">
        <v>2948</v>
      </c>
      <c r="F2830" s="3">
        <v>5.09999999999999E-3</v>
      </c>
    </row>
    <row r="2831" spans="1:6" x14ac:dyDescent="0.25">
      <c r="A2831" s="2">
        <v>91224</v>
      </c>
      <c r="B2831" s="3">
        <v>133</v>
      </c>
      <c r="C2831" s="3">
        <v>91</v>
      </c>
      <c r="D2831" s="3">
        <v>0.84599999999999997</v>
      </c>
      <c r="E2831" s="3" t="s">
        <v>2949</v>
      </c>
      <c r="F2831" s="3">
        <v>0.84599999999999997</v>
      </c>
    </row>
    <row r="2832" spans="1:6" x14ac:dyDescent="0.25">
      <c r="A2832" s="2">
        <v>91225</v>
      </c>
      <c r="B2832" s="3">
        <v>134</v>
      </c>
      <c r="C2832" s="3">
        <v>91</v>
      </c>
      <c r="D2832" s="3">
        <v>1.7</v>
      </c>
      <c r="E2832" s="3" t="s">
        <v>2950</v>
      </c>
      <c r="F2832" s="3">
        <v>1.7</v>
      </c>
    </row>
    <row r="2833" spans="1:6" x14ac:dyDescent="0.25">
      <c r="A2833" s="2">
        <v>91226</v>
      </c>
      <c r="B2833" s="3">
        <v>135</v>
      </c>
      <c r="C2833" s="3">
        <v>91</v>
      </c>
      <c r="D2833" s="3">
        <v>108</v>
      </c>
      <c r="E2833" s="3" t="s">
        <v>2951</v>
      </c>
      <c r="F2833" s="3">
        <v>108</v>
      </c>
    </row>
    <row r="2834" spans="1:6" x14ac:dyDescent="0.25">
      <c r="A2834" s="2">
        <v>91227</v>
      </c>
      <c r="B2834" s="3">
        <v>136</v>
      </c>
      <c r="C2834" s="3">
        <v>91</v>
      </c>
      <c r="D2834" s="3">
        <v>2298</v>
      </c>
      <c r="E2834" s="3" t="s">
        <v>2952</v>
      </c>
      <c r="F2834" s="3">
        <v>2298</v>
      </c>
    </row>
    <row r="2835" spans="1:6" x14ac:dyDescent="0.25">
      <c r="A2835" s="2">
        <v>91228</v>
      </c>
      <c r="B2835" s="3">
        <v>137</v>
      </c>
      <c r="C2835" s="3">
        <v>91</v>
      </c>
      <c r="D2835" s="3">
        <v>79200</v>
      </c>
      <c r="E2835" s="3" t="s">
        <v>2953</v>
      </c>
      <c r="F2835" s="3">
        <v>79200</v>
      </c>
    </row>
    <row r="2836" spans="1:6" x14ac:dyDescent="0.25">
      <c r="A2836" s="2">
        <v>91229</v>
      </c>
      <c r="B2836" s="3">
        <v>138</v>
      </c>
      <c r="C2836" s="3">
        <v>91</v>
      </c>
      <c r="D2836" s="3">
        <v>129600</v>
      </c>
      <c r="E2836" s="3" t="s">
        <v>2954</v>
      </c>
      <c r="F2836" s="3">
        <v>129600</v>
      </c>
    </row>
    <row r="2837" spans="1:6" x14ac:dyDescent="0.25">
      <c r="A2837" s="2">
        <v>91230</v>
      </c>
      <c r="B2837" s="3">
        <v>139</v>
      </c>
      <c r="C2837" s="3">
        <v>91</v>
      </c>
      <c r="D2837" s="3">
        <v>1503359.99999999</v>
      </c>
      <c r="E2837" s="3" t="s">
        <v>2955</v>
      </c>
      <c r="F2837" s="3">
        <v>1503359.99999999</v>
      </c>
    </row>
    <row r="2838" spans="1:6" x14ac:dyDescent="0.25">
      <c r="A2838" s="2">
        <v>91231</v>
      </c>
      <c r="B2838" s="3">
        <v>140</v>
      </c>
      <c r="C2838" s="3">
        <v>91</v>
      </c>
      <c r="D2838" s="3">
        <v>1033826976000</v>
      </c>
      <c r="E2838" s="3" t="s">
        <v>2956</v>
      </c>
      <c r="F2838" s="3">
        <v>1033826976000</v>
      </c>
    </row>
    <row r="2839" spans="1:6" x14ac:dyDescent="0.25">
      <c r="A2839" s="2">
        <v>91232</v>
      </c>
      <c r="B2839" s="3">
        <v>141</v>
      </c>
      <c r="C2839" s="3">
        <v>91</v>
      </c>
      <c r="D2839" s="3">
        <v>114048</v>
      </c>
      <c r="E2839" s="3" t="s">
        <v>2957</v>
      </c>
      <c r="F2839" s="3">
        <v>114048</v>
      </c>
    </row>
    <row r="2840" spans="1:6" x14ac:dyDescent="0.25">
      <c r="A2840" s="2">
        <v>91233</v>
      </c>
      <c r="B2840" s="3">
        <v>142</v>
      </c>
      <c r="C2840" s="3">
        <v>91</v>
      </c>
      <c r="D2840" s="3">
        <v>2330640</v>
      </c>
      <c r="E2840" s="3" t="s">
        <v>2958</v>
      </c>
      <c r="F2840" s="3">
        <v>2330640</v>
      </c>
    </row>
    <row r="2841" spans="1:6" x14ac:dyDescent="0.25">
      <c r="A2841" s="2">
        <v>91234</v>
      </c>
      <c r="B2841" s="3">
        <v>143</v>
      </c>
      <c r="C2841" s="3">
        <v>91</v>
      </c>
      <c r="D2841" s="3">
        <v>24120</v>
      </c>
      <c r="E2841" s="3" t="s">
        <v>2959</v>
      </c>
      <c r="F2841" s="3">
        <v>24120</v>
      </c>
    </row>
    <row r="2842" spans="1:6" x14ac:dyDescent="0.25">
      <c r="A2842" s="2">
        <v>91235</v>
      </c>
      <c r="B2842" s="3">
        <v>144</v>
      </c>
      <c r="C2842" s="3">
        <v>91</v>
      </c>
      <c r="D2842" s="3">
        <v>1464</v>
      </c>
      <c r="E2842" s="3" t="s">
        <v>2960</v>
      </c>
      <c r="F2842" s="3">
        <v>1464</v>
      </c>
    </row>
    <row r="2843" spans="1:6" x14ac:dyDescent="0.25">
      <c r="A2843" s="2">
        <v>91236</v>
      </c>
      <c r="B2843" s="3">
        <v>145</v>
      </c>
      <c r="C2843" s="3">
        <v>91</v>
      </c>
      <c r="D2843" s="3">
        <v>546</v>
      </c>
      <c r="E2843" s="3" t="s">
        <v>2961</v>
      </c>
      <c r="F2843" s="3">
        <v>546</v>
      </c>
    </row>
    <row r="2844" spans="1:6" x14ac:dyDescent="0.25">
      <c r="A2844" s="2">
        <v>91237</v>
      </c>
      <c r="B2844" s="3">
        <v>146</v>
      </c>
      <c r="C2844" s="3">
        <v>91</v>
      </c>
      <c r="D2844" s="3">
        <v>522</v>
      </c>
      <c r="E2844" s="3" t="s">
        <v>2962</v>
      </c>
      <c r="F2844" s="3">
        <v>522</v>
      </c>
    </row>
    <row r="2845" spans="1:6" x14ac:dyDescent="0.25">
      <c r="A2845" s="2">
        <v>91238</v>
      </c>
      <c r="B2845" s="3">
        <v>147</v>
      </c>
      <c r="C2845" s="3">
        <v>91</v>
      </c>
      <c r="D2845" s="3">
        <v>136.79999999999899</v>
      </c>
      <c r="E2845" s="3" t="s">
        <v>2963</v>
      </c>
      <c r="F2845" s="3">
        <v>136.79999999999899</v>
      </c>
    </row>
    <row r="2846" spans="1:6" x14ac:dyDescent="0.25">
      <c r="A2846" s="2">
        <v>91239</v>
      </c>
      <c r="B2846" s="3">
        <v>148</v>
      </c>
      <c r="C2846" s="3">
        <v>91</v>
      </c>
      <c r="D2846" s="3">
        <v>6480</v>
      </c>
      <c r="E2846" s="3" t="s">
        <v>2964</v>
      </c>
      <c r="F2846" s="3">
        <v>6480</v>
      </c>
    </row>
    <row r="2847" spans="1:6" x14ac:dyDescent="0.25">
      <c r="A2847" s="2">
        <v>92216</v>
      </c>
      <c r="B2847" s="3">
        <v>124</v>
      </c>
      <c r="C2847" s="3">
        <v>92</v>
      </c>
      <c r="D2847" s="3">
        <v>4.4999999999999997E-3</v>
      </c>
      <c r="E2847" s="3" t="s">
        <v>2965</v>
      </c>
      <c r="F2847" s="3">
        <v>4.4999999999999997E-3</v>
      </c>
    </row>
    <row r="2848" spans="1:6" x14ac:dyDescent="0.25">
      <c r="A2848" s="2">
        <v>92217</v>
      </c>
      <c r="B2848" s="3">
        <v>125</v>
      </c>
      <c r="C2848" s="3">
        <v>92</v>
      </c>
      <c r="D2848" s="3">
        <v>1.6E-2</v>
      </c>
      <c r="E2848" s="3" t="s">
        <v>2966</v>
      </c>
      <c r="F2848" s="3">
        <v>1.6E-2</v>
      </c>
    </row>
    <row r="2849" spans="1:6" x14ac:dyDescent="0.25">
      <c r="A2849" s="2">
        <v>92218</v>
      </c>
      <c r="B2849" s="3">
        <v>126</v>
      </c>
      <c r="C2849" s="3">
        <v>92</v>
      </c>
      <c r="D2849" s="3">
        <v>5.1000000000000004E-4</v>
      </c>
      <c r="E2849" s="3" t="s">
        <v>2967</v>
      </c>
      <c r="F2849" s="3">
        <v>5.1000000000000004E-4</v>
      </c>
    </row>
    <row r="2850" spans="1:6" x14ac:dyDescent="0.25">
      <c r="A2850" s="2">
        <v>92219</v>
      </c>
      <c r="B2850" s="3">
        <v>127</v>
      </c>
      <c r="C2850" s="3">
        <v>92</v>
      </c>
      <c r="D2850" s="3">
        <v>4.1999999999999998E-5</v>
      </c>
      <c r="E2850" s="3" t="s">
        <v>2968</v>
      </c>
      <c r="F2850" s="3">
        <v>4.1999999999999998E-5</v>
      </c>
    </row>
    <row r="2851" spans="1:6" x14ac:dyDescent="0.25">
      <c r="A2851" s="2">
        <v>92221</v>
      </c>
      <c r="B2851" s="3">
        <v>129</v>
      </c>
      <c r="C2851" s="3">
        <v>92</v>
      </c>
      <c r="D2851" s="3">
        <v>6.6000000000000003E-7</v>
      </c>
      <c r="E2851" s="3" t="s">
        <v>2969</v>
      </c>
      <c r="F2851" s="3">
        <v>6.6000000000000003E-7</v>
      </c>
    </row>
    <row r="2852" spans="1:6" x14ac:dyDescent="0.25">
      <c r="A2852" s="2">
        <v>92222</v>
      </c>
      <c r="B2852" s="3">
        <v>130</v>
      </c>
      <c r="C2852" s="3">
        <v>92</v>
      </c>
      <c r="D2852" s="3">
        <v>4.6999999999999999E-6</v>
      </c>
      <c r="E2852" s="3" t="s">
        <v>2970</v>
      </c>
      <c r="F2852" s="3">
        <v>4.6999999999999999E-6</v>
      </c>
    </row>
    <row r="2853" spans="1:6" x14ac:dyDescent="0.25">
      <c r="A2853" s="2">
        <v>92223</v>
      </c>
      <c r="B2853" s="3">
        <v>131</v>
      </c>
      <c r="C2853" s="3">
        <v>92</v>
      </c>
      <c r="D2853" s="3">
        <v>1.8E-5</v>
      </c>
      <c r="E2853" s="3" t="s">
        <v>2971</v>
      </c>
      <c r="F2853" s="3">
        <v>1.8E-5</v>
      </c>
    </row>
    <row r="2854" spans="1:6" x14ac:dyDescent="0.25">
      <c r="A2854" s="2">
        <v>92224</v>
      </c>
      <c r="B2854" s="3">
        <v>132</v>
      </c>
      <c r="C2854" s="3">
        <v>92</v>
      </c>
      <c r="D2854" s="3">
        <v>8.4000000000000003E-4</v>
      </c>
      <c r="E2854" s="3" t="s">
        <v>2972</v>
      </c>
      <c r="F2854" s="3">
        <v>8.4000000000000003E-4</v>
      </c>
    </row>
    <row r="2855" spans="1:6" x14ac:dyDescent="0.25">
      <c r="A2855" s="2">
        <v>92225</v>
      </c>
      <c r="B2855" s="3">
        <v>133</v>
      </c>
      <c r="C2855" s="3">
        <v>92</v>
      </c>
      <c r="D2855" s="3">
        <v>9.5000000000000001E-2</v>
      </c>
      <c r="E2855" s="3" t="s">
        <v>2973</v>
      </c>
      <c r="F2855" s="3">
        <v>9.5000000000000001E-2</v>
      </c>
    </row>
    <row r="2856" spans="1:6" x14ac:dyDescent="0.25">
      <c r="A2856" s="2">
        <v>92226</v>
      </c>
      <c r="B2856" s="3">
        <v>134</v>
      </c>
      <c r="C2856" s="3">
        <v>92</v>
      </c>
      <c r="D2856" s="3">
        <v>0.26800000000000002</v>
      </c>
      <c r="E2856" s="3" t="s">
        <v>2974</v>
      </c>
      <c r="F2856" s="3">
        <v>0.26800000000000002</v>
      </c>
    </row>
    <row r="2857" spans="1:6" x14ac:dyDescent="0.25">
      <c r="A2857" s="2">
        <v>92227</v>
      </c>
      <c r="B2857" s="3">
        <v>135</v>
      </c>
      <c r="C2857" s="3">
        <v>92</v>
      </c>
      <c r="D2857" s="3">
        <v>66</v>
      </c>
      <c r="E2857" s="3" t="s">
        <v>2975</v>
      </c>
      <c r="F2857" s="3">
        <v>66</v>
      </c>
    </row>
    <row r="2858" spans="1:6" x14ac:dyDescent="0.25">
      <c r="A2858" s="2">
        <v>92228</v>
      </c>
      <c r="B2858" s="3">
        <v>136</v>
      </c>
      <c r="C2858" s="3">
        <v>92</v>
      </c>
      <c r="D2858" s="3">
        <v>546</v>
      </c>
      <c r="E2858" s="3" t="s">
        <v>2976</v>
      </c>
      <c r="F2858" s="3">
        <v>546</v>
      </c>
    </row>
    <row r="2859" spans="1:6" x14ac:dyDescent="0.25">
      <c r="A2859" s="2">
        <v>92229</v>
      </c>
      <c r="B2859" s="3">
        <v>137</v>
      </c>
      <c r="C2859" s="3">
        <v>92</v>
      </c>
      <c r="D2859" s="3">
        <v>3480</v>
      </c>
      <c r="E2859" s="3" t="s">
        <v>2977</v>
      </c>
      <c r="F2859" s="3">
        <v>3480</v>
      </c>
    </row>
    <row r="2860" spans="1:6" x14ac:dyDescent="0.25">
      <c r="A2860" s="2">
        <v>92230</v>
      </c>
      <c r="B2860" s="3">
        <v>138</v>
      </c>
      <c r="C2860" s="3">
        <v>92</v>
      </c>
      <c r="D2860" s="3">
        <v>1797120</v>
      </c>
      <c r="E2860" s="3" t="s">
        <v>2978</v>
      </c>
      <c r="F2860" s="3">
        <v>1797120</v>
      </c>
    </row>
    <row r="2861" spans="1:6" x14ac:dyDescent="0.25">
      <c r="A2861" s="2">
        <v>92231</v>
      </c>
      <c r="B2861" s="3">
        <v>139</v>
      </c>
      <c r="C2861" s="3">
        <v>92</v>
      </c>
      <c r="D2861" s="3">
        <v>362880</v>
      </c>
      <c r="E2861" s="3" t="s">
        <v>2979</v>
      </c>
      <c r="F2861" s="3">
        <v>362880</v>
      </c>
    </row>
    <row r="2862" spans="1:6" x14ac:dyDescent="0.25">
      <c r="A2862" s="2">
        <v>92232</v>
      </c>
      <c r="B2862" s="3">
        <v>140</v>
      </c>
      <c r="C2862" s="3">
        <v>92</v>
      </c>
      <c r="D2862" s="3">
        <v>2174318640</v>
      </c>
      <c r="E2862" s="3" t="s">
        <v>2980</v>
      </c>
      <c r="F2862" s="3">
        <v>2174318640</v>
      </c>
    </row>
    <row r="2863" spans="1:6" x14ac:dyDescent="0.25">
      <c r="A2863" s="2">
        <v>92233</v>
      </c>
      <c r="B2863" s="3">
        <v>141</v>
      </c>
      <c r="C2863" s="3">
        <v>92</v>
      </c>
      <c r="D2863" s="3">
        <v>5023969920000</v>
      </c>
      <c r="E2863" s="3" t="s">
        <v>2981</v>
      </c>
      <c r="F2863" s="3">
        <v>5023969920000</v>
      </c>
    </row>
    <row r="2864" spans="1:6" x14ac:dyDescent="0.25">
      <c r="A2864" s="2">
        <v>92234</v>
      </c>
      <c r="B2864" s="3">
        <v>142</v>
      </c>
      <c r="C2864" s="3">
        <v>92</v>
      </c>
      <c r="D2864" s="3">
        <v>7747390800000</v>
      </c>
      <c r="E2864" s="3" t="s">
        <v>2982</v>
      </c>
      <c r="F2864" s="3">
        <v>7747390800000</v>
      </c>
    </row>
    <row r="2865" spans="1:6" x14ac:dyDescent="0.25">
      <c r="A2865" s="2">
        <v>92235</v>
      </c>
      <c r="B2865" s="3">
        <v>143</v>
      </c>
      <c r="C2865" s="3">
        <v>92</v>
      </c>
      <c r="D2865" s="3">
        <v>2.22165504E+16</v>
      </c>
      <c r="E2865" s="3" t="s">
        <v>2983</v>
      </c>
      <c r="F2865" s="3">
        <v>2.22165504E+16</v>
      </c>
    </row>
    <row r="2866" spans="1:6" x14ac:dyDescent="0.25">
      <c r="A2866" s="2">
        <v>92236</v>
      </c>
      <c r="B2866" s="3">
        <v>144</v>
      </c>
      <c r="C2866" s="3">
        <v>92</v>
      </c>
      <c r="D2866" s="3">
        <v>739078992000000</v>
      </c>
      <c r="E2866" s="3" t="s">
        <v>2984</v>
      </c>
      <c r="F2866" s="3">
        <v>739078992000000</v>
      </c>
    </row>
    <row r="2867" spans="1:6" x14ac:dyDescent="0.25">
      <c r="A2867" s="2">
        <v>92237</v>
      </c>
      <c r="B2867" s="3">
        <v>145</v>
      </c>
      <c r="C2867" s="3">
        <v>92</v>
      </c>
      <c r="D2867" s="3">
        <v>583200</v>
      </c>
      <c r="E2867" s="3" t="s">
        <v>2985</v>
      </c>
      <c r="F2867" s="3">
        <v>583200</v>
      </c>
    </row>
    <row r="2868" spans="1:6" x14ac:dyDescent="0.25">
      <c r="A2868" s="2">
        <v>92238</v>
      </c>
      <c r="B2868" s="3">
        <v>146</v>
      </c>
      <c r="C2868" s="3">
        <v>92</v>
      </c>
      <c r="D2868" s="3">
        <v>1.409993568E+17</v>
      </c>
      <c r="E2868" s="3" t="s">
        <v>2986</v>
      </c>
      <c r="F2868" s="3">
        <v>1.409993568E+17</v>
      </c>
    </row>
    <row r="2869" spans="1:6" x14ac:dyDescent="0.25">
      <c r="A2869" s="2">
        <v>92239</v>
      </c>
      <c r="B2869" s="3">
        <v>147</v>
      </c>
      <c r="C2869" s="3">
        <v>92</v>
      </c>
      <c r="D2869" s="3">
        <v>1407</v>
      </c>
      <c r="E2869" s="3" t="s">
        <v>2987</v>
      </c>
      <c r="F2869" s="3">
        <v>1407</v>
      </c>
    </row>
    <row r="2870" spans="1:6" x14ac:dyDescent="0.25">
      <c r="A2870" s="2">
        <v>92240</v>
      </c>
      <c r="B2870" s="3">
        <v>148</v>
      </c>
      <c r="C2870" s="3">
        <v>92</v>
      </c>
      <c r="D2870" s="3">
        <v>50760</v>
      </c>
      <c r="E2870" s="3" t="s">
        <v>2988</v>
      </c>
      <c r="F2870" s="3">
        <v>50760</v>
      </c>
    </row>
    <row r="2871" spans="1:6" x14ac:dyDescent="0.25">
      <c r="A2871" s="2">
        <v>92242</v>
      </c>
      <c r="B2871" s="3">
        <v>150</v>
      </c>
      <c r="C2871" s="3">
        <v>92</v>
      </c>
      <c r="D2871" s="3">
        <v>1008</v>
      </c>
      <c r="E2871" s="3" t="s">
        <v>2989</v>
      </c>
      <c r="F2871" s="3">
        <v>1008</v>
      </c>
    </row>
    <row r="2872" spans="1:6" x14ac:dyDescent="0.25">
      <c r="A2872" s="2">
        <v>93225</v>
      </c>
      <c r="B2872" s="3">
        <v>132</v>
      </c>
      <c r="C2872" s="3">
        <v>93</v>
      </c>
      <c r="D2872" s="3">
        <v>3.5999999999999999E-3</v>
      </c>
      <c r="E2872" s="3" t="s">
        <v>2990</v>
      </c>
      <c r="F2872" s="3">
        <v>3.5999999999999999E-3</v>
      </c>
    </row>
    <row r="2873" spans="1:6" x14ac:dyDescent="0.25">
      <c r="A2873" s="2">
        <v>93226</v>
      </c>
      <c r="B2873" s="3">
        <v>133</v>
      </c>
      <c r="C2873" s="3">
        <v>93</v>
      </c>
      <c r="D2873" s="3">
        <v>3.5000000000000003E-2</v>
      </c>
      <c r="E2873" s="3" t="s">
        <v>2991</v>
      </c>
      <c r="F2873" s="3">
        <v>3.5000000000000003E-2</v>
      </c>
    </row>
    <row r="2874" spans="1:6" x14ac:dyDescent="0.25">
      <c r="A2874" s="2">
        <v>93227</v>
      </c>
      <c r="B2874" s="3">
        <v>134</v>
      </c>
      <c r="C2874" s="3">
        <v>93</v>
      </c>
      <c r="D2874" s="3">
        <v>0.51</v>
      </c>
      <c r="E2874" s="3" t="s">
        <v>2992</v>
      </c>
      <c r="F2874" s="3">
        <v>0.51</v>
      </c>
    </row>
    <row r="2875" spans="1:6" x14ac:dyDescent="0.25">
      <c r="A2875" s="2">
        <v>93228</v>
      </c>
      <c r="B2875" s="3">
        <v>135</v>
      </c>
      <c r="C2875" s="3">
        <v>93</v>
      </c>
      <c r="D2875" s="3">
        <v>61.4</v>
      </c>
      <c r="E2875" s="3" t="s">
        <v>2993</v>
      </c>
      <c r="F2875" s="3">
        <v>61.4</v>
      </c>
    </row>
    <row r="2876" spans="1:6" x14ac:dyDescent="0.25">
      <c r="A2876" s="2">
        <v>93229</v>
      </c>
      <c r="B2876" s="3">
        <v>136</v>
      </c>
      <c r="C2876" s="3">
        <v>93</v>
      </c>
      <c r="D2876" s="3">
        <v>240</v>
      </c>
      <c r="E2876" s="3" t="s">
        <v>2994</v>
      </c>
      <c r="F2876" s="3">
        <v>240</v>
      </c>
    </row>
    <row r="2877" spans="1:6" x14ac:dyDescent="0.25">
      <c r="A2877" s="2">
        <v>93230</v>
      </c>
      <c r="B2877" s="3">
        <v>137</v>
      </c>
      <c r="C2877" s="3">
        <v>93</v>
      </c>
      <c r="D2877" s="3">
        <v>276</v>
      </c>
      <c r="E2877" s="3" t="s">
        <v>2995</v>
      </c>
      <c r="F2877" s="3">
        <v>276</v>
      </c>
    </row>
    <row r="2878" spans="1:6" x14ac:dyDescent="0.25">
      <c r="A2878" s="2">
        <v>93231</v>
      </c>
      <c r="B2878" s="3">
        <v>138</v>
      </c>
      <c r="C2878" s="3">
        <v>93</v>
      </c>
      <c r="D2878" s="3">
        <v>2928</v>
      </c>
      <c r="E2878" s="3" t="s">
        <v>2996</v>
      </c>
      <c r="F2878" s="3">
        <v>2928</v>
      </c>
    </row>
    <row r="2879" spans="1:6" x14ac:dyDescent="0.25">
      <c r="A2879" s="2">
        <v>93232</v>
      </c>
      <c r="B2879" s="3">
        <v>139</v>
      </c>
      <c r="C2879" s="3">
        <v>93</v>
      </c>
      <c r="D2879" s="3">
        <v>882</v>
      </c>
      <c r="E2879" s="3" t="s">
        <v>2997</v>
      </c>
      <c r="F2879" s="3">
        <v>882</v>
      </c>
    </row>
    <row r="2880" spans="1:6" x14ac:dyDescent="0.25">
      <c r="A2880" s="2">
        <v>93233</v>
      </c>
      <c r="B2880" s="3">
        <v>140</v>
      </c>
      <c r="C2880" s="3">
        <v>93</v>
      </c>
      <c r="D2880" s="3">
        <v>2172</v>
      </c>
      <c r="E2880" s="3" t="s">
        <v>2998</v>
      </c>
      <c r="F2880" s="3">
        <v>2172</v>
      </c>
    </row>
    <row r="2881" spans="1:6" x14ac:dyDescent="0.25">
      <c r="A2881" s="2">
        <v>93234</v>
      </c>
      <c r="B2881" s="3">
        <v>141</v>
      </c>
      <c r="C2881" s="3">
        <v>93</v>
      </c>
      <c r="D2881" s="3">
        <v>380160</v>
      </c>
      <c r="E2881" s="3" t="s">
        <v>2999</v>
      </c>
      <c r="F2881" s="3">
        <v>380160</v>
      </c>
    </row>
    <row r="2882" spans="1:6" x14ac:dyDescent="0.25">
      <c r="A2882" s="2">
        <v>93235</v>
      </c>
      <c r="B2882" s="3">
        <v>142</v>
      </c>
      <c r="C2882" s="3">
        <v>93</v>
      </c>
      <c r="D2882" s="3">
        <v>34223040</v>
      </c>
      <c r="E2882" s="3" t="s">
        <v>3000</v>
      </c>
      <c r="F2882" s="3">
        <v>34223040</v>
      </c>
    </row>
    <row r="2883" spans="1:6" x14ac:dyDescent="0.25">
      <c r="A2883" s="2">
        <v>93236</v>
      </c>
      <c r="B2883" s="3">
        <v>143</v>
      </c>
      <c r="C2883" s="3">
        <v>93</v>
      </c>
      <c r="D2883" s="3">
        <v>4828312800000</v>
      </c>
      <c r="E2883" s="3" t="s">
        <v>3001</v>
      </c>
      <c r="F2883" s="3">
        <v>4828312800000</v>
      </c>
    </row>
    <row r="2884" spans="1:6" x14ac:dyDescent="0.25">
      <c r="A2884" s="2">
        <v>93237</v>
      </c>
      <c r="B2884" s="3">
        <v>144</v>
      </c>
      <c r="C2884" s="3">
        <v>93</v>
      </c>
      <c r="D2884" s="3">
        <v>67659494400000</v>
      </c>
      <c r="E2884" s="3" t="s">
        <v>3002</v>
      </c>
      <c r="F2884" s="3">
        <v>67659494400000</v>
      </c>
    </row>
    <row r="2885" spans="1:6" x14ac:dyDescent="0.25">
      <c r="A2885" s="2">
        <v>93238</v>
      </c>
      <c r="B2885" s="3">
        <v>145</v>
      </c>
      <c r="C2885" s="3">
        <v>93</v>
      </c>
      <c r="D2885" s="3">
        <v>182908.79999999999</v>
      </c>
      <c r="E2885" s="3" t="s">
        <v>3003</v>
      </c>
      <c r="F2885" s="3">
        <v>182908.79999999999</v>
      </c>
    </row>
    <row r="2886" spans="1:6" x14ac:dyDescent="0.25">
      <c r="A2886" s="2">
        <v>93239</v>
      </c>
      <c r="B2886" s="3">
        <v>146</v>
      </c>
      <c r="C2886" s="3">
        <v>93</v>
      </c>
      <c r="D2886" s="3">
        <v>203558.39999999999</v>
      </c>
      <c r="E2886" s="3" t="s">
        <v>3004</v>
      </c>
      <c r="F2886" s="3">
        <v>203558.39999999999</v>
      </c>
    </row>
    <row r="2887" spans="1:6" x14ac:dyDescent="0.25">
      <c r="A2887" s="2">
        <v>93240</v>
      </c>
      <c r="B2887" s="3">
        <v>147</v>
      </c>
      <c r="C2887" s="3">
        <v>93</v>
      </c>
      <c r="D2887" s="3">
        <v>3714</v>
      </c>
      <c r="E2887" s="3" t="s">
        <v>3005</v>
      </c>
      <c r="F2887" s="3">
        <v>3714</v>
      </c>
    </row>
    <row r="2888" spans="1:6" x14ac:dyDescent="0.25">
      <c r="A2888" s="2">
        <v>93241</v>
      </c>
      <c r="B2888" s="3">
        <v>148</v>
      </c>
      <c r="C2888" s="3">
        <v>93</v>
      </c>
      <c r="D2888" s="3">
        <v>834</v>
      </c>
      <c r="E2888" s="3" t="s">
        <v>3006</v>
      </c>
      <c r="F2888" s="3">
        <v>834</v>
      </c>
    </row>
    <row r="2889" spans="1:6" x14ac:dyDescent="0.25">
      <c r="A2889" s="2">
        <v>93242</v>
      </c>
      <c r="B2889" s="3">
        <v>149</v>
      </c>
      <c r="C2889" s="3">
        <v>93</v>
      </c>
      <c r="D2889" s="3">
        <v>132</v>
      </c>
      <c r="E2889" s="3" t="s">
        <v>3007</v>
      </c>
      <c r="F2889" s="3">
        <v>132</v>
      </c>
    </row>
    <row r="2890" spans="1:6" x14ac:dyDescent="0.25">
      <c r="A2890" s="2">
        <v>93243</v>
      </c>
      <c r="B2890" s="3">
        <v>150</v>
      </c>
      <c r="C2890" s="3">
        <v>93</v>
      </c>
      <c r="D2890" s="3">
        <v>111</v>
      </c>
      <c r="E2890" s="3" t="s">
        <v>3008</v>
      </c>
      <c r="F2890" s="3">
        <v>111</v>
      </c>
    </row>
    <row r="2891" spans="1:6" x14ac:dyDescent="0.25">
      <c r="A2891" s="2">
        <v>93244</v>
      </c>
      <c r="B2891" s="3">
        <v>151</v>
      </c>
      <c r="C2891" s="3">
        <v>93</v>
      </c>
      <c r="D2891" s="3">
        <v>137.4</v>
      </c>
      <c r="E2891" s="3" t="s">
        <v>3009</v>
      </c>
      <c r="F2891" s="3">
        <v>137.4</v>
      </c>
    </row>
    <row r="2892" spans="1:6" x14ac:dyDescent="0.25">
      <c r="A2892" s="2">
        <v>94228</v>
      </c>
      <c r="B2892" s="3">
        <v>134</v>
      </c>
      <c r="C2892" s="3">
        <v>94</v>
      </c>
      <c r="D2892" s="3">
        <v>1.1000000000000001</v>
      </c>
      <c r="E2892" s="3" t="s">
        <v>3010</v>
      </c>
      <c r="F2892" s="3">
        <v>1.1000000000000001</v>
      </c>
    </row>
    <row r="2893" spans="1:6" x14ac:dyDescent="0.25">
      <c r="A2893" s="2">
        <v>94229</v>
      </c>
      <c r="B2893" s="3">
        <v>135</v>
      </c>
      <c r="C2893" s="3">
        <v>94</v>
      </c>
      <c r="D2893" s="3">
        <v>67</v>
      </c>
      <c r="E2893" s="3" t="s">
        <v>3011</v>
      </c>
      <c r="F2893" s="3">
        <v>67</v>
      </c>
    </row>
    <row r="2894" spans="1:6" x14ac:dyDescent="0.25">
      <c r="A2894" s="2">
        <v>94230</v>
      </c>
      <c r="B2894" s="3">
        <v>136</v>
      </c>
      <c r="C2894" s="3">
        <v>94</v>
      </c>
      <c r="D2894" s="3">
        <v>102</v>
      </c>
      <c r="E2894" s="3" t="s">
        <v>3012</v>
      </c>
      <c r="F2894" s="3">
        <v>102</v>
      </c>
    </row>
    <row r="2895" spans="1:6" x14ac:dyDescent="0.25">
      <c r="A2895" s="2">
        <v>94231</v>
      </c>
      <c r="B2895" s="3">
        <v>137</v>
      </c>
      <c r="C2895" s="3">
        <v>94</v>
      </c>
      <c r="D2895" s="3">
        <v>516</v>
      </c>
      <c r="E2895" s="3" t="s">
        <v>3013</v>
      </c>
      <c r="F2895" s="3">
        <v>516</v>
      </c>
    </row>
    <row r="2896" spans="1:6" x14ac:dyDescent="0.25">
      <c r="A2896" s="2">
        <v>94232</v>
      </c>
      <c r="B2896" s="3">
        <v>138</v>
      </c>
      <c r="C2896" s="3">
        <v>94</v>
      </c>
      <c r="D2896" s="3">
        <v>2027.99999999999</v>
      </c>
      <c r="E2896" s="3" t="s">
        <v>3014</v>
      </c>
      <c r="F2896" s="3">
        <v>2027.99999999999</v>
      </c>
    </row>
    <row r="2897" spans="1:6" x14ac:dyDescent="0.25">
      <c r="A2897" s="2">
        <v>94233</v>
      </c>
      <c r="B2897" s="3">
        <v>139</v>
      </c>
      <c r="C2897" s="3">
        <v>94</v>
      </c>
      <c r="D2897" s="3">
        <v>1254</v>
      </c>
      <c r="E2897" s="3" t="s">
        <v>3015</v>
      </c>
      <c r="F2897" s="3">
        <v>1254</v>
      </c>
    </row>
    <row r="2898" spans="1:6" x14ac:dyDescent="0.25">
      <c r="A2898" s="2">
        <v>94234</v>
      </c>
      <c r="B2898" s="3">
        <v>140</v>
      </c>
      <c r="C2898" s="3">
        <v>94</v>
      </c>
      <c r="D2898" s="3">
        <v>31680</v>
      </c>
      <c r="E2898" s="3" t="s">
        <v>3016</v>
      </c>
      <c r="F2898" s="3">
        <v>31680</v>
      </c>
    </row>
    <row r="2899" spans="1:6" x14ac:dyDescent="0.25">
      <c r="A2899" s="2">
        <v>94235</v>
      </c>
      <c r="B2899" s="3">
        <v>141</v>
      </c>
      <c r="C2899" s="3">
        <v>94</v>
      </c>
      <c r="D2899" s="3">
        <v>1518</v>
      </c>
      <c r="E2899" s="3" t="s">
        <v>3017</v>
      </c>
      <c r="F2899" s="3">
        <v>1518</v>
      </c>
    </row>
    <row r="2900" spans="1:6" x14ac:dyDescent="0.25">
      <c r="A2900" s="2">
        <v>94236</v>
      </c>
      <c r="B2900" s="3">
        <v>142</v>
      </c>
      <c r="C2900" s="3">
        <v>94</v>
      </c>
      <c r="D2900" s="3">
        <v>90191620.799999997</v>
      </c>
      <c r="E2900" s="3" t="s">
        <v>3018</v>
      </c>
      <c r="F2900" s="3">
        <v>90191620.799999997</v>
      </c>
    </row>
    <row r="2901" spans="1:6" x14ac:dyDescent="0.25">
      <c r="A2901" s="2">
        <v>94237</v>
      </c>
      <c r="B2901" s="3">
        <v>143</v>
      </c>
      <c r="C2901" s="3">
        <v>94</v>
      </c>
      <c r="D2901" s="3">
        <v>3943296</v>
      </c>
      <c r="E2901" s="3" t="s">
        <v>3019</v>
      </c>
      <c r="F2901" s="3">
        <v>3943296</v>
      </c>
    </row>
    <row r="2902" spans="1:6" x14ac:dyDescent="0.25">
      <c r="A2902" s="2">
        <v>94238</v>
      </c>
      <c r="B2902" s="3">
        <v>144</v>
      </c>
      <c r="C2902" s="3">
        <v>94</v>
      </c>
      <c r="D2902" s="3">
        <v>2767601520</v>
      </c>
      <c r="E2902" s="3" t="s">
        <v>3020</v>
      </c>
      <c r="F2902" s="3">
        <v>2767601520</v>
      </c>
    </row>
    <row r="2903" spans="1:6" x14ac:dyDescent="0.25">
      <c r="A2903" s="2">
        <v>94239</v>
      </c>
      <c r="B2903" s="3">
        <v>145</v>
      </c>
      <c r="C2903" s="3">
        <v>94</v>
      </c>
      <c r="D2903" s="3">
        <v>760853736000</v>
      </c>
      <c r="E2903" s="3" t="s">
        <v>3021</v>
      </c>
      <c r="F2903" s="3">
        <v>760853736000</v>
      </c>
    </row>
    <row r="2904" spans="1:6" x14ac:dyDescent="0.25">
      <c r="A2904" s="2">
        <v>94240</v>
      </c>
      <c r="B2904" s="3">
        <v>146</v>
      </c>
      <c r="C2904" s="3">
        <v>94</v>
      </c>
      <c r="D2904" s="3">
        <v>207049413600</v>
      </c>
      <c r="E2904" s="3" t="s">
        <v>3022</v>
      </c>
      <c r="F2904" s="3">
        <v>207049413600</v>
      </c>
    </row>
    <row r="2905" spans="1:6" x14ac:dyDescent="0.25">
      <c r="A2905" s="2">
        <v>94241</v>
      </c>
      <c r="B2905" s="3">
        <v>147</v>
      </c>
      <c r="C2905" s="3">
        <v>94</v>
      </c>
      <c r="D2905" s="3">
        <v>452188850.39999998</v>
      </c>
      <c r="E2905" s="3" t="s">
        <v>3023</v>
      </c>
      <c r="F2905" s="3">
        <v>452188850.39999998</v>
      </c>
    </row>
    <row r="2906" spans="1:6" x14ac:dyDescent="0.25">
      <c r="A2906" s="2">
        <v>94242</v>
      </c>
      <c r="B2906" s="3">
        <v>148</v>
      </c>
      <c r="C2906" s="3">
        <v>94</v>
      </c>
      <c r="D2906" s="3">
        <v>11834100000000</v>
      </c>
      <c r="E2906" s="3" t="s">
        <v>3024</v>
      </c>
      <c r="F2906" s="3">
        <v>11834100000000</v>
      </c>
    </row>
    <row r="2907" spans="1:6" x14ac:dyDescent="0.25">
      <c r="A2907" s="2">
        <v>94243</v>
      </c>
      <c r="B2907" s="3">
        <v>149</v>
      </c>
      <c r="C2907" s="3">
        <v>94</v>
      </c>
      <c r="D2907" s="3">
        <v>17841.599999999999</v>
      </c>
      <c r="E2907" s="3" t="s">
        <v>3025</v>
      </c>
      <c r="F2907" s="3">
        <v>17841.599999999999</v>
      </c>
    </row>
    <row r="2908" spans="1:6" x14ac:dyDescent="0.25">
      <c r="A2908" s="2">
        <v>94244</v>
      </c>
      <c r="B2908" s="3">
        <v>150</v>
      </c>
      <c r="C2908" s="3">
        <v>94</v>
      </c>
      <c r="D2908" s="3">
        <v>2524608000000000</v>
      </c>
      <c r="E2908" s="3" t="s">
        <v>3026</v>
      </c>
      <c r="F2908" s="3">
        <v>2524608000000000</v>
      </c>
    </row>
    <row r="2909" spans="1:6" x14ac:dyDescent="0.25">
      <c r="A2909" s="2">
        <v>94245</v>
      </c>
      <c r="B2909" s="3">
        <v>151</v>
      </c>
      <c r="C2909" s="3">
        <v>94</v>
      </c>
      <c r="D2909" s="3">
        <v>37800</v>
      </c>
      <c r="E2909" s="3" t="s">
        <v>3027</v>
      </c>
      <c r="F2909" s="3">
        <v>37800</v>
      </c>
    </row>
    <row r="2910" spans="1:6" x14ac:dyDescent="0.25">
      <c r="A2910" s="2">
        <v>94246</v>
      </c>
      <c r="B2910" s="3">
        <v>152</v>
      </c>
      <c r="C2910" s="3">
        <v>94</v>
      </c>
      <c r="D2910" s="3">
        <v>936576</v>
      </c>
      <c r="E2910" s="3" t="s">
        <v>3028</v>
      </c>
      <c r="F2910" s="3">
        <v>936576</v>
      </c>
    </row>
    <row r="2911" spans="1:6" x14ac:dyDescent="0.25">
      <c r="A2911" s="2">
        <v>94247</v>
      </c>
      <c r="B2911" s="3">
        <v>153</v>
      </c>
      <c r="C2911" s="3">
        <v>94</v>
      </c>
      <c r="D2911" s="3">
        <v>196128</v>
      </c>
      <c r="E2911" s="3" t="s">
        <v>3029</v>
      </c>
      <c r="F2911" s="3">
        <v>196128</v>
      </c>
    </row>
    <row r="2912" spans="1:6" x14ac:dyDescent="0.25">
      <c r="A2912" s="2">
        <v>95230</v>
      </c>
      <c r="B2912" s="3">
        <v>135</v>
      </c>
      <c r="C2912" s="3">
        <v>95</v>
      </c>
      <c r="D2912" s="3">
        <v>17</v>
      </c>
      <c r="E2912" s="3" t="s">
        <v>3030</v>
      </c>
      <c r="F2912" s="3">
        <v>17</v>
      </c>
    </row>
    <row r="2913" spans="1:6" x14ac:dyDescent="0.25">
      <c r="A2913" s="2">
        <v>95232</v>
      </c>
      <c r="B2913" s="3">
        <v>137</v>
      </c>
      <c r="C2913" s="3">
        <v>95</v>
      </c>
      <c r="D2913" s="3">
        <v>79</v>
      </c>
      <c r="E2913" s="3" t="s">
        <v>3031</v>
      </c>
      <c r="F2913" s="3">
        <v>79</v>
      </c>
    </row>
    <row r="2914" spans="1:6" x14ac:dyDescent="0.25">
      <c r="A2914" s="2">
        <v>95233</v>
      </c>
      <c r="B2914" s="3">
        <v>138</v>
      </c>
      <c r="C2914" s="3">
        <v>95</v>
      </c>
      <c r="D2914" s="3">
        <v>192</v>
      </c>
      <c r="E2914" s="3" t="s">
        <v>3032</v>
      </c>
      <c r="F2914" s="3">
        <v>192</v>
      </c>
    </row>
    <row r="2915" spans="1:6" x14ac:dyDescent="0.25">
      <c r="A2915" s="2">
        <v>95234</v>
      </c>
      <c r="B2915" s="3">
        <v>139</v>
      </c>
      <c r="C2915" s="3">
        <v>95</v>
      </c>
      <c r="D2915" s="3">
        <v>139.19999999999999</v>
      </c>
      <c r="E2915" s="3" t="s">
        <v>3033</v>
      </c>
      <c r="F2915" s="3">
        <v>139.19999999999999</v>
      </c>
    </row>
    <row r="2916" spans="1:6" x14ac:dyDescent="0.25">
      <c r="A2916" s="2">
        <v>95235</v>
      </c>
      <c r="B2916" s="3">
        <v>140</v>
      </c>
      <c r="C2916" s="3">
        <v>95</v>
      </c>
      <c r="D2916" s="3">
        <v>618</v>
      </c>
      <c r="E2916" s="3" t="s">
        <v>3034</v>
      </c>
      <c r="F2916" s="3">
        <v>618</v>
      </c>
    </row>
    <row r="2917" spans="1:6" x14ac:dyDescent="0.25">
      <c r="A2917" s="2">
        <v>95236</v>
      </c>
      <c r="B2917" s="3">
        <v>141</v>
      </c>
      <c r="C2917" s="3">
        <v>95</v>
      </c>
      <c r="D2917" s="3">
        <v>216</v>
      </c>
      <c r="E2917" s="3" t="s">
        <v>3035</v>
      </c>
      <c r="F2917" s="3">
        <v>216</v>
      </c>
    </row>
    <row r="2918" spans="1:6" x14ac:dyDescent="0.25">
      <c r="A2918" s="2">
        <v>95237</v>
      </c>
      <c r="B2918" s="3">
        <v>142</v>
      </c>
      <c r="C2918" s="3">
        <v>95</v>
      </c>
      <c r="D2918" s="3">
        <v>4416</v>
      </c>
      <c r="E2918" s="3" t="s">
        <v>3036</v>
      </c>
      <c r="F2918" s="3">
        <v>4416</v>
      </c>
    </row>
    <row r="2919" spans="1:6" x14ac:dyDescent="0.25">
      <c r="A2919" s="2">
        <v>95238</v>
      </c>
      <c r="B2919" s="3">
        <v>143</v>
      </c>
      <c r="C2919" s="3">
        <v>95</v>
      </c>
      <c r="D2919" s="3">
        <v>5880</v>
      </c>
      <c r="E2919" s="3" t="s">
        <v>3037</v>
      </c>
      <c r="F2919" s="3">
        <v>5880</v>
      </c>
    </row>
    <row r="2920" spans="1:6" x14ac:dyDescent="0.25">
      <c r="A2920" s="2">
        <v>95239</v>
      </c>
      <c r="B2920" s="3">
        <v>144</v>
      </c>
      <c r="C2920" s="3">
        <v>95</v>
      </c>
      <c r="D2920" s="3">
        <v>42840</v>
      </c>
      <c r="E2920" s="3" t="s">
        <v>3038</v>
      </c>
      <c r="F2920" s="3">
        <v>42840</v>
      </c>
    </row>
    <row r="2921" spans="1:6" x14ac:dyDescent="0.25">
      <c r="A2921" s="2">
        <v>95240</v>
      </c>
      <c r="B2921" s="3">
        <v>145</v>
      </c>
      <c r="C2921" s="3">
        <v>95</v>
      </c>
      <c r="D2921" s="3">
        <v>182880</v>
      </c>
      <c r="E2921" s="3" t="s">
        <v>3039</v>
      </c>
      <c r="F2921" s="3">
        <v>182880</v>
      </c>
    </row>
    <row r="2922" spans="1:6" x14ac:dyDescent="0.25">
      <c r="A2922" s="2">
        <v>95241</v>
      </c>
      <c r="B2922" s="3">
        <v>146</v>
      </c>
      <c r="C2922" s="3">
        <v>95</v>
      </c>
      <c r="D2922" s="3">
        <v>13651817760</v>
      </c>
      <c r="E2922" s="3" t="s">
        <v>3040</v>
      </c>
      <c r="F2922" s="3">
        <v>13651817760</v>
      </c>
    </row>
    <row r="2923" spans="1:6" x14ac:dyDescent="0.25">
      <c r="A2923" s="2">
        <v>95242</v>
      </c>
      <c r="B2923" s="3">
        <v>147</v>
      </c>
      <c r="C2923" s="3">
        <v>95</v>
      </c>
      <c r="D2923" s="3">
        <v>57672</v>
      </c>
      <c r="E2923" s="3" t="s">
        <v>3041</v>
      </c>
      <c r="F2923" s="3">
        <v>57672</v>
      </c>
    </row>
    <row r="2924" spans="1:6" x14ac:dyDescent="0.25">
      <c r="A2924" s="2">
        <v>95243</v>
      </c>
      <c r="B2924" s="3">
        <v>148</v>
      </c>
      <c r="C2924" s="3">
        <v>95</v>
      </c>
      <c r="D2924" s="3">
        <v>232390166400</v>
      </c>
      <c r="E2924" s="3" t="s">
        <v>3042</v>
      </c>
      <c r="F2924" s="3">
        <v>232390166400</v>
      </c>
    </row>
    <row r="2925" spans="1:6" x14ac:dyDescent="0.25">
      <c r="A2925" s="2">
        <v>95244</v>
      </c>
      <c r="B2925" s="3">
        <v>149</v>
      </c>
      <c r="C2925" s="3">
        <v>95</v>
      </c>
      <c r="D2925" s="3">
        <v>36360</v>
      </c>
      <c r="E2925" s="3" t="s">
        <v>3043</v>
      </c>
      <c r="F2925" s="3">
        <v>36360</v>
      </c>
    </row>
    <row r="2926" spans="1:6" x14ac:dyDescent="0.25">
      <c r="A2926" s="2">
        <v>95245</v>
      </c>
      <c r="B2926" s="3">
        <v>150</v>
      </c>
      <c r="C2926" s="3">
        <v>95</v>
      </c>
      <c r="D2926" s="3">
        <v>7379.99999999999</v>
      </c>
      <c r="E2926" s="3" t="s">
        <v>3044</v>
      </c>
      <c r="F2926" s="3">
        <v>7379.99999999999</v>
      </c>
    </row>
    <row r="2927" spans="1:6" x14ac:dyDescent="0.25">
      <c r="A2927" s="2">
        <v>95246</v>
      </c>
      <c r="B2927" s="3">
        <v>151</v>
      </c>
      <c r="C2927" s="3">
        <v>95</v>
      </c>
      <c r="D2927" s="3">
        <v>2340</v>
      </c>
      <c r="E2927" s="3" t="s">
        <v>3045</v>
      </c>
      <c r="F2927" s="3">
        <v>2340</v>
      </c>
    </row>
    <row r="2928" spans="1:6" x14ac:dyDescent="0.25">
      <c r="A2928" s="2">
        <v>95247</v>
      </c>
      <c r="B2928" s="3">
        <v>152</v>
      </c>
      <c r="C2928" s="3">
        <v>95</v>
      </c>
      <c r="D2928" s="3">
        <v>1380</v>
      </c>
      <c r="E2928" s="3" t="s">
        <v>3046</v>
      </c>
      <c r="F2928" s="3">
        <v>1380</v>
      </c>
    </row>
    <row r="2929" spans="1:6" x14ac:dyDescent="0.25">
      <c r="A2929" s="2">
        <v>95248</v>
      </c>
      <c r="B2929" s="3">
        <v>153</v>
      </c>
      <c r="C2929" s="3">
        <v>95</v>
      </c>
      <c r="D2929" s="3">
        <v>600</v>
      </c>
      <c r="E2929" s="3" t="s">
        <v>3047</v>
      </c>
      <c r="F2929" s="3">
        <v>600</v>
      </c>
    </row>
    <row r="2930" spans="1:6" x14ac:dyDescent="0.25">
      <c r="A2930" s="2">
        <v>96233</v>
      </c>
      <c r="B2930" s="3">
        <v>137</v>
      </c>
      <c r="C2930" s="3">
        <v>96</v>
      </c>
      <c r="D2930" s="3">
        <v>23</v>
      </c>
      <c r="E2930" s="3" t="s">
        <v>3048</v>
      </c>
      <c r="F2930" s="3">
        <v>23</v>
      </c>
    </row>
    <row r="2931" spans="1:6" x14ac:dyDescent="0.25">
      <c r="A2931" s="2">
        <v>96234</v>
      </c>
      <c r="B2931" s="3">
        <v>138</v>
      </c>
      <c r="C2931" s="3">
        <v>96</v>
      </c>
      <c r="D2931" s="3">
        <v>51</v>
      </c>
      <c r="E2931" s="3" t="s">
        <v>3049</v>
      </c>
      <c r="F2931" s="3">
        <v>51</v>
      </c>
    </row>
    <row r="2932" spans="1:6" x14ac:dyDescent="0.25">
      <c r="A2932" s="2">
        <v>96238</v>
      </c>
      <c r="B2932" s="3">
        <v>142</v>
      </c>
      <c r="C2932" s="3">
        <v>96</v>
      </c>
      <c r="D2932" s="3">
        <v>7920</v>
      </c>
      <c r="E2932" s="3" t="s">
        <v>3050</v>
      </c>
      <c r="F2932" s="3">
        <v>7920</v>
      </c>
    </row>
    <row r="2933" spans="1:6" x14ac:dyDescent="0.25">
      <c r="A2933" s="2">
        <v>96239</v>
      </c>
      <c r="B2933" s="3">
        <v>143</v>
      </c>
      <c r="C2933" s="3">
        <v>96</v>
      </c>
      <c r="D2933" s="3">
        <v>9720</v>
      </c>
      <c r="E2933" s="3" t="s">
        <v>3051</v>
      </c>
      <c r="F2933" s="3">
        <v>9720</v>
      </c>
    </row>
    <row r="2934" spans="1:6" x14ac:dyDescent="0.25">
      <c r="A2934" s="2">
        <v>96240</v>
      </c>
      <c r="B2934" s="3">
        <v>144</v>
      </c>
      <c r="C2934" s="3">
        <v>96</v>
      </c>
      <c r="D2934" s="3">
        <v>2332800</v>
      </c>
      <c r="E2934" s="3" t="s">
        <v>3052</v>
      </c>
      <c r="F2934" s="3">
        <v>2332800</v>
      </c>
    </row>
    <row r="2935" spans="1:6" x14ac:dyDescent="0.25">
      <c r="A2935" s="2">
        <v>96241</v>
      </c>
      <c r="B2935" s="3">
        <v>145</v>
      </c>
      <c r="C2935" s="3">
        <v>96</v>
      </c>
      <c r="D2935" s="3">
        <v>2833919.9999999902</v>
      </c>
      <c r="E2935" s="3" t="s">
        <v>3053</v>
      </c>
      <c r="F2935" s="3">
        <v>2833919.9999999902</v>
      </c>
    </row>
    <row r="2936" spans="1:6" x14ac:dyDescent="0.25">
      <c r="A2936" s="2">
        <v>96242</v>
      </c>
      <c r="B2936" s="3">
        <v>146</v>
      </c>
      <c r="C2936" s="3">
        <v>96</v>
      </c>
      <c r="D2936" s="3">
        <v>14065920</v>
      </c>
      <c r="E2936" s="3" t="s">
        <v>3054</v>
      </c>
      <c r="F2936" s="3">
        <v>14065920</v>
      </c>
    </row>
    <row r="2937" spans="1:6" x14ac:dyDescent="0.25">
      <c r="A2937" s="2">
        <v>96243</v>
      </c>
      <c r="B2937" s="3">
        <v>147</v>
      </c>
      <c r="C2937" s="3">
        <v>96</v>
      </c>
      <c r="D2937" s="3">
        <v>918326160</v>
      </c>
      <c r="E2937" s="3" t="s">
        <v>3055</v>
      </c>
      <c r="F2937" s="3">
        <v>918326160</v>
      </c>
    </row>
    <row r="2938" spans="1:6" x14ac:dyDescent="0.25">
      <c r="A2938" s="2">
        <v>96244</v>
      </c>
      <c r="B2938" s="3">
        <v>148</v>
      </c>
      <c r="C2938" s="3">
        <v>96</v>
      </c>
      <c r="D2938" s="3">
        <v>571192560</v>
      </c>
      <c r="E2938" s="3" t="s">
        <v>3056</v>
      </c>
      <c r="F2938" s="3">
        <v>571192560</v>
      </c>
    </row>
    <row r="2939" spans="1:6" x14ac:dyDescent="0.25">
      <c r="A2939" s="2">
        <v>96245</v>
      </c>
      <c r="B2939" s="3">
        <v>149</v>
      </c>
      <c r="C2939" s="3">
        <v>96</v>
      </c>
      <c r="D2939" s="3">
        <v>265809664800</v>
      </c>
      <c r="E2939" s="3" t="s">
        <v>3057</v>
      </c>
      <c r="F2939" s="3">
        <v>265809664800</v>
      </c>
    </row>
    <row r="2940" spans="1:6" x14ac:dyDescent="0.25">
      <c r="A2940" s="2">
        <v>96246</v>
      </c>
      <c r="B2940" s="3">
        <v>150</v>
      </c>
      <c r="C2940" s="3">
        <v>96</v>
      </c>
      <c r="D2940" s="3">
        <v>148510065600</v>
      </c>
      <c r="E2940" s="3" t="s">
        <v>3058</v>
      </c>
      <c r="F2940" s="3">
        <v>148510065600</v>
      </c>
    </row>
    <row r="2941" spans="1:6" x14ac:dyDescent="0.25">
      <c r="A2941" s="2">
        <v>96247</v>
      </c>
      <c r="B2941" s="3">
        <v>151</v>
      </c>
      <c r="C2941" s="3">
        <v>96</v>
      </c>
      <c r="D2941" s="3">
        <v>492298560000000</v>
      </c>
      <c r="E2941" s="3" t="s">
        <v>3059</v>
      </c>
      <c r="F2941" s="3">
        <v>492298560000000</v>
      </c>
    </row>
    <row r="2942" spans="1:6" x14ac:dyDescent="0.25">
      <c r="A2942" s="2">
        <v>96248</v>
      </c>
      <c r="B2942" s="3">
        <v>152</v>
      </c>
      <c r="C2942" s="3">
        <v>96</v>
      </c>
      <c r="D2942" s="3">
        <v>10982044800000</v>
      </c>
      <c r="E2942" s="3" t="s">
        <v>3060</v>
      </c>
      <c r="F2942" s="3">
        <v>10982044800000</v>
      </c>
    </row>
    <row r="2943" spans="1:6" x14ac:dyDescent="0.25">
      <c r="A2943" s="2">
        <v>96249</v>
      </c>
      <c r="B2943" s="3">
        <v>153</v>
      </c>
      <c r="C2943" s="3">
        <v>96</v>
      </c>
      <c r="D2943" s="3">
        <v>3849</v>
      </c>
      <c r="E2943" s="3" t="s">
        <v>3061</v>
      </c>
      <c r="F2943" s="3">
        <v>3849</v>
      </c>
    </row>
    <row r="2944" spans="1:6" x14ac:dyDescent="0.25">
      <c r="A2944" s="2">
        <v>96250</v>
      </c>
      <c r="B2944" s="3">
        <v>154</v>
      </c>
      <c r="C2944" s="3">
        <v>96</v>
      </c>
      <c r="D2944" s="3">
        <v>261928080000</v>
      </c>
      <c r="E2944" s="3" t="s">
        <v>3062</v>
      </c>
      <c r="F2944" s="3">
        <v>261928080000</v>
      </c>
    </row>
    <row r="2945" spans="1:6" x14ac:dyDescent="0.25">
      <c r="A2945" s="2">
        <v>96251</v>
      </c>
      <c r="B2945" s="3">
        <v>155</v>
      </c>
      <c r="C2945" s="3">
        <v>96</v>
      </c>
      <c r="D2945" s="3">
        <v>1008</v>
      </c>
      <c r="E2945" s="3" t="s">
        <v>3063</v>
      </c>
      <c r="F2945" s="3">
        <v>1008</v>
      </c>
    </row>
    <row r="2946" spans="1:6" x14ac:dyDescent="0.25">
      <c r="A2946" s="2">
        <v>97234</v>
      </c>
      <c r="B2946" s="3">
        <v>137</v>
      </c>
      <c r="C2946" s="3">
        <v>97</v>
      </c>
      <c r="D2946" s="3">
        <v>140</v>
      </c>
      <c r="E2946" s="3" t="s">
        <v>3064</v>
      </c>
      <c r="F2946" s="3">
        <v>140</v>
      </c>
    </row>
    <row r="2947" spans="1:6" x14ac:dyDescent="0.25">
      <c r="A2947" s="2">
        <v>97237</v>
      </c>
      <c r="B2947" s="3">
        <v>140</v>
      </c>
      <c r="C2947" s="3">
        <v>97</v>
      </c>
      <c r="D2947" s="3">
        <v>60</v>
      </c>
      <c r="E2947" s="3" t="s">
        <v>3065</v>
      </c>
      <c r="F2947" s="3">
        <v>60</v>
      </c>
    </row>
    <row r="2948" spans="1:6" x14ac:dyDescent="0.25">
      <c r="A2948" s="2">
        <v>97238</v>
      </c>
      <c r="B2948" s="3">
        <v>141</v>
      </c>
      <c r="C2948" s="3">
        <v>97</v>
      </c>
      <c r="D2948" s="3">
        <v>144</v>
      </c>
      <c r="E2948" s="3" t="s">
        <v>3066</v>
      </c>
      <c r="F2948" s="3">
        <v>144</v>
      </c>
    </row>
    <row r="2949" spans="1:6" x14ac:dyDescent="0.25">
      <c r="A2949" s="2">
        <v>97240</v>
      </c>
      <c r="B2949" s="3">
        <v>143</v>
      </c>
      <c r="C2949" s="3">
        <v>97</v>
      </c>
      <c r="D2949" s="3">
        <v>288</v>
      </c>
      <c r="E2949" s="3" t="s">
        <v>3067</v>
      </c>
      <c r="F2949" s="3">
        <v>288</v>
      </c>
    </row>
    <row r="2950" spans="1:6" x14ac:dyDescent="0.25">
      <c r="A2950" s="2">
        <v>97241</v>
      </c>
      <c r="B2950" s="3">
        <v>144</v>
      </c>
      <c r="C2950" s="3">
        <v>97</v>
      </c>
      <c r="D2950" s="3">
        <v>276</v>
      </c>
      <c r="E2950" s="3" t="s">
        <v>3068</v>
      </c>
      <c r="F2950" s="3">
        <v>276</v>
      </c>
    </row>
    <row r="2951" spans="1:6" x14ac:dyDescent="0.25">
      <c r="A2951" s="2">
        <v>97242</v>
      </c>
      <c r="B2951" s="3">
        <v>145</v>
      </c>
      <c r="C2951" s="3">
        <v>97</v>
      </c>
      <c r="D2951" s="3">
        <v>420</v>
      </c>
      <c r="E2951" s="3" t="s">
        <v>3069</v>
      </c>
      <c r="F2951" s="3">
        <v>420</v>
      </c>
    </row>
    <row r="2952" spans="1:6" x14ac:dyDescent="0.25">
      <c r="A2952" s="2">
        <v>97243</v>
      </c>
      <c r="B2952" s="3">
        <v>146</v>
      </c>
      <c r="C2952" s="3">
        <v>97</v>
      </c>
      <c r="D2952" s="3">
        <v>16200</v>
      </c>
      <c r="E2952" s="3" t="s">
        <v>3070</v>
      </c>
      <c r="F2952" s="3">
        <v>16200</v>
      </c>
    </row>
    <row r="2953" spans="1:6" x14ac:dyDescent="0.25">
      <c r="A2953" s="2">
        <v>97244</v>
      </c>
      <c r="B2953" s="3">
        <v>147</v>
      </c>
      <c r="C2953" s="3">
        <v>97</v>
      </c>
      <c r="D2953" s="3">
        <v>15659.9999999999</v>
      </c>
      <c r="E2953" s="3" t="s">
        <v>3071</v>
      </c>
      <c r="F2953" s="3">
        <v>15659.9999999999</v>
      </c>
    </row>
    <row r="2954" spans="1:6" x14ac:dyDescent="0.25">
      <c r="A2954" s="2">
        <v>97245</v>
      </c>
      <c r="B2954" s="3">
        <v>148</v>
      </c>
      <c r="C2954" s="3">
        <v>97</v>
      </c>
      <c r="D2954" s="3">
        <v>427680</v>
      </c>
      <c r="E2954" s="3" t="s">
        <v>3072</v>
      </c>
      <c r="F2954" s="3">
        <v>427680</v>
      </c>
    </row>
    <row r="2955" spans="1:6" x14ac:dyDescent="0.25">
      <c r="A2955" s="2">
        <v>97246</v>
      </c>
      <c r="B2955" s="3">
        <v>149</v>
      </c>
      <c r="C2955" s="3">
        <v>97</v>
      </c>
      <c r="D2955" s="3">
        <v>155520</v>
      </c>
      <c r="E2955" s="3" t="s">
        <v>3073</v>
      </c>
      <c r="F2955" s="3">
        <v>155520</v>
      </c>
    </row>
    <row r="2956" spans="1:6" x14ac:dyDescent="0.25">
      <c r="A2956" s="2">
        <v>97247</v>
      </c>
      <c r="B2956" s="3">
        <v>150</v>
      </c>
      <c r="C2956" s="3">
        <v>97</v>
      </c>
      <c r="D2956" s="3">
        <v>43549488000</v>
      </c>
      <c r="E2956" s="3" t="s">
        <v>3074</v>
      </c>
      <c r="F2956" s="3">
        <v>43549488000</v>
      </c>
    </row>
    <row r="2957" spans="1:6" x14ac:dyDescent="0.25">
      <c r="A2957" s="2">
        <v>97248</v>
      </c>
      <c r="B2957" s="3">
        <v>151</v>
      </c>
      <c r="C2957" s="3">
        <v>97</v>
      </c>
      <c r="D2957" s="3">
        <v>284018400</v>
      </c>
      <c r="E2957" s="3" t="s">
        <v>3075</v>
      </c>
      <c r="F2957" s="3">
        <v>284018400</v>
      </c>
    </row>
    <row r="2958" spans="1:6" x14ac:dyDescent="0.25">
      <c r="A2958" s="2">
        <v>97249</v>
      </c>
      <c r="B2958" s="3">
        <v>152</v>
      </c>
      <c r="C2958" s="3">
        <v>97</v>
      </c>
      <c r="D2958" s="3">
        <v>28512000</v>
      </c>
      <c r="E2958" s="3" t="s">
        <v>3076</v>
      </c>
      <c r="F2958" s="3">
        <v>28512000</v>
      </c>
    </row>
    <row r="2959" spans="1:6" x14ac:dyDescent="0.25">
      <c r="A2959" s="2">
        <v>97250</v>
      </c>
      <c r="B2959" s="3">
        <v>153</v>
      </c>
      <c r="C2959" s="3">
        <v>97</v>
      </c>
      <c r="D2959" s="3">
        <v>11563.2</v>
      </c>
      <c r="E2959" s="3" t="s">
        <v>3077</v>
      </c>
      <c r="F2959" s="3">
        <v>11563.2</v>
      </c>
    </row>
    <row r="2960" spans="1:6" x14ac:dyDescent="0.25">
      <c r="A2960" s="2">
        <v>97251</v>
      </c>
      <c r="B2960" s="3">
        <v>154</v>
      </c>
      <c r="C2960" s="3">
        <v>97</v>
      </c>
      <c r="D2960" s="3">
        <v>3336</v>
      </c>
      <c r="E2960" s="3" t="s">
        <v>3078</v>
      </c>
      <c r="F2960" s="3">
        <v>3336</v>
      </c>
    </row>
    <row r="2961" spans="1:6" x14ac:dyDescent="0.25">
      <c r="A2961" s="2">
        <v>97253</v>
      </c>
      <c r="B2961" s="3">
        <v>156</v>
      </c>
      <c r="C2961" s="3">
        <v>97</v>
      </c>
      <c r="D2961" s="3">
        <v>600</v>
      </c>
      <c r="E2961" s="3" t="s">
        <v>3079</v>
      </c>
      <c r="F2961" s="3">
        <v>600</v>
      </c>
    </row>
    <row r="2962" spans="1:6" x14ac:dyDescent="0.25">
      <c r="A2962" s="2">
        <v>98237</v>
      </c>
      <c r="B2962" s="3">
        <v>139</v>
      </c>
      <c r="C2962" s="3">
        <v>98</v>
      </c>
      <c r="D2962" s="3">
        <v>0.8</v>
      </c>
      <c r="E2962" s="3" t="s">
        <v>3080</v>
      </c>
      <c r="F2962" s="3">
        <v>0.8</v>
      </c>
    </row>
    <row r="2963" spans="1:6" x14ac:dyDescent="0.25">
      <c r="A2963" s="2">
        <v>98238</v>
      </c>
      <c r="B2963" s="3">
        <v>140</v>
      </c>
      <c r="C2963" s="3">
        <v>98</v>
      </c>
      <c r="D2963" s="3">
        <v>2.1100000000000001E-2</v>
      </c>
      <c r="E2963" s="3" t="s">
        <v>3081</v>
      </c>
      <c r="F2963" s="3">
        <v>2.1100000000000001E-2</v>
      </c>
    </row>
    <row r="2964" spans="1:6" x14ac:dyDescent="0.25">
      <c r="A2964" s="2">
        <v>98239</v>
      </c>
      <c r="B2964" s="3">
        <v>141</v>
      </c>
      <c r="C2964" s="3">
        <v>98</v>
      </c>
      <c r="D2964" s="3">
        <v>39</v>
      </c>
      <c r="E2964" s="3" t="s">
        <v>3082</v>
      </c>
      <c r="F2964" s="3">
        <v>39</v>
      </c>
    </row>
    <row r="2965" spans="1:6" x14ac:dyDescent="0.25">
      <c r="A2965" s="2">
        <v>98240</v>
      </c>
      <c r="B2965" s="3">
        <v>142</v>
      </c>
      <c r="C2965" s="3">
        <v>98</v>
      </c>
      <c r="D2965" s="3">
        <v>64</v>
      </c>
      <c r="E2965" s="3" t="s">
        <v>3083</v>
      </c>
      <c r="F2965" s="3">
        <v>64</v>
      </c>
    </row>
    <row r="2966" spans="1:6" x14ac:dyDescent="0.25">
      <c r="A2966" s="2">
        <v>98241</v>
      </c>
      <c r="B2966" s="3">
        <v>143</v>
      </c>
      <c r="C2966" s="3">
        <v>98</v>
      </c>
      <c r="D2966" s="3">
        <v>226.79999999999899</v>
      </c>
      <c r="E2966" s="3" t="s">
        <v>3084</v>
      </c>
      <c r="F2966" s="3">
        <v>226.79999999999899</v>
      </c>
    </row>
    <row r="2967" spans="1:6" x14ac:dyDescent="0.25">
      <c r="A2967" s="2">
        <v>98242</v>
      </c>
      <c r="B2967" s="3">
        <v>144</v>
      </c>
      <c r="C2967" s="3">
        <v>98</v>
      </c>
      <c r="D2967" s="3">
        <v>209.4</v>
      </c>
      <c r="E2967" s="3" t="s">
        <v>3085</v>
      </c>
      <c r="F2967" s="3">
        <v>209.4</v>
      </c>
    </row>
    <row r="2968" spans="1:6" x14ac:dyDescent="0.25">
      <c r="A2968" s="2">
        <v>98243</v>
      </c>
      <c r="B2968" s="3">
        <v>145</v>
      </c>
      <c r="C2968" s="3">
        <v>98</v>
      </c>
      <c r="D2968" s="3">
        <v>642</v>
      </c>
      <c r="E2968" s="3" t="s">
        <v>3086</v>
      </c>
      <c r="F2968" s="3">
        <v>642</v>
      </c>
    </row>
    <row r="2969" spans="1:6" x14ac:dyDescent="0.25">
      <c r="A2969" s="2">
        <v>98244</v>
      </c>
      <c r="B2969" s="3">
        <v>146</v>
      </c>
      <c r="C2969" s="3">
        <v>98</v>
      </c>
      <c r="D2969" s="3">
        <v>1164</v>
      </c>
      <c r="E2969" s="3" t="s">
        <v>3087</v>
      </c>
      <c r="F2969" s="3">
        <v>1164</v>
      </c>
    </row>
    <row r="2970" spans="1:6" x14ac:dyDescent="0.25">
      <c r="A2970" s="2">
        <v>98245</v>
      </c>
      <c r="B2970" s="3">
        <v>147</v>
      </c>
      <c r="C2970" s="3">
        <v>98</v>
      </c>
      <c r="D2970" s="3">
        <v>2700</v>
      </c>
      <c r="E2970" s="3" t="s">
        <v>3088</v>
      </c>
      <c r="F2970" s="3">
        <v>2700</v>
      </c>
    </row>
    <row r="2971" spans="1:6" x14ac:dyDescent="0.25">
      <c r="A2971" s="2">
        <v>98246</v>
      </c>
      <c r="B2971" s="3">
        <v>148</v>
      </c>
      <c r="C2971" s="3">
        <v>98</v>
      </c>
      <c r="D2971" s="3">
        <v>128520</v>
      </c>
      <c r="E2971" s="3" t="s">
        <v>3089</v>
      </c>
      <c r="F2971" s="3">
        <v>128520</v>
      </c>
    </row>
    <row r="2972" spans="1:6" x14ac:dyDescent="0.25">
      <c r="A2972" s="2">
        <v>98247</v>
      </c>
      <c r="B2972" s="3">
        <v>149</v>
      </c>
      <c r="C2972" s="3">
        <v>98</v>
      </c>
      <c r="D2972" s="3">
        <v>11196</v>
      </c>
      <c r="E2972" s="3" t="s">
        <v>3090</v>
      </c>
      <c r="F2972" s="3">
        <v>11196</v>
      </c>
    </row>
    <row r="2973" spans="1:6" x14ac:dyDescent="0.25">
      <c r="A2973" s="2">
        <v>98248</v>
      </c>
      <c r="B2973" s="3">
        <v>150</v>
      </c>
      <c r="C2973" s="3">
        <v>98</v>
      </c>
      <c r="D2973" s="3">
        <v>28814400</v>
      </c>
      <c r="E2973" s="3" t="s">
        <v>3091</v>
      </c>
      <c r="F2973" s="3">
        <v>28814400</v>
      </c>
    </row>
    <row r="2974" spans="1:6" x14ac:dyDescent="0.25">
      <c r="A2974" s="2">
        <v>98249</v>
      </c>
      <c r="B2974" s="3">
        <v>151</v>
      </c>
      <c r="C2974" s="3">
        <v>98</v>
      </c>
      <c r="D2974" s="3">
        <v>11076717600</v>
      </c>
      <c r="E2974" s="3" t="s">
        <v>3092</v>
      </c>
      <c r="F2974" s="3">
        <v>11076717600</v>
      </c>
    </row>
    <row r="2975" spans="1:6" x14ac:dyDescent="0.25">
      <c r="A2975" s="2">
        <v>98250</v>
      </c>
      <c r="B2975" s="3">
        <v>152</v>
      </c>
      <c r="C2975" s="3">
        <v>98</v>
      </c>
      <c r="D2975" s="3">
        <v>412773408</v>
      </c>
      <c r="E2975" s="3" t="s">
        <v>3093</v>
      </c>
      <c r="F2975" s="3">
        <v>412773408</v>
      </c>
    </row>
    <row r="2976" spans="1:6" x14ac:dyDescent="0.25">
      <c r="A2976" s="2">
        <v>98251</v>
      </c>
      <c r="B2976" s="3">
        <v>153</v>
      </c>
      <c r="C2976" s="3">
        <v>98</v>
      </c>
      <c r="D2976" s="3">
        <v>28338724800</v>
      </c>
      <c r="E2976" s="3" t="s">
        <v>3094</v>
      </c>
      <c r="F2976" s="3">
        <v>28338724800</v>
      </c>
    </row>
    <row r="2977" spans="1:6" x14ac:dyDescent="0.25">
      <c r="A2977" s="2">
        <v>98252</v>
      </c>
      <c r="B2977" s="3">
        <v>154</v>
      </c>
      <c r="C2977" s="3">
        <v>98</v>
      </c>
      <c r="D2977" s="3">
        <v>83469852</v>
      </c>
      <c r="E2977" s="3" t="s">
        <v>3095</v>
      </c>
      <c r="F2977" s="3">
        <v>83469852</v>
      </c>
    </row>
    <row r="2978" spans="1:6" x14ac:dyDescent="0.25">
      <c r="A2978" s="2">
        <v>98253</v>
      </c>
      <c r="B2978" s="3">
        <v>155</v>
      </c>
      <c r="C2978" s="3">
        <v>98</v>
      </c>
      <c r="D2978" s="3">
        <v>1538784</v>
      </c>
      <c r="E2978" s="3" t="s">
        <v>3096</v>
      </c>
      <c r="F2978" s="3">
        <v>1538784</v>
      </c>
    </row>
    <row r="2979" spans="1:6" x14ac:dyDescent="0.25">
      <c r="A2979" s="2">
        <v>98254</v>
      </c>
      <c r="B2979" s="3">
        <v>156</v>
      </c>
      <c r="C2979" s="3">
        <v>98</v>
      </c>
      <c r="D2979" s="3">
        <v>5227200</v>
      </c>
      <c r="E2979" s="3" t="s">
        <v>3097</v>
      </c>
      <c r="F2979" s="3">
        <v>5227200</v>
      </c>
    </row>
    <row r="2980" spans="1:6" x14ac:dyDescent="0.25">
      <c r="A2980" s="2">
        <v>98255</v>
      </c>
      <c r="B2980" s="3">
        <v>157</v>
      </c>
      <c r="C2980" s="3">
        <v>98</v>
      </c>
      <c r="D2980" s="3">
        <v>5100</v>
      </c>
      <c r="E2980" s="3" t="s">
        <v>3098</v>
      </c>
      <c r="F2980" s="3">
        <v>5100</v>
      </c>
    </row>
    <row r="2981" spans="1:6" x14ac:dyDescent="0.25">
      <c r="A2981" s="2">
        <v>98256</v>
      </c>
      <c r="B2981" s="3">
        <v>158</v>
      </c>
      <c r="C2981" s="3">
        <v>98</v>
      </c>
      <c r="D2981" s="3">
        <v>738</v>
      </c>
      <c r="E2981" s="3" t="s">
        <v>3099</v>
      </c>
      <c r="F2981" s="3">
        <v>738</v>
      </c>
    </row>
    <row r="2982" spans="1:6" x14ac:dyDescent="0.25">
      <c r="A2982" s="2">
        <v>99241</v>
      </c>
      <c r="B2982" s="3">
        <v>142</v>
      </c>
      <c r="C2982" s="3">
        <v>99</v>
      </c>
      <c r="D2982" s="3">
        <v>8</v>
      </c>
      <c r="E2982" s="3" t="s">
        <v>3100</v>
      </c>
      <c r="F2982" s="3">
        <v>8</v>
      </c>
    </row>
    <row r="2983" spans="1:6" x14ac:dyDescent="0.25">
      <c r="A2983" s="2">
        <v>99242</v>
      </c>
      <c r="B2983" s="3">
        <v>143</v>
      </c>
      <c r="C2983" s="3">
        <v>99</v>
      </c>
      <c r="D2983" s="3">
        <v>17.8</v>
      </c>
      <c r="E2983" s="3" t="s">
        <v>3101</v>
      </c>
      <c r="F2983" s="3">
        <v>17.8</v>
      </c>
    </row>
    <row r="2984" spans="1:6" x14ac:dyDescent="0.25">
      <c r="A2984" s="2">
        <v>99243</v>
      </c>
      <c r="B2984" s="3">
        <v>144</v>
      </c>
      <c r="C2984" s="3">
        <v>99</v>
      </c>
      <c r="D2984" s="3">
        <v>21</v>
      </c>
      <c r="E2984" s="3" t="s">
        <v>3102</v>
      </c>
      <c r="F2984" s="3">
        <v>21</v>
      </c>
    </row>
    <row r="2985" spans="1:6" x14ac:dyDescent="0.25">
      <c r="A2985" s="2">
        <v>99244</v>
      </c>
      <c r="B2985" s="3">
        <v>145</v>
      </c>
      <c r="C2985" s="3">
        <v>99</v>
      </c>
      <c r="D2985" s="3">
        <v>37</v>
      </c>
      <c r="E2985" s="3" t="s">
        <v>3103</v>
      </c>
      <c r="F2985" s="3">
        <v>37</v>
      </c>
    </row>
    <row r="2986" spans="1:6" x14ac:dyDescent="0.25">
      <c r="A2986" s="2">
        <v>99245</v>
      </c>
      <c r="B2986" s="3">
        <v>146</v>
      </c>
      <c r="C2986" s="3">
        <v>99</v>
      </c>
      <c r="D2986" s="3">
        <v>66</v>
      </c>
      <c r="E2986" s="3" t="s">
        <v>3104</v>
      </c>
      <c r="F2986" s="3">
        <v>66</v>
      </c>
    </row>
    <row r="2987" spans="1:6" x14ac:dyDescent="0.25">
      <c r="A2987" s="2">
        <v>99246</v>
      </c>
      <c r="B2987" s="3">
        <v>147</v>
      </c>
      <c r="C2987" s="3">
        <v>99</v>
      </c>
      <c r="D2987" s="3">
        <v>450</v>
      </c>
      <c r="E2987" s="3" t="s">
        <v>3105</v>
      </c>
      <c r="F2987" s="3">
        <v>450</v>
      </c>
    </row>
    <row r="2988" spans="1:6" x14ac:dyDescent="0.25">
      <c r="A2988" s="2">
        <v>99247</v>
      </c>
      <c r="B2988" s="3">
        <v>148</v>
      </c>
      <c r="C2988" s="3">
        <v>99</v>
      </c>
      <c r="D2988" s="3">
        <v>273</v>
      </c>
      <c r="E2988" s="3" t="s">
        <v>3106</v>
      </c>
      <c r="F2988" s="3">
        <v>273</v>
      </c>
    </row>
    <row r="2989" spans="1:6" x14ac:dyDescent="0.25">
      <c r="A2989" s="2">
        <v>99248</v>
      </c>
      <c r="B2989" s="3">
        <v>149</v>
      </c>
      <c r="C2989" s="3">
        <v>99</v>
      </c>
      <c r="D2989" s="3">
        <v>1440</v>
      </c>
      <c r="E2989" s="3" t="s">
        <v>3107</v>
      </c>
      <c r="F2989" s="3">
        <v>1440</v>
      </c>
    </row>
    <row r="2990" spans="1:6" x14ac:dyDescent="0.25">
      <c r="A2990" s="2">
        <v>99249</v>
      </c>
      <c r="B2990" s="3">
        <v>150</v>
      </c>
      <c r="C2990" s="3">
        <v>99</v>
      </c>
      <c r="D2990" s="3">
        <v>6132</v>
      </c>
      <c r="E2990" s="3" t="s">
        <v>3108</v>
      </c>
      <c r="F2990" s="3">
        <v>6132</v>
      </c>
    </row>
    <row r="2991" spans="1:6" x14ac:dyDescent="0.25">
      <c r="A2991" s="2">
        <v>99250</v>
      </c>
      <c r="B2991" s="3">
        <v>151</v>
      </c>
      <c r="C2991" s="3">
        <v>99</v>
      </c>
      <c r="D2991" s="3">
        <v>30960</v>
      </c>
      <c r="E2991" s="3" t="s">
        <v>3109</v>
      </c>
      <c r="F2991" s="3">
        <v>30960</v>
      </c>
    </row>
    <row r="2992" spans="1:6" x14ac:dyDescent="0.25">
      <c r="A2992" s="2">
        <v>99251</v>
      </c>
      <c r="B2992" s="3">
        <v>152</v>
      </c>
      <c r="C2992" s="3">
        <v>99</v>
      </c>
      <c r="D2992" s="3">
        <v>118800</v>
      </c>
      <c r="E2992" s="3" t="s">
        <v>3110</v>
      </c>
      <c r="F2992" s="3">
        <v>118800</v>
      </c>
    </row>
    <row r="2993" spans="1:6" x14ac:dyDescent="0.25">
      <c r="A2993" s="2">
        <v>99252</v>
      </c>
      <c r="B2993" s="3">
        <v>153</v>
      </c>
      <c r="C2993" s="3">
        <v>99</v>
      </c>
      <c r="D2993" s="3">
        <v>40754880</v>
      </c>
      <c r="E2993" s="3" t="s">
        <v>3111</v>
      </c>
      <c r="F2993" s="3">
        <v>40754880</v>
      </c>
    </row>
    <row r="2994" spans="1:6" x14ac:dyDescent="0.25">
      <c r="A2994" s="2">
        <v>99253</v>
      </c>
      <c r="B2994" s="3">
        <v>154</v>
      </c>
      <c r="C2994" s="3">
        <v>99</v>
      </c>
      <c r="D2994" s="3">
        <v>1768608</v>
      </c>
      <c r="E2994" s="3" t="s">
        <v>3112</v>
      </c>
      <c r="F2994" s="3">
        <v>1768608</v>
      </c>
    </row>
    <row r="2995" spans="1:6" x14ac:dyDescent="0.25">
      <c r="A2995" s="2">
        <v>99254</v>
      </c>
      <c r="B2995" s="3">
        <v>155</v>
      </c>
      <c r="C2995" s="3">
        <v>99</v>
      </c>
      <c r="D2995" s="3">
        <v>23820480</v>
      </c>
      <c r="E2995" s="3" t="s">
        <v>3113</v>
      </c>
      <c r="F2995" s="3">
        <v>23820480</v>
      </c>
    </row>
    <row r="2996" spans="1:6" x14ac:dyDescent="0.25">
      <c r="A2996" s="2">
        <v>99255</v>
      </c>
      <c r="B2996" s="3">
        <v>156</v>
      </c>
      <c r="C2996" s="3">
        <v>99</v>
      </c>
      <c r="D2996" s="3">
        <v>3438719.9999999902</v>
      </c>
      <c r="E2996" s="3" t="s">
        <v>3114</v>
      </c>
      <c r="F2996" s="3">
        <v>3438719.9999999902</v>
      </c>
    </row>
    <row r="2997" spans="1:6" x14ac:dyDescent="0.25">
      <c r="A2997" s="2">
        <v>99256</v>
      </c>
      <c r="B2997" s="3">
        <v>157</v>
      </c>
      <c r="C2997" s="3">
        <v>99</v>
      </c>
      <c r="D2997" s="3">
        <v>1524</v>
      </c>
      <c r="E2997" s="3" t="s">
        <v>3115</v>
      </c>
      <c r="F2997" s="3">
        <v>1524</v>
      </c>
    </row>
    <row r="2998" spans="1:6" x14ac:dyDescent="0.25">
      <c r="A2998" s="2">
        <v>99257</v>
      </c>
      <c r="B2998" s="3">
        <v>158</v>
      </c>
      <c r="C2998" s="3">
        <v>99</v>
      </c>
      <c r="D2998" s="3">
        <v>665280</v>
      </c>
      <c r="E2998" s="3" t="s">
        <v>3116</v>
      </c>
      <c r="F2998" s="3">
        <v>665280</v>
      </c>
    </row>
    <row r="2999" spans="1:6" x14ac:dyDescent="0.25">
      <c r="A2999" s="2">
        <v>100241</v>
      </c>
      <c r="B2999" s="3">
        <v>141</v>
      </c>
      <c r="C2999" s="3">
        <v>100</v>
      </c>
      <c r="D2999" s="3">
        <v>7.2999999999999996E-4</v>
      </c>
      <c r="E2999" s="3" t="s">
        <v>3117</v>
      </c>
      <c r="F2999" s="3">
        <v>7.2999999999999996E-4</v>
      </c>
    </row>
    <row r="3000" spans="1:6" x14ac:dyDescent="0.25">
      <c r="A3000" s="2">
        <v>100243</v>
      </c>
      <c r="B3000" s="3">
        <v>143</v>
      </c>
      <c r="C3000" s="3">
        <v>100</v>
      </c>
      <c r="D3000" s="3">
        <v>0.23100000000000001</v>
      </c>
      <c r="E3000" s="3" t="s">
        <v>3118</v>
      </c>
      <c r="F3000" s="3">
        <v>0.23100000000000001</v>
      </c>
    </row>
    <row r="3001" spans="1:6" x14ac:dyDescent="0.25">
      <c r="A3001" s="2">
        <v>100244</v>
      </c>
      <c r="B3001" s="3">
        <v>144</v>
      </c>
      <c r="C3001" s="3">
        <v>100</v>
      </c>
      <c r="D3001" s="3">
        <v>3.1199999999999999E-3</v>
      </c>
      <c r="E3001" s="3" t="s">
        <v>3119</v>
      </c>
      <c r="F3001" s="3">
        <v>3.1199999999999999E-3</v>
      </c>
    </row>
    <row r="3002" spans="1:6" x14ac:dyDescent="0.25">
      <c r="A3002" s="2">
        <v>100245</v>
      </c>
      <c r="B3002" s="3">
        <v>145</v>
      </c>
      <c r="C3002" s="3">
        <v>100</v>
      </c>
      <c r="D3002" s="3">
        <v>4.2</v>
      </c>
      <c r="E3002" s="3" t="s">
        <v>3120</v>
      </c>
      <c r="F3002" s="3">
        <v>4.2</v>
      </c>
    </row>
    <row r="3003" spans="1:6" x14ac:dyDescent="0.25">
      <c r="A3003" s="2">
        <v>100246</v>
      </c>
      <c r="B3003" s="3">
        <v>146</v>
      </c>
      <c r="C3003" s="3">
        <v>100</v>
      </c>
      <c r="D3003" s="3">
        <v>1.54</v>
      </c>
      <c r="E3003" s="3" t="s">
        <v>3121</v>
      </c>
      <c r="F3003" s="3">
        <v>1.54</v>
      </c>
    </row>
    <row r="3004" spans="1:6" x14ac:dyDescent="0.25">
      <c r="A3004" s="2">
        <v>100247</v>
      </c>
      <c r="B3004" s="3">
        <v>147</v>
      </c>
      <c r="C3004" s="3">
        <v>100</v>
      </c>
      <c r="D3004" s="3">
        <v>31</v>
      </c>
      <c r="E3004" s="3" t="s">
        <v>3122</v>
      </c>
      <c r="F3004" s="3">
        <v>31</v>
      </c>
    </row>
    <row r="3005" spans="1:6" x14ac:dyDescent="0.25">
      <c r="A3005" s="2">
        <v>100248</v>
      </c>
      <c r="B3005" s="3">
        <v>148</v>
      </c>
      <c r="C3005" s="3">
        <v>100</v>
      </c>
      <c r="D3005" s="3">
        <v>34.5</v>
      </c>
      <c r="E3005" s="3" t="s">
        <v>3123</v>
      </c>
      <c r="F3005" s="3">
        <v>34.5</v>
      </c>
    </row>
    <row r="3006" spans="1:6" x14ac:dyDescent="0.25">
      <c r="A3006" s="2">
        <v>100249</v>
      </c>
      <c r="B3006" s="3">
        <v>149</v>
      </c>
      <c r="C3006" s="3">
        <v>100</v>
      </c>
      <c r="D3006" s="3">
        <v>156</v>
      </c>
      <c r="E3006" s="3" t="s">
        <v>3124</v>
      </c>
      <c r="F3006" s="3">
        <v>156</v>
      </c>
    </row>
    <row r="3007" spans="1:6" x14ac:dyDescent="0.25">
      <c r="A3007" s="2">
        <v>100250</v>
      </c>
      <c r="B3007" s="3">
        <v>150</v>
      </c>
      <c r="C3007" s="3">
        <v>100</v>
      </c>
      <c r="D3007" s="3">
        <v>1800</v>
      </c>
      <c r="E3007" s="3" t="s">
        <v>3125</v>
      </c>
      <c r="F3007" s="3">
        <v>1800</v>
      </c>
    </row>
    <row r="3008" spans="1:6" x14ac:dyDescent="0.25">
      <c r="A3008" s="2">
        <v>100251</v>
      </c>
      <c r="B3008" s="3">
        <v>151</v>
      </c>
      <c r="C3008" s="3">
        <v>100</v>
      </c>
      <c r="D3008" s="3">
        <v>19080</v>
      </c>
      <c r="E3008" s="3" t="s">
        <v>3126</v>
      </c>
      <c r="F3008" s="3">
        <v>19080</v>
      </c>
    </row>
    <row r="3009" spans="1:6" x14ac:dyDescent="0.25">
      <c r="A3009" s="2">
        <v>100252</v>
      </c>
      <c r="B3009" s="3">
        <v>152</v>
      </c>
      <c r="C3009" s="3">
        <v>100</v>
      </c>
      <c r="D3009" s="3">
        <v>91404</v>
      </c>
      <c r="E3009" s="3" t="s">
        <v>3127</v>
      </c>
      <c r="F3009" s="3">
        <v>91404</v>
      </c>
    </row>
    <row r="3010" spans="1:6" x14ac:dyDescent="0.25">
      <c r="A3010" s="2">
        <v>100253</v>
      </c>
      <c r="B3010" s="3">
        <v>153</v>
      </c>
      <c r="C3010" s="3">
        <v>100</v>
      </c>
      <c r="D3010" s="3">
        <v>259200</v>
      </c>
      <c r="E3010" s="3" t="s">
        <v>3128</v>
      </c>
      <c r="F3010" s="3">
        <v>259200</v>
      </c>
    </row>
    <row r="3011" spans="1:6" x14ac:dyDescent="0.25">
      <c r="A3011" s="2">
        <v>100254</v>
      </c>
      <c r="B3011" s="3">
        <v>154</v>
      </c>
      <c r="C3011" s="3">
        <v>100</v>
      </c>
      <c r="D3011" s="3">
        <v>11664</v>
      </c>
      <c r="E3011" s="3" t="s">
        <v>3129</v>
      </c>
      <c r="F3011" s="3">
        <v>11664</v>
      </c>
    </row>
    <row r="3012" spans="1:6" x14ac:dyDescent="0.25">
      <c r="A3012" s="2">
        <v>100255</v>
      </c>
      <c r="B3012" s="3">
        <v>155</v>
      </c>
      <c r="C3012" s="3">
        <v>100</v>
      </c>
      <c r="D3012" s="3">
        <v>72252</v>
      </c>
      <c r="E3012" s="3" t="s">
        <v>3130</v>
      </c>
      <c r="F3012" s="3">
        <v>72252</v>
      </c>
    </row>
    <row r="3013" spans="1:6" x14ac:dyDescent="0.25">
      <c r="A3013" s="2">
        <v>100256</v>
      </c>
      <c r="B3013" s="3">
        <v>156</v>
      </c>
      <c r="C3013" s="3">
        <v>100</v>
      </c>
      <c r="D3013" s="3">
        <v>9456</v>
      </c>
      <c r="E3013" s="3" t="s">
        <v>3131</v>
      </c>
      <c r="F3013" s="3">
        <v>9456</v>
      </c>
    </row>
    <row r="3014" spans="1:6" x14ac:dyDescent="0.25">
      <c r="A3014" s="2">
        <v>100257</v>
      </c>
      <c r="B3014" s="3">
        <v>157</v>
      </c>
      <c r="C3014" s="3">
        <v>100</v>
      </c>
      <c r="D3014" s="3">
        <v>8683200</v>
      </c>
      <c r="E3014" s="3" t="s">
        <v>3132</v>
      </c>
      <c r="F3014" s="3">
        <v>8683200</v>
      </c>
    </row>
    <row r="3015" spans="1:6" x14ac:dyDescent="0.25">
      <c r="A3015" s="2">
        <v>100258</v>
      </c>
      <c r="B3015" s="3">
        <v>158</v>
      </c>
      <c r="C3015" s="3">
        <v>100</v>
      </c>
      <c r="D3015" s="3">
        <v>3.6999999999999999E-4</v>
      </c>
      <c r="E3015" s="3" t="s">
        <v>3133</v>
      </c>
      <c r="F3015" s="3">
        <v>3.6999999999999999E-4</v>
      </c>
    </row>
    <row r="3016" spans="1:6" x14ac:dyDescent="0.25">
      <c r="A3016" s="2">
        <v>100259</v>
      </c>
      <c r="B3016" s="3">
        <v>159</v>
      </c>
      <c r="C3016" s="3">
        <v>100</v>
      </c>
      <c r="D3016" s="3">
        <v>1.5</v>
      </c>
      <c r="E3016" s="3" t="s">
        <v>3134</v>
      </c>
      <c r="F3016" s="3">
        <v>1.5</v>
      </c>
    </row>
    <row r="3017" spans="1:6" x14ac:dyDescent="0.25">
      <c r="A3017" s="2">
        <v>100260</v>
      </c>
      <c r="B3017" s="3">
        <v>160</v>
      </c>
      <c r="C3017" s="3">
        <v>100</v>
      </c>
      <c r="D3017" s="3">
        <v>4.0000000000000001E-3</v>
      </c>
      <c r="E3017" s="3" t="s">
        <v>3135</v>
      </c>
      <c r="F3017" s="3">
        <v>4.0000000000000001E-3</v>
      </c>
    </row>
    <row r="3018" spans="1:6" x14ac:dyDescent="0.25">
      <c r="A3018" s="2">
        <v>101245</v>
      </c>
      <c r="B3018" s="3">
        <v>144</v>
      </c>
      <c r="C3018" s="3">
        <v>101</v>
      </c>
      <c r="D3018" s="3">
        <v>8.9999999999999998E-4</v>
      </c>
      <c r="E3018" s="3" t="s">
        <v>3136</v>
      </c>
      <c r="F3018" s="3">
        <v>8.9999999999999998E-4</v>
      </c>
    </row>
    <row r="3019" spans="1:6" x14ac:dyDescent="0.25">
      <c r="A3019" s="2">
        <v>101246</v>
      </c>
      <c r="B3019" s="3">
        <v>145</v>
      </c>
      <c r="C3019" s="3">
        <v>101</v>
      </c>
      <c r="D3019" s="3">
        <v>0.9</v>
      </c>
      <c r="E3019" s="3" t="s">
        <v>3137</v>
      </c>
      <c r="F3019" s="3">
        <v>0.9</v>
      </c>
    </row>
    <row r="3020" spans="1:6" x14ac:dyDescent="0.25">
      <c r="A3020" s="2">
        <v>101247</v>
      </c>
      <c r="B3020" s="3">
        <v>146</v>
      </c>
      <c r="C3020" s="3">
        <v>101</v>
      </c>
      <c r="D3020" s="3">
        <v>1.2</v>
      </c>
      <c r="E3020" s="3" t="s">
        <v>3138</v>
      </c>
      <c r="F3020" s="3">
        <v>1.2</v>
      </c>
    </row>
    <row r="3021" spans="1:6" x14ac:dyDescent="0.25">
      <c r="A3021" s="2">
        <v>101248</v>
      </c>
      <c r="B3021" s="3">
        <v>147</v>
      </c>
      <c r="C3021" s="3">
        <v>101</v>
      </c>
      <c r="D3021" s="3">
        <v>13</v>
      </c>
      <c r="E3021" s="3" t="s">
        <v>3139</v>
      </c>
      <c r="F3021" s="3">
        <v>13</v>
      </c>
    </row>
    <row r="3022" spans="1:6" x14ac:dyDescent="0.25">
      <c r="A3022" s="2">
        <v>101249</v>
      </c>
      <c r="B3022" s="3">
        <v>148</v>
      </c>
      <c r="C3022" s="3">
        <v>101</v>
      </c>
      <c r="D3022" s="3">
        <v>21.7</v>
      </c>
      <c r="E3022" s="3" t="s">
        <v>3140</v>
      </c>
      <c r="F3022" s="3">
        <v>21.7</v>
      </c>
    </row>
    <row r="3023" spans="1:6" x14ac:dyDescent="0.25">
      <c r="A3023" s="2">
        <v>101250</v>
      </c>
      <c r="B3023" s="3">
        <v>149</v>
      </c>
      <c r="C3023" s="3">
        <v>101</v>
      </c>
      <c r="D3023" s="3">
        <v>25</v>
      </c>
      <c r="E3023" s="3" t="s">
        <v>3141</v>
      </c>
      <c r="F3023" s="3">
        <v>25</v>
      </c>
    </row>
    <row r="3024" spans="1:6" x14ac:dyDescent="0.25">
      <c r="A3024" s="2">
        <v>101251</v>
      </c>
      <c r="B3024" s="3">
        <v>150</v>
      </c>
      <c r="C3024" s="3">
        <v>101</v>
      </c>
      <c r="D3024" s="3">
        <v>256.2</v>
      </c>
      <c r="E3024" s="3" t="s">
        <v>3142</v>
      </c>
      <c r="F3024" s="3">
        <v>256.2</v>
      </c>
    </row>
    <row r="3025" spans="1:6" x14ac:dyDescent="0.25">
      <c r="A3025" s="2">
        <v>101252</v>
      </c>
      <c r="B3025" s="3">
        <v>151</v>
      </c>
      <c r="C3025" s="3">
        <v>101</v>
      </c>
      <c r="D3025" s="3">
        <v>138</v>
      </c>
      <c r="E3025" s="3" t="s">
        <v>3143</v>
      </c>
      <c r="F3025" s="3">
        <v>138</v>
      </c>
    </row>
    <row r="3026" spans="1:6" x14ac:dyDescent="0.25">
      <c r="A3026" s="2">
        <v>101253</v>
      </c>
      <c r="B3026" s="3">
        <v>152</v>
      </c>
      <c r="C3026" s="3">
        <v>101</v>
      </c>
      <c r="D3026" s="3">
        <v>360</v>
      </c>
      <c r="E3026" s="3" t="s">
        <v>3144</v>
      </c>
      <c r="F3026" s="3">
        <v>360</v>
      </c>
    </row>
    <row r="3027" spans="1:6" x14ac:dyDescent="0.25">
      <c r="A3027" s="2">
        <v>101254</v>
      </c>
      <c r="B3027" s="3">
        <v>153</v>
      </c>
      <c r="C3027" s="3">
        <v>101</v>
      </c>
      <c r="D3027" s="3">
        <v>1680</v>
      </c>
      <c r="E3027" s="3" t="s">
        <v>3145</v>
      </c>
      <c r="F3027" s="3">
        <v>1680</v>
      </c>
    </row>
    <row r="3028" spans="1:6" x14ac:dyDescent="0.25">
      <c r="A3028" s="2">
        <v>101255</v>
      </c>
      <c r="B3028" s="3">
        <v>154</v>
      </c>
      <c r="C3028" s="3">
        <v>101</v>
      </c>
      <c r="D3028" s="3">
        <v>1620</v>
      </c>
      <c r="E3028" s="3" t="s">
        <v>3146</v>
      </c>
      <c r="F3028" s="3">
        <v>1620</v>
      </c>
    </row>
    <row r="3029" spans="1:6" x14ac:dyDescent="0.25">
      <c r="A3029" s="2">
        <v>101256</v>
      </c>
      <c r="B3029" s="3">
        <v>155</v>
      </c>
      <c r="C3029" s="3">
        <v>101</v>
      </c>
      <c r="D3029" s="3">
        <v>4620</v>
      </c>
      <c r="E3029" s="3" t="s">
        <v>3147</v>
      </c>
      <c r="F3029" s="3">
        <v>4620</v>
      </c>
    </row>
    <row r="3030" spans="1:6" x14ac:dyDescent="0.25">
      <c r="A3030" s="2">
        <v>101257</v>
      </c>
      <c r="B3030" s="3">
        <v>156</v>
      </c>
      <c r="C3030" s="3">
        <v>101</v>
      </c>
      <c r="D3030" s="3">
        <v>19872</v>
      </c>
      <c r="E3030" s="3" t="s">
        <v>3148</v>
      </c>
      <c r="F3030" s="3">
        <v>19872</v>
      </c>
    </row>
    <row r="3031" spans="1:6" x14ac:dyDescent="0.25">
      <c r="A3031" s="2">
        <v>101258</v>
      </c>
      <c r="B3031" s="3">
        <v>157</v>
      </c>
      <c r="C3031" s="3">
        <v>101</v>
      </c>
      <c r="D3031" s="3">
        <v>4449600</v>
      </c>
      <c r="E3031" s="3" t="s">
        <v>3149</v>
      </c>
      <c r="F3031" s="3">
        <v>4449600</v>
      </c>
    </row>
    <row r="3032" spans="1:6" x14ac:dyDescent="0.25">
      <c r="A3032" s="2">
        <v>101259</v>
      </c>
      <c r="B3032" s="3">
        <v>158</v>
      </c>
      <c r="C3032" s="3">
        <v>101</v>
      </c>
      <c r="D3032" s="3">
        <v>5760</v>
      </c>
      <c r="E3032" s="3" t="s">
        <v>3150</v>
      </c>
      <c r="F3032" s="3">
        <v>5760</v>
      </c>
    </row>
    <row r="3033" spans="1:6" x14ac:dyDescent="0.25">
      <c r="A3033" s="2">
        <v>101260</v>
      </c>
      <c r="B3033" s="3">
        <v>159</v>
      </c>
      <c r="C3033" s="3">
        <v>101</v>
      </c>
      <c r="D3033" s="3">
        <v>2747520</v>
      </c>
      <c r="E3033" s="3" t="s">
        <v>3151</v>
      </c>
      <c r="F3033" s="3">
        <v>2747520</v>
      </c>
    </row>
    <row r="3034" spans="1:6" x14ac:dyDescent="0.25">
      <c r="A3034" s="2">
        <v>102250</v>
      </c>
      <c r="B3034" s="3">
        <v>148</v>
      </c>
      <c r="C3034" s="3">
        <v>102</v>
      </c>
      <c r="D3034" s="3">
        <v>4.1999999999999996E-6</v>
      </c>
      <c r="E3034" s="3" t="s">
        <v>3152</v>
      </c>
      <c r="F3034" s="3">
        <v>4.1999999999999996E-6</v>
      </c>
    </row>
    <row r="3035" spans="1:6" x14ac:dyDescent="0.25">
      <c r="A3035" s="2">
        <v>102251</v>
      </c>
      <c r="B3035" s="3">
        <v>149</v>
      </c>
      <c r="C3035" s="3">
        <v>102</v>
      </c>
      <c r="D3035" s="3">
        <v>0.8</v>
      </c>
      <c r="E3035" s="3" t="s">
        <v>3153</v>
      </c>
      <c r="F3035" s="3">
        <v>0.8</v>
      </c>
    </row>
    <row r="3036" spans="1:6" x14ac:dyDescent="0.25">
      <c r="A3036" s="2">
        <v>102252</v>
      </c>
      <c r="B3036" s="3">
        <v>150</v>
      </c>
      <c r="C3036" s="3">
        <v>102</v>
      </c>
      <c r="D3036" s="3">
        <v>2.44</v>
      </c>
      <c r="E3036" s="3" t="s">
        <v>3154</v>
      </c>
      <c r="F3036" s="3">
        <v>2.44</v>
      </c>
    </row>
    <row r="3037" spans="1:6" x14ac:dyDescent="0.25">
      <c r="A3037" s="2">
        <v>102253</v>
      </c>
      <c r="B3037" s="3">
        <v>151</v>
      </c>
      <c r="C3037" s="3">
        <v>102</v>
      </c>
      <c r="D3037" s="3">
        <v>97.2</v>
      </c>
      <c r="E3037" s="3" t="s">
        <v>3155</v>
      </c>
      <c r="F3037" s="3">
        <v>97.2</v>
      </c>
    </row>
    <row r="3038" spans="1:6" x14ac:dyDescent="0.25">
      <c r="A3038" s="2">
        <v>102254</v>
      </c>
      <c r="B3038" s="3">
        <v>152</v>
      </c>
      <c r="C3038" s="3">
        <v>102</v>
      </c>
      <c r="D3038" s="3">
        <v>51</v>
      </c>
      <c r="E3038" s="3" t="s">
        <v>3156</v>
      </c>
      <c r="F3038" s="3">
        <v>51</v>
      </c>
    </row>
    <row r="3039" spans="1:6" x14ac:dyDescent="0.25">
      <c r="A3039" s="2">
        <v>102255</v>
      </c>
      <c r="B3039" s="3">
        <v>153</v>
      </c>
      <c r="C3039" s="3">
        <v>102</v>
      </c>
      <c r="D3039" s="3">
        <v>211.2</v>
      </c>
      <c r="E3039" s="3" t="s">
        <v>3157</v>
      </c>
      <c r="F3039" s="3">
        <v>211.2</v>
      </c>
    </row>
    <row r="3040" spans="1:6" x14ac:dyDescent="0.25">
      <c r="A3040" s="2">
        <v>102256</v>
      </c>
      <c r="B3040" s="3">
        <v>154</v>
      </c>
      <c r="C3040" s="3">
        <v>102</v>
      </c>
      <c r="D3040" s="3">
        <v>2.91</v>
      </c>
      <c r="E3040" s="3" t="s">
        <v>3158</v>
      </c>
      <c r="F3040" s="3">
        <v>2.91</v>
      </c>
    </row>
    <row r="3041" spans="1:6" x14ac:dyDescent="0.25">
      <c r="A3041" s="2">
        <v>102257</v>
      </c>
      <c r="B3041" s="3">
        <v>155</v>
      </c>
      <c r="C3041" s="3">
        <v>102</v>
      </c>
      <c r="D3041" s="3">
        <v>24.5</v>
      </c>
      <c r="E3041" s="3" t="s">
        <v>3159</v>
      </c>
      <c r="F3041" s="3">
        <v>24.5</v>
      </c>
    </row>
    <row r="3042" spans="1:6" x14ac:dyDescent="0.25">
      <c r="A3042" s="2">
        <v>102258</v>
      </c>
      <c r="B3042" s="3">
        <v>156</v>
      </c>
      <c r="C3042" s="3">
        <v>102</v>
      </c>
      <c r="D3042" s="3">
        <v>1.1999999999999999E-3</v>
      </c>
      <c r="E3042" s="3" t="s">
        <v>3160</v>
      </c>
      <c r="F3042" s="3">
        <v>1.1999999999999999E-3</v>
      </c>
    </row>
    <row r="3043" spans="1:6" x14ac:dyDescent="0.25">
      <c r="A3043" s="2">
        <v>102259</v>
      </c>
      <c r="B3043" s="3">
        <v>157</v>
      </c>
      <c r="C3043" s="3">
        <v>102</v>
      </c>
      <c r="D3043" s="3">
        <v>3480</v>
      </c>
      <c r="E3043" s="3" t="s">
        <v>3161</v>
      </c>
      <c r="F3043" s="3">
        <v>3480</v>
      </c>
    </row>
    <row r="3044" spans="1:6" x14ac:dyDescent="0.25">
      <c r="A3044" s="2">
        <v>102260</v>
      </c>
      <c r="B3044" s="3">
        <v>158</v>
      </c>
      <c r="C3044" s="3">
        <v>102</v>
      </c>
      <c r="D3044" s="3">
        <v>0.106</v>
      </c>
      <c r="E3044" s="3" t="s">
        <v>3162</v>
      </c>
      <c r="F3044" s="3">
        <v>0.106</v>
      </c>
    </row>
    <row r="3045" spans="1:6" x14ac:dyDescent="0.25">
      <c r="A3045" s="2">
        <v>102262</v>
      </c>
      <c r="B3045" s="3">
        <v>160</v>
      </c>
      <c r="C3045" s="3">
        <v>102</v>
      </c>
      <c r="D3045" s="3">
        <v>5.0000000000000001E-3</v>
      </c>
      <c r="E3045" s="3" t="s">
        <v>3163</v>
      </c>
      <c r="F3045" s="3">
        <v>5.0000000000000001E-3</v>
      </c>
    </row>
    <row r="3046" spans="1:6" x14ac:dyDescent="0.25">
      <c r="A3046" s="2">
        <v>103252</v>
      </c>
      <c r="B3046" s="3">
        <v>149</v>
      </c>
      <c r="C3046" s="3">
        <v>103</v>
      </c>
      <c r="D3046" s="3">
        <v>0.36</v>
      </c>
      <c r="E3046" s="3" t="s">
        <v>3164</v>
      </c>
      <c r="F3046" s="3">
        <v>0.36</v>
      </c>
    </row>
    <row r="3047" spans="1:6" x14ac:dyDescent="0.25">
      <c r="A3047" s="2">
        <v>103253</v>
      </c>
      <c r="B3047" s="3">
        <v>150</v>
      </c>
      <c r="C3047" s="3">
        <v>103</v>
      </c>
      <c r="D3047" s="3">
        <v>0.56999999999999995</v>
      </c>
      <c r="E3047" s="3" t="s">
        <v>3165</v>
      </c>
      <c r="F3047" s="3">
        <v>0.56999999999999995</v>
      </c>
    </row>
    <row r="3048" spans="1:6" x14ac:dyDescent="0.25">
      <c r="A3048" s="2">
        <v>103254</v>
      </c>
      <c r="B3048" s="3">
        <v>151</v>
      </c>
      <c r="C3048" s="3">
        <v>103</v>
      </c>
      <c r="D3048" s="3">
        <v>18.399999999999999</v>
      </c>
      <c r="E3048" s="3" t="s">
        <v>3166</v>
      </c>
      <c r="F3048" s="3">
        <v>18.399999999999999</v>
      </c>
    </row>
    <row r="3049" spans="1:6" x14ac:dyDescent="0.25">
      <c r="A3049" s="2">
        <v>103255</v>
      </c>
      <c r="B3049" s="3">
        <v>152</v>
      </c>
      <c r="C3049" s="3">
        <v>103</v>
      </c>
      <c r="D3049" s="3">
        <v>31.1</v>
      </c>
      <c r="E3049" s="3" t="s">
        <v>3167</v>
      </c>
      <c r="F3049" s="3">
        <v>31.1</v>
      </c>
    </row>
    <row r="3050" spans="1:6" x14ac:dyDescent="0.25">
      <c r="A3050" s="2">
        <v>103256</v>
      </c>
      <c r="B3050" s="3">
        <v>153</v>
      </c>
      <c r="C3050" s="3">
        <v>103</v>
      </c>
      <c r="D3050" s="3">
        <v>27</v>
      </c>
      <c r="E3050" s="3" t="s">
        <v>3168</v>
      </c>
      <c r="F3050" s="3">
        <v>27</v>
      </c>
    </row>
    <row r="3051" spans="1:6" x14ac:dyDescent="0.25">
      <c r="A3051" s="2">
        <v>103257</v>
      </c>
      <c r="B3051" s="3">
        <v>154</v>
      </c>
      <c r="C3051" s="3">
        <v>103</v>
      </c>
      <c r="D3051" s="3">
        <v>4</v>
      </c>
      <c r="E3051" s="3" t="s">
        <v>3169</v>
      </c>
      <c r="F3051" s="3">
        <v>4</v>
      </c>
    </row>
    <row r="3052" spans="1:6" x14ac:dyDescent="0.25">
      <c r="A3052" s="2">
        <v>103258</v>
      </c>
      <c r="B3052" s="3">
        <v>155</v>
      </c>
      <c r="C3052" s="3">
        <v>103</v>
      </c>
      <c r="D3052" s="3">
        <v>4.0999999999999996</v>
      </c>
      <c r="E3052" s="3" t="s">
        <v>3170</v>
      </c>
      <c r="F3052" s="3">
        <v>4.0999999999999996</v>
      </c>
    </row>
    <row r="3053" spans="1:6" x14ac:dyDescent="0.25">
      <c r="A3053" s="2">
        <v>103259</v>
      </c>
      <c r="B3053" s="3">
        <v>156</v>
      </c>
      <c r="C3053" s="3">
        <v>103</v>
      </c>
      <c r="D3053" s="3">
        <v>6.2</v>
      </c>
      <c r="E3053" s="3" t="s">
        <v>3171</v>
      </c>
      <c r="F3053" s="3">
        <v>6.2</v>
      </c>
    </row>
    <row r="3054" spans="1:6" x14ac:dyDescent="0.25">
      <c r="A3054" s="2">
        <v>103260</v>
      </c>
      <c r="B3054" s="3">
        <v>157</v>
      </c>
      <c r="C3054" s="3">
        <v>103</v>
      </c>
      <c r="D3054" s="3">
        <v>180</v>
      </c>
      <c r="E3054" s="3" t="s">
        <v>3172</v>
      </c>
      <c r="F3054" s="3">
        <v>180</v>
      </c>
    </row>
    <row r="3055" spans="1:6" x14ac:dyDescent="0.25">
      <c r="A3055" s="2">
        <v>103261</v>
      </c>
      <c r="B3055" s="3">
        <v>158</v>
      </c>
      <c r="C3055" s="3">
        <v>103</v>
      </c>
      <c r="D3055" s="3">
        <v>2340</v>
      </c>
      <c r="E3055" s="3" t="s">
        <v>3173</v>
      </c>
      <c r="F3055" s="3">
        <v>2340</v>
      </c>
    </row>
    <row r="3056" spans="1:6" x14ac:dyDescent="0.25">
      <c r="A3056" s="2">
        <v>103262</v>
      </c>
      <c r="B3056" s="3">
        <v>159</v>
      </c>
      <c r="C3056" s="3">
        <v>103</v>
      </c>
      <c r="D3056" s="3">
        <v>14400</v>
      </c>
      <c r="E3056" s="3" t="s">
        <v>3174</v>
      </c>
      <c r="F3056" s="3">
        <v>14400</v>
      </c>
    </row>
    <row r="3057" spans="1:6" x14ac:dyDescent="0.25">
      <c r="A3057" s="2">
        <v>103266</v>
      </c>
      <c r="B3057" s="3">
        <v>163</v>
      </c>
      <c r="C3057" s="3">
        <v>103</v>
      </c>
      <c r="D3057" s="3">
        <v>39600</v>
      </c>
      <c r="E3057" s="3" t="s">
        <v>3175</v>
      </c>
      <c r="F3057" s="3">
        <v>39600</v>
      </c>
    </row>
    <row r="3058" spans="1:6" x14ac:dyDescent="0.25">
      <c r="A3058" s="2">
        <v>104253</v>
      </c>
      <c r="B3058" s="3">
        <v>149</v>
      </c>
      <c r="C3058" s="3">
        <v>104</v>
      </c>
      <c r="D3058" s="3">
        <v>4.8000000000000001E-5</v>
      </c>
      <c r="E3058" s="3" t="s">
        <v>3176</v>
      </c>
      <c r="F3058" s="3">
        <v>4.8000000000000001E-5</v>
      </c>
    </row>
    <row r="3059" spans="1:6" x14ac:dyDescent="0.25">
      <c r="A3059" s="2">
        <v>104254</v>
      </c>
      <c r="B3059" s="3">
        <v>150</v>
      </c>
      <c r="C3059" s="3">
        <v>104</v>
      </c>
      <c r="D3059" s="3">
        <v>2.3E-5</v>
      </c>
      <c r="E3059" s="3" t="s">
        <v>3177</v>
      </c>
      <c r="F3059" s="3">
        <v>2.3E-5</v>
      </c>
    </row>
    <row r="3060" spans="1:6" x14ac:dyDescent="0.25">
      <c r="A3060" s="2">
        <v>104255</v>
      </c>
      <c r="B3060" s="3">
        <v>151</v>
      </c>
      <c r="C3060" s="3">
        <v>104</v>
      </c>
      <c r="D3060" s="3">
        <v>1.68</v>
      </c>
      <c r="E3060" s="3" t="s">
        <v>3178</v>
      </c>
      <c r="F3060" s="3">
        <v>1.68</v>
      </c>
    </row>
    <row r="3061" spans="1:6" x14ac:dyDescent="0.25">
      <c r="A3061" s="2">
        <v>104256</v>
      </c>
      <c r="B3061" s="3">
        <v>152</v>
      </c>
      <c r="C3061" s="3">
        <v>104</v>
      </c>
      <c r="D3061" s="3">
        <v>6.6699999999999997E-3</v>
      </c>
      <c r="E3061" s="3" t="s">
        <v>3179</v>
      </c>
      <c r="F3061" s="3">
        <v>6.6699999999999997E-3</v>
      </c>
    </row>
    <row r="3062" spans="1:6" x14ac:dyDescent="0.25">
      <c r="A3062" s="2">
        <v>104257</v>
      </c>
      <c r="B3062" s="3">
        <v>153</v>
      </c>
      <c r="C3062" s="3">
        <v>104</v>
      </c>
      <c r="D3062" s="3">
        <v>4.4000000000000004</v>
      </c>
      <c r="E3062" s="3" t="s">
        <v>3180</v>
      </c>
      <c r="F3062" s="3">
        <v>4.4000000000000004</v>
      </c>
    </row>
    <row r="3063" spans="1:6" x14ac:dyDescent="0.25">
      <c r="A3063" s="2">
        <v>104258</v>
      </c>
      <c r="B3063" s="3">
        <v>154</v>
      </c>
      <c r="C3063" s="3">
        <v>104</v>
      </c>
      <c r="D3063" s="3">
        <v>1.47E-2</v>
      </c>
      <c r="E3063" s="3" t="s">
        <v>3181</v>
      </c>
      <c r="F3063" s="3">
        <v>1.47E-2</v>
      </c>
    </row>
    <row r="3064" spans="1:6" x14ac:dyDescent="0.25">
      <c r="A3064" s="2">
        <v>104259</v>
      </c>
      <c r="B3064" s="3">
        <v>155</v>
      </c>
      <c r="C3064" s="3">
        <v>104</v>
      </c>
      <c r="D3064" s="3">
        <v>2.4</v>
      </c>
      <c r="E3064" s="3" t="s">
        <v>3182</v>
      </c>
      <c r="F3064" s="3">
        <v>2.4</v>
      </c>
    </row>
    <row r="3065" spans="1:6" x14ac:dyDescent="0.25">
      <c r="A3065" s="2">
        <v>104260</v>
      </c>
      <c r="B3065" s="3">
        <v>156</v>
      </c>
      <c r="C3065" s="3">
        <v>104</v>
      </c>
      <c r="D3065" s="3">
        <v>2.1000000000000001E-2</v>
      </c>
      <c r="E3065" s="3" t="s">
        <v>3183</v>
      </c>
      <c r="F3065" s="3">
        <v>2.1000000000000001E-2</v>
      </c>
    </row>
    <row r="3066" spans="1:6" x14ac:dyDescent="0.25">
      <c r="A3066" s="2">
        <v>104261</v>
      </c>
      <c r="B3066" s="3">
        <v>157</v>
      </c>
      <c r="C3066" s="3">
        <v>104</v>
      </c>
      <c r="D3066" s="3">
        <v>68</v>
      </c>
      <c r="E3066" s="3" t="s">
        <v>3184</v>
      </c>
      <c r="F3066" s="3">
        <v>68</v>
      </c>
    </row>
    <row r="3067" spans="1:6" x14ac:dyDescent="0.25">
      <c r="A3067" s="2">
        <v>104262</v>
      </c>
      <c r="B3067" s="3">
        <v>158</v>
      </c>
      <c r="C3067" s="3">
        <v>104</v>
      </c>
      <c r="D3067" s="3">
        <v>2.2999999999999998</v>
      </c>
      <c r="E3067" s="3" t="s">
        <v>3185</v>
      </c>
      <c r="F3067" s="3">
        <v>2.2999999999999998</v>
      </c>
    </row>
    <row r="3068" spans="1:6" x14ac:dyDescent="0.25">
      <c r="A3068" s="2">
        <v>104263</v>
      </c>
      <c r="B3068" s="3">
        <v>159</v>
      </c>
      <c r="C3068" s="3">
        <v>104</v>
      </c>
      <c r="D3068" s="3">
        <v>600</v>
      </c>
      <c r="E3068" s="3" t="s">
        <v>3186</v>
      </c>
      <c r="F3068" s="3">
        <v>600</v>
      </c>
    </row>
    <row r="3069" spans="1:6" x14ac:dyDescent="0.25">
      <c r="A3069" s="2">
        <v>104265</v>
      </c>
      <c r="B3069" s="3">
        <v>161</v>
      </c>
      <c r="C3069" s="3">
        <v>104</v>
      </c>
      <c r="D3069" s="3">
        <v>60</v>
      </c>
      <c r="E3069" s="3" t="s">
        <v>3187</v>
      </c>
      <c r="F3069" s="3">
        <v>60</v>
      </c>
    </row>
    <row r="3070" spans="1:6" x14ac:dyDescent="0.25">
      <c r="A3070" s="2">
        <v>105255</v>
      </c>
      <c r="B3070" s="3">
        <v>150</v>
      </c>
      <c r="C3070" s="3">
        <v>105</v>
      </c>
      <c r="D3070" s="3">
        <v>1.6</v>
      </c>
      <c r="E3070" s="3" t="s">
        <v>3188</v>
      </c>
      <c r="F3070" s="3">
        <v>1.6</v>
      </c>
    </row>
    <row r="3071" spans="1:6" x14ac:dyDescent="0.25">
      <c r="A3071" s="2">
        <v>105256</v>
      </c>
      <c r="B3071" s="3">
        <v>151</v>
      </c>
      <c r="C3071" s="3">
        <v>105</v>
      </c>
      <c r="D3071" s="3">
        <v>1.6</v>
      </c>
      <c r="E3071" s="3" t="s">
        <v>3189</v>
      </c>
      <c r="F3071" s="3">
        <v>1.6</v>
      </c>
    </row>
    <row r="3072" spans="1:6" x14ac:dyDescent="0.25">
      <c r="A3072" s="2">
        <v>105257</v>
      </c>
      <c r="B3072" s="3">
        <v>152</v>
      </c>
      <c r="C3072" s="3">
        <v>105</v>
      </c>
      <c r="D3072" s="3">
        <v>2.2999999999999998</v>
      </c>
      <c r="E3072" s="3" t="s">
        <v>3190</v>
      </c>
      <c r="F3072" s="3">
        <v>2.2999999999999998</v>
      </c>
    </row>
    <row r="3073" spans="1:6" x14ac:dyDescent="0.25">
      <c r="A3073" s="2">
        <v>105258</v>
      </c>
      <c r="B3073" s="3">
        <v>153</v>
      </c>
      <c r="C3073" s="3">
        <v>105</v>
      </c>
      <c r="D3073" s="3">
        <v>4.2</v>
      </c>
      <c r="E3073" s="3" t="s">
        <v>3191</v>
      </c>
      <c r="F3073" s="3">
        <v>4.2</v>
      </c>
    </row>
    <row r="3074" spans="1:6" x14ac:dyDescent="0.25">
      <c r="A3074" s="2">
        <v>105259</v>
      </c>
      <c r="B3074" s="3">
        <v>154</v>
      </c>
      <c r="C3074" s="3">
        <v>105</v>
      </c>
      <c r="D3074" s="3">
        <v>0.51</v>
      </c>
      <c r="E3074" s="3" t="s">
        <v>3192</v>
      </c>
      <c r="F3074" s="3">
        <v>0.51</v>
      </c>
    </row>
    <row r="3075" spans="1:6" x14ac:dyDescent="0.25">
      <c r="A3075" s="2">
        <v>105260</v>
      </c>
      <c r="B3075" s="3">
        <v>155</v>
      </c>
      <c r="C3075" s="3">
        <v>105</v>
      </c>
      <c r="D3075" s="3">
        <v>1.52</v>
      </c>
      <c r="E3075" s="3" t="s">
        <v>3193</v>
      </c>
      <c r="F3075" s="3">
        <v>1.52</v>
      </c>
    </row>
    <row r="3076" spans="1:6" x14ac:dyDescent="0.25">
      <c r="A3076" s="2">
        <v>105261</v>
      </c>
      <c r="B3076" s="3">
        <v>156</v>
      </c>
      <c r="C3076" s="3">
        <v>105</v>
      </c>
      <c r="D3076" s="3">
        <v>1.8</v>
      </c>
      <c r="E3076" s="3" t="s">
        <v>3194</v>
      </c>
      <c r="F3076" s="3">
        <v>1.8</v>
      </c>
    </row>
    <row r="3077" spans="1:6" x14ac:dyDescent="0.25">
      <c r="A3077" s="2">
        <v>105262</v>
      </c>
      <c r="B3077" s="3">
        <v>157</v>
      </c>
      <c r="C3077" s="3">
        <v>105</v>
      </c>
      <c r="D3077" s="3">
        <v>35</v>
      </c>
      <c r="E3077" s="3" t="s">
        <v>3195</v>
      </c>
      <c r="F3077" s="3">
        <v>35</v>
      </c>
    </row>
    <row r="3078" spans="1:6" x14ac:dyDescent="0.25">
      <c r="A3078" s="2">
        <v>105263</v>
      </c>
      <c r="B3078" s="3">
        <v>158</v>
      </c>
      <c r="C3078" s="3">
        <v>105</v>
      </c>
      <c r="D3078" s="3">
        <v>27</v>
      </c>
      <c r="E3078" s="3" t="s">
        <v>3196</v>
      </c>
      <c r="F3078" s="3">
        <v>27</v>
      </c>
    </row>
    <row r="3079" spans="1:6" x14ac:dyDescent="0.25">
      <c r="A3079" s="2">
        <v>105267</v>
      </c>
      <c r="B3079" s="3">
        <v>162</v>
      </c>
      <c r="C3079" s="3">
        <v>105</v>
      </c>
      <c r="D3079" s="3">
        <v>4380</v>
      </c>
      <c r="E3079" s="3" t="s">
        <v>3197</v>
      </c>
      <c r="F3079" s="3">
        <v>4380</v>
      </c>
    </row>
    <row r="3080" spans="1:6" x14ac:dyDescent="0.25">
      <c r="A3080" s="2">
        <v>105268</v>
      </c>
      <c r="B3080" s="3">
        <v>163</v>
      </c>
      <c r="C3080" s="3">
        <v>105</v>
      </c>
      <c r="D3080" s="3">
        <v>115200</v>
      </c>
      <c r="E3080" s="3" t="s">
        <v>3198</v>
      </c>
      <c r="F3080" s="3">
        <v>115200</v>
      </c>
    </row>
    <row r="3081" spans="1:6" x14ac:dyDescent="0.25">
      <c r="A3081" s="2">
        <v>105270</v>
      </c>
      <c r="B3081" s="3">
        <v>165</v>
      </c>
      <c r="C3081" s="3">
        <v>105</v>
      </c>
      <c r="D3081" s="3">
        <v>3600</v>
      </c>
      <c r="E3081" s="3" t="s">
        <v>3199</v>
      </c>
      <c r="F3081" s="3">
        <v>3600</v>
      </c>
    </row>
    <row r="3082" spans="1:6" x14ac:dyDescent="0.25">
      <c r="A3082" s="2">
        <v>106258</v>
      </c>
      <c r="B3082" s="3">
        <v>152</v>
      </c>
      <c r="C3082" s="3">
        <v>106</v>
      </c>
      <c r="D3082" s="3">
        <v>2.8999999999999998E-3</v>
      </c>
      <c r="E3082" s="3" t="s">
        <v>3200</v>
      </c>
      <c r="F3082" s="3">
        <v>2.8999999999999998E-3</v>
      </c>
    </row>
    <row r="3083" spans="1:6" x14ac:dyDescent="0.25">
      <c r="A3083" s="2">
        <v>106259</v>
      </c>
      <c r="B3083" s="3">
        <v>153</v>
      </c>
      <c r="C3083" s="3">
        <v>106</v>
      </c>
      <c r="D3083" s="3">
        <v>0.28999999999999998</v>
      </c>
      <c r="E3083" s="3" t="s">
        <v>3201</v>
      </c>
      <c r="F3083" s="3">
        <v>0.28999999999999998</v>
      </c>
    </row>
    <row r="3084" spans="1:6" x14ac:dyDescent="0.25">
      <c r="A3084" s="2">
        <v>106260</v>
      </c>
      <c r="B3084" s="3">
        <v>154</v>
      </c>
      <c r="C3084" s="3">
        <v>106</v>
      </c>
      <c r="D3084" s="3">
        <v>4.9500000000000004E-3</v>
      </c>
      <c r="E3084" s="3" t="s">
        <v>3202</v>
      </c>
      <c r="F3084" s="3">
        <v>4.9500000000000004E-3</v>
      </c>
    </row>
    <row r="3085" spans="1:6" x14ac:dyDescent="0.25">
      <c r="A3085" s="2">
        <v>106261</v>
      </c>
      <c r="B3085" s="3">
        <v>155</v>
      </c>
      <c r="C3085" s="3">
        <v>106</v>
      </c>
      <c r="D3085" s="3">
        <v>0.17799999999999999</v>
      </c>
      <c r="E3085" s="3" t="s">
        <v>3203</v>
      </c>
      <c r="F3085" s="3">
        <v>0.17799999999999999</v>
      </c>
    </row>
    <row r="3086" spans="1:6" x14ac:dyDescent="0.25">
      <c r="A3086" s="2">
        <v>106262</v>
      </c>
      <c r="B3086" s="3">
        <v>156</v>
      </c>
      <c r="C3086" s="3">
        <v>106</v>
      </c>
      <c r="D3086" s="3">
        <v>6.8999999999999999E-3</v>
      </c>
      <c r="E3086" s="3" t="s">
        <v>3204</v>
      </c>
      <c r="F3086" s="3">
        <v>6.8999999999999999E-3</v>
      </c>
    </row>
    <row r="3087" spans="1:6" x14ac:dyDescent="0.25">
      <c r="A3087" s="2">
        <v>106263</v>
      </c>
      <c r="B3087" s="3">
        <v>157</v>
      </c>
      <c r="C3087" s="3">
        <v>106</v>
      </c>
      <c r="D3087" s="3">
        <v>1</v>
      </c>
      <c r="E3087" s="3" t="s">
        <v>3205</v>
      </c>
      <c r="F3087" s="3">
        <v>1</v>
      </c>
    </row>
    <row r="3088" spans="1:6" x14ac:dyDescent="0.25">
      <c r="A3088" s="2">
        <v>106264</v>
      </c>
      <c r="B3088" s="3">
        <v>158</v>
      </c>
      <c r="C3088" s="3">
        <v>106</v>
      </c>
      <c r="D3088" s="3">
        <v>3.6999999999999998E-2</v>
      </c>
      <c r="E3088" s="3" t="s">
        <v>3206</v>
      </c>
      <c r="F3088" s="3">
        <v>3.6999999999999998E-2</v>
      </c>
    </row>
    <row r="3089" spans="1:6" x14ac:dyDescent="0.25">
      <c r="A3089" s="2">
        <v>106265</v>
      </c>
      <c r="B3089" s="3">
        <v>159</v>
      </c>
      <c r="C3089" s="3">
        <v>106</v>
      </c>
      <c r="D3089" s="3">
        <v>14.4</v>
      </c>
      <c r="E3089" s="3" t="s">
        <v>3207</v>
      </c>
      <c r="F3089" s="3">
        <v>14.4</v>
      </c>
    </row>
    <row r="3090" spans="1:6" x14ac:dyDescent="0.25">
      <c r="A3090" s="2">
        <v>106266</v>
      </c>
      <c r="B3090" s="3">
        <v>160</v>
      </c>
      <c r="C3090" s="3">
        <v>106</v>
      </c>
      <c r="D3090" s="3">
        <v>21</v>
      </c>
      <c r="E3090" s="3" t="s">
        <v>3208</v>
      </c>
      <c r="F3090" s="3">
        <v>21</v>
      </c>
    </row>
    <row r="3091" spans="1:6" x14ac:dyDescent="0.25">
      <c r="A3091" s="2">
        <v>106269</v>
      </c>
      <c r="B3091" s="3">
        <v>163</v>
      </c>
      <c r="C3091" s="3">
        <v>106</v>
      </c>
      <c r="D3091" s="3">
        <v>186</v>
      </c>
      <c r="E3091" s="3" t="s">
        <v>3209</v>
      </c>
      <c r="F3091" s="3">
        <v>186</v>
      </c>
    </row>
    <row r="3092" spans="1:6" x14ac:dyDescent="0.25">
      <c r="A3092" s="2">
        <v>106271</v>
      </c>
      <c r="B3092" s="3">
        <v>165</v>
      </c>
      <c r="C3092" s="3">
        <v>106</v>
      </c>
      <c r="D3092" s="3">
        <v>144</v>
      </c>
      <c r="E3092" s="3" t="s">
        <v>3210</v>
      </c>
      <c r="F3092" s="3">
        <v>144</v>
      </c>
    </row>
    <row r="3093" spans="1:6" x14ac:dyDescent="0.25">
      <c r="A3093" s="2">
        <v>107260</v>
      </c>
      <c r="B3093" s="3">
        <v>153</v>
      </c>
      <c r="C3093" s="3">
        <v>107</v>
      </c>
      <c r="D3093" s="3">
        <v>3.5000000000000003E-2</v>
      </c>
      <c r="E3093" s="3" t="s">
        <v>3211</v>
      </c>
      <c r="F3093" s="3">
        <v>3.5000000000000003E-2</v>
      </c>
    </row>
    <row r="3094" spans="1:6" x14ac:dyDescent="0.25">
      <c r="A3094" s="2">
        <v>107261</v>
      </c>
      <c r="B3094" s="3">
        <v>154</v>
      </c>
      <c r="C3094" s="3">
        <v>107</v>
      </c>
      <c r="D3094" s="3">
        <v>1.18E-2</v>
      </c>
      <c r="E3094" s="3" t="s">
        <v>3212</v>
      </c>
      <c r="F3094" s="3">
        <v>1.18E-2</v>
      </c>
    </row>
    <row r="3095" spans="1:6" x14ac:dyDescent="0.25">
      <c r="A3095" s="2">
        <v>107262</v>
      </c>
      <c r="B3095" s="3">
        <v>155</v>
      </c>
      <c r="C3095" s="3">
        <v>107</v>
      </c>
      <c r="D3095" s="3">
        <v>2.1999999999999999E-2</v>
      </c>
      <c r="E3095" s="3" t="s">
        <v>3213</v>
      </c>
      <c r="F3095" s="3">
        <v>2.1999999999999999E-2</v>
      </c>
    </row>
    <row r="3096" spans="1:6" x14ac:dyDescent="0.25">
      <c r="A3096" s="2">
        <v>107264</v>
      </c>
      <c r="B3096" s="3">
        <v>157</v>
      </c>
      <c r="C3096" s="3">
        <v>107</v>
      </c>
      <c r="D3096" s="3">
        <v>0.44</v>
      </c>
      <c r="E3096" s="3" t="s">
        <v>3214</v>
      </c>
      <c r="F3096" s="3">
        <v>0.44</v>
      </c>
    </row>
    <row r="3097" spans="1:6" x14ac:dyDescent="0.25">
      <c r="A3097" s="2">
        <v>107265</v>
      </c>
      <c r="B3097" s="3">
        <v>158</v>
      </c>
      <c r="C3097" s="3">
        <v>107</v>
      </c>
      <c r="D3097" s="3">
        <v>0.9</v>
      </c>
      <c r="E3097" s="3" t="s">
        <v>3215</v>
      </c>
      <c r="F3097" s="3">
        <v>0.9</v>
      </c>
    </row>
    <row r="3098" spans="1:6" x14ac:dyDescent="0.25">
      <c r="A3098" s="2">
        <v>107266</v>
      </c>
      <c r="B3098" s="3">
        <v>159</v>
      </c>
      <c r="C3098" s="3">
        <v>107</v>
      </c>
      <c r="D3098" s="3">
        <v>1.7</v>
      </c>
      <c r="E3098" s="3" t="s">
        <v>3216</v>
      </c>
      <c r="F3098" s="3">
        <v>1.7</v>
      </c>
    </row>
    <row r="3099" spans="1:6" x14ac:dyDescent="0.25">
      <c r="A3099" s="2">
        <v>107267</v>
      </c>
      <c r="B3099" s="3">
        <v>160</v>
      </c>
      <c r="C3099" s="3">
        <v>107</v>
      </c>
      <c r="D3099" s="3">
        <v>17</v>
      </c>
      <c r="E3099" s="3" t="s">
        <v>3217</v>
      </c>
      <c r="F3099" s="3">
        <v>17</v>
      </c>
    </row>
    <row r="3100" spans="1:6" x14ac:dyDescent="0.25">
      <c r="A3100" s="2">
        <v>107270</v>
      </c>
      <c r="B3100" s="3">
        <v>163</v>
      </c>
      <c r="C3100" s="3">
        <v>107</v>
      </c>
      <c r="D3100" s="3">
        <v>60</v>
      </c>
      <c r="E3100" s="3" t="s">
        <v>3218</v>
      </c>
      <c r="F3100" s="3">
        <v>60</v>
      </c>
    </row>
    <row r="3101" spans="1:6" x14ac:dyDescent="0.25">
      <c r="A3101" s="2">
        <v>107272</v>
      </c>
      <c r="B3101" s="3">
        <v>165</v>
      </c>
      <c r="C3101" s="3">
        <v>107</v>
      </c>
      <c r="D3101" s="3">
        <v>10</v>
      </c>
      <c r="E3101" s="3" t="s">
        <v>3219</v>
      </c>
      <c r="F3101" s="3">
        <v>10</v>
      </c>
    </row>
    <row r="3102" spans="1:6" x14ac:dyDescent="0.25">
      <c r="A3102" s="2">
        <v>107274</v>
      </c>
      <c r="B3102" s="3">
        <v>167</v>
      </c>
      <c r="C3102" s="3">
        <v>107</v>
      </c>
      <c r="D3102" s="3">
        <v>54</v>
      </c>
      <c r="E3102" s="3" t="s">
        <v>3220</v>
      </c>
      <c r="F3102" s="3">
        <v>54</v>
      </c>
    </row>
    <row r="3103" spans="1:6" x14ac:dyDescent="0.25">
      <c r="A3103" s="2">
        <v>108263</v>
      </c>
      <c r="B3103" s="3">
        <v>155</v>
      </c>
      <c r="C3103" s="3">
        <v>108</v>
      </c>
      <c r="D3103" s="3">
        <v>7.3999999999999999E-4</v>
      </c>
      <c r="E3103" s="3" t="s">
        <v>3221</v>
      </c>
      <c r="F3103" s="3">
        <v>7.3999999999999999E-4</v>
      </c>
    </row>
    <row r="3104" spans="1:6" x14ac:dyDescent="0.25">
      <c r="A3104" s="2">
        <v>108264</v>
      </c>
      <c r="B3104" s="3">
        <v>156</v>
      </c>
      <c r="C3104" s="3">
        <v>108</v>
      </c>
      <c r="D3104" s="3">
        <v>8.0000000000000004E-4</v>
      </c>
      <c r="E3104" s="3" t="s">
        <v>3222</v>
      </c>
      <c r="F3104" s="3">
        <v>8.0000000000000004E-4</v>
      </c>
    </row>
    <row r="3105" spans="1:6" x14ac:dyDescent="0.25">
      <c r="A3105" s="2">
        <v>108265</v>
      </c>
      <c r="B3105" s="3">
        <v>157</v>
      </c>
      <c r="C3105" s="3">
        <v>108</v>
      </c>
      <c r="D3105" s="3">
        <v>1.9E-3</v>
      </c>
      <c r="E3105" s="3" t="s">
        <v>3223</v>
      </c>
      <c r="F3105" s="3">
        <v>1.9E-3</v>
      </c>
    </row>
    <row r="3106" spans="1:6" x14ac:dyDescent="0.25">
      <c r="A3106" s="2">
        <v>108266</v>
      </c>
      <c r="B3106" s="3">
        <v>158</v>
      </c>
      <c r="C3106" s="3">
        <v>108</v>
      </c>
      <c r="D3106" s="3">
        <v>2.3E-3</v>
      </c>
      <c r="E3106" s="3" t="s">
        <v>3224</v>
      </c>
      <c r="F3106" s="3">
        <v>2.3E-3</v>
      </c>
    </row>
    <row r="3107" spans="1:6" x14ac:dyDescent="0.25">
      <c r="A3107" s="2">
        <v>108267</v>
      </c>
      <c r="B3107" s="3">
        <v>159</v>
      </c>
      <c r="C3107" s="3">
        <v>108</v>
      </c>
      <c r="D3107" s="3">
        <v>5.1999999999999998E-2</v>
      </c>
      <c r="E3107" s="3" t="s">
        <v>3225</v>
      </c>
      <c r="F3107" s="3">
        <v>5.1999999999999998E-2</v>
      </c>
    </row>
    <row r="3108" spans="1:6" x14ac:dyDescent="0.25">
      <c r="A3108" s="2">
        <v>108268</v>
      </c>
      <c r="B3108" s="3">
        <v>160</v>
      </c>
      <c r="C3108" s="3">
        <v>108</v>
      </c>
      <c r="D3108" s="3">
        <v>0.4</v>
      </c>
      <c r="E3108" s="3" t="s">
        <v>3226</v>
      </c>
      <c r="F3108" s="3">
        <v>0.4</v>
      </c>
    </row>
    <row r="3109" spans="1:6" x14ac:dyDescent="0.25">
      <c r="A3109" s="2">
        <v>108269</v>
      </c>
      <c r="B3109" s="3">
        <v>161</v>
      </c>
      <c r="C3109" s="3">
        <v>108</v>
      </c>
      <c r="D3109" s="3">
        <v>9.6999999999999993</v>
      </c>
      <c r="E3109" s="3" t="s">
        <v>3227</v>
      </c>
      <c r="F3109" s="3">
        <v>9.6999999999999993</v>
      </c>
    </row>
    <row r="3110" spans="1:6" x14ac:dyDescent="0.25">
      <c r="A3110" s="2">
        <v>108270</v>
      </c>
      <c r="B3110" s="3">
        <v>162</v>
      </c>
      <c r="C3110" s="3">
        <v>108</v>
      </c>
      <c r="D3110" s="3">
        <v>22</v>
      </c>
      <c r="E3110" s="3" t="s">
        <v>3228</v>
      </c>
      <c r="F3110" s="3">
        <v>22</v>
      </c>
    </row>
    <row r="3111" spans="1:6" x14ac:dyDescent="0.25">
      <c r="A3111" s="2">
        <v>108273</v>
      </c>
      <c r="B3111" s="3">
        <v>165</v>
      </c>
      <c r="C3111" s="3">
        <v>108</v>
      </c>
      <c r="D3111" s="3">
        <v>0.76</v>
      </c>
      <c r="E3111" s="3" t="s">
        <v>3229</v>
      </c>
      <c r="F3111" s="3">
        <v>0.76</v>
      </c>
    </row>
    <row r="3112" spans="1:6" x14ac:dyDescent="0.25">
      <c r="A3112" s="2">
        <v>108275</v>
      </c>
      <c r="B3112" s="3">
        <v>167</v>
      </c>
      <c r="C3112" s="3">
        <v>108</v>
      </c>
      <c r="D3112" s="3">
        <v>0.15</v>
      </c>
      <c r="E3112" s="3" t="s">
        <v>3230</v>
      </c>
      <c r="F3112" s="3">
        <v>0.15</v>
      </c>
    </row>
    <row r="3113" spans="1:6" x14ac:dyDescent="0.25">
      <c r="A3113" s="2">
        <v>108277</v>
      </c>
      <c r="B3113" s="3">
        <v>169</v>
      </c>
      <c r="C3113" s="3">
        <v>108</v>
      </c>
      <c r="D3113" s="3">
        <v>3.0000000000000001E-3</v>
      </c>
      <c r="E3113" s="3" t="s">
        <v>3231</v>
      </c>
      <c r="F3113" s="3">
        <v>3.0000000000000001E-3</v>
      </c>
    </row>
    <row r="3114" spans="1:6" x14ac:dyDescent="0.25">
      <c r="A3114" s="2">
        <v>109266</v>
      </c>
      <c r="B3114" s="3">
        <v>157</v>
      </c>
      <c r="C3114" s="3">
        <v>109</v>
      </c>
      <c r="D3114" s="3">
        <v>1.6999999999999999E-3</v>
      </c>
      <c r="E3114" s="3" t="s">
        <v>3232</v>
      </c>
      <c r="F3114" s="3">
        <v>1.6999999999999999E-3</v>
      </c>
    </row>
    <row r="3115" spans="1:6" x14ac:dyDescent="0.25">
      <c r="A3115" s="2">
        <v>109268</v>
      </c>
      <c r="B3115" s="3">
        <v>159</v>
      </c>
      <c r="C3115" s="3">
        <v>109</v>
      </c>
      <c r="D3115" s="3">
        <v>2.1000000000000001E-2</v>
      </c>
      <c r="E3115" s="3" t="s">
        <v>3233</v>
      </c>
      <c r="F3115" s="3">
        <v>2.1000000000000001E-2</v>
      </c>
    </row>
    <row r="3116" spans="1:6" x14ac:dyDescent="0.25">
      <c r="A3116" s="2">
        <v>109270</v>
      </c>
      <c r="B3116" s="3">
        <v>161</v>
      </c>
      <c r="C3116" s="3">
        <v>109</v>
      </c>
      <c r="D3116" s="3">
        <v>5.0000000000000001E-3</v>
      </c>
      <c r="E3116" s="3" t="s">
        <v>3234</v>
      </c>
      <c r="F3116" s="3">
        <v>5.0000000000000001E-3</v>
      </c>
    </row>
    <row r="3117" spans="1:6" x14ac:dyDescent="0.25">
      <c r="A3117" s="2">
        <v>109274</v>
      </c>
      <c r="B3117" s="3">
        <v>165</v>
      </c>
      <c r="C3117" s="3">
        <v>109</v>
      </c>
      <c r="D3117" s="3">
        <v>0.44</v>
      </c>
      <c r="E3117" s="3" t="s">
        <v>3235</v>
      </c>
      <c r="F3117" s="3">
        <v>0.44</v>
      </c>
    </row>
    <row r="3118" spans="1:6" x14ac:dyDescent="0.25">
      <c r="A3118" s="2">
        <v>109275</v>
      </c>
      <c r="B3118" s="3">
        <v>166</v>
      </c>
      <c r="C3118" s="3">
        <v>109</v>
      </c>
      <c r="D3118" s="3">
        <v>9.7000000000000003E-3</v>
      </c>
      <c r="E3118" s="3" t="s">
        <v>3236</v>
      </c>
      <c r="F3118" s="3">
        <v>9.7000000000000003E-3</v>
      </c>
    </row>
    <row r="3119" spans="1:6" x14ac:dyDescent="0.25">
      <c r="A3119" s="2">
        <v>109276</v>
      </c>
      <c r="B3119" s="3">
        <v>167</v>
      </c>
      <c r="C3119" s="3">
        <v>109</v>
      </c>
      <c r="D3119" s="3">
        <v>0.72</v>
      </c>
      <c r="E3119" s="3" t="s">
        <v>3237</v>
      </c>
      <c r="F3119" s="3">
        <v>0.72</v>
      </c>
    </row>
    <row r="3120" spans="1:6" x14ac:dyDescent="0.25">
      <c r="A3120" s="2">
        <v>109277</v>
      </c>
      <c r="B3120" s="3">
        <v>168</v>
      </c>
      <c r="C3120" s="3">
        <v>109</v>
      </c>
      <c r="D3120" s="3">
        <v>5</v>
      </c>
      <c r="E3120" s="3" t="s">
        <v>3238</v>
      </c>
      <c r="F3120" s="3">
        <v>5</v>
      </c>
    </row>
    <row r="3121" spans="1:6" x14ac:dyDescent="0.25">
      <c r="A3121" s="2">
        <v>109278</v>
      </c>
      <c r="B3121" s="3">
        <v>169</v>
      </c>
      <c r="C3121" s="3">
        <v>109</v>
      </c>
      <c r="D3121" s="3">
        <v>8</v>
      </c>
      <c r="E3121" s="3" t="s">
        <v>3239</v>
      </c>
      <c r="F3121" s="3">
        <v>8</v>
      </c>
    </row>
    <row r="3122" spans="1:6" x14ac:dyDescent="0.25">
      <c r="A3122" s="2">
        <v>110267</v>
      </c>
      <c r="B3122" s="3">
        <v>157</v>
      </c>
      <c r="C3122" s="3">
        <v>110</v>
      </c>
      <c r="D3122" s="3">
        <v>2.7999999999999999E-6</v>
      </c>
      <c r="E3122" s="3" t="s">
        <v>3240</v>
      </c>
      <c r="F3122" s="3">
        <v>2.7999999999999999E-6</v>
      </c>
    </row>
    <row r="3123" spans="1:6" x14ac:dyDescent="0.25">
      <c r="A3123" s="2">
        <v>110269</v>
      </c>
      <c r="B3123" s="3">
        <v>159</v>
      </c>
      <c r="C3123" s="3">
        <v>110</v>
      </c>
      <c r="D3123" s="3">
        <v>1.7899999999999999E-4</v>
      </c>
      <c r="E3123" s="3" t="s">
        <v>3241</v>
      </c>
      <c r="F3123" s="3">
        <v>1.7899999999999999E-4</v>
      </c>
    </row>
    <row r="3124" spans="1:6" x14ac:dyDescent="0.25">
      <c r="A3124" s="2">
        <v>110270</v>
      </c>
      <c r="B3124" s="3">
        <v>160</v>
      </c>
      <c r="C3124" s="3">
        <v>110</v>
      </c>
      <c r="D3124" s="3">
        <v>1E-4</v>
      </c>
      <c r="E3124" s="3" t="s">
        <v>3242</v>
      </c>
      <c r="F3124" s="3">
        <v>1E-4</v>
      </c>
    </row>
    <row r="3125" spans="1:6" x14ac:dyDescent="0.25">
      <c r="A3125" s="2">
        <v>110271</v>
      </c>
      <c r="B3125" s="3">
        <v>161</v>
      </c>
      <c r="C3125" s="3">
        <v>110</v>
      </c>
      <c r="D3125" s="3">
        <v>1.6299999999999999E-3</v>
      </c>
      <c r="E3125" s="3" t="s">
        <v>3243</v>
      </c>
      <c r="F3125" s="3">
        <v>1.6299999999999999E-3</v>
      </c>
    </row>
    <row r="3126" spans="1:6" x14ac:dyDescent="0.25">
      <c r="A3126" s="2">
        <v>110273</v>
      </c>
      <c r="B3126" s="3">
        <v>163</v>
      </c>
      <c r="C3126" s="3">
        <v>110</v>
      </c>
      <c r="D3126" s="3">
        <v>1.7000000000000001E-4</v>
      </c>
      <c r="E3126" s="3" t="s">
        <v>3244</v>
      </c>
      <c r="F3126" s="3">
        <v>1.7000000000000001E-4</v>
      </c>
    </row>
    <row r="3127" spans="1:6" x14ac:dyDescent="0.25">
      <c r="A3127" s="2">
        <v>110277</v>
      </c>
      <c r="B3127" s="3">
        <v>167</v>
      </c>
      <c r="C3127" s="3">
        <v>110</v>
      </c>
      <c r="D3127" s="3">
        <v>4.0999999999999899E-3</v>
      </c>
      <c r="E3127" s="3" t="s">
        <v>3245</v>
      </c>
      <c r="F3127" s="3">
        <v>4.0999999999999899E-3</v>
      </c>
    </row>
    <row r="3128" spans="1:6" x14ac:dyDescent="0.25">
      <c r="A3128" s="2">
        <v>110279</v>
      </c>
      <c r="B3128" s="3">
        <v>169</v>
      </c>
      <c r="C3128" s="3">
        <v>110</v>
      </c>
      <c r="D3128" s="3">
        <v>0.18</v>
      </c>
      <c r="E3128" s="3" t="s">
        <v>3246</v>
      </c>
      <c r="F3128" s="3">
        <v>0.18</v>
      </c>
    </row>
    <row r="3129" spans="1:6" x14ac:dyDescent="0.25">
      <c r="A3129" s="2">
        <v>110281</v>
      </c>
      <c r="B3129" s="3">
        <v>171</v>
      </c>
      <c r="C3129" s="3">
        <v>110</v>
      </c>
      <c r="D3129" s="3">
        <v>13</v>
      </c>
      <c r="E3129" s="3" t="s">
        <v>3247</v>
      </c>
      <c r="F3129" s="3">
        <v>13</v>
      </c>
    </row>
    <row r="3130" spans="1:6" x14ac:dyDescent="0.25">
      <c r="A3130" s="2">
        <v>111272</v>
      </c>
      <c r="B3130" s="3">
        <v>161</v>
      </c>
      <c r="C3130" s="3">
        <v>111</v>
      </c>
      <c r="D3130" s="3">
        <v>3.8E-3</v>
      </c>
      <c r="E3130" s="3" t="s">
        <v>3248</v>
      </c>
      <c r="F3130" s="3">
        <v>3.8E-3</v>
      </c>
    </row>
    <row r="3131" spans="1:6" x14ac:dyDescent="0.25">
      <c r="A3131" s="2">
        <v>111274</v>
      </c>
      <c r="B3131" s="3">
        <v>163</v>
      </c>
      <c r="C3131" s="3">
        <v>111</v>
      </c>
      <c r="D3131" s="3">
        <v>6.4000000000000003E-3</v>
      </c>
      <c r="E3131" s="3" t="s">
        <v>3249</v>
      </c>
      <c r="F3131" s="3">
        <v>6.4000000000000003E-3</v>
      </c>
    </row>
    <row r="3132" spans="1:6" x14ac:dyDescent="0.25">
      <c r="A3132" s="2">
        <v>111278</v>
      </c>
      <c r="B3132" s="3">
        <v>167</v>
      </c>
      <c r="C3132" s="3">
        <v>111</v>
      </c>
      <c r="D3132" s="3">
        <v>4.1999999999999997E-3</v>
      </c>
      <c r="E3132" s="3" t="s">
        <v>3250</v>
      </c>
      <c r="F3132" s="3">
        <v>4.1999999999999997E-3</v>
      </c>
    </row>
    <row r="3133" spans="1:6" x14ac:dyDescent="0.25">
      <c r="A3133" s="2">
        <v>111279</v>
      </c>
      <c r="B3133" s="3">
        <v>168</v>
      </c>
      <c r="C3133" s="3">
        <v>111</v>
      </c>
      <c r="D3133" s="3">
        <v>0.17</v>
      </c>
      <c r="E3133" s="3" t="s">
        <v>3251</v>
      </c>
      <c r="F3133" s="3">
        <v>0.17</v>
      </c>
    </row>
    <row r="3134" spans="1:6" x14ac:dyDescent="0.25">
      <c r="A3134" s="2">
        <v>111280</v>
      </c>
      <c r="B3134" s="3">
        <v>169</v>
      </c>
      <c r="C3134" s="3">
        <v>111</v>
      </c>
      <c r="D3134" s="3">
        <v>3.6</v>
      </c>
      <c r="E3134" s="3" t="s">
        <v>3252</v>
      </c>
      <c r="F3134" s="3">
        <v>3.6</v>
      </c>
    </row>
    <row r="3135" spans="1:6" x14ac:dyDescent="0.25">
      <c r="A3135" s="2">
        <v>111281</v>
      </c>
      <c r="B3135" s="3">
        <v>170</v>
      </c>
      <c r="C3135" s="3">
        <v>111</v>
      </c>
      <c r="D3135" s="3">
        <v>17</v>
      </c>
      <c r="E3135" s="3" t="s">
        <v>3253</v>
      </c>
      <c r="F3135" s="3">
        <v>17</v>
      </c>
    </row>
    <row r="3136" spans="1:6" x14ac:dyDescent="0.25">
      <c r="A3136" s="2">
        <v>111282</v>
      </c>
      <c r="B3136" s="3">
        <v>171</v>
      </c>
      <c r="C3136" s="3">
        <v>111</v>
      </c>
      <c r="D3136" s="3">
        <v>0.5</v>
      </c>
      <c r="E3136" s="3" t="s">
        <v>3254</v>
      </c>
      <c r="F3136" s="3">
        <v>0.5</v>
      </c>
    </row>
    <row r="3137" spans="1:6" x14ac:dyDescent="0.25">
      <c r="A3137" s="2">
        <v>112281</v>
      </c>
      <c r="B3137" s="3">
        <v>169</v>
      </c>
      <c r="C3137" s="3">
        <v>112</v>
      </c>
      <c r="D3137" s="3">
        <v>0.13</v>
      </c>
      <c r="E3137" s="3" t="s">
        <v>3255</v>
      </c>
      <c r="F3137" s="3">
        <v>0.13</v>
      </c>
    </row>
    <row r="3138" spans="1:6" x14ac:dyDescent="0.25">
      <c r="A3138" s="2">
        <v>112282</v>
      </c>
      <c r="B3138" s="3">
        <v>170</v>
      </c>
      <c r="C3138" s="3">
        <v>112</v>
      </c>
      <c r="D3138" s="3">
        <v>5.0000000000000001E-4</v>
      </c>
      <c r="E3138" s="3" t="s">
        <v>3256</v>
      </c>
      <c r="F3138" s="3">
        <v>5.0000000000000001E-4</v>
      </c>
    </row>
    <row r="3139" spans="1:6" x14ac:dyDescent="0.25">
      <c r="A3139" s="2">
        <v>112283</v>
      </c>
      <c r="B3139" s="3">
        <v>171</v>
      </c>
      <c r="C3139" s="3">
        <v>112</v>
      </c>
      <c r="D3139" s="3">
        <v>4</v>
      </c>
      <c r="E3139" s="3" t="s">
        <v>3257</v>
      </c>
      <c r="F3139" s="3">
        <v>4</v>
      </c>
    </row>
    <row r="3140" spans="1:6" x14ac:dyDescent="0.25">
      <c r="A3140" s="2">
        <v>112284</v>
      </c>
      <c r="B3140" s="3">
        <v>172</v>
      </c>
      <c r="C3140" s="3">
        <v>112</v>
      </c>
      <c r="D3140" s="3">
        <v>0.10100000000000001</v>
      </c>
      <c r="E3140" s="3" t="s">
        <v>3258</v>
      </c>
      <c r="F3140" s="3">
        <v>0.10100000000000001</v>
      </c>
    </row>
    <row r="3141" spans="1:6" x14ac:dyDescent="0.25">
      <c r="A3141" s="2">
        <v>112285</v>
      </c>
      <c r="B3141" s="3">
        <v>173</v>
      </c>
      <c r="C3141" s="3">
        <v>112</v>
      </c>
      <c r="D3141" s="3">
        <v>30</v>
      </c>
      <c r="E3141" s="3" t="s">
        <v>3259</v>
      </c>
      <c r="F3141" s="3">
        <v>30</v>
      </c>
    </row>
    <row r="3142" spans="1:6" x14ac:dyDescent="0.25">
      <c r="A3142" s="2">
        <v>113278</v>
      </c>
      <c r="B3142" s="3">
        <v>165</v>
      </c>
      <c r="C3142" s="3">
        <v>113</v>
      </c>
      <c r="D3142" s="3">
        <v>2.4000000000000001E-4</v>
      </c>
      <c r="E3142" s="3" t="s">
        <v>3260</v>
      </c>
      <c r="F3142" s="3">
        <v>2.4000000000000001E-4</v>
      </c>
    </row>
    <row r="3143" spans="1:6" x14ac:dyDescent="0.25">
      <c r="A3143" s="2">
        <v>113282</v>
      </c>
      <c r="B3143" s="3">
        <v>169</v>
      </c>
      <c r="C3143" s="3">
        <v>113</v>
      </c>
      <c r="D3143" s="3">
        <v>7.0000000000000007E-2</v>
      </c>
      <c r="E3143" s="3" t="s">
        <v>3261</v>
      </c>
      <c r="F3143" s="3">
        <v>7.0000000000000007E-2</v>
      </c>
    </row>
    <row r="3144" spans="1:6" x14ac:dyDescent="0.25">
      <c r="A3144" s="2">
        <v>113283</v>
      </c>
      <c r="B3144" s="3">
        <v>170</v>
      </c>
      <c r="C3144" s="3">
        <v>113</v>
      </c>
      <c r="D3144" s="3">
        <v>0.1</v>
      </c>
      <c r="E3144" s="3" t="s">
        <v>3262</v>
      </c>
      <c r="F3144" s="3">
        <v>0.1</v>
      </c>
    </row>
    <row r="3145" spans="1:6" x14ac:dyDescent="0.25">
      <c r="A3145" s="2">
        <v>113284</v>
      </c>
      <c r="B3145" s="3">
        <v>171</v>
      </c>
      <c r="C3145" s="3">
        <v>113</v>
      </c>
      <c r="D3145" s="3">
        <v>0.48</v>
      </c>
      <c r="E3145" s="3" t="s">
        <v>3263</v>
      </c>
      <c r="F3145" s="3">
        <v>0.48</v>
      </c>
    </row>
    <row r="3146" spans="1:6" x14ac:dyDescent="0.25">
      <c r="A3146" s="2">
        <v>113285</v>
      </c>
      <c r="B3146" s="3">
        <v>172</v>
      </c>
      <c r="C3146" s="3">
        <v>113</v>
      </c>
      <c r="D3146" s="3">
        <v>5.5</v>
      </c>
      <c r="E3146" s="3" t="s">
        <v>3264</v>
      </c>
      <c r="F3146" s="3">
        <v>5.5</v>
      </c>
    </row>
    <row r="3147" spans="1:6" x14ac:dyDescent="0.25">
      <c r="A3147" s="2">
        <v>113286</v>
      </c>
      <c r="B3147" s="3">
        <v>173</v>
      </c>
      <c r="C3147" s="3">
        <v>113</v>
      </c>
      <c r="D3147" s="3">
        <v>20</v>
      </c>
      <c r="E3147" s="3" t="s">
        <v>3265</v>
      </c>
      <c r="F3147" s="3">
        <v>20</v>
      </c>
    </row>
    <row r="3148" spans="1:6" x14ac:dyDescent="0.25">
      <c r="A3148" s="2">
        <v>114284</v>
      </c>
      <c r="B3148" s="3">
        <v>170</v>
      </c>
      <c r="C3148" s="3">
        <v>114</v>
      </c>
      <c r="D3148" s="3">
        <v>2.5000000000000001E-3</v>
      </c>
      <c r="E3148" s="3" t="s">
        <v>3266</v>
      </c>
      <c r="F3148" s="3">
        <v>2.5000000000000001E-3</v>
      </c>
    </row>
    <row r="3149" spans="1:6" x14ac:dyDescent="0.25">
      <c r="A3149" s="2">
        <v>114285</v>
      </c>
      <c r="B3149" s="3">
        <v>171</v>
      </c>
      <c r="C3149" s="3">
        <v>114</v>
      </c>
      <c r="D3149" s="3">
        <v>0.15</v>
      </c>
      <c r="E3149" s="3" t="s">
        <v>3267</v>
      </c>
      <c r="F3149" s="3">
        <v>0.15</v>
      </c>
    </row>
    <row r="3150" spans="1:6" x14ac:dyDescent="0.25">
      <c r="A3150" s="2">
        <v>114286</v>
      </c>
      <c r="B3150" s="3">
        <v>172</v>
      </c>
      <c r="C3150" s="3">
        <v>114</v>
      </c>
      <c r="D3150" s="3">
        <v>0.16</v>
      </c>
      <c r="E3150" s="3" t="s">
        <v>3268</v>
      </c>
      <c r="F3150" s="3">
        <v>0.16</v>
      </c>
    </row>
    <row r="3151" spans="1:6" x14ac:dyDescent="0.25">
      <c r="A3151" s="2">
        <v>114287</v>
      </c>
      <c r="B3151" s="3">
        <v>173</v>
      </c>
      <c r="C3151" s="3">
        <v>114</v>
      </c>
      <c r="D3151" s="3">
        <v>0.51</v>
      </c>
      <c r="E3151" s="3" t="s">
        <v>3269</v>
      </c>
      <c r="F3151" s="3">
        <v>0.51</v>
      </c>
    </row>
    <row r="3152" spans="1:6" x14ac:dyDescent="0.25">
      <c r="A3152" s="2">
        <v>114288</v>
      </c>
      <c r="B3152" s="3">
        <v>174</v>
      </c>
      <c r="C3152" s="3">
        <v>114</v>
      </c>
      <c r="D3152" s="3">
        <v>0.52</v>
      </c>
      <c r="E3152" s="3" t="s">
        <v>3270</v>
      </c>
      <c r="F3152" s="3">
        <v>0.52</v>
      </c>
    </row>
    <row r="3153" spans="1:6" x14ac:dyDescent="0.25">
      <c r="A3153" s="2">
        <v>114289</v>
      </c>
      <c r="B3153" s="3">
        <v>175</v>
      </c>
      <c r="C3153" s="3">
        <v>114</v>
      </c>
      <c r="D3153" s="3">
        <v>0.97</v>
      </c>
      <c r="E3153" s="3" t="s">
        <v>3271</v>
      </c>
      <c r="F3153" s="3">
        <v>0.97</v>
      </c>
    </row>
    <row r="3154" spans="1:6" x14ac:dyDescent="0.25">
      <c r="A3154" s="2">
        <v>115287</v>
      </c>
      <c r="B3154" s="3">
        <v>172</v>
      </c>
      <c r="C3154" s="3">
        <v>115</v>
      </c>
      <c r="D3154" s="3">
        <v>3.2000000000000001E-2</v>
      </c>
      <c r="E3154" s="3" t="s">
        <v>3272</v>
      </c>
      <c r="F3154" s="3">
        <v>3.2000000000000001E-2</v>
      </c>
    </row>
    <row r="3155" spans="1:6" x14ac:dyDescent="0.25">
      <c r="A3155" s="2">
        <v>115288</v>
      </c>
      <c r="B3155" s="3">
        <v>173</v>
      </c>
      <c r="C3155" s="3">
        <v>115</v>
      </c>
      <c r="D3155" s="3">
        <v>8.6999999999999994E-2</v>
      </c>
      <c r="E3155" s="3" t="s">
        <v>3273</v>
      </c>
      <c r="F3155" s="3">
        <v>8.6999999999999994E-2</v>
      </c>
    </row>
    <row r="3156" spans="1:6" x14ac:dyDescent="0.25">
      <c r="A3156" s="2">
        <v>115289</v>
      </c>
      <c r="B3156" s="3">
        <v>174</v>
      </c>
      <c r="C3156" s="3">
        <v>115</v>
      </c>
      <c r="D3156" s="3">
        <v>0.22</v>
      </c>
      <c r="E3156" s="3" t="s">
        <v>3274</v>
      </c>
      <c r="F3156" s="3">
        <v>0.22</v>
      </c>
    </row>
    <row r="3157" spans="1:6" x14ac:dyDescent="0.25">
      <c r="A3157" s="2">
        <v>115290</v>
      </c>
      <c r="B3157" s="3">
        <v>175</v>
      </c>
      <c r="C3157" s="3">
        <v>115</v>
      </c>
      <c r="D3157" s="3">
        <v>1.6E-2</v>
      </c>
      <c r="E3157" s="3" t="s">
        <v>3275</v>
      </c>
      <c r="F3157" s="3">
        <v>1.6E-2</v>
      </c>
    </row>
    <row r="3158" spans="1:6" x14ac:dyDescent="0.25">
      <c r="A3158" s="2">
        <v>116290</v>
      </c>
      <c r="B3158" s="3">
        <v>174</v>
      </c>
      <c r="C3158" s="3">
        <v>116</v>
      </c>
      <c r="D3158" s="3">
        <v>1.4999999999999999E-2</v>
      </c>
      <c r="E3158" s="3" t="s">
        <v>3276</v>
      </c>
      <c r="F3158" s="3">
        <v>1.4999999999999999E-2</v>
      </c>
    </row>
    <row r="3159" spans="1:6" x14ac:dyDescent="0.25">
      <c r="A3159" s="2">
        <v>116291</v>
      </c>
      <c r="B3159" s="3">
        <v>175</v>
      </c>
      <c r="C3159" s="3">
        <v>116</v>
      </c>
      <c r="D3159" s="3">
        <v>6.3E-3</v>
      </c>
      <c r="E3159" s="3" t="s">
        <v>3277</v>
      </c>
      <c r="F3159" s="3">
        <v>6.3E-3</v>
      </c>
    </row>
    <row r="3160" spans="1:6" x14ac:dyDescent="0.25">
      <c r="A3160" s="2">
        <v>116292</v>
      </c>
      <c r="B3160" s="3">
        <v>176</v>
      </c>
      <c r="C3160" s="3">
        <v>116</v>
      </c>
      <c r="D3160" s="3">
        <v>1.7999999999999999E-2</v>
      </c>
      <c r="E3160" s="3" t="s">
        <v>3278</v>
      </c>
      <c r="F3160" s="3">
        <v>1.7999999999999999E-2</v>
      </c>
    </row>
    <row r="3161" spans="1:6" x14ac:dyDescent="0.25">
      <c r="A3161" s="2">
        <v>116293</v>
      </c>
      <c r="B3161" s="3">
        <v>177</v>
      </c>
      <c r="C3161" s="3">
        <v>116</v>
      </c>
      <c r="D3161" s="3">
        <v>5.2999999999999999E-2</v>
      </c>
      <c r="E3161" s="3" t="s">
        <v>3279</v>
      </c>
      <c r="F3161" s="3">
        <v>5.2999999999999999E-2</v>
      </c>
    </row>
    <row r="3162" spans="1:6" x14ac:dyDescent="0.25">
      <c r="A3162" s="2">
        <v>117293</v>
      </c>
      <c r="B3162" s="3">
        <v>176</v>
      </c>
      <c r="C3162" s="3">
        <v>117</v>
      </c>
      <c r="D3162" s="3">
        <v>1.4E-2</v>
      </c>
      <c r="E3162" s="3" t="s">
        <v>3280</v>
      </c>
      <c r="F3162" s="3">
        <v>1.4E-2</v>
      </c>
    </row>
    <row r="3163" spans="1:6" x14ac:dyDescent="0.25">
      <c r="A3163" s="2">
        <v>117294</v>
      </c>
      <c r="B3163" s="3">
        <v>177</v>
      </c>
      <c r="C3163" s="3">
        <v>117</v>
      </c>
      <c r="D3163" s="3">
        <v>0.08</v>
      </c>
      <c r="E3163" s="3" t="s">
        <v>3281</v>
      </c>
      <c r="F3163" s="3">
        <v>0.08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1:Q2207"/>
  <sheetViews>
    <sheetView topLeftCell="A2035" workbookViewId="0">
      <selection activeCell="P9" sqref="P9:Q2080"/>
    </sheetView>
  </sheetViews>
  <sheetFormatPr defaultRowHeight="14.25" x14ac:dyDescent="0.2"/>
  <sheetData>
    <row r="1" spans="2:17" x14ac:dyDescent="0.2">
      <c r="B1" t="s">
        <v>3282</v>
      </c>
    </row>
    <row r="3" spans="2:17" hidden="1" x14ac:dyDescent="0.2">
      <c r="B3" s="1">
        <v>1001</v>
      </c>
      <c r="C3" s="1">
        <v>0</v>
      </c>
      <c r="G3" s="1">
        <v>1001</v>
      </c>
      <c r="H3" s="1">
        <v>0</v>
      </c>
      <c r="L3" s="1">
        <v>1001</v>
      </c>
      <c r="M3" s="1">
        <v>0</v>
      </c>
      <c r="P3" s="1">
        <v>1001</v>
      </c>
      <c r="Q3" s="1">
        <v>0</v>
      </c>
    </row>
    <row r="4" spans="2:17" hidden="1" x14ac:dyDescent="0.2">
      <c r="B4" s="1">
        <v>1002</v>
      </c>
      <c r="C4" s="1">
        <v>0</v>
      </c>
      <c r="G4" s="1">
        <v>1002</v>
      </c>
      <c r="H4" s="1">
        <v>0</v>
      </c>
      <c r="L4" s="1">
        <v>1002</v>
      </c>
      <c r="M4" s="1">
        <v>0</v>
      </c>
      <c r="P4" s="1">
        <v>1002</v>
      </c>
      <c r="Q4" s="1">
        <v>0</v>
      </c>
    </row>
    <row r="5" spans="2:17" hidden="1" x14ac:dyDescent="0.2">
      <c r="B5" s="1">
        <v>1003</v>
      </c>
      <c r="C5" s="1">
        <v>0</v>
      </c>
      <c r="G5" s="1">
        <v>1003</v>
      </c>
      <c r="H5" s="1">
        <v>0</v>
      </c>
      <c r="L5" s="1">
        <v>1003</v>
      </c>
      <c r="M5" s="1">
        <v>0</v>
      </c>
      <c r="P5" s="1">
        <v>1003</v>
      </c>
      <c r="Q5" s="1">
        <v>0</v>
      </c>
    </row>
    <row r="6" spans="2:17" hidden="1" x14ac:dyDescent="0.2">
      <c r="B6" s="1">
        <v>2003</v>
      </c>
      <c r="C6" s="1">
        <v>0</v>
      </c>
      <c r="G6" s="1">
        <v>2003</v>
      </c>
      <c r="H6" s="1">
        <v>0</v>
      </c>
      <c r="L6" s="1">
        <v>2003</v>
      </c>
      <c r="M6" s="1">
        <v>0</v>
      </c>
      <c r="P6" s="1">
        <v>2003</v>
      </c>
      <c r="Q6" s="1">
        <v>0</v>
      </c>
    </row>
    <row r="7" spans="2:17" hidden="1" x14ac:dyDescent="0.2">
      <c r="B7" s="1">
        <v>2004</v>
      </c>
      <c r="C7" s="1">
        <v>0</v>
      </c>
      <c r="G7" s="1">
        <v>2004</v>
      </c>
      <c r="H7" s="1">
        <v>0</v>
      </c>
      <c r="L7" s="1">
        <v>2004</v>
      </c>
      <c r="M7" s="1">
        <v>0</v>
      </c>
      <c r="P7" s="1">
        <v>2004</v>
      </c>
      <c r="Q7" s="1">
        <v>0</v>
      </c>
    </row>
    <row r="8" spans="2:17" hidden="1" x14ac:dyDescent="0.2">
      <c r="B8" s="1">
        <v>2005</v>
      </c>
      <c r="C8" s="1">
        <v>0</v>
      </c>
      <c r="G8" s="1">
        <v>2005</v>
      </c>
      <c r="H8" s="1">
        <v>0</v>
      </c>
      <c r="L8" s="1">
        <v>2005</v>
      </c>
      <c r="M8" s="1">
        <v>0</v>
      </c>
      <c r="P8" s="1">
        <v>2005</v>
      </c>
      <c r="Q8" s="1">
        <v>0</v>
      </c>
    </row>
    <row r="9" spans="2:17" x14ac:dyDescent="0.2">
      <c r="B9" s="1">
        <v>2006</v>
      </c>
      <c r="C9" s="1">
        <v>0</v>
      </c>
      <c r="G9" s="1">
        <v>2006</v>
      </c>
      <c r="H9" s="1">
        <v>0</v>
      </c>
      <c r="L9" s="1">
        <v>2006</v>
      </c>
      <c r="M9" s="1">
        <v>0</v>
      </c>
      <c r="P9" s="1">
        <v>2006</v>
      </c>
      <c r="Q9" s="1">
        <v>3.4899999999999998E-10</v>
      </c>
    </row>
    <row r="10" spans="2:17" hidden="1" x14ac:dyDescent="0.2">
      <c r="B10" s="1">
        <v>2007</v>
      </c>
      <c r="C10" s="1">
        <v>0</v>
      </c>
      <c r="G10" s="1">
        <v>2007</v>
      </c>
      <c r="H10" s="1">
        <v>0</v>
      </c>
      <c r="L10" s="1">
        <v>2007</v>
      </c>
      <c r="M10" s="1">
        <v>0</v>
      </c>
      <c r="P10" s="1">
        <v>2007</v>
      </c>
      <c r="Q10" s="1">
        <v>0</v>
      </c>
    </row>
    <row r="11" spans="2:17" hidden="1" x14ac:dyDescent="0.2">
      <c r="B11" s="1">
        <v>2008</v>
      </c>
      <c r="C11" s="1">
        <v>0</v>
      </c>
      <c r="G11" s="1">
        <v>2008</v>
      </c>
      <c r="H11" s="1">
        <v>0</v>
      </c>
      <c r="L11" s="1">
        <v>2008</v>
      </c>
      <c r="M11" s="1">
        <v>0</v>
      </c>
      <c r="P11" s="1">
        <v>2008</v>
      </c>
      <c r="Q11" s="1">
        <v>0</v>
      </c>
    </row>
    <row r="12" spans="2:17" hidden="1" x14ac:dyDescent="0.2">
      <c r="B12" s="1">
        <v>3005</v>
      </c>
      <c r="C12" s="1">
        <v>0</v>
      </c>
      <c r="G12" s="1">
        <v>3005</v>
      </c>
      <c r="H12" s="1">
        <v>0</v>
      </c>
      <c r="L12" s="1">
        <v>3005</v>
      </c>
      <c r="M12" s="1">
        <v>0</v>
      </c>
      <c r="P12" s="1">
        <v>3005</v>
      </c>
      <c r="Q12" s="1">
        <v>0</v>
      </c>
    </row>
    <row r="13" spans="2:17" x14ac:dyDescent="0.2">
      <c r="B13" s="1">
        <v>3006</v>
      </c>
      <c r="C13" s="1">
        <v>0</v>
      </c>
      <c r="G13" s="1">
        <v>3006</v>
      </c>
      <c r="H13" s="1">
        <v>0</v>
      </c>
      <c r="L13" s="1">
        <v>3006</v>
      </c>
      <c r="M13" s="1">
        <v>0</v>
      </c>
      <c r="P13" s="1">
        <v>3006</v>
      </c>
      <c r="Q13" s="1">
        <v>1.4398299999999999E-6</v>
      </c>
    </row>
    <row r="14" spans="2:17" x14ac:dyDescent="0.2">
      <c r="B14" s="1">
        <v>3007</v>
      </c>
      <c r="C14" s="1">
        <v>0</v>
      </c>
      <c r="G14" s="1">
        <v>3007</v>
      </c>
      <c r="H14" s="1">
        <v>0</v>
      </c>
      <c r="L14" s="1">
        <v>3007</v>
      </c>
      <c r="M14" s="1">
        <v>0</v>
      </c>
      <c r="P14" s="1">
        <v>3007</v>
      </c>
      <c r="Q14" s="1">
        <v>9.0914499999999998E-7</v>
      </c>
    </row>
    <row r="15" spans="2:17" x14ac:dyDescent="0.2">
      <c r="B15" s="1">
        <v>3008</v>
      </c>
      <c r="C15" s="1">
        <v>0</v>
      </c>
      <c r="G15" s="1">
        <v>3008</v>
      </c>
      <c r="H15" s="1">
        <v>0</v>
      </c>
      <c r="L15" s="1">
        <v>3008</v>
      </c>
      <c r="M15" s="1">
        <v>0</v>
      </c>
      <c r="P15" s="1">
        <v>3008</v>
      </c>
      <c r="Q15" s="1">
        <v>2.094E-10</v>
      </c>
    </row>
    <row r="16" spans="2:17" hidden="1" x14ac:dyDescent="0.2">
      <c r="B16" s="1">
        <v>3009</v>
      </c>
      <c r="C16" s="1">
        <v>0</v>
      </c>
      <c r="G16" s="1">
        <v>3009</v>
      </c>
      <c r="H16" s="1">
        <v>0</v>
      </c>
      <c r="L16" s="1">
        <v>3009</v>
      </c>
      <c r="M16" s="1">
        <v>0</v>
      </c>
      <c r="P16" s="1">
        <v>3009</v>
      </c>
      <c r="Q16" s="1">
        <v>0</v>
      </c>
    </row>
    <row r="17" spans="2:17" hidden="1" x14ac:dyDescent="0.2">
      <c r="B17" s="1">
        <v>3010</v>
      </c>
      <c r="C17" s="1">
        <v>0</v>
      </c>
      <c r="G17" s="1">
        <v>3010</v>
      </c>
      <c r="H17" s="1">
        <v>0</v>
      </c>
      <c r="L17" s="1">
        <v>3010</v>
      </c>
      <c r="M17" s="1">
        <v>0</v>
      </c>
      <c r="P17" s="1">
        <v>3010</v>
      </c>
      <c r="Q17" s="1">
        <v>0</v>
      </c>
    </row>
    <row r="18" spans="2:17" hidden="1" x14ac:dyDescent="0.2">
      <c r="B18" s="1">
        <v>3011</v>
      </c>
      <c r="C18" s="1">
        <v>0</v>
      </c>
      <c r="G18" s="1">
        <v>3011</v>
      </c>
      <c r="H18" s="1">
        <v>0</v>
      </c>
      <c r="L18" s="1">
        <v>3011</v>
      </c>
      <c r="M18" s="1">
        <v>0</v>
      </c>
      <c r="P18" s="1">
        <v>3011</v>
      </c>
      <c r="Q18" s="1">
        <v>0</v>
      </c>
    </row>
    <row r="19" spans="2:17" hidden="1" x14ac:dyDescent="0.2">
      <c r="B19" s="1">
        <v>4006</v>
      </c>
      <c r="C19" s="1">
        <v>0</v>
      </c>
      <c r="G19" s="1">
        <v>4006</v>
      </c>
      <c r="H19" s="1">
        <v>0</v>
      </c>
      <c r="L19" s="1">
        <v>4006</v>
      </c>
      <c r="M19" s="1">
        <v>0</v>
      </c>
      <c r="P19" s="1">
        <v>4006</v>
      </c>
      <c r="Q19" s="1">
        <v>0</v>
      </c>
    </row>
    <row r="20" spans="2:17" x14ac:dyDescent="0.2">
      <c r="B20" s="1">
        <v>4007</v>
      </c>
      <c r="C20" s="1">
        <v>0</v>
      </c>
      <c r="G20" s="1">
        <v>4007</v>
      </c>
      <c r="H20" s="1">
        <v>0</v>
      </c>
      <c r="L20" s="1">
        <v>4007</v>
      </c>
      <c r="M20" s="1">
        <v>0</v>
      </c>
      <c r="P20" s="1">
        <v>4007</v>
      </c>
      <c r="Q20" s="1">
        <v>3.3959800000000001E-6</v>
      </c>
    </row>
    <row r="21" spans="2:17" hidden="1" x14ac:dyDescent="0.2">
      <c r="B21" s="1">
        <v>4008</v>
      </c>
      <c r="C21" s="1">
        <v>0</v>
      </c>
      <c r="G21" s="1">
        <v>4008</v>
      </c>
      <c r="H21" s="1">
        <v>0</v>
      </c>
      <c r="L21" s="1">
        <v>4008</v>
      </c>
      <c r="M21" s="1">
        <v>0</v>
      </c>
      <c r="P21" s="1">
        <v>4008</v>
      </c>
      <c r="Q21" s="1">
        <v>0</v>
      </c>
    </row>
    <row r="22" spans="2:17" x14ac:dyDescent="0.2">
      <c r="B22" s="1">
        <v>4009</v>
      </c>
      <c r="C22" s="1">
        <v>0</v>
      </c>
      <c r="G22" s="1">
        <v>4009</v>
      </c>
      <c r="H22" s="1">
        <v>0</v>
      </c>
      <c r="L22" s="1">
        <v>4009</v>
      </c>
      <c r="M22" s="1">
        <v>0</v>
      </c>
      <c r="P22" s="1">
        <v>4009</v>
      </c>
      <c r="Q22" s="1">
        <v>7.8490100000000002E-7</v>
      </c>
    </row>
    <row r="23" spans="2:17" x14ac:dyDescent="0.2">
      <c r="B23" s="1">
        <v>4010</v>
      </c>
      <c r="C23" s="1">
        <v>0</v>
      </c>
      <c r="G23" s="1">
        <v>4010</v>
      </c>
      <c r="H23" s="1">
        <v>0</v>
      </c>
      <c r="L23" s="1">
        <v>4010</v>
      </c>
      <c r="M23" s="1">
        <v>0</v>
      </c>
      <c r="P23" s="1">
        <v>4010</v>
      </c>
      <c r="Q23" s="1">
        <v>1.2319699999999999E-7</v>
      </c>
    </row>
    <row r="24" spans="2:17" hidden="1" x14ac:dyDescent="0.2">
      <c r="B24" s="1">
        <v>4011</v>
      </c>
      <c r="C24" s="1">
        <v>0</v>
      </c>
      <c r="G24" s="1">
        <v>4011</v>
      </c>
      <c r="H24" s="1">
        <v>0</v>
      </c>
      <c r="L24" s="1">
        <v>4011</v>
      </c>
      <c r="M24" s="1">
        <v>0</v>
      </c>
      <c r="P24" s="1">
        <v>4011</v>
      </c>
      <c r="Q24" s="1">
        <v>0</v>
      </c>
    </row>
    <row r="25" spans="2:17" hidden="1" x14ac:dyDescent="0.2">
      <c r="B25" s="1">
        <v>4012</v>
      </c>
      <c r="C25" s="1">
        <v>0</v>
      </c>
      <c r="G25" s="1">
        <v>4012</v>
      </c>
      <c r="H25" s="1">
        <v>0</v>
      </c>
      <c r="L25" s="1">
        <v>4012</v>
      </c>
      <c r="M25" s="1">
        <v>0</v>
      </c>
      <c r="P25" s="1">
        <v>4012</v>
      </c>
      <c r="Q25" s="1">
        <v>0</v>
      </c>
    </row>
    <row r="26" spans="2:17" hidden="1" x14ac:dyDescent="0.2">
      <c r="B26" s="1">
        <v>4013</v>
      </c>
      <c r="C26" s="1">
        <v>0</v>
      </c>
      <c r="G26" s="1">
        <v>4013</v>
      </c>
      <c r="H26" s="1">
        <v>0</v>
      </c>
      <c r="L26" s="1">
        <v>4013</v>
      </c>
      <c r="M26" s="1">
        <v>0</v>
      </c>
      <c r="P26" s="1">
        <v>4013</v>
      </c>
      <c r="Q26" s="1">
        <v>0</v>
      </c>
    </row>
    <row r="27" spans="2:17" hidden="1" x14ac:dyDescent="0.2">
      <c r="B27" s="1">
        <v>4014</v>
      </c>
      <c r="C27" s="1">
        <v>0</v>
      </c>
      <c r="G27" s="1">
        <v>4014</v>
      </c>
      <c r="H27" s="1">
        <v>0</v>
      </c>
      <c r="L27" s="1">
        <v>4014</v>
      </c>
      <c r="M27" s="1">
        <v>0</v>
      </c>
      <c r="P27" s="1">
        <v>4014</v>
      </c>
      <c r="Q27" s="1">
        <v>0</v>
      </c>
    </row>
    <row r="28" spans="2:17" x14ac:dyDescent="0.2">
      <c r="B28" s="1">
        <v>5008</v>
      </c>
      <c r="C28" s="1">
        <v>0</v>
      </c>
      <c r="G28" s="1">
        <v>5008</v>
      </c>
      <c r="H28" s="1">
        <v>0</v>
      </c>
      <c r="L28" s="1">
        <v>5008</v>
      </c>
      <c r="M28" s="1">
        <v>0</v>
      </c>
      <c r="P28" s="1">
        <v>5008</v>
      </c>
      <c r="Q28" s="1">
        <v>5.5839999999999995E-10</v>
      </c>
    </row>
    <row r="29" spans="2:17" hidden="1" x14ac:dyDescent="0.2">
      <c r="B29" s="1">
        <v>5009</v>
      </c>
      <c r="C29" s="1">
        <v>0</v>
      </c>
      <c r="G29" s="1">
        <v>5009</v>
      </c>
      <c r="H29" s="1">
        <v>0</v>
      </c>
      <c r="L29" s="1">
        <v>5009</v>
      </c>
      <c r="M29" s="1">
        <v>0</v>
      </c>
      <c r="P29" s="1">
        <v>5009</v>
      </c>
      <c r="Q29" s="1">
        <v>0</v>
      </c>
    </row>
    <row r="30" spans="2:17" x14ac:dyDescent="0.2">
      <c r="B30" s="1">
        <v>5010</v>
      </c>
      <c r="C30" s="1">
        <v>0</v>
      </c>
      <c r="G30" s="1">
        <v>5010</v>
      </c>
      <c r="H30" s="1">
        <v>0</v>
      </c>
      <c r="L30" s="1">
        <v>5010</v>
      </c>
      <c r="M30" s="1">
        <v>0</v>
      </c>
      <c r="P30" s="1">
        <v>5010</v>
      </c>
      <c r="Q30" s="1">
        <v>6.3307199999999999E-6</v>
      </c>
    </row>
    <row r="31" spans="2:17" x14ac:dyDescent="0.2">
      <c r="B31" s="1">
        <v>5011</v>
      </c>
      <c r="C31" s="1">
        <v>0</v>
      </c>
      <c r="G31" s="1">
        <v>5011</v>
      </c>
      <c r="H31" s="1">
        <v>0</v>
      </c>
      <c r="L31" s="1">
        <v>5011</v>
      </c>
      <c r="M31" s="1">
        <v>0</v>
      </c>
      <c r="P31" s="1">
        <v>5011</v>
      </c>
      <c r="Q31" s="1">
        <v>3.3235899999999998E-5</v>
      </c>
    </row>
    <row r="32" spans="2:17" hidden="1" x14ac:dyDescent="0.2">
      <c r="B32" s="1">
        <v>5012</v>
      </c>
      <c r="C32" s="1">
        <v>0</v>
      </c>
      <c r="G32" s="1">
        <v>5012</v>
      </c>
      <c r="H32" s="1">
        <v>0</v>
      </c>
      <c r="L32" s="1">
        <v>5012</v>
      </c>
      <c r="M32" s="1">
        <v>0</v>
      </c>
      <c r="P32" s="1">
        <v>5012</v>
      </c>
      <c r="Q32" s="1">
        <v>0</v>
      </c>
    </row>
    <row r="33" spans="2:17" hidden="1" x14ac:dyDescent="0.2">
      <c r="B33" s="1">
        <v>5013</v>
      </c>
      <c r="C33" s="1">
        <v>0</v>
      </c>
      <c r="G33" s="1">
        <v>5013</v>
      </c>
      <c r="H33" s="1">
        <v>0</v>
      </c>
      <c r="L33" s="1">
        <v>5013</v>
      </c>
      <c r="M33" s="1">
        <v>0</v>
      </c>
      <c r="P33" s="1">
        <v>5013</v>
      </c>
      <c r="Q33" s="1">
        <v>0</v>
      </c>
    </row>
    <row r="34" spans="2:17" hidden="1" x14ac:dyDescent="0.2">
      <c r="B34" s="1">
        <v>5014</v>
      </c>
      <c r="C34" s="1">
        <v>0</v>
      </c>
      <c r="G34" s="1">
        <v>5014</v>
      </c>
      <c r="H34" s="1">
        <v>0</v>
      </c>
      <c r="L34" s="1">
        <v>5014</v>
      </c>
      <c r="M34" s="1">
        <v>0</v>
      </c>
      <c r="P34" s="1">
        <v>5014</v>
      </c>
      <c r="Q34" s="1">
        <v>0</v>
      </c>
    </row>
    <row r="35" spans="2:17" hidden="1" x14ac:dyDescent="0.2">
      <c r="B35" s="1">
        <v>5015</v>
      </c>
      <c r="C35" s="1">
        <v>0</v>
      </c>
      <c r="G35" s="1">
        <v>5015</v>
      </c>
      <c r="H35" s="1">
        <v>0</v>
      </c>
      <c r="L35" s="1">
        <v>5015</v>
      </c>
      <c r="M35" s="1">
        <v>0</v>
      </c>
      <c r="P35" s="1">
        <v>5015</v>
      </c>
      <c r="Q35" s="1">
        <v>0</v>
      </c>
    </row>
    <row r="36" spans="2:17" hidden="1" x14ac:dyDescent="0.2">
      <c r="B36" s="1">
        <v>5016</v>
      </c>
      <c r="C36" s="1">
        <v>0</v>
      </c>
      <c r="G36" s="1">
        <v>5016</v>
      </c>
      <c r="H36" s="1">
        <v>0</v>
      </c>
      <c r="L36" s="1">
        <v>5016</v>
      </c>
      <c r="M36" s="1">
        <v>0</v>
      </c>
      <c r="P36" s="1">
        <v>5016</v>
      </c>
      <c r="Q36" s="1">
        <v>0</v>
      </c>
    </row>
    <row r="37" spans="2:17" hidden="1" x14ac:dyDescent="0.2">
      <c r="B37" s="1">
        <v>5017</v>
      </c>
      <c r="C37" s="1">
        <v>0</v>
      </c>
      <c r="G37" s="1">
        <v>5017</v>
      </c>
      <c r="H37" s="1">
        <v>0</v>
      </c>
      <c r="L37" s="1">
        <v>5017</v>
      </c>
      <c r="M37" s="1">
        <v>0</v>
      </c>
      <c r="P37" s="1">
        <v>5017</v>
      </c>
      <c r="Q37" s="1">
        <v>0</v>
      </c>
    </row>
    <row r="38" spans="2:17" hidden="1" x14ac:dyDescent="0.2">
      <c r="B38" s="1">
        <v>6008</v>
      </c>
      <c r="C38" s="1">
        <v>0</v>
      </c>
      <c r="G38" s="1">
        <v>6008</v>
      </c>
      <c r="H38" s="1">
        <v>0</v>
      </c>
      <c r="L38" s="1">
        <v>6008</v>
      </c>
      <c r="M38" s="1">
        <v>0</v>
      </c>
      <c r="P38" s="1">
        <v>6008</v>
      </c>
      <c r="Q38" s="1">
        <v>0</v>
      </c>
    </row>
    <row r="39" spans="2:17" hidden="1" x14ac:dyDescent="0.2">
      <c r="B39" s="1">
        <v>6009</v>
      </c>
      <c r="C39" s="1">
        <v>0</v>
      </c>
      <c r="G39" s="1">
        <v>6009</v>
      </c>
      <c r="H39" s="1">
        <v>0</v>
      </c>
      <c r="L39" s="1">
        <v>6009</v>
      </c>
      <c r="M39" s="1">
        <v>0</v>
      </c>
      <c r="P39" s="1">
        <v>6009</v>
      </c>
      <c r="Q39" s="1">
        <v>0</v>
      </c>
    </row>
    <row r="40" spans="2:17" x14ac:dyDescent="0.2">
      <c r="B40" s="1">
        <v>6010</v>
      </c>
      <c r="C40" s="1">
        <v>0</v>
      </c>
      <c r="G40" s="1">
        <v>6010</v>
      </c>
      <c r="H40" s="1">
        <v>0</v>
      </c>
      <c r="L40" s="1">
        <v>6010</v>
      </c>
      <c r="M40" s="1">
        <v>0</v>
      </c>
      <c r="P40" s="1">
        <v>6010</v>
      </c>
      <c r="Q40" s="1">
        <v>1.43788E-8</v>
      </c>
    </row>
    <row r="41" spans="2:17" x14ac:dyDescent="0.2">
      <c r="B41" s="1">
        <v>6011</v>
      </c>
      <c r="C41" s="1">
        <v>0</v>
      </c>
      <c r="G41" s="1">
        <v>6011</v>
      </c>
      <c r="H41" s="1">
        <v>0</v>
      </c>
      <c r="L41" s="1">
        <v>6011</v>
      </c>
      <c r="M41" s="1">
        <v>0</v>
      </c>
      <c r="P41" s="1">
        <v>6011</v>
      </c>
      <c r="Q41" s="1">
        <v>8.1646499999999998E-6</v>
      </c>
    </row>
    <row r="42" spans="2:17" hidden="1" x14ac:dyDescent="0.2">
      <c r="B42" s="1">
        <v>6012</v>
      </c>
      <c r="C42" s="1">
        <v>0</v>
      </c>
      <c r="G42" s="1">
        <v>6012</v>
      </c>
      <c r="H42" s="1">
        <v>0</v>
      </c>
      <c r="L42" s="1">
        <v>6012</v>
      </c>
      <c r="M42" s="1">
        <v>0</v>
      </c>
      <c r="P42" s="1">
        <v>6012</v>
      </c>
      <c r="Q42" s="1">
        <v>0</v>
      </c>
    </row>
    <row r="43" spans="2:17" hidden="1" x14ac:dyDescent="0.2">
      <c r="B43" s="1">
        <v>6013</v>
      </c>
      <c r="C43" s="1">
        <v>0</v>
      </c>
      <c r="G43" s="1">
        <v>6013</v>
      </c>
      <c r="H43" s="1">
        <v>0</v>
      </c>
      <c r="L43" s="1">
        <v>6013</v>
      </c>
      <c r="M43" s="1">
        <v>0</v>
      </c>
      <c r="P43" s="1">
        <v>6013</v>
      </c>
      <c r="Q43" s="1">
        <v>0</v>
      </c>
    </row>
    <row r="44" spans="2:17" hidden="1" x14ac:dyDescent="0.2">
      <c r="B44" s="1">
        <v>6014</v>
      </c>
      <c r="C44" s="1">
        <v>0</v>
      </c>
      <c r="G44" s="1">
        <v>6014</v>
      </c>
      <c r="H44" s="1">
        <v>0</v>
      </c>
      <c r="L44" s="1">
        <v>6014</v>
      </c>
      <c r="M44" s="1">
        <v>0</v>
      </c>
      <c r="P44" s="1">
        <v>6014</v>
      </c>
      <c r="Q44" s="1">
        <v>0</v>
      </c>
    </row>
    <row r="45" spans="2:17" hidden="1" x14ac:dyDescent="0.2">
      <c r="B45" s="1">
        <v>6015</v>
      </c>
      <c r="C45" s="1">
        <v>0</v>
      </c>
      <c r="G45" s="1">
        <v>6015</v>
      </c>
      <c r="H45" s="1">
        <v>0</v>
      </c>
      <c r="L45" s="1">
        <v>6015</v>
      </c>
      <c r="M45" s="1">
        <v>0</v>
      </c>
      <c r="P45" s="1">
        <v>6015</v>
      </c>
      <c r="Q45" s="1">
        <v>0</v>
      </c>
    </row>
    <row r="46" spans="2:17" hidden="1" x14ac:dyDescent="0.2">
      <c r="B46" s="1">
        <v>6016</v>
      </c>
      <c r="C46" s="1">
        <v>0</v>
      </c>
      <c r="G46" s="1">
        <v>6016</v>
      </c>
      <c r="H46" s="1">
        <v>0</v>
      </c>
      <c r="L46" s="1">
        <v>6016</v>
      </c>
      <c r="M46" s="1">
        <v>0</v>
      </c>
      <c r="P46" s="1">
        <v>6016</v>
      </c>
      <c r="Q46" s="1">
        <v>0</v>
      </c>
    </row>
    <row r="47" spans="2:17" hidden="1" x14ac:dyDescent="0.2">
      <c r="B47" s="1">
        <v>6017</v>
      </c>
      <c r="C47" s="1">
        <v>0</v>
      </c>
      <c r="G47" s="1">
        <v>6017</v>
      </c>
      <c r="H47" s="1">
        <v>0</v>
      </c>
      <c r="L47" s="1">
        <v>6017</v>
      </c>
      <c r="M47" s="1">
        <v>0</v>
      </c>
      <c r="P47" s="1">
        <v>6017</v>
      </c>
      <c r="Q47" s="1">
        <v>0</v>
      </c>
    </row>
    <row r="48" spans="2:17" hidden="1" x14ac:dyDescent="0.2">
      <c r="B48" s="1">
        <v>6018</v>
      </c>
      <c r="C48" s="1">
        <v>0</v>
      </c>
      <c r="G48" s="1">
        <v>6018</v>
      </c>
      <c r="H48" s="1">
        <v>0</v>
      </c>
      <c r="L48" s="1">
        <v>6018</v>
      </c>
      <c r="M48" s="1">
        <v>0</v>
      </c>
      <c r="P48" s="1">
        <v>6018</v>
      </c>
      <c r="Q48" s="1">
        <v>0</v>
      </c>
    </row>
    <row r="49" spans="2:17" hidden="1" x14ac:dyDescent="0.2">
      <c r="B49" s="1">
        <v>6019</v>
      </c>
      <c r="C49" s="1">
        <v>0</v>
      </c>
      <c r="G49" s="1">
        <v>6019</v>
      </c>
      <c r="H49" s="1">
        <v>0</v>
      </c>
      <c r="L49" s="1">
        <v>6019</v>
      </c>
      <c r="M49" s="1">
        <v>0</v>
      </c>
      <c r="P49" s="1">
        <v>6019</v>
      </c>
      <c r="Q49" s="1">
        <v>0</v>
      </c>
    </row>
    <row r="50" spans="2:17" hidden="1" x14ac:dyDescent="0.2">
      <c r="B50" s="1">
        <v>6020</v>
      </c>
      <c r="C50" s="1">
        <v>0</v>
      </c>
      <c r="G50" s="1">
        <v>6020</v>
      </c>
      <c r="H50" s="1">
        <v>0</v>
      </c>
      <c r="L50" s="1">
        <v>6020</v>
      </c>
      <c r="M50" s="1">
        <v>0</v>
      </c>
      <c r="P50" s="1">
        <v>6020</v>
      </c>
      <c r="Q50" s="1">
        <v>0</v>
      </c>
    </row>
    <row r="51" spans="2:17" hidden="1" x14ac:dyDescent="0.2">
      <c r="B51" s="1">
        <v>7011</v>
      </c>
      <c r="C51" s="1">
        <v>0</v>
      </c>
      <c r="G51" s="1">
        <v>7011</v>
      </c>
      <c r="H51" s="1">
        <v>0</v>
      </c>
      <c r="L51" s="1">
        <v>7011</v>
      </c>
      <c r="M51" s="1">
        <v>0</v>
      </c>
      <c r="P51" s="1">
        <v>7011</v>
      </c>
      <c r="Q51" s="1">
        <v>0</v>
      </c>
    </row>
    <row r="52" spans="2:17" hidden="1" x14ac:dyDescent="0.2">
      <c r="B52" s="1">
        <v>7012</v>
      </c>
      <c r="C52" s="1">
        <v>0</v>
      </c>
      <c r="G52" s="1">
        <v>7012</v>
      </c>
      <c r="H52" s="1">
        <v>0</v>
      </c>
      <c r="L52" s="1">
        <v>7012</v>
      </c>
      <c r="M52" s="1">
        <v>0</v>
      </c>
      <c r="P52" s="1">
        <v>7012</v>
      </c>
      <c r="Q52" s="1">
        <v>0</v>
      </c>
    </row>
    <row r="53" spans="2:17" hidden="1" x14ac:dyDescent="0.2">
      <c r="B53" s="1">
        <v>7013</v>
      </c>
      <c r="C53" s="1">
        <v>0</v>
      </c>
      <c r="G53" s="1">
        <v>7013</v>
      </c>
      <c r="H53" s="1">
        <v>0</v>
      </c>
      <c r="L53" s="1">
        <v>7013</v>
      </c>
      <c r="M53" s="1">
        <v>0</v>
      </c>
      <c r="P53" s="1">
        <v>7013</v>
      </c>
      <c r="Q53" s="1">
        <v>0</v>
      </c>
    </row>
    <row r="54" spans="2:17" hidden="1" x14ac:dyDescent="0.2">
      <c r="B54" s="1">
        <v>7014</v>
      </c>
      <c r="C54" s="1">
        <v>0</v>
      </c>
      <c r="G54" s="1">
        <v>7014</v>
      </c>
      <c r="H54" s="1">
        <v>0</v>
      </c>
      <c r="L54" s="1">
        <v>7014</v>
      </c>
      <c r="M54" s="1">
        <v>0</v>
      </c>
      <c r="P54" s="1">
        <v>7014</v>
      </c>
      <c r="Q54" s="1">
        <v>0</v>
      </c>
    </row>
    <row r="55" spans="2:17" hidden="1" x14ac:dyDescent="0.2">
      <c r="B55" s="1">
        <v>7015</v>
      </c>
      <c r="C55" s="1">
        <v>0</v>
      </c>
      <c r="G55" s="1">
        <v>7015</v>
      </c>
      <c r="H55" s="1">
        <v>0</v>
      </c>
      <c r="L55" s="1">
        <v>7015</v>
      </c>
      <c r="M55" s="1">
        <v>0</v>
      </c>
      <c r="P55" s="1">
        <v>7015</v>
      </c>
      <c r="Q55" s="1">
        <v>0</v>
      </c>
    </row>
    <row r="56" spans="2:17" hidden="1" x14ac:dyDescent="0.2">
      <c r="B56" s="1">
        <v>7016</v>
      </c>
      <c r="C56" s="1">
        <v>0</v>
      </c>
      <c r="G56" s="1">
        <v>7016</v>
      </c>
      <c r="H56" s="1">
        <v>0</v>
      </c>
      <c r="L56" s="1">
        <v>7016</v>
      </c>
      <c r="M56" s="1">
        <v>0</v>
      </c>
      <c r="P56" s="1">
        <v>7016</v>
      </c>
      <c r="Q56" s="1">
        <v>0</v>
      </c>
    </row>
    <row r="57" spans="2:17" hidden="1" x14ac:dyDescent="0.2">
      <c r="B57" s="1">
        <v>7017</v>
      </c>
      <c r="C57" s="1">
        <v>0</v>
      </c>
      <c r="G57" s="1">
        <v>7017</v>
      </c>
      <c r="H57" s="1">
        <v>0</v>
      </c>
      <c r="L57" s="1">
        <v>7017</v>
      </c>
      <c r="M57" s="1">
        <v>0</v>
      </c>
      <c r="P57" s="1">
        <v>7017</v>
      </c>
      <c r="Q57" s="1">
        <v>0</v>
      </c>
    </row>
    <row r="58" spans="2:17" hidden="1" x14ac:dyDescent="0.2">
      <c r="B58" s="1">
        <v>7018</v>
      </c>
      <c r="C58" s="1">
        <v>0</v>
      </c>
      <c r="G58" s="1">
        <v>7018</v>
      </c>
      <c r="H58" s="1">
        <v>0</v>
      </c>
      <c r="L58" s="1">
        <v>7018</v>
      </c>
      <c r="M58" s="1">
        <v>0</v>
      </c>
      <c r="P58" s="1">
        <v>7018</v>
      </c>
      <c r="Q58" s="1">
        <v>0</v>
      </c>
    </row>
    <row r="59" spans="2:17" hidden="1" x14ac:dyDescent="0.2">
      <c r="B59" s="1">
        <v>7019</v>
      </c>
      <c r="C59" s="1">
        <v>0</v>
      </c>
      <c r="G59" s="1">
        <v>7019</v>
      </c>
      <c r="H59" s="1">
        <v>0</v>
      </c>
      <c r="L59" s="1">
        <v>7019</v>
      </c>
      <c r="M59" s="1">
        <v>0</v>
      </c>
      <c r="P59" s="1">
        <v>7019</v>
      </c>
      <c r="Q59" s="1">
        <v>0</v>
      </c>
    </row>
    <row r="60" spans="2:17" hidden="1" x14ac:dyDescent="0.2">
      <c r="B60" s="1">
        <v>7020</v>
      </c>
      <c r="C60" s="1">
        <v>0</v>
      </c>
      <c r="G60" s="1">
        <v>7020</v>
      </c>
      <c r="H60" s="1">
        <v>0</v>
      </c>
      <c r="L60" s="1">
        <v>7020</v>
      </c>
      <c r="M60" s="1">
        <v>0</v>
      </c>
      <c r="P60" s="1">
        <v>7020</v>
      </c>
      <c r="Q60" s="1">
        <v>0</v>
      </c>
    </row>
    <row r="61" spans="2:17" hidden="1" x14ac:dyDescent="0.2">
      <c r="B61" s="1">
        <v>7021</v>
      </c>
      <c r="C61" s="1">
        <v>0</v>
      </c>
      <c r="G61" s="1">
        <v>7021</v>
      </c>
      <c r="H61" s="1">
        <v>0</v>
      </c>
      <c r="L61" s="1">
        <v>7021</v>
      </c>
      <c r="M61" s="1">
        <v>0</v>
      </c>
      <c r="P61" s="1">
        <v>7021</v>
      </c>
      <c r="Q61" s="1">
        <v>0</v>
      </c>
    </row>
    <row r="62" spans="2:17" hidden="1" x14ac:dyDescent="0.2">
      <c r="B62" s="1">
        <v>7022</v>
      </c>
      <c r="C62" s="1">
        <v>0</v>
      </c>
      <c r="G62" s="1">
        <v>7022</v>
      </c>
      <c r="H62" s="1">
        <v>0</v>
      </c>
      <c r="L62" s="1">
        <v>7022</v>
      </c>
      <c r="M62" s="1">
        <v>0</v>
      </c>
      <c r="P62" s="1">
        <v>7022</v>
      </c>
      <c r="Q62" s="1">
        <v>0</v>
      </c>
    </row>
    <row r="63" spans="2:17" hidden="1" x14ac:dyDescent="0.2">
      <c r="B63" s="1">
        <v>7023</v>
      </c>
      <c r="C63" s="1">
        <v>0</v>
      </c>
      <c r="G63" s="1">
        <v>7023</v>
      </c>
      <c r="H63" s="1">
        <v>0</v>
      </c>
      <c r="L63" s="1">
        <v>7023</v>
      </c>
      <c r="M63" s="1">
        <v>0</v>
      </c>
      <c r="P63" s="1">
        <v>7023</v>
      </c>
      <c r="Q63" s="1">
        <v>0</v>
      </c>
    </row>
    <row r="64" spans="2:17" hidden="1" x14ac:dyDescent="0.2">
      <c r="B64" s="1">
        <v>8013</v>
      </c>
      <c r="C64" s="1">
        <v>0</v>
      </c>
      <c r="G64" s="1">
        <v>8013</v>
      </c>
      <c r="H64" s="1">
        <v>0</v>
      </c>
      <c r="L64" s="1">
        <v>8013</v>
      </c>
      <c r="M64" s="1">
        <v>0</v>
      </c>
      <c r="P64" s="1">
        <v>8013</v>
      </c>
      <c r="Q64" s="1">
        <v>0</v>
      </c>
    </row>
    <row r="65" spans="2:17" hidden="1" x14ac:dyDescent="0.2">
      <c r="B65" s="1">
        <v>8014</v>
      </c>
      <c r="C65" s="1">
        <v>0</v>
      </c>
      <c r="G65" s="1">
        <v>8014</v>
      </c>
      <c r="H65" s="1">
        <v>0</v>
      </c>
      <c r="L65" s="1">
        <v>8014</v>
      </c>
      <c r="M65" s="1">
        <v>0</v>
      </c>
      <c r="P65" s="1">
        <v>8014</v>
      </c>
      <c r="Q65" s="1">
        <v>0</v>
      </c>
    </row>
    <row r="66" spans="2:17" hidden="1" x14ac:dyDescent="0.2">
      <c r="B66" s="1">
        <v>8015</v>
      </c>
      <c r="C66" s="1">
        <v>0</v>
      </c>
      <c r="G66" s="1">
        <v>8015</v>
      </c>
      <c r="H66" s="1">
        <v>0</v>
      </c>
      <c r="L66" s="1">
        <v>8015</v>
      </c>
      <c r="M66" s="1">
        <v>0</v>
      </c>
      <c r="P66" s="1">
        <v>8015</v>
      </c>
      <c r="Q66" s="1">
        <v>0</v>
      </c>
    </row>
    <row r="67" spans="2:17" hidden="1" x14ac:dyDescent="0.2">
      <c r="B67" s="1">
        <v>8016</v>
      </c>
      <c r="C67" s="1">
        <v>0</v>
      </c>
      <c r="G67" s="1">
        <v>8016</v>
      </c>
      <c r="H67" s="1">
        <v>0</v>
      </c>
      <c r="L67" s="1">
        <v>8016</v>
      </c>
      <c r="M67" s="1">
        <v>0</v>
      </c>
      <c r="P67" s="1">
        <v>8016</v>
      </c>
      <c r="Q67" s="1">
        <v>0</v>
      </c>
    </row>
    <row r="68" spans="2:17" hidden="1" x14ac:dyDescent="0.2">
      <c r="B68" s="1">
        <v>8017</v>
      </c>
      <c r="C68" s="1">
        <v>0</v>
      </c>
      <c r="G68" s="1">
        <v>8017</v>
      </c>
      <c r="H68" s="1">
        <v>0</v>
      </c>
      <c r="L68" s="1">
        <v>8017</v>
      </c>
      <c r="M68" s="1">
        <v>0</v>
      </c>
      <c r="P68" s="1">
        <v>8017</v>
      </c>
      <c r="Q68" s="1">
        <v>0</v>
      </c>
    </row>
    <row r="69" spans="2:17" hidden="1" x14ac:dyDescent="0.2">
      <c r="B69" s="1">
        <v>8018</v>
      </c>
      <c r="C69" s="1">
        <v>0</v>
      </c>
      <c r="G69" s="1">
        <v>8018</v>
      </c>
      <c r="H69" s="1">
        <v>0</v>
      </c>
      <c r="L69" s="1">
        <v>8018</v>
      </c>
      <c r="M69" s="1">
        <v>0</v>
      </c>
      <c r="P69" s="1">
        <v>8018</v>
      </c>
      <c r="Q69" s="1">
        <v>0</v>
      </c>
    </row>
    <row r="70" spans="2:17" hidden="1" x14ac:dyDescent="0.2">
      <c r="B70" s="1">
        <v>8019</v>
      </c>
      <c r="C70" s="1">
        <v>0</v>
      </c>
      <c r="G70" s="1">
        <v>8019</v>
      </c>
      <c r="H70" s="1">
        <v>0</v>
      </c>
      <c r="L70" s="1">
        <v>8019</v>
      </c>
      <c r="M70" s="1">
        <v>0</v>
      </c>
      <c r="P70" s="1">
        <v>8019</v>
      </c>
      <c r="Q70" s="1">
        <v>0</v>
      </c>
    </row>
    <row r="71" spans="2:17" hidden="1" x14ac:dyDescent="0.2">
      <c r="B71" s="1">
        <v>8020</v>
      </c>
      <c r="C71" s="1">
        <v>0</v>
      </c>
      <c r="G71" s="1">
        <v>8020</v>
      </c>
      <c r="H71" s="1">
        <v>0</v>
      </c>
      <c r="L71" s="1">
        <v>8020</v>
      </c>
      <c r="M71" s="1">
        <v>0</v>
      </c>
      <c r="P71" s="1">
        <v>8020</v>
      </c>
      <c r="Q71" s="1">
        <v>0</v>
      </c>
    </row>
    <row r="72" spans="2:17" hidden="1" x14ac:dyDescent="0.2">
      <c r="B72" s="1">
        <v>8021</v>
      </c>
      <c r="C72" s="1">
        <v>0</v>
      </c>
      <c r="G72" s="1">
        <v>8021</v>
      </c>
      <c r="H72" s="1">
        <v>0</v>
      </c>
      <c r="L72" s="1">
        <v>8021</v>
      </c>
      <c r="M72" s="1">
        <v>0</v>
      </c>
      <c r="P72" s="1">
        <v>8021</v>
      </c>
      <c r="Q72" s="1">
        <v>0</v>
      </c>
    </row>
    <row r="73" spans="2:17" hidden="1" x14ac:dyDescent="0.2">
      <c r="B73" s="1">
        <v>8022</v>
      </c>
      <c r="C73" s="1">
        <v>0</v>
      </c>
      <c r="G73" s="1">
        <v>8022</v>
      </c>
      <c r="H73" s="1">
        <v>0</v>
      </c>
      <c r="L73" s="1">
        <v>8022</v>
      </c>
      <c r="M73" s="1">
        <v>0</v>
      </c>
      <c r="P73" s="1">
        <v>8022</v>
      </c>
      <c r="Q73" s="1">
        <v>0</v>
      </c>
    </row>
    <row r="74" spans="2:17" hidden="1" x14ac:dyDescent="0.2">
      <c r="B74" s="1">
        <v>8023</v>
      </c>
      <c r="C74" s="1">
        <v>0</v>
      </c>
      <c r="G74" s="1">
        <v>8023</v>
      </c>
      <c r="H74" s="1">
        <v>0</v>
      </c>
      <c r="L74" s="1">
        <v>8023</v>
      </c>
      <c r="M74" s="1">
        <v>0</v>
      </c>
      <c r="P74" s="1">
        <v>8023</v>
      </c>
      <c r="Q74" s="1">
        <v>0</v>
      </c>
    </row>
    <row r="75" spans="2:17" hidden="1" x14ac:dyDescent="0.2">
      <c r="B75" s="1">
        <v>8024</v>
      </c>
      <c r="C75" s="1">
        <v>0</v>
      </c>
      <c r="G75" s="1">
        <v>8024</v>
      </c>
      <c r="H75" s="1">
        <v>0</v>
      </c>
      <c r="L75" s="1">
        <v>8024</v>
      </c>
      <c r="M75" s="1">
        <v>0</v>
      </c>
      <c r="P75" s="1">
        <v>8024</v>
      </c>
      <c r="Q75" s="1">
        <v>0</v>
      </c>
    </row>
    <row r="76" spans="2:17" hidden="1" x14ac:dyDescent="0.2">
      <c r="B76" s="1">
        <v>9015</v>
      </c>
      <c r="C76" s="1">
        <v>0</v>
      </c>
      <c r="G76" s="1">
        <v>9015</v>
      </c>
      <c r="H76" s="1">
        <v>0</v>
      </c>
      <c r="L76" s="1">
        <v>9015</v>
      </c>
      <c r="M76" s="1">
        <v>0</v>
      </c>
      <c r="P76" s="1">
        <v>9015</v>
      </c>
      <c r="Q76" s="1">
        <v>0</v>
      </c>
    </row>
    <row r="77" spans="2:17" hidden="1" x14ac:dyDescent="0.2">
      <c r="B77" s="1">
        <v>9016</v>
      </c>
      <c r="C77" s="1">
        <v>0</v>
      </c>
      <c r="G77" s="1">
        <v>9016</v>
      </c>
      <c r="H77" s="1">
        <v>0</v>
      </c>
      <c r="L77" s="1">
        <v>9016</v>
      </c>
      <c r="M77" s="1">
        <v>0</v>
      </c>
      <c r="P77" s="1">
        <v>9016</v>
      </c>
      <c r="Q77" s="1">
        <v>0</v>
      </c>
    </row>
    <row r="78" spans="2:17" hidden="1" x14ac:dyDescent="0.2">
      <c r="B78" s="1">
        <v>9017</v>
      </c>
      <c r="C78" s="1">
        <v>0</v>
      </c>
      <c r="G78" s="1">
        <v>9017</v>
      </c>
      <c r="H78" s="1">
        <v>0</v>
      </c>
      <c r="L78" s="1">
        <v>9017</v>
      </c>
      <c r="M78" s="1">
        <v>0</v>
      </c>
      <c r="P78" s="1">
        <v>9017</v>
      </c>
      <c r="Q78" s="1">
        <v>0</v>
      </c>
    </row>
    <row r="79" spans="2:17" hidden="1" x14ac:dyDescent="0.2">
      <c r="B79" s="1">
        <v>9018</v>
      </c>
      <c r="C79" s="1">
        <v>0</v>
      </c>
      <c r="G79" s="1">
        <v>9018</v>
      </c>
      <c r="H79" s="1">
        <v>0</v>
      </c>
      <c r="L79" s="1">
        <v>9018</v>
      </c>
      <c r="M79" s="1">
        <v>0</v>
      </c>
      <c r="P79" s="1">
        <v>9018</v>
      </c>
      <c r="Q79" s="1">
        <v>0</v>
      </c>
    </row>
    <row r="80" spans="2:17" hidden="1" x14ac:dyDescent="0.2">
      <c r="B80" s="1">
        <v>9019</v>
      </c>
      <c r="C80" s="1">
        <v>0</v>
      </c>
      <c r="G80" s="1">
        <v>9019</v>
      </c>
      <c r="H80" s="1">
        <v>0</v>
      </c>
      <c r="L80" s="1">
        <v>9019</v>
      </c>
      <c r="M80" s="1">
        <v>0</v>
      </c>
      <c r="P80" s="1">
        <v>9019</v>
      </c>
      <c r="Q80" s="1">
        <v>0</v>
      </c>
    </row>
    <row r="81" spans="2:17" hidden="1" x14ac:dyDescent="0.2">
      <c r="B81" s="1">
        <v>9020</v>
      </c>
      <c r="C81" s="1">
        <v>0</v>
      </c>
      <c r="G81" s="1">
        <v>9020</v>
      </c>
      <c r="H81" s="1">
        <v>0</v>
      </c>
      <c r="L81" s="1">
        <v>9020</v>
      </c>
      <c r="M81" s="1">
        <v>0</v>
      </c>
      <c r="P81" s="1">
        <v>9020</v>
      </c>
      <c r="Q81" s="1">
        <v>0</v>
      </c>
    </row>
    <row r="82" spans="2:17" hidden="1" x14ac:dyDescent="0.2">
      <c r="B82" s="1">
        <v>9021</v>
      </c>
      <c r="C82" s="1">
        <v>0</v>
      </c>
      <c r="G82" s="1">
        <v>9021</v>
      </c>
      <c r="H82" s="1">
        <v>0</v>
      </c>
      <c r="L82" s="1">
        <v>9021</v>
      </c>
      <c r="M82" s="1">
        <v>0</v>
      </c>
      <c r="P82" s="1">
        <v>9021</v>
      </c>
      <c r="Q82" s="1">
        <v>0</v>
      </c>
    </row>
    <row r="83" spans="2:17" hidden="1" x14ac:dyDescent="0.2">
      <c r="B83" s="1">
        <v>9022</v>
      </c>
      <c r="C83" s="1">
        <v>0</v>
      </c>
      <c r="G83" s="1">
        <v>9022</v>
      </c>
      <c r="H83" s="1">
        <v>0</v>
      </c>
      <c r="L83" s="1">
        <v>9022</v>
      </c>
      <c r="M83" s="1">
        <v>0</v>
      </c>
      <c r="P83" s="1">
        <v>9022</v>
      </c>
      <c r="Q83" s="1">
        <v>0</v>
      </c>
    </row>
    <row r="84" spans="2:17" hidden="1" x14ac:dyDescent="0.2">
      <c r="B84" s="1">
        <v>9023</v>
      </c>
      <c r="C84" s="1">
        <v>0</v>
      </c>
      <c r="G84" s="1">
        <v>9023</v>
      </c>
      <c r="H84" s="1">
        <v>0</v>
      </c>
      <c r="L84" s="1">
        <v>9023</v>
      </c>
      <c r="M84" s="1">
        <v>0</v>
      </c>
      <c r="P84" s="1">
        <v>9023</v>
      </c>
      <c r="Q84" s="1">
        <v>0</v>
      </c>
    </row>
    <row r="85" spans="2:17" hidden="1" x14ac:dyDescent="0.2">
      <c r="B85" s="1">
        <v>9024</v>
      </c>
      <c r="C85" s="1">
        <v>0</v>
      </c>
      <c r="G85" s="1">
        <v>9024</v>
      </c>
      <c r="H85" s="1">
        <v>0</v>
      </c>
      <c r="L85" s="1">
        <v>9024</v>
      </c>
      <c r="M85" s="1">
        <v>0</v>
      </c>
      <c r="P85" s="1">
        <v>9024</v>
      </c>
      <c r="Q85" s="1">
        <v>0</v>
      </c>
    </row>
    <row r="86" spans="2:17" hidden="1" x14ac:dyDescent="0.2">
      <c r="B86" s="1">
        <v>9025</v>
      </c>
      <c r="C86" s="1">
        <v>0</v>
      </c>
      <c r="G86" s="1">
        <v>9025</v>
      </c>
      <c r="H86" s="1">
        <v>0</v>
      </c>
      <c r="L86" s="1">
        <v>9025</v>
      </c>
      <c r="M86" s="1">
        <v>0</v>
      </c>
      <c r="P86" s="1">
        <v>9025</v>
      </c>
      <c r="Q86" s="1">
        <v>0</v>
      </c>
    </row>
    <row r="87" spans="2:17" hidden="1" x14ac:dyDescent="0.2">
      <c r="B87" s="1">
        <v>9026</v>
      </c>
      <c r="C87" s="1">
        <v>0</v>
      </c>
      <c r="G87" s="1">
        <v>9026</v>
      </c>
      <c r="H87" s="1">
        <v>0</v>
      </c>
      <c r="L87" s="1">
        <v>9026</v>
      </c>
      <c r="M87" s="1">
        <v>0</v>
      </c>
      <c r="P87" s="1">
        <v>9026</v>
      </c>
      <c r="Q87" s="1">
        <v>0</v>
      </c>
    </row>
    <row r="88" spans="2:17" hidden="1" x14ac:dyDescent="0.2">
      <c r="B88" s="1">
        <v>9027</v>
      </c>
      <c r="C88" s="1">
        <v>0</v>
      </c>
      <c r="G88" s="1">
        <v>9027</v>
      </c>
      <c r="H88" s="1">
        <v>0</v>
      </c>
      <c r="L88" s="1">
        <v>9027</v>
      </c>
      <c r="M88" s="1">
        <v>0</v>
      </c>
      <c r="P88" s="1">
        <v>9027</v>
      </c>
      <c r="Q88" s="1">
        <v>0</v>
      </c>
    </row>
    <row r="89" spans="2:17" hidden="1" x14ac:dyDescent="0.2">
      <c r="B89" s="1">
        <v>10017</v>
      </c>
      <c r="C89" s="1">
        <v>0</v>
      </c>
      <c r="G89" s="1">
        <v>10017</v>
      </c>
      <c r="H89" s="1">
        <v>0</v>
      </c>
      <c r="L89" s="1">
        <v>10017</v>
      </c>
      <c r="M89" s="1">
        <v>0</v>
      </c>
      <c r="P89" s="1">
        <v>10017</v>
      </c>
      <c r="Q89" s="1">
        <v>0</v>
      </c>
    </row>
    <row r="90" spans="2:17" hidden="1" x14ac:dyDescent="0.2">
      <c r="B90" s="1">
        <v>10018</v>
      </c>
      <c r="C90" s="1">
        <v>0</v>
      </c>
      <c r="G90" s="1">
        <v>10018</v>
      </c>
      <c r="H90" s="1">
        <v>0</v>
      </c>
      <c r="L90" s="1">
        <v>10018</v>
      </c>
      <c r="M90" s="1">
        <v>0</v>
      </c>
      <c r="P90" s="1">
        <v>10018</v>
      </c>
      <c r="Q90" s="1">
        <v>0</v>
      </c>
    </row>
    <row r="91" spans="2:17" hidden="1" x14ac:dyDescent="0.2">
      <c r="B91" s="1">
        <v>10019</v>
      </c>
      <c r="C91" s="1">
        <v>0</v>
      </c>
      <c r="G91" s="1">
        <v>10019</v>
      </c>
      <c r="H91" s="1">
        <v>0</v>
      </c>
      <c r="L91" s="1">
        <v>10019</v>
      </c>
      <c r="M91" s="1">
        <v>0</v>
      </c>
      <c r="P91" s="1">
        <v>10019</v>
      </c>
      <c r="Q91" s="1">
        <v>0</v>
      </c>
    </row>
    <row r="92" spans="2:17" hidden="1" x14ac:dyDescent="0.2">
      <c r="B92" s="1">
        <v>10020</v>
      </c>
      <c r="C92" s="1">
        <v>0</v>
      </c>
      <c r="G92" s="1">
        <v>10020</v>
      </c>
      <c r="H92" s="1">
        <v>0</v>
      </c>
      <c r="L92" s="1">
        <v>10020</v>
      </c>
      <c r="M92" s="1">
        <v>0</v>
      </c>
      <c r="P92" s="1">
        <v>10020</v>
      </c>
      <c r="Q92" s="1">
        <v>0</v>
      </c>
    </row>
    <row r="93" spans="2:17" hidden="1" x14ac:dyDescent="0.2">
      <c r="B93" s="1">
        <v>10021</v>
      </c>
      <c r="C93" s="1">
        <v>0</v>
      </c>
      <c r="G93" s="1">
        <v>10021</v>
      </c>
      <c r="H93" s="1">
        <v>0</v>
      </c>
      <c r="L93" s="1">
        <v>10021</v>
      </c>
      <c r="M93" s="1">
        <v>0</v>
      </c>
      <c r="P93" s="1">
        <v>10021</v>
      </c>
      <c r="Q93" s="1">
        <v>0</v>
      </c>
    </row>
    <row r="94" spans="2:17" hidden="1" x14ac:dyDescent="0.2">
      <c r="B94" s="1">
        <v>10022</v>
      </c>
      <c r="C94" s="1">
        <v>0</v>
      </c>
      <c r="G94" s="1">
        <v>10022</v>
      </c>
      <c r="H94" s="1">
        <v>0</v>
      </c>
      <c r="L94" s="1">
        <v>10022</v>
      </c>
      <c r="M94" s="1">
        <v>0</v>
      </c>
      <c r="P94" s="1">
        <v>10022</v>
      </c>
      <c r="Q94" s="1">
        <v>0</v>
      </c>
    </row>
    <row r="95" spans="2:17" hidden="1" x14ac:dyDescent="0.2">
      <c r="B95" s="1">
        <v>10023</v>
      </c>
      <c r="C95" s="1">
        <v>0</v>
      </c>
      <c r="G95" s="1">
        <v>10023</v>
      </c>
      <c r="H95" s="1">
        <v>0</v>
      </c>
      <c r="L95" s="1">
        <v>10023</v>
      </c>
      <c r="M95" s="1">
        <v>0</v>
      </c>
      <c r="P95" s="1">
        <v>10023</v>
      </c>
      <c r="Q95" s="1">
        <v>0</v>
      </c>
    </row>
    <row r="96" spans="2:17" hidden="1" x14ac:dyDescent="0.2">
      <c r="B96" s="1">
        <v>10024</v>
      </c>
      <c r="C96" s="1">
        <v>0</v>
      </c>
      <c r="G96" s="1">
        <v>10024</v>
      </c>
      <c r="H96" s="1">
        <v>0</v>
      </c>
      <c r="L96" s="1">
        <v>10024</v>
      </c>
      <c r="M96" s="1">
        <v>0</v>
      </c>
      <c r="P96" s="1">
        <v>10024</v>
      </c>
      <c r="Q96" s="1">
        <v>0</v>
      </c>
    </row>
    <row r="97" spans="2:17" hidden="1" x14ac:dyDescent="0.2">
      <c r="B97" s="1">
        <v>10025</v>
      </c>
      <c r="C97" s="1">
        <v>0</v>
      </c>
      <c r="G97" s="1">
        <v>10025</v>
      </c>
      <c r="H97" s="1">
        <v>0</v>
      </c>
      <c r="L97" s="1">
        <v>10025</v>
      </c>
      <c r="M97" s="1">
        <v>0</v>
      </c>
      <c r="P97" s="1">
        <v>10025</v>
      </c>
      <c r="Q97" s="1">
        <v>0</v>
      </c>
    </row>
    <row r="98" spans="2:17" hidden="1" x14ac:dyDescent="0.2">
      <c r="B98" s="1">
        <v>10026</v>
      </c>
      <c r="C98" s="1">
        <v>0</v>
      </c>
      <c r="G98" s="1">
        <v>10026</v>
      </c>
      <c r="H98" s="1">
        <v>0</v>
      </c>
      <c r="L98" s="1">
        <v>10026</v>
      </c>
      <c r="M98" s="1">
        <v>0</v>
      </c>
      <c r="P98" s="1">
        <v>10026</v>
      </c>
      <c r="Q98" s="1">
        <v>0</v>
      </c>
    </row>
    <row r="99" spans="2:17" hidden="1" x14ac:dyDescent="0.2">
      <c r="B99" s="1">
        <v>10027</v>
      </c>
      <c r="C99" s="1">
        <v>0</v>
      </c>
      <c r="G99" s="1">
        <v>10027</v>
      </c>
      <c r="H99" s="1">
        <v>0</v>
      </c>
      <c r="L99" s="1">
        <v>10027</v>
      </c>
      <c r="M99" s="1">
        <v>0</v>
      </c>
      <c r="P99" s="1">
        <v>10027</v>
      </c>
      <c r="Q99" s="1">
        <v>0</v>
      </c>
    </row>
    <row r="100" spans="2:17" hidden="1" x14ac:dyDescent="0.2">
      <c r="B100" s="1">
        <v>10028</v>
      </c>
      <c r="C100" s="1">
        <v>0</v>
      </c>
      <c r="G100" s="1">
        <v>10028</v>
      </c>
      <c r="H100" s="1">
        <v>0</v>
      </c>
      <c r="L100" s="1">
        <v>10028</v>
      </c>
      <c r="M100" s="1">
        <v>0</v>
      </c>
      <c r="P100" s="1">
        <v>10028</v>
      </c>
      <c r="Q100" s="1">
        <v>0</v>
      </c>
    </row>
    <row r="101" spans="2:17" hidden="1" x14ac:dyDescent="0.2">
      <c r="B101" s="1">
        <v>11019</v>
      </c>
      <c r="C101" s="1">
        <v>0</v>
      </c>
      <c r="G101" s="1">
        <v>11019</v>
      </c>
      <c r="H101" s="1">
        <v>0</v>
      </c>
      <c r="L101" s="1">
        <v>11019</v>
      </c>
      <c r="M101" s="1">
        <v>0</v>
      </c>
      <c r="P101" s="1">
        <v>11019</v>
      </c>
      <c r="Q101" s="1">
        <v>0</v>
      </c>
    </row>
    <row r="102" spans="2:17" hidden="1" x14ac:dyDescent="0.2">
      <c r="B102" s="1">
        <v>11020</v>
      </c>
      <c r="C102" s="1">
        <v>0</v>
      </c>
      <c r="G102" s="1">
        <v>11020</v>
      </c>
      <c r="H102" s="1">
        <v>0</v>
      </c>
      <c r="L102" s="1">
        <v>11020</v>
      </c>
      <c r="M102" s="1">
        <v>0</v>
      </c>
      <c r="P102" s="1">
        <v>11020</v>
      </c>
      <c r="Q102" s="1">
        <v>0</v>
      </c>
    </row>
    <row r="103" spans="2:17" hidden="1" x14ac:dyDescent="0.2">
      <c r="B103" s="1">
        <v>11021</v>
      </c>
      <c r="C103" s="1">
        <v>0</v>
      </c>
      <c r="G103" s="1">
        <v>11021</v>
      </c>
      <c r="H103" s="1">
        <v>0</v>
      </c>
      <c r="L103" s="1">
        <v>11021</v>
      </c>
      <c r="M103" s="1">
        <v>0</v>
      </c>
      <c r="P103" s="1">
        <v>11021</v>
      </c>
      <c r="Q103" s="1">
        <v>0</v>
      </c>
    </row>
    <row r="104" spans="2:17" hidden="1" x14ac:dyDescent="0.2">
      <c r="B104" s="1">
        <v>11022</v>
      </c>
      <c r="C104" s="1">
        <v>0</v>
      </c>
      <c r="G104" s="1">
        <v>11022</v>
      </c>
      <c r="H104" s="1">
        <v>0</v>
      </c>
      <c r="L104" s="1">
        <v>11022</v>
      </c>
      <c r="M104" s="1">
        <v>0</v>
      </c>
      <c r="P104" s="1">
        <v>11022</v>
      </c>
      <c r="Q104" s="1">
        <v>0</v>
      </c>
    </row>
    <row r="105" spans="2:17" hidden="1" x14ac:dyDescent="0.2">
      <c r="B105" s="1">
        <v>11023</v>
      </c>
      <c r="C105" s="1">
        <v>0</v>
      </c>
      <c r="G105" s="1">
        <v>11023</v>
      </c>
      <c r="H105" s="1">
        <v>0</v>
      </c>
      <c r="L105" s="1">
        <v>11023</v>
      </c>
      <c r="M105" s="1">
        <v>0</v>
      </c>
      <c r="P105" s="1">
        <v>11023</v>
      </c>
      <c r="Q105" s="1">
        <v>0</v>
      </c>
    </row>
    <row r="106" spans="2:17" hidden="1" x14ac:dyDescent="0.2">
      <c r="B106" s="1">
        <v>11024</v>
      </c>
      <c r="C106" s="1">
        <v>0</v>
      </c>
      <c r="G106" s="1">
        <v>11024</v>
      </c>
      <c r="H106" s="1">
        <v>0</v>
      </c>
      <c r="L106" s="1">
        <v>11024</v>
      </c>
      <c r="M106" s="1">
        <v>0</v>
      </c>
      <c r="P106" s="1">
        <v>11024</v>
      </c>
      <c r="Q106" s="1">
        <v>0</v>
      </c>
    </row>
    <row r="107" spans="2:17" hidden="1" x14ac:dyDescent="0.2">
      <c r="B107" s="1">
        <v>11025</v>
      </c>
      <c r="C107" s="1">
        <v>0</v>
      </c>
      <c r="G107" s="1">
        <v>11025</v>
      </c>
      <c r="H107" s="1">
        <v>0</v>
      </c>
      <c r="L107" s="1">
        <v>11025</v>
      </c>
      <c r="M107" s="1">
        <v>0</v>
      </c>
      <c r="P107" s="1">
        <v>11025</v>
      </c>
      <c r="Q107" s="1">
        <v>0</v>
      </c>
    </row>
    <row r="108" spans="2:17" hidden="1" x14ac:dyDescent="0.2">
      <c r="B108" s="1">
        <v>11026</v>
      </c>
      <c r="C108" s="1">
        <v>0</v>
      </c>
      <c r="G108" s="1">
        <v>11026</v>
      </c>
      <c r="H108" s="1">
        <v>0</v>
      </c>
      <c r="L108" s="1">
        <v>11026</v>
      </c>
      <c r="M108" s="1">
        <v>0</v>
      </c>
      <c r="P108" s="1">
        <v>11026</v>
      </c>
      <c r="Q108" s="1">
        <v>0</v>
      </c>
    </row>
    <row r="109" spans="2:17" hidden="1" x14ac:dyDescent="0.2">
      <c r="B109" s="1">
        <v>11027</v>
      </c>
      <c r="C109" s="1">
        <v>0</v>
      </c>
      <c r="G109" s="1">
        <v>11027</v>
      </c>
      <c r="H109" s="1">
        <v>0</v>
      </c>
      <c r="L109" s="1">
        <v>11027</v>
      </c>
      <c r="M109" s="1">
        <v>0</v>
      </c>
      <c r="P109" s="1">
        <v>11027</v>
      </c>
      <c r="Q109" s="1">
        <v>0</v>
      </c>
    </row>
    <row r="110" spans="2:17" hidden="1" x14ac:dyDescent="0.2">
      <c r="B110" s="1">
        <v>11028</v>
      </c>
      <c r="C110" s="1">
        <v>0</v>
      </c>
      <c r="G110" s="1">
        <v>11028</v>
      </c>
      <c r="H110" s="1">
        <v>0</v>
      </c>
      <c r="L110" s="1">
        <v>11028</v>
      </c>
      <c r="M110" s="1">
        <v>0</v>
      </c>
      <c r="P110" s="1">
        <v>11028</v>
      </c>
      <c r="Q110" s="1">
        <v>0</v>
      </c>
    </row>
    <row r="111" spans="2:17" hidden="1" x14ac:dyDescent="0.2">
      <c r="B111" s="1">
        <v>11029</v>
      </c>
      <c r="C111" s="1">
        <v>0</v>
      </c>
      <c r="G111" s="1">
        <v>11029</v>
      </c>
      <c r="H111" s="1">
        <v>0</v>
      </c>
      <c r="L111" s="1">
        <v>11029</v>
      </c>
      <c r="M111" s="1">
        <v>0</v>
      </c>
      <c r="P111" s="1">
        <v>11029</v>
      </c>
      <c r="Q111" s="1">
        <v>0</v>
      </c>
    </row>
    <row r="112" spans="2:17" hidden="1" x14ac:dyDescent="0.2">
      <c r="B112" s="1">
        <v>11030</v>
      </c>
      <c r="C112" s="1">
        <v>0</v>
      </c>
      <c r="G112" s="1">
        <v>11030</v>
      </c>
      <c r="H112" s="1">
        <v>0</v>
      </c>
      <c r="L112" s="1">
        <v>11030</v>
      </c>
      <c r="M112" s="1">
        <v>0</v>
      </c>
      <c r="P112" s="1">
        <v>11030</v>
      </c>
      <c r="Q112" s="1">
        <v>0</v>
      </c>
    </row>
    <row r="113" spans="2:17" hidden="1" x14ac:dyDescent="0.2">
      <c r="B113" s="1">
        <v>11031</v>
      </c>
      <c r="C113" s="1">
        <v>0</v>
      </c>
      <c r="G113" s="1">
        <v>11031</v>
      </c>
      <c r="H113" s="1">
        <v>0</v>
      </c>
      <c r="L113" s="1">
        <v>11031</v>
      </c>
      <c r="M113" s="1">
        <v>0</v>
      </c>
      <c r="P113" s="1">
        <v>11031</v>
      </c>
      <c r="Q113" s="1">
        <v>0</v>
      </c>
    </row>
    <row r="114" spans="2:17" hidden="1" x14ac:dyDescent="0.2">
      <c r="B114" s="1">
        <v>11032</v>
      </c>
      <c r="C114" s="1">
        <v>0</v>
      </c>
      <c r="G114" s="1">
        <v>11032</v>
      </c>
      <c r="H114" s="1">
        <v>0</v>
      </c>
      <c r="L114" s="1">
        <v>11032</v>
      </c>
      <c r="M114" s="1">
        <v>0</v>
      </c>
      <c r="P114" s="1">
        <v>11032</v>
      </c>
      <c r="Q114" s="1">
        <v>0</v>
      </c>
    </row>
    <row r="115" spans="2:17" hidden="1" x14ac:dyDescent="0.2">
      <c r="B115" s="1">
        <v>11033</v>
      </c>
      <c r="C115" s="1">
        <v>0</v>
      </c>
      <c r="G115" s="1">
        <v>11033</v>
      </c>
      <c r="H115" s="1">
        <v>0</v>
      </c>
      <c r="L115" s="1">
        <v>11033</v>
      </c>
      <c r="M115" s="1">
        <v>0</v>
      </c>
      <c r="P115" s="1">
        <v>11033</v>
      </c>
      <c r="Q115" s="1">
        <v>0</v>
      </c>
    </row>
    <row r="116" spans="2:17" hidden="1" x14ac:dyDescent="0.2">
      <c r="B116" s="1">
        <v>11034</v>
      </c>
      <c r="C116" s="1">
        <v>0</v>
      </c>
      <c r="G116" s="1">
        <v>11034</v>
      </c>
      <c r="H116" s="1">
        <v>0</v>
      </c>
      <c r="L116" s="1">
        <v>11034</v>
      </c>
      <c r="M116" s="1">
        <v>0</v>
      </c>
      <c r="P116" s="1">
        <v>11034</v>
      </c>
      <c r="Q116" s="1">
        <v>0</v>
      </c>
    </row>
    <row r="117" spans="2:17" hidden="1" x14ac:dyDescent="0.2">
      <c r="B117" s="1">
        <v>11035</v>
      </c>
      <c r="C117" s="1">
        <v>0</v>
      </c>
      <c r="G117" s="1">
        <v>11035</v>
      </c>
      <c r="H117" s="1">
        <v>0</v>
      </c>
      <c r="L117" s="1">
        <v>11035</v>
      </c>
      <c r="M117" s="1">
        <v>0</v>
      </c>
      <c r="P117" s="1">
        <v>11035</v>
      </c>
      <c r="Q117" s="1">
        <v>0</v>
      </c>
    </row>
    <row r="118" spans="2:17" hidden="1" x14ac:dyDescent="0.2">
      <c r="B118" s="1">
        <v>12020</v>
      </c>
      <c r="C118" s="1">
        <v>0</v>
      </c>
      <c r="G118" s="1">
        <v>12020</v>
      </c>
      <c r="H118" s="1">
        <v>0</v>
      </c>
      <c r="L118" s="1">
        <v>12020</v>
      </c>
      <c r="M118" s="1">
        <v>0</v>
      </c>
      <c r="P118" s="1">
        <v>12020</v>
      </c>
      <c r="Q118" s="1">
        <v>0</v>
      </c>
    </row>
    <row r="119" spans="2:17" hidden="1" x14ac:dyDescent="0.2">
      <c r="B119" s="1">
        <v>12021</v>
      </c>
      <c r="C119" s="1">
        <v>0</v>
      </c>
      <c r="G119" s="1">
        <v>12021</v>
      </c>
      <c r="H119" s="1">
        <v>0</v>
      </c>
      <c r="L119" s="1">
        <v>12021</v>
      </c>
      <c r="M119" s="1">
        <v>0</v>
      </c>
      <c r="P119" s="1">
        <v>12021</v>
      </c>
      <c r="Q119" s="1">
        <v>0</v>
      </c>
    </row>
    <row r="120" spans="2:17" hidden="1" x14ac:dyDescent="0.2">
      <c r="B120" s="1">
        <v>12022</v>
      </c>
      <c r="C120" s="1">
        <v>0</v>
      </c>
      <c r="G120" s="1">
        <v>12022</v>
      </c>
      <c r="H120" s="1">
        <v>0</v>
      </c>
      <c r="L120" s="1">
        <v>12022</v>
      </c>
      <c r="M120" s="1">
        <v>0</v>
      </c>
      <c r="P120" s="1">
        <v>12022</v>
      </c>
      <c r="Q120" s="1">
        <v>0</v>
      </c>
    </row>
    <row r="121" spans="2:17" hidden="1" x14ac:dyDescent="0.2">
      <c r="B121" s="1">
        <v>12023</v>
      </c>
      <c r="C121" s="1">
        <v>0</v>
      </c>
      <c r="G121" s="1">
        <v>12023</v>
      </c>
      <c r="H121" s="1">
        <v>0</v>
      </c>
      <c r="L121" s="1">
        <v>12023</v>
      </c>
      <c r="M121" s="1">
        <v>0</v>
      </c>
      <c r="P121" s="1">
        <v>12023</v>
      </c>
      <c r="Q121" s="1">
        <v>0</v>
      </c>
    </row>
    <row r="122" spans="2:17" hidden="1" x14ac:dyDescent="0.2">
      <c r="B122" s="1">
        <v>12024</v>
      </c>
      <c r="C122" s="1">
        <v>0</v>
      </c>
      <c r="G122" s="1">
        <v>12024</v>
      </c>
      <c r="H122" s="1">
        <v>0</v>
      </c>
      <c r="L122" s="1">
        <v>12024</v>
      </c>
      <c r="M122" s="1">
        <v>0</v>
      </c>
      <c r="P122" s="1">
        <v>12024</v>
      </c>
      <c r="Q122" s="1">
        <v>0</v>
      </c>
    </row>
    <row r="123" spans="2:17" hidden="1" x14ac:dyDescent="0.2">
      <c r="B123" s="1">
        <v>12025</v>
      </c>
      <c r="C123" s="1">
        <v>0</v>
      </c>
      <c r="G123" s="1">
        <v>12025</v>
      </c>
      <c r="H123" s="1">
        <v>0</v>
      </c>
      <c r="L123" s="1">
        <v>12025</v>
      </c>
      <c r="M123" s="1">
        <v>0</v>
      </c>
      <c r="P123" s="1">
        <v>12025</v>
      </c>
      <c r="Q123" s="1">
        <v>0</v>
      </c>
    </row>
    <row r="124" spans="2:17" hidden="1" x14ac:dyDescent="0.2">
      <c r="B124" s="1">
        <v>12026</v>
      </c>
      <c r="C124" s="1">
        <v>0</v>
      </c>
      <c r="G124" s="1">
        <v>12026</v>
      </c>
      <c r="H124" s="1">
        <v>0</v>
      </c>
      <c r="L124" s="1">
        <v>12026</v>
      </c>
      <c r="M124" s="1">
        <v>0</v>
      </c>
      <c r="P124" s="1">
        <v>12026</v>
      </c>
      <c r="Q124" s="1">
        <v>0</v>
      </c>
    </row>
    <row r="125" spans="2:17" hidden="1" x14ac:dyDescent="0.2">
      <c r="B125" s="1">
        <v>12027</v>
      </c>
      <c r="C125" s="1">
        <v>0</v>
      </c>
      <c r="G125" s="1">
        <v>12027</v>
      </c>
      <c r="H125" s="1">
        <v>0</v>
      </c>
      <c r="L125" s="1">
        <v>12027</v>
      </c>
      <c r="M125" s="1">
        <v>0</v>
      </c>
      <c r="P125" s="1">
        <v>12027</v>
      </c>
      <c r="Q125" s="1">
        <v>0</v>
      </c>
    </row>
    <row r="126" spans="2:17" hidden="1" x14ac:dyDescent="0.2">
      <c r="B126" s="1">
        <v>12028</v>
      </c>
      <c r="C126" s="1">
        <v>0</v>
      </c>
      <c r="G126" s="1">
        <v>12028</v>
      </c>
      <c r="H126" s="1">
        <v>0</v>
      </c>
      <c r="L126" s="1">
        <v>12028</v>
      </c>
      <c r="M126" s="1">
        <v>0</v>
      </c>
      <c r="P126" s="1">
        <v>12028</v>
      </c>
      <c r="Q126" s="1">
        <v>0</v>
      </c>
    </row>
    <row r="127" spans="2:17" hidden="1" x14ac:dyDescent="0.2">
      <c r="B127" s="1">
        <v>12029</v>
      </c>
      <c r="C127" s="1">
        <v>0</v>
      </c>
      <c r="G127" s="1">
        <v>12029</v>
      </c>
      <c r="H127" s="1">
        <v>0</v>
      </c>
      <c r="L127" s="1">
        <v>12029</v>
      </c>
      <c r="M127" s="1">
        <v>0</v>
      </c>
      <c r="P127" s="1">
        <v>12029</v>
      </c>
      <c r="Q127" s="1">
        <v>0</v>
      </c>
    </row>
    <row r="128" spans="2:17" hidden="1" x14ac:dyDescent="0.2">
      <c r="B128" s="1">
        <v>12030</v>
      </c>
      <c r="C128" s="1">
        <v>0</v>
      </c>
      <c r="G128" s="1">
        <v>12030</v>
      </c>
      <c r="H128" s="1">
        <v>0</v>
      </c>
      <c r="L128" s="1">
        <v>12030</v>
      </c>
      <c r="M128" s="1">
        <v>0</v>
      </c>
      <c r="P128" s="1">
        <v>12030</v>
      </c>
      <c r="Q128" s="1">
        <v>0</v>
      </c>
    </row>
    <row r="129" spans="2:17" hidden="1" x14ac:dyDescent="0.2">
      <c r="B129" s="1">
        <v>12031</v>
      </c>
      <c r="C129" s="1">
        <v>0</v>
      </c>
      <c r="G129" s="1">
        <v>12031</v>
      </c>
      <c r="H129" s="1">
        <v>0</v>
      </c>
      <c r="L129" s="1">
        <v>12031</v>
      </c>
      <c r="M129" s="1">
        <v>0</v>
      </c>
      <c r="P129" s="1">
        <v>12031</v>
      </c>
      <c r="Q129" s="1">
        <v>0</v>
      </c>
    </row>
    <row r="130" spans="2:17" hidden="1" x14ac:dyDescent="0.2">
      <c r="B130" s="1">
        <v>12032</v>
      </c>
      <c r="C130" s="1">
        <v>0</v>
      </c>
      <c r="G130" s="1">
        <v>12032</v>
      </c>
      <c r="H130" s="1">
        <v>0</v>
      </c>
      <c r="L130" s="1">
        <v>12032</v>
      </c>
      <c r="M130" s="1">
        <v>0</v>
      </c>
      <c r="P130" s="1">
        <v>12032</v>
      </c>
      <c r="Q130" s="1">
        <v>0</v>
      </c>
    </row>
    <row r="131" spans="2:17" hidden="1" x14ac:dyDescent="0.2">
      <c r="B131" s="1">
        <v>12033</v>
      </c>
      <c r="C131" s="1">
        <v>0</v>
      </c>
      <c r="G131" s="1">
        <v>12033</v>
      </c>
      <c r="H131" s="1">
        <v>0</v>
      </c>
      <c r="L131" s="1">
        <v>12033</v>
      </c>
      <c r="M131" s="1">
        <v>0</v>
      </c>
      <c r="P131" s="1">
        <v>12033</v>
      </c>
      <c r="Q131" s="1">
        <v>0</v>
      </c>
    </row>
    <row r="132" spans="2:17" hidden="1" x14ac:dyDescent="0.2">
      <c r="B132" s="1">
        <v>12034</v>
      </c>
      <c r="C132" s="1">
        <v>0</v>
      </c>
      <c r="G132" s="1">
        <v>12034</v>
      </c>
      <c r="H132" s="1">
        <v>0</v>
      </c>
      <c r="L132" s="1">
        <v>12034</v>
      </c>
      <c r="M132" s="1">
        <v>0</v>
      </c>
      <c r="P132" s="1">
        <v>12034</v>
      </c>
      <c r="Q132" s="1">
        <v>0</v>
      </c>
    </row>
    <row r="133" spans="2:17" hidden="1" x14ac:dyDescent="0.2">
      <c r="B133" s="1">
        <v>13022</v>
      </c>
      <c r="C133" s="1">
        <v>0</v>
      </c>
      <c r="G133" s="1">
        <v>13022</v>
      </c>
      <c r="H133" s="1">
        <v>0</v>
      </c>
      <c r="L133" s="1">
        <v>13022</v>
      </c>
      <c r="M133" s="1">
        <v>0</v>
      </c>
      <c r="P133" s="1">
        <v>13022</v>
      </c>
      <c r="Q133" s="1">
        <v>0</v>
      </c>
    </row>
    <row r="134" spans="2:17" hidden="1" x14ac:dyDescent="0.2">
      <c r="B134" s="1">
        <v>13023</v>
      </c>
      <c r="C134" s="1">
        <v>0</v>
      </c>
      <c r="G134" s="1">
        <v>13023</v>
      </c>
      <c r="H134" s="1">
        <v>0</v>
      </c>
      <c r="L134" s="1">
        <v>13023</v>
      </c>
      <c r="M134" s="1">
        <v>0</v>
      </c>
      <c r="P134" s="1">
        <v>13023</v>
      </c>
      <c r="Q134" s="1">
        <v>0</v>
      </c>
    </row>
    <row r="135" spans="2:17" hidden="1" x14ac:dyDescent="0.2">
      <c r="B135" s="1">
        <v>13024</v>
      </c>
      <c r="C135" s="1">
        <v>0</v>
      </c>
      <c r="G135" s="1">
        <v>13024</v>
      </c>
      <c r="H135" s="1">
        <v>0</v>
      </c>
      <c r="L135" s="1">
        <v>13024</v>
      </c>
      <c r="M135" s="1">
        <v>0</v>
      </c>
      <c r="P135" s="1">
        <v>13024</v>
      </c>
      <c r="Q135" s="1">
        <v>0</v>
      </c>
    </row>
    <row r="136" spans="2:17" hidden="1" x14ac:dyDescent="0.2">
      <c r="B136" s="1">
        <v>13025</v>
      </c>
      <c r="C136" s="1">
        <v>0</v>
      </c>
      <c r="G136" s="1">
        <v>13025</v>
      </c>
      <c r="H136" s="1">
        <v>0</v>
      </c>
      <c r="L136" s="1">
        <v>13025</v>
      </c>
      <c r="M136" s="1">
        <v>0</v>
      </c>
      <c r="P136" s="1">
        <v>13025</v>
      </c>
      <c r="Q136" s="1">
        <v>0</v>
      </c>
    </row>
    <row r="137" spans="2:17" hidden="1" x14ac:dyDescent="0.2">
      <c r="B137" s="1">
        <v>13026</v>
      </c>
      <c r="C137" s="1">
        <v>0</v>
      </c>
      <c r="G137" s="1">
        <v>13026</v>
      </c>
      <c r="H137" s="1">
        <v>0</v>
      </c>
      <c r="L137" s="1">
        <v>13026</v>
      </c>
      <c r="M137" s="1">
        <v>0</v>
      </c>
      <c r="P137" s="1">
        <v>13026</v>
      </c>
      <c r="Q137" s="1">
        <v>0</v>
      </c>
    </row>
    <row r="138" spans="2:17" hidden="1" x14ac:dyDescent="0.2">
      <c r="B138" s="1">
        <v>13027</v>
      </c>
      <c r="C138" s="1">
        <v>0</v>
      </c>
      <c r="G138" s="1">
        <v>13027</v>
      </c>
      <c r="H138" s="1">
        <v>0</v>
      </c>
      <c r="L138" s="1">
        <v>13027</v>
      </c>
      <c r="M138" s="1">
        <v>0</v>
      </c>
      <c r="P138" s="1">
        <v>13027</v>
      </c>
      <c r="Q138" s="1">
        <v>0</v>
      </c>
    </row>
    <row r="139" spans="2:17" hidden="1" x14ac:dyDescent="0.2">
      <c r="B139" s="1">
        <v>13028</v>
      </c>
      <c r="C139" s="1">
        <v>0</v>
      </c>
      <c r="G139" s="1">
        <v>13028</v>
      </c>
      <c r="H139" s="1">
        <v>0</v>
      </c>
      <c r="L139" s="1">
        <v>13028</v>
      </c>
      <c r="M139" s="1">
        <v>0</v>
      </c>
      <c r="P139" s="1">
        <v>13028</v>
      </c>
      <c r="Q139" s="1">
        <v>0</v>
      </c>
    </row>
    <row r="140" spans="2:17" hidden="1" x14ac:dyDescent="0.2">
      <c r="B140" s="1">
        <v>13029</v>
      </c>
      <c r="C140" s="1">
        <v>0</v>
      </c>
      <c r="G140" s="1">
        <v>13029</v>
      </c>
      <c r="H140" s="1">
        <v>0</v>
      </c>
      <c r="L140" s="1">
        <v>13029</v>
      </c>
      <c r="M140" s="1">
        <v>0</v>
      </c>
      <c r="P140" s="1">
        <v>13029</v>
      </c>
      <c r="Q140" s="1">
        <v>0</v>
      </c>
    </row>
    <row r="141" spans="2:17" hidden="1" x14ac:dyDescent="0.2">
      <c r="B141" s="1">
        <v>13030</v>
      </c>
      <c r="C141" s="1">
        <v>0</v>
      </c>
      <c r="G141" s="1">
        <v>13030</v>
      </c>
      <c r="H141" s="1">
        <v>0</v>
      </c>
      <c r="L141" s="1">
        <v>13030</v>
      </c>
      <c r="M141" s="1">
        <v>0</v>
      </c>
      <c r="P141" s="1">
        <v>13030</v>
      </c>
      <c r="Q141" s="1">
        <v>0</v>
      </c>
    </row>
    <row r="142" spans="2:17" hidden="1" x14ac:dyDescent="0.2">
      <c r="B142" s="1">
        <v>13031</v>
      </c>
      <c r="C142" s="1">
        <v>0</v>
      </c>
      <c r="G142" s="1">
        <v>13031</v>
      </c>
      <c r="H142" s="1">
        <v>0</v>
      </c>
      <c r="L142" s="1">
        <v>13031</v>
      </c>
      <c r="M142" s="1">
        <v>0</v>
      </c>
      <c r="P142" s="1">
        <v>13031</v>
      </c>
      <c r="Q142" s="1">
        <v>0</v>
      </c>
    </row>
    <row r="143" spans="2:17" hidden="1" x14ac:dyDescent="0.2">
      <c r="B143" s="1">
        <v>13032</v>
      </c>
      <c r="C143" s="1">
        <v>0</v>
      </c>
      <c r="G143" s="1">
        <v>13032</v>
      </c>
      <c r="H143" s="1">
        <v>0</v>
      </c>
      <c r="L143" s="1">
        <v>13032</v>
      </c>
      <c r="M143" s="1">
        <v>0</v>
      </c>
      <c r="P143" s="1">
        <v>13032</v>
      </c>
      <c r="Q143" s="1">
        <v>0</v>
      </c>
    </row>
    <row r="144" spans="2:17" hidden="1" x14ac:dyDescent="0.2">
      <c r="B144" s="1">
        <v>13033</v>
      </c>
      <c r="C144" s="1">
        <v>0</v>
      </c>
      <c r="G144" s="1">
        <v>13033</v>
      </c>
      <c r="H144" s="1">
        <v>0</v>
      </c>
      <c r="L144" s="1">
        <v>13033</v>
      </c>
      <c r="M144" s="1">
        <v>0</v>
      </c>
      <c r="P144" s="1">
        <v>13033</v>
      </c>
      <c r="Q144" s="1">
        <v>0</v>
      </c>
    </row>
    <row r="145" spans="2:17" hidden="1" x14ac:dyDescent="0.2">
      <c r="B145" s="1">
        <v>13034</v>
      </c>
      <c r="C145" s="1">
        <v>0</v>
      </c>
      <c r="G145" s="1">
        <v>13034</v>
      </c>
      <c r="H145" s="1">
        <v>0</v>
      </c>
      <c r="L145" s="1">
        <v>13034</v>
      </c>
      <c r="M145" s="1">
        <v>0</v>
      </c>
      <c r="P145" s="1">
        <v>13034</v>
      </c>
      <c r="Q145" s="1">
        <v>0</v>
      </c>
    </row>
    <row r="146" spans="2:17" hidden="1" x14ac:dyDescent="0.2">
      <c r="B146" s="1">
        <v>13035</v>
      </c>
      <c r="C146" s="1">
        <v>0</v>
      </c>
      <c r="G146" s="1">
        <v>13035</v>
      </c>
      <c r="H146" s="1">
        <v>0</v>
      </c>
      <c r="L146" s="1">
        <v>13035</v>
      </c>
      <c r="M146" s="1">
        <v>0</v>
      </c>
      <c r="P146" s="1">
        <v>13035</v>
      </c>
      <c r="Q146" s="1">
        <v>0</v>
      </c>
    </row>
    <row r="147" spans="2:17" hidden="1" x14ac:dyDescent="0.2">
      <c r="B147" s="1">
        <v>14024</v>
      </c>
      <c r="C147" s="1">
        <v>0</v>
      </c>
      <c r="G147" s="1">
        <v>14024</v>
      </c>
      <c r="H147" s="1">
        <v>0</v>
      </c>
      <c r="L147" s="1">
        <v>14024</v>
      </c>
      <c r="M147" s="1">
        <v>0</v>
      </c>
      <c r="P147" s="1">
        <v>14024</v>
      </c>
      <c r="Q147" s="1">
        <v>0</v>
      </c>
    </row>
    <row r="148" spans="2:17" hidden="1" x14ac:dyDescent="0.2">
      <c r="B148" s="1">
        <v>14025</v>
      </c>
      <c r="C148" s="1">
        <v>0</v>
      </c>
      <c r="G148" s="1">
        <v>14025</v>
      </c>
      <c r="H148" s="1">
        <v>0</v>
      </c>
      <c r="L148" s="1">
        <v>14025</v>
      </c>
      <c r="M148" s="1">
        <v>0</v>
      </c>
      <c r="P148" s="1">
        <v>14025</v>
      </c>
      <c r="Q148" s="1">
        <v>0</v>
      </c>
    </row>
    <row r="149" spans="2:17" hidden="1" x14ac:dyDescent="0.2">
      <c r="B149" s="1">
        <v>14026</v>
      </c>
      <c r="C149" s="1">
        <v>0</v>
      </c>
      <c r="G149" s="1">
        <v>14026</v>
      </c>
      <c r="H149" s="1">
        <v>0</v>
      </c>
      <c r="L149" s="1">
        <v>14026</v>
      </c>
      <c r="M149" s="1">
        <v>0</v>
      </c>
      <c r="P149" s="1">
        <v>14026</v>
      </c>
      <c r="Q149" s="1">
        <v>0</v>
      </c>
    </row>
    <row r="150" spans="2:17" hidden="1" x14ac:dyDescent="0.2">
      <c r="B150" s="1">
        <v>14027</v>
      </c>
      <c r="C150" s="1">
        <v>0</v>
      </c>
      <c r="G150" s="1">
        <v>14027</v>
      </c>
      <c r="H150" s="1">
        <v>0</v>
      </c>
      <c r="L150" s="1">
        <v>14027</v>
      </c>
      <c r="M150" s="1">
        <v>0</v>
      </c>
      <c r="P150" s="1">
        <v>14027</v>
      </c>
      <c r="Q150" s="1">
        <v>0</v>
      </c>
    </row>
    <row r="151" spans="2:17" hidden="1" x14ac:dyDescent="0.2">
      <c r="B151" s="1">
        <v>14028</v>
      </c>
      <c r="C151" s="1">
        <v>0</v>
      </c>
      <c r="G151" s="1">
        <v>14028</v>
      </c>
      <c r="H151" s="1">
        <v>0</v>
      </c>
      <c r="L151" s="1">
        <v>14028</v>
      </c>
      <c r="M151" s="1">
        <v>0</v>
      </c>
      <c r="P151" s="1">
        <v>14028</v>
      </c>
      <c r="Q151" s="1">
        <v>0</v>
      </c>
    </row>
    <row r="152" spans="2:17" hidden="1" x14ac:dyDescent="0.2">
      <c r="B152" s="1">
        <v>14029</v>
      </c>
      <c r="C152" s="1">
        <v>0</v>
      </c>
      <c r="G152" s="1">
        <v>14029</v>
      </c>
      <c r="H152" s="1">
        <v>0</v>
      </c>
      <c r="L152" s="1">
        <v>14029</v>
      </c>
      <c r="M152" s="1">
        <v>0</v>
      </c>
      <c r="P152" s="1">
        <v>14029</v>
      </c>
      <c r="Q152" s="1">
        <v>0</v>
      </c>
    </row>
    <row r="153" spans="2:17" hidden="1" x14ac:dyDescent="0.2">
      <c r="B153" s="1">
        <v>14030</v>
      </c>
      <c r="C153" s="1">
        <v>0</v>
      </c>
      <c r="G153" s="1">
        <v>14030</v>
      </c>
      <c r="H153" s="1">
        <v>0</v>
      </c>
      <c r="L153" s="1">
        <v>14030</v>
      </c>
      <c r="M153" s="1">
        <v>0</v>
      </c>
      <c r="P153" s="1">
        <v>14030</v>
      </c>
      <c r="Q153" s="1">
        <v>0</v>
      </c>
    </row>
    <row r="154" spans="2:17" hidden="1" x14ac:dyDescent="0.2">
      <c r="B154" s="1">
        <v>14031</v>
      </c>
      <c r="C154" s="1">
        <v>0</v>
      </c>
      <c r="G154" s="1">
        <v>14031</v>
      </c>
      <c r="H154" s="1">
        <v>0</v>
      </c>
      <c r="L154" s="1">
        <v>14031</v>
      </c>
      <c r="M154" s="1">
        <v>0</v>
      </c>
      <c r="P154" s="1">
        <v>14031</v>
      </c>
      <c r="Q154" s="1">
        <v>0</v>
      </c>
    </row>
    <row r="155" spans="2:17" hidden="1" x14ac:dyDescent="0.2">
      <c r="B155" s="1">
        <v>14032</v>
      </c>
      <c r="C155" s="1">
        <v>0</v>
      </c>
      <c r="G155" s="1">
        <v>14032</v>
      </c>
      <c r="H155" s="1">
        <v>0</v>
      </c>
      <c r="L155" s="1">
        <v>14032</v>
      </c>
      <c r="M155" s="1">
        <v>0</v>
      </c>
      <c r="P155" s="1">
        <v>14032</v>
      </c>
      <c r="Q155" s="1">
        <v>0</v>
      </c>
    </row>
    <row r="156" spans="2:17" hidden="1" x14ac:dyDescent="0.2">
      <c r="B156" s="1">
        <v>14033</v>
      </c>
      <c r="C156" s="1">
        <v>0</v>
      </c>
      <c r="G156" s="1">
        <v>14033</v>
      </c>
      <c r="H156" s="1">
        <v>0</v>
      </c>
      <c r="L156" s="1">
        <v>14033</v>
      </c>
      <c r="M156" s="1">
        <v>0</v>
      </c>
      <c r="P156" s="1">
        <v>14033</v>
      </c>
      <c r="Q156" s="1">
        <v>0</v>
      </c>
    </row>
    <row r="157" spans="2:17" hidden="1" x14ac:dyDescent="0.2">
      <c r="B157" s="1">
        <v>14034</v>
      </c>
      <c r="C157" s="1">
        <v>0</v>
      </c>
      <c r="G157" s="1">
        <v>14034</v>
      </c>
      <c r="H157" s="1">
        <v>0</v>
      </c>
      <c r="L157" s="1">
        <v>14034</v>
      </c>
      <c r="M157" s="1">
        <v>0</v>
      </c>
      <c r="P157" s="1">
        <v>14034</v>
      </c>
      <c r="Q157" s="1">
        <v>0</v>
      </c>
    </row>
    <row r="158" spans="2:17" hidden="1" x14ac:dyDescent="0.2">
      <c r="B158" s="1">
        <v>14035</v>
      </c>
      <c r="C158" s="1">
        <v>0</v>
      </c>
      <c r="G158" s="1">
        <v>14035</v>
      </c>
      <c r="H158" s="1">
        <v>0</v>
      </c>
      <c r="L158" s="1">
        <v>14035</v>
      </c>
      <c r="M158" s="1">
        <v>0</v>
      </c>
      <c r="P158" s="1">
        <v>14035</v>
      </c>
      <c r="Q158" s="1">
        <v>0</v>
      </c>
    </row>
    <row r="159" spans="2:17" hidden="1" x14ac:dyDescent="0.2">
      <c r="B159" s="1">
        <v>14036</v>
      </c>
      <c r="C159" s="1">
        <v>0</v>
      </c>
      <c r="G159" s="1">
        <v>14036</v>
      </c>
      <c r="H159" s="1">
        <v>0</v>
      </c>
      <c r="L159" s="1">
        <v>14036</v>
      </c>
      <c r="M159" s="1">
        <v>0</v>
      </c>
      <c r="P159" s="1">
        <v>14036</v>
      </c>
      <c r="Q159" s="1">
        <v>0</v>
      </c>
    </row>
    <row r="160" spans="2:17" hidden="1" x14ac:dyDescent="0.2">
      <c r="B160" s="1">
        <v>14037</v>
      </c>
      <c r="C160" s="1">
        <v>0</v>
      </c>
      <c r="G160" s="1">
        <v>14037</v>
      </c>
      <c r="H160" s="1">
        <v>0</v>
      </c>
      <c r="L160" s="1">
        <v>14037</v>
      </c>
      <c r="M160" s="1">
        <v>0</v>
      </c>
      <c r="P160" s="1">
        <v>14037</v>
      </c>
      <c r="Q160" s="1">
        <v>0</v>
      </c>
    </row>
    <row r="161" spans="2:17" hidden="1" x14ac:dyDescent="0.2">
      <c r="B161" s="1">
        <v>14038</v>
      </c>
      <c r="C161" s="1">
        <v>0</v>
      </c>
      <c r="G161" s="1">
        <v>14038</v>
      </c>
      <c r="H161" s="1">
        <v>0</v>
      </c>
      <c r="L161" s="1">
        <v>14038</v>
      </c>
      <c r="M161" s="1">
        <v>0</v>
      </c>
      <c r="P161" s="1">
        <v>14038</v>
      </c>
      <c r="Q161" s="1">
        <v>0</v>
      </c>
    </row>
    <row r="162" spans="2:17" hidden="1" x14ac:dyDescent="0.2">
      <c r="B162" s="1">
        <v>14039</v>
      </c>
      <c r="C162" s="1">
        <v>0</v>
      </c>
      <c r="G162" s="1">
        <v>14039</v>
      </c>
      <c r="H162" s="1">
        <v>0</v>
      </c>
      <c r="L162" s="1">
        <v>14039</v>
      </c>
      <c r="M162" s="1">
        <v>0</v>
      </c>
      <c r="P162" s="1">
        <v>14039</v>
      </c>
      <c r="Q162" s="1">
        <v>0</v>
      </c>
    </row>
    <row r="163" spans="2:17" hidden="1" x14ac:dyDescent="0.2">
      <c r="B163" s="1">
        <v>15026</v>
      </c>
      <c r="C163" s="1">
        <v>0</v>
      </c>
      <c r="G163" s="1">
        <v>15026</v>
      </c>
      <c r="H163" s="1">
        <v>0</v>
      </c>
      <c r="L163" s="1">
        <v>15026</v>
      </c>
      <c r="M163" s="1">
        <v>0</v>
      </c>
      <c r="P163" s="1">
        <v>15026</v>
      </c>
      <c r="Q163" s="1">
        <v>0</v>
      </c>
    </row>
    <row r="164" spans="2:17" hidden="1" x14ac:dyDescent="0.2">
      <c r="B164" s="1">
        <v>15027</v>
      </c>
      <c r="C164" s="1">
        <v>0</v>
      </c>
      <c r="G164" s="1">
        <v>15027</v>
      </c>
      <c r="H164" s="1">
        <v>0</v>
      </c>
      <c r="L164" s="1">
        <v>15027</v>
      </c>
      <c r="M164" s="1">
        <v>0</v>
      </c>
      <c r="P164" s="1">
        <v>15027</v>
      </c>
      <c r="Q164" s="1">
        <v>0</v>
      </c>
    </row>
    <row r="165" spans="2:17" hidden="1" x14ac:dyDescent="0.2">
      <c r="B165" s="1">
        <v>15028</v>
      </c>
      <c r="C165" s="1">
        <v>0</v>
      </c>
      <c r="G165" s="1">
        <v>15028</v>
      </c>
      <c r="H165" s="1">
        <v>0</v>
      </c>
      <c r="L165" s="1">
        <v>15028</v>
      </c>
      <c r="M165" s="1">
        <v>0</v>
      </c>
      <c r="P165" s="1">
        <v>15028</v>
      </c>
      <c r="Q165" s="1">
        <v>0</v>
      </c>
    </row>
    <row r="166" spans="2:17" hidden="1" x14ac:dyDescent="0.2">
      <c r="B166" s="1">
        <v>15029</v>
      </c>
      <c r="C166" s="1">
        <v>0</v>
      </c>
      <c r="G166" s="1">
        <v>15029</v>
      </c>
      <c r="H166" s="1">
        <v>0</v>
      </c>
      <c r="L166" s="1">
        <v>15029</v>
      </c>
      <c r="M166" s="1">
        <v>0</v>
      </c>
      <c r="P166" s="1">
        <v>15029</v>
      </c>
      <c r="Q166" s="1">
        <v>0</v>
      </c>
    </row>
    <row r="167" spans="2:17" hidden="1" x14ac:dyDescent="0.2">
      <c r="B167" s="1">
        <v>15030</v>
      </c>
      <c r="C167" s="1">
        <v>0</v>
      </c>
      <c r="G167" s="1">
        <v>15030</v>
      </c>
      <c r="H167" s="1">
        <v>0</v>
      </c>
      <c r="L167" s="1">
        <v>15030</v>
      </c>
      <c r="M167" s="1">
        <v>0</v>
      </c>
      <c r="P167" s="1">
        <v>15030</v>
      </c>
      <c r="Q167" s="1">
        <v>0</v>
      </c>
    </row>
    <row r="168" spans="2:17" hidden="1" x14ac:dyDescent="0.2">
      <c r="B168" s="1">
        <v>15031</v>
      </c>
      <c r="C168" s="1">
        <v>0</v>
      </c>
      <c r="G168" s="1">
        <v>15031</v>
      </c>
      <c r="H168" s="1">
        <v>0</v>
      </c>
      <c r="L168" s="1">
        <v>15031</v>
      </c>
      <c r="M168" s="1">
        <v>0</v>
      </c>
      <c r="P168" s="1">
        <v>15031</v>
      </c>
      <c r="Q168" s="1">
        <v>0</v>
      </c>
    </row>
    <row r="169" spans="2:17" hidden="1" x14ac:dyDescent="0.2">
      <c r="B169" s="1">
        <v>15032</v>
      </c>
      <c r="C169" s="1">
        <v>0</v>
      </c>
      <c r="G169" s="1">
        <v>15032</v>
      </c>
      <c r="H169" s="1">
        <v>0</v>
      </c>
      <c r="L169" s="1">
        <v>15032</v>
      </c>
      <c r="M169" s="1">
        <v>0</v>
      </c>
      <c r="P169" s="1">
        <v>15032</v>
      </c>
      <c r="Q169" s="1">
        <v>0</v>
      </c>
    </row>
    <row r="170" spans="2:17" hidden="1" x14ac:dyDescent="0.2">
      <c r="B170" s="1">
        <v>15033</v>
      </c>
      <c r="C170" s="1">
        <v>0</v>
      </c>
      <c r="G170" s="1">
        <v>15033</v>
      </c>
      <c r="H170" s="1">
        <v>0</v>
      </c>
      <c r="L170" s="1">
        <v>15033</v>
      </c>
      <c r="M170" s="1">
        <v>0</v>
      </c>
      <c r="P170" s="1">
        <v>15033</v>
      </c>
      <c r="Q170" s="1">
        <v>0</v>
      </c>
    </row>
    <row r="171" spans="2:17" hidden="1" x14ac:dyDescent="0.2">
      <c r="B171" s="1">
        <v>15034</v>
      </c>
      <c r="C171" s="1">
        <v>0</v>
      </c>
      <c r="G171" s="1">
        <v>15034</v>
      </c>
      <c r="H171" s="1">
        <v>0</v>
      </c>
      <c r="L171" s="1">
        <v>15034</v>
      </c>
      <c r="M171" s="1">
        <v>0</v>
      </c>
      <c r="P171" s="1">
        <v>15034</v>
      </c>
      <c r="Q171" s="1">
        <v>0</v>
      </c>
    </row>
    <row r="172" spans="2:17" hidden="1" x14ac:dyDescent="0.2">
      <c r="B172" s="1">
        <v>15035</v>
      </c>
      <c r="C172" s="1">
        <v>0</v>
      </c>
      <c r="G172" s="1">
        <v>15035</v>
      </c>
      <c r="H172" s="1">
        <v>0</v>
      </c>
      <c r="L172" s="1">
        <v>15035</v>
      </c>
      <c r="M172" s="1">
        <v>0</v>
      </c>
      <c r="P172" s="1">
        <v>15035</v>
      </c>
      <c r="Q172" s="1">
        <v>0</v>
      </c>
    </row>
    <row r="173" spans="2:17" hidden="1" x14ac:dyDescent="0.2">
      <c r="B173" s="1">
        <v>15036</v>
      </c>
      <c r="C173" s="1">
        <v>0</v>
      </c>
      <c r="G173" s="1">
        <v>15036</v>
      </c>
      <c r="H173" s="1">
        <v>0</v>
      </c>
      <c r="L173" s="1">
        <v>15036</v>
      </c>
      <c r="M173" s="1">
        <v>0</v>
      </c>
      <c r="P173" s="1">
        <v>15036</v>
      </c>
      <c r="Q173" s="1">
        <v>0</v>
      </c>
    </row>
    <row r="174" spans="2:17" hidden="1" x14ac:dyDescent="0.2">
      <c r="B174" s="1">
        <v>15037</v>
      </c>
      <c r="C174" s="1">
        <v>0</v>
      </c>
      <c r="G174" s="1">
        <v>15037</v>
      </c>
      <c r="H174" s="1">
        <v>0</v>
      </c>
      <c r="L174" s="1">
        <v>15037</v>
      </c>
      <c r="M174" s="1">
        <v>0</v>
      </c>
      <c r="P174" s="1">
        <v>15037</v>
      </c>
      <c r="Q174" s="1">
        <v>0</v>
      </c>
    </row>
    <row r="175" spans="2:17" hidden="1" x14ac:dyDescent="0.2">
      <c r="B175" s="1">
        <v>15038</v>
      </c>
      <c r="C175" s="1">
        <v>0</v>
      </c>
      <c r="G175" s="1">
        <v>15038</v>
      </c>
      <c r="H175" s="1">
        <v>0</v>
      </c>
      <c r="L175" s="1">
        <v>15038</v>
      </c>
      <c r="M175" s="1">
        <v>0</v>
      </c>
      <c r="P175" s="1">
        <v>15038</v>
      </c>
      <c r="Q175" s="1">
        <v>0</v>
      </c>
    </row>
    <row r="176" spans="2:17" hidden="1" x14ac:dyDescent="0.2">
      <c r="B176" s="1">
        <v>15039</v>
      </c>
      <c r="C176" s="1">
        <v>0</v>
      </c>
      <c r="G176" s="1">
        <v>15039</v>
      </c>
      <c r="H176" s="1">
        <v>0</v>
      </c>
      <c r="L176" s="1">
        <v>15039</v>
      </c>
      <c r="M176" s="1">
        <v>0</v>
      </c>
      <c r="P176" s="1">
        <v>15039</v>
      </c>
      <c r="Q176" s="1">
        <v>0</v>
      </c>
    </row>
    <row r="177" spans="2:17" hidden="1" x14ac:dyDescent="0.2">
      <c r="B177" s="1">
        <v>15040</v>
      </c>
      <c r="C177" s="1">
        <v>0</v>
      </c>
      <c r="G177" s="1">
        <v>15040</v>
      </c>
      <c r="H177" s="1">
        <v>0</v>
      </c>
      <c r="L177" s="1">
        <v>15040</v>
      </c>
      <c r="M177" s="1">
        <v>0</v>
      </c>
      <c r="P177" s="1">
        <v>15040</v>
      </c>
      <c r="Q177" s="1">
        <v>0</v>
      </c>
    </row>
    <row r="178" spans="2:17" hidden="1" x14ac:dyDescent="0.2">
      <c r="B178" s="1">
        <v>15041</v>
      </c>
      <c r="C178" s="1">
        <v>0</v>
      </c>
      <c r="G178" s="1">
        <v>15041</v>
      </c>
      <c r="H178" s="1">
        <v>0</v>
      </c>
      <c r="L178" s="1">
        <v>15041</v>
      </c>
      <c r="M178" s="1">
        <v>0</v>
      </c>
      <c r="P178" s="1">
        <v>15041</v>
      </c>
      <c r="Q178" s="1">
        <v>0</v>
      </c>
    </row>
    <row r="179" spans="2:17" hidden="1" x14ac:dyDescent="0.2">
      <c r="B179" s="1">
        <v>15042</v>
      </c>
      <c r="C179" s="1">
        <v>0</v>
      </c>
      <c r="G179" s="1">
        <v>15042</v>
      </c>
      <c r="H179" s="1">
        <v>0</v>
      </c>
      <c r="L179" s="1">
        <v>15042</v>
      </c>
      <c r="M179" s="1">
        <v>0</v>
      </c>
      <c r="P179" s="1">
        <v>15042</v>
      </c>
      <c r="Q179" s="1">
        <v>0</v>
      </c>
    </row>
    <row r="180" spans="2:17" hidden="1" x14ac:dyDescent="0.2">
      <c r="B180" s="1">
        <v>16029</v>
      </c>
      <c r="C180" s="1">
        <v>0</v>
      </c>
      <c r="G180" s="1">
        <v>16029</v>
      </c>
      <c r="H180" s="1">
        <v>0</v>
      </c>
      <c r="L180" s="1">
        <v>16029</v>
      </c>
      <c r="M180" s="1">
        <v>0</v>
      </c>
      <c r="P180" s="1">
        <v>16029</v>
      </c>
      <c r="Q180" s="1">
        <v>0</v>
      </c>
    </row>
    <row r="181" spans="2:17" hidden="1" x14ac:dyDescent="0.2">
      <c r="B181" s="1">
        <v>16030</v>
      </c>
      <c r="C181" s="1">
        <v>0</v>
      </c>
      <c r="G181" s="1">
        <v>16030</v>
      </c>
      <c r="H181" s="1">
        <v>0</v>
      </c>
      <c r="L181" s="1">
        <v>16030</v>
      </c>
      <c r="M181" s="1">
        <v>0</v>
      </c>
      <c r="P181" s="1">
        <v>16030</v>
      </c>
      <c r="Q181" s="1">
        <v>0</v>
      </c>
    </row>
    <row r="182" spans="2:17" hidden="1" x14ac:dyDescent="0.2">
      <c r="B182" s="1">
        <v>16031</v>
      </c>
      <c r="C182" s="1">
        <v>0</v>
      </c>
      <c r="G182" s="1">
        <v>16031</v>
      </c>
      <c r="H182" s="1">
        <v>0</v>
      </c>
      <c r="L182" s="1">
        <v>16031</v>
      </c>
      <c r="M182" s="1">
        <v>0</v>
      </c>
      <c r="P182" s="1">
        <v>16031</v>
      </c>
      <c r="Q182" s="1">
        <v>0</v>
      </c>
    </row>
    <row r="183" spans="2:17" hidden="1" x14ac:dyDescent="0.2">
      <c r="B183" s="1">
        <v>16032</v>
      </c>
      <c r="C183" s="1">
        <v>0</v>
      </c>
      <c r="G183" s="1">
        <v>16032</v>
      </c>
      <c r="H183" s="1">
        <v>0</v>
      </c>
      <c r="L183" s="1">
        <v>16032</v>
      </c>
      <c r="M183" s="1">
        <v>0</v>
      </c>
      <c r="P183" s="1">
        <v>16032</v>
      </c>
      <c r="Q183" s="1">
        <v>0</v>
      </c>
    </row>
    <row r="184" spans="2:17" hidden="1" x14ac:dyDescent="0.2">
      <c r="B184" s="1">
        <v>16033</v>
      </c>
      <c r="C184" s="1">
        <v>0</v>
      </c>
      <c r="G184" s="1">
        <v>16033</v>
      </c>
      <c r="H184" s="1">
        <v>0</v>
      </c>
      <c r="L184" s="1">
        <v>16033</v>
      </c>
      <c r="M184" s="1">
        <v>0</v>
      </c>
      <c r="P184" s="1">
        <v>16033</v>
      </c>
      <c r="Q184" s="1">
        <v>0</v>
      </c>
    </row>
    <row r="185" spans="2:17" hidden="1" x14ac:dyDescent="0.2">
      <c r="B185" s="1">
        <v>16034</v>
      </c>
      <c r="C185" s="1">
        <v>0</v>
      </c>
      <c r="G185" s="1">
        <v>16034</v>
      </c>
      <c r="H185" s="1">
        <v>0</v>
      </c>
      <c r="L185" s="1">
        <v>16034</v>
      </c>
      <c r="M185" s="1">
        <v>0</v>
      </c>
      <c r="P185" s="1">
        <v>16034</v>
      </c>
      <c r="Q185" s="1">
        <v>0</v>
      </c>
    </row>
    <row r="186" spans="2:17" hidden="1" x14ac:dyDescent="0.2">
      <c r="B186" s="1">
        <v>16035</v>
      </c>
      <c r="C186" s="1">
        <v>0</v>
      </c>
      <c r="G186" s="1">
        <v>16035</v>
      </c>
      <c r="H186" s="1">
        <v>0</v>
      </c>
      <c r="L186" s="1">
        <v>16035</v>
      </c>
      <c r="M186" s="1">
        <v>0</v>
      </c>
      <c r="P186" s="1">
        <v>16035</v>
      </c>
      <c r="Q186" s="1">
        <v>0</v>
      </c>
    </row>
    <row r="187" spans="2:17" hidden="1" x14ac:dyDescent="0.2">
      <c r="B187" s="1">
        <v>16036</v>
      </c>
      <c r="C187" s="1">
        <v>0</v>
      </c>
      <c r="G187" s="1">
        <v>16036</v>
      </c>
      <c r="H187" s="1">
        <v>0</v>
      </c>
      <c r="L187" s="1">
        <v>16036</v>
      </c>
      <c r="M187" s="1">
        <v>0</v>
      </c>
      <c r="P187" s="1">
        <v>16036</v>
      </c>
      <c r="Q187" s="1">
        <v>0</v>
      </c>
    </row>
    <row r="188" spans="2:17" hidden="1" x14ac:dyDescent="0.2">
      <c r="B188" s="1">
        <v>16037</v>
      </c>
      <c r="C188" s="1">
        <v>0</v>
      </c>
      <c r="G188" s="1">
        <v>16037</v>
      </c>
      <c r="H188" s="1">
        <v>0</v>
      </c>
      <c r="L188" s="1">
        <v>16037</v>
      </c>
      <c r="M188" s="1">
        <v>0</v>
      </c>
      <c r="P188" s="1">
        <v>16037</v>
      </c>
      <c r="Q188" s="1">
        <v>0</v>
      </c>
    </row>
    <row r="189" spans="2:17" hidden="1" x14ac:dyDescent="0.2">
      <c r="B189" s="1">
        <v>16038</v>
      </c>
      <c r="C189" s="1">
        <v>0</v>
      </c>
      <c r="G189" s="1">
        <v>16038</v>
      </c>
      <c r="H189" s="1">
        <v>0</v>
      </c>
      <c r="L189" s="1">
        <v>16038</v>
      </c>
      <c r="M189" s="1">
        <v>0</v>
      </c>
      <c r="P189" s="1">
        <v>16038</v>
      </c>
      <c r="Q189" s="1">
        <v>0</v>
      </c>
    </row>
    <row r="190" spans="2:17" hidden="1" x14ac:dyDescent="0.2">
      <c r="B190" s="1">
        <v>16039</v>
      </c>
      <c r="C190" s="1">
        <v>0</v>
      </c>
      <c r="G190" s="1">
        <v>16039</v>
      </c>
      <c r="H190" s="1">
        <v>0</v>
      </c>
      <c r="L190" s="1">
        <v>16039</v>
      </c>
      <c r="M190" s="1">
        <v>0</v>
      </c>
      <c r="P190" s="1">
        <v>16039</v>
      </c>
      <c r="Q190" s="1">
        <v>0</v>
      </c>
    </row>
    <row r="191" spans="2:17" hidden="1" x14ac:dyDescent="0.2">
      <c r="B191" s="1">
        <v>16040</v>
      </c>
      <c r="C191" s="1">
        <v>0</v>
      </c>
      <c r="G191" s="1">
        <v>16040</v>
      </c>
      <c r="H191" s="1">
        <v>0</v>
      </c>
      <c r="L191" s="1">
        <v>16040</v>
      </c>
      <c r="M191" s="1">
        <v>0</v>
      </c>
      <c r="P191" s="1">
        <v>16040</v>
      </c>
      <c r="Q191" s="1">
        <v>0</v>
      </c>
    </row>
    <row r="192" spans="2:17" hidden="1" x14ac:dyDescent="0.2">
      <c r="B192" s="1">
        <v>16041</v>
      </c>
      <c r="C192" s="1">
        <v>0</v>
      </c>
      <c r="G192" s="1">
        <v>16041</v>
      </c>
      <c r="H192" s="1">
        <v>0</v>
      </c>
      <c r="L192" s="1">
        <v>16041</v>
      </c>
      <c r="M192" s="1">
        <v>0</v>
      </c>
      <c r="P192" s="1">
        <v>16041</v>
      </c>
      <c r="Q192" s="1">
        <v>0</v>
      </c>
    </row>
    <row r="193" spans="2:17" hidden="1" x14ac:dyDescent="0.2">
      <c r="B193" s="1">
        <v>16042</v>
      </c>
      <c r="C193" s="1">
        <v>0</v>
      </c>
      <c r="G193" s="1">
        <v>16042</v>
      </c>
      <c r="H193" s="1">
        <v>0</v>
      </c>
      <c r="L193" s="1">
        <v>16042</v>
      </c>
      <c r="M193" s="1">
        <v>0</v>
      </c>
      <c r="P193" s="1">
        <v>16042</v>
      </c>
      <c r="Q193" s="1">
        <v>0</v>
      </c>
    </row>
    <row r="194" spans="2:17" hidden="1" x14ac:dyDescent="0.2">
      <c r="B194" s="1">
        <v>16043</v>
      </c>
      <c r="C194" s="1">
        <v>0</v>
      </c>
      <c r="G194" s="1">
        <v>16043</v>
      </c>
      <c r="H194" s="1">
        <v>0</v>
      </c>
      <c r="L194" s="1">
        <v>16043</v>
      </c>
      <c r="M194" s="1">
        <v>0</v>
      </c>
      <c r="P194" s="1">
        <v>16043</v>
      </c>
      <c r="Q194" s="1">
        <v>0</v>
      </c>
    </row>
    <row r="195" spans="2:17" hidden="1" x14ac:dyDescent="0.2">
      <c r="B195" s="1">
        <v>16044</v>
      </c>
      <c r="C195" s="1">
        <v>0</v>
      </c>
      <c r="G195" s="1">
        <v>16044</v>
      </c>
      <c r="H195" s="1">
        <v>0</v>
      </c>
      <c r="L195" s="1">
        <v>16044</v>
      </c>
      <c r="M195" s="1">
        <v>0</v>
      </c>
      <c r="P195" s="1">
        <v>16044</v>
      </c>
      <c r="Q195" s="1">
        <v>0</v>
      </c>
    </row>
    <row r="196" spans="2:17" hidden="1" x14ac:dyDescent="0.2">
      <c r="B196" s="1">
        <v>17031</v>
      </c>
      <c r="C196" s="1">
        <v>0</v>
      </c>
      <c r="G196" s="1">
        <v>17031</v>
      </c>
      <c r="H196" s="1">
        <v>0</v>
      </c>
      <c r="L196" s="1">
        <v>17031</v>
      </c>
      <c r="M196" s="1">
        <v>0</v>
      </c>
      <c r="P196" s="1">
        <v>17031</v>
      </c>
      <c r="Q196" s="1">
        <v>0</v>
      </c>
    </row>
    <row r="197" spans="2:17" hidden="1" x14ac:dyDescent="0.2">
      <c r="B197" s="1">
        <v>17032</v>
      </c>
      <c r="C197" s="1">
        <v>0</v>
      </c>
      <c r="G197" s="1">
        <v>17032</v>
      </c>
      <c r="H197" s="1">
        <v>0</v>
      </c>
      <c r="L197" s="1">
        <v>17032</v>
      </c>
      <c r="M197" s="1">
        <v>0</v>
      </c>
      <c r="P197" s="1">
        <v>17032</v>
      </c>
      <c r="Q197" s="1">
        <v>0</v>
      </c>
    </row>
    <row r="198" spans="2:17" hidden="1" x14ac:dyDescent="0.2">
      <c r="B198" s="1">
        <v>17033</v>
      </c>
      <c r="C198" s="1">
        <v>0</v>
      </c>
      <c r="G198" s="1">
        <v>17033</v>
      </c>
      <c r="H198" s="1">
        <v>0</v>
      </c>
      <c r="L198" s="1">
        <v>17033</v>
      </c>
      <c r="M198" s="1">
        <v>0</v>
      </c>
      <c r="P198" s="1">
        <v>17033</v>
      </c>
      <c r="Q198" s="1">
        <v>0</v>
      </c>
    </row>
    <row r="199" spans="2:17" hidden="1" x14ac:dyDescent="0.2">
      <c r="B199" s="1">
        <v>17034</v>
      </c>
      <c r="C199" s="1">
        <v>0</v>
      </c>
      <c r="G199" s="1">
        <v>17034</v>
      </c>
      <c r="H199" s="1">
        <v>0</v>
      </c>
      <c r="L199" s="1">
        <v>17034</v>
      </c>
      <c r="M199" s="1">
        <v>0</v>
      </c>
      <c r="P199" s="1">
        <v>17034</v>
      </c>
      <c r="Q199" s="1">
        <v>0</v>
      </c>
    </row>
    <row r="200" spans="2:17" hidden="1" x14ac:dyDescent="0.2">
      <c r="B200" s="1">
        <v>17035</v>
      </c>
      <c r="C200" s="1">
        <v>0</v>
      </c>
      <c r="G200" s="1">
        <v>17035</v>
      </c>
      <c r="H200" s="1">
        <v>0</v>
      </c>
      <c r="L200" s="1">
        <v>17035</v>
      </c>
      <c r="M200" s="1">
        <v>0</v>
      </c>
      <c r="P200" s="1">
        <v>17035</v>
      </c>
      <c r="Q200" s="1">
        <v>0</v>
      </c>
    </row>
    <row r="201" spans="2:17" hidden="1" x14ac:dyDescent="0.2">
      <c r="B201" s="1">
        <v>17036</v>
      </c>
      <c r="C201" s="1">
        <v>0</v>
      </c>
      <c r="G201" s="1">
        <v>17036</v>
      </c>
      <c r="H201" s="1">
        <v>0</v>
      </c>
      <c r="L201" s="1">
        <v>17036</v>
      </c>
      <c r="M201" s="1">
        <v>0</v>
      </c>
      <c r="P201" s="1">
        <v>17036</v>
      </c>
      <c r="Q201" s="1">
        <v>0</v>
      </c>
    </row>
    <row r="202" spans="2:17" hidden="1" x14ac:dyDescent="0.2">
      <c r="B202" s="1">
        <v>17037</v>
      </c>
      <c r="C202" s="1">
        <v>0</v>
      </c>
      <c r="G202" s="1">
        <v>17037</v>
      </c>
      <c r="H202" s="1">
        <v>0</v>
      </c>
      <c r="L202" s="1">
        <v>17037</v>
      </c>
      <c r="M202" s="1">
        <v>0</v>
      </c>
      <c r="P202" s="1">
        <v>17037</v>
      </c>
      <c r="Q202" s="1">
        <v>0</v>
      </c>
    </row>
    <row r="203" spans="2:17" hidden="1" x14ac:dyDescent="0.2">
      <c r="B203" s="1">
        <v>17038</v>
      </c>
      <c r="C203" s="1">
        <v>0</v>
      </c>
      <c r="G203" s="1">
        <v>17038</v>
      </c>
      <c r="H203" s="1">
        <v>0</v>
      </c>
      <c r="L203" s="1">
        <v>17038</v>
      </c>
      <c r="M203" s="1">
        <v>0</v>
      </c>
      <c r="P203" s="1">
        <v>17038</v>
      </c>
      <c r="Q203" s="1">
        <v>0</v>
      </c>
    </row>
    <row r="204" spans="2:17" hidden="1" x14ac:dyDescent="0.2">
      <c r="B204" s="1">
        <v>17039</v>
      </c>
      <c r="C204" s="1">
        <v>0</v>
      </c>
      <c r="G204" s="1">
        <v>17039</v>
      </c>
      <c r="H204" s="1">
        <v>0</v>
      </c>
      <c r="L204" s="1">
        <v>17039</v>
      </c>
      <c r="M204" s="1">
        <v>0</v>
      </c>
      <c r="P204" s="1">
        <v>17039</v>
      </c>
      <c r="Q204" s="1">
        <v>0</v>
      </c>
    </row>
    <row r="205" spans="2:17" hidden="1" x14ac:dyDescent="0.2">
      <c r="B205" s="1">
        <v>17040</v>
      </c>
      <c r="C205" s="1">
        <v>0</v>
      </c>
      <c r="G205" s="1">
        <v>17040</v>
      </c>
      <c r="H205" s="1">
        <v>0</v>
      </c>
      <c r="L205" s="1">
        <v>17040</v>
      </c>
      <c r="M205" s="1">
        <v>0</v>
      </c>
      <c r="P205" s="1">
        <v>17040</v>
      </c>
      <c r="Q205" s="1">
        <v>0</v>
      </c>
    </row>
    <row r="206" spans="2:17" hidden="1" x14ac:dyDescent="0.2">
      <c r="B206" s="1">
        <v>17041</v>
      </c>
      <c r="C206" s="1">
        <v>0</v>
      </c>
      <c r="G206" s="1">
        <v>17041</v>
      </c>
      <c r="H206" s="1">
        <v>0</v>
      </c>
      <c r="L206" s="1">
        <v>17041</v>
      </c>
      <c r="M206" s="1">
        <v>0</v>
      </c>
      <c r="P206" s="1">
        <v>17041</v>
      </c>
      <c r="Q206" s="1">
        <v>0</v>
      </c>
    </row>
    <row r="207" spans="2:17" hidden="1" x14ac:dyDescent="0.2">
      <c r="B207" s="1">
        <v>17042</v>
      </c>
      <c r="C207" s="1">
        <v>0</v>
      </c>
      <c r="G207" s="1">
        <v>17042</v>
      </c>
      <c r="H207" s="1">
        <v>0</v>
      </c>
      <c r="L207" s="1">
        <v>17042</v>
      </c>
      <c r="M207" s="1">
        <v>0</v>
      </c>
      <c r="P207" s="1">
        <v>17042</v>
      </c>
      <c r="Q207" s="1">
        <v>0</v>
      </c>
    </row>
    <row r="208" spans="2:17" hidden="1" x14ac:dyDescent="0.2">
      <c r="B208" s="1">
        <v>17043</v>
      </c>
      <c r="C208" s="1">
        <v>0</v>
      </c>
      <c r="G208" s="1">
        <v>17043</v>
      </c>
      <c r="H208" s="1">
        <v>0</v>
      </c>
      <c r="L208" s="1">
        <v>17043</v>
      </c>
      <c r="M208" s="1">
        <v>0</v>
      </c>
      <c r="P208" s="1">
        <v>17043</v>
      </c>
      <c r="Q208" s="1">
        <v>0</v>
      </c>
    </row>
    <row r="209" spans="2:17" hidden="1" x14ac:dyDescent="0.2">
      <c r="B209" s="1">
        <v>17044</v>
      </c>
      <c r="C209" s="1">
        <v>0</v>
      </c>
      <c r="G209" s="1">
        <v>17044</v>
      </c>
      <c r="H209" s="1">
        <v>0</v>
      </c>
      <c r="L209" s="1">
        <v>17044</v>
      </c>
      <c r="M209" s="1">
        <v>0</v>
      </c>
      <c r="P209" s="1">
        <v>17044</v>
      </c>
      <c r="Q209" s="1">
        <v>0</v>
      </c>
    </row>
    <row r="210" spans="2:17" hidden="1" x14ac:dyDescent="0.2">
      <c r="B210" s="1">
        <v>17045</v>
      </c>
      <c r="C210" s="1">
        <v>0</v>
      </c>
      <c r="G210" s="1">
        <v>17045</v>
      </c>
      <c r="H210" s="1">
        <v>0</v>
      </c>
      <c r="L210" s="1">
        <v>17045</v>
      </c>
      <c r="M210" s="1">
        <v>0</v>
      </c>
      <c r="P210" s="1">
        <v>17045</v>
      </c>
      <c r="Q210" s="1">
        <v>0</v>
      </c>
    </row>
    <row r="211" spans="2:17" hidden="1" x14ac:dyDescent="0.2">
      <c r="B211" s="1">
        <v>18032</v>
      </c>
      <c r="C211" s="1">
        <v>0</v>
      </c>
      <c r="G211" s="1">
        <v>18032</v>
      </c>
      <c r="H211" s="1">
        <v>0</v>
      </c>
      <c r="L211" s="1">
        <v>18032</v>
      </c>
      <c r="M211" s="1">
        <v>0</v>
      </c>
      <c r="P211" s="1">
        <v>18032</v>
      </c>
      <c r="Q211" s="1">
        <v>0</v>
      </c>
    </row>
    <row r="212" spans="2:17" hidden="1" x14ac:dyDescent="0.2">
      <c r="B212" s="1">
        <v>18033</v>
      </c>
      <c r="C212" s="1">
        <v>0</v>
      </c>
      <c r="G212" s="1">
        <v>18033</v>
      </c>
      <c r="H212" s="1">
        <v>0</v>
      </c>
      <c r="L212" s="1">
        <v>18033</v>
      </c>
      <c r="M212" s="1">
        <v>0</v>
      </c>
      <c r="P212" s="1">
        <v>18033</v>
      </c>
      <c r="Q212" s="1">
        <v>0</v>
      </c>
    </row>
    <row r="213" spans="2:17" hidden="1" x14ac:dyDescent="0.2">
      <c r="B213" s="1">
        <v>18034</v>
      </c>
      <c r="C213" s="1">
        <v>0</v>
      </c>
      <c r="G213" s="1">
        <v>18034</v>
      </c>
      <c r="H213" s="1">
        <v>0</v>
      </c>
      <c r="L213" s="1">
        <v>18034</v>
      </c>
      <c r="M213" s="1">
        <v>0</v>
      </c>
      <c r="P213" s="1">
        <v>18034</v>
      </c>
      <c r="Q213" s="1">
        <v>0</v>
      </c>
    </row>
    <row r="214" spans="2:17" hidden="1" x14ac:dyDescent="0.2">
      <c r="B214" s="1">
        <v>18035</v>
      </c>
      <c r="C214" s="1">
        <v>0</v>
      </c>
      <c r="G214" s="1">
        <v>18035</v>
      </c>
      <c r="H214" s="1">
        <v>0</v>
      </c>
      <c r="L214" s="1">
        <v>18035</v>
      </c>
      <c r="M214" s="1">
        <v>0</v>
      </c>
      <c r="P214" s="1">
        <v>18035</v>
      </c>
      <c r="Q214" s="1">
        <v>0</v>
      </c>
    </row>
    <row r="215" spans="2:17" hidden="1" x14ac:dyDescent="0.2">
      <c r="B215" s="1">
        <v>18036</v>
      </c>
      <c r="C215" s="1">
        <v>0</v>
      </c>
      <c r="G215" s="1">
        <v>18036</v>
      </c>
      <c r="H215" s="1">
        <v>0</v>
      </c>
      <c r="L215" s="1">
        <v>18036</v>
      </c>
      <c r="M215" s="1">
        <v>0</v>
      </c>
      <c r="P215" s="1">
        <v>18036</v>
      </c>
      <c r="Q215" s="1">
        <v>0</v>
      </c>
    </row>
    <row r="216" spans="2:17" hidden="1" x14ac:dyDescent="0.2">
      <c r="B216" s="1">
        <v>18037</v>
      </c>
      <c r="C216" s="1">
        <v>0</v>
      </c>
      <c r="G216" s="1">
        <v>18037</v>
      </c>
      <c r="H216" s="1">
        <v>0</v>
      </c>
      <c r="L216" s="1">
        <v>18037</v>
      </c>
      <c r="M216" s="1">
        <v>0</v>
      </c>
      <c r="P216" s="1">
        <v>18037</v>
      </c>
      <c r="Q216" s="1">
        <v>0</v>
      </c>
    </row>
    <row r="217" spans="2:17" hidden="1" x14ac:dyDescent="0.2">
      <c r="B217" s="1">
        <v>18038</v>
      </c>
      <c r="C217" s="1">
        <v>0</v>
      </c>
      <c r="G217" s="1">
        <v>18038</v>
      </c>
      <c r="H217" s="1">
        <v>0</v>
      </c>
      <c r="L217" s="1">
        <v>18038</v>
      </c>
      <c r="M217" s="1">
        <v>0</v>
      </c>
      <c r="P217" s="1">
        <v>18038</v>
      </c>
      <c r="Q217" s="1">
        <v>0</v>
      </c>
    </row>
    <row r="218" spans="2:17" hidden="1" x14ac:dyDescent="0.2">
      <c r="B218" s="1">
        <v>18039</v>
      </c>
      <c r="C218" s="1">
        <v>0</v>
      </c>
      <c r="G218" s="1">
        <v>18039</v>
      </c>
      <c r="H218" s="1">
        <v>0</v>
      </c>
      <c r="L218" s="1">
        <v>18039</v>
      </c>
      <c r="M218" s="1">
        <v>0</v>
      </c>
      <c r="P218" s="1">
        <v>18039</v>
      </c>
      <c r="Q218" s="1">
        <v>0</v>
      </c>
    </row>
    <row r="219" spans="2:17" hidden="1" x14ac:dyDescent="0.2">
      <c r="B219" s="1">
        <v>18040</v>
      </c>
      <c r="C219" s="1">
        <v>0</v>
      </c>
      <c r="G219" s="1">
        <v>18040</v>
      </c>
      <c r="H219" s="1">
        <v>0</v>
      </c>
      <c r="L219" s="1">
        <v>18040</v>
      </c>
      <c r="M219" s="1">
        <v>0</v>
      </c>
      <c r="P219" s="1">
        <v>18040</v>
      </c>
      <c r="Q219" s="1">
        <v>0</v>
      </c>
    </row>
    <row r="220" spans="2:17" hidden="1" x14ac:dyDescent="0.2">
      <c r="B220" s="1">
        <v>18041</v>
      </c>
      <c r="C220" s="1">
        <v>0</v>
      </c>
      <c r="G220" s="1">
        <v>18041</v>
      </c>
      <c r="H220" s="1">
        <v>0</v>
      </c>
      <c r="L220" s="1">
        <v>18041</v>
      </c>
      <c r="M220" s="1">
        <v>0</v>
      </c>
      <c r="P220" s="1">
        <v>18041</v>
      </c>
      <c r="Q220" s="1">
        <v>0</v>
      </c>
    </row>
    <row r="221" spans="2:17" hidden="1" x14ac:dyDescent="0.2">
      <c r="B221" s="1">
        <v>18042</v>
      </c>
      <c r="C221" s="1">
        <v>0</v>
      </c>
      <c r="G221" s="1">
        <v>18042</v>
      </c>
      <c r="H221" s="1">
        <v>0</v>
      </c>
      <c r="L221" s="1">
        <v>18042</v>
      </c>
      <c r="M221" s="1">
        <v>0</v>
      </c>
      <c r="P221" s="1">
        <v>18042</v>
      </c>
      <c r="Q221" s="1">
        <v>0</v>
      </c>
    </row>
    <row r="222" spans="2:17" hidden="1" x14ac:dyDescent="0.2">
      <c r="B222" s="1">
        <v>18043</v>
      </c>
      <c r="C222" s="1">
        <v>0</v>
      </c>
      <c r="G222" s="1">
        <v>18043</v>
      </c>
      <c r="H222" s="1">
        <v>0</v>
      </c>
      <c r="L222" s="1">
        <v>18043</v>
      </c>
      <c r="M222" s="1">
        <v>0</v>
      </c>
      <c r="P222" s="1">
        <v>18043</v>
      </c>
      <c r="Q222" s="1">
        <v>0</v>
      </c>
    </row>
    <row r="223" spans="2:17" hidden="1" x14ac:dyDescent="0.2">
      <c r="B223" s="1">
        <v>18044</v>
      </c>
      <c r="C223" s="1">
        <v>0</v>
      </c>
      <c r="G223" s="1">
        <v>18044</v>
      </c>
      <c r="H223" s="1">
        <v>0</v>
      </c>
      <c r="L223" s="1">
        <v>18044</v>
      </c>
      <c r="M223" s="1">
        <v>0</v>
      </c>
      <c r="P223" s="1">
        <v>18044</v>
      </c>
      <c r="Q223" s="1">
        <v>0</v>
      </c>
    </row>
    <row r="224" spans="2:17" hidden="1" x14ac:dyDescent="0.2">
      <c r="B224" s="1">
        <v>18045</v>
      </c>
      <c r="C224" s="1">
        <v>0</v>
      </c>
      <c r="G224" s="1">
        <v>18045</v>
      </c>
      <c r="H224" s="1">
        <v>0</v>
      </c>
      <c r="L224" s="1">
        <v>18045</v>
      </c>
      <c r="M224" s="1">
        <v>0</v>
      </c>
      <c r="P224" s="1">
        <v>18045</v>
      </c>
      <c r="Q224" s="1">
        <v>0</v>
      </c>
    </row>
    <row r="225" spans="2:17" hidden="1" x14ac:dyDescent="0.2">
      <c r="B225" s="1">
        <v>18046</v>
      </c>
      <c r="C225" s="1">
        <v>0</v>
      </c>
      <c r="G225" s="1">
        <v>18046</v>
      </c>
      <c r="H225" s="1">
        <v>0</v>
      </c>
      <c r="L225" s="1">
        <v>18046</v>
      </c>
      <c r="M225" s="1">
        <v>0</v>
      </c>
      <c r="P225" s="1">
        <v>18046</v>
      </c>
      <c r="Q225" s="1">
        <v>0</v>
      </c>
    </row>
    <row r="226" spans="2:17" hidden="1" x14ac:dyDescent="0.2">
      <c r="B226" s="1">
        <v>19035</v>
      </c>
      <c r="C226" s="1">
        <v>0</v>
      </c>
      <c r="G226" s="1">
        <v>19035</v>
      </c>
      <c r="H226" s="1">
        <v>0</v>
      </c>
      <c r="L226" s="1">
        <v>19035</v>
      </c>
      <c r="M226" s="1">
        <v>0</v>
      </c>
      <c r="P226" s="1">
        <v>19035</v>
      </c>
      <c r="Q226" s="1">
        <v>0</v>
      </c>
    </row>
    <row r="227" spans="2:17" hidden="1" x14ac:dyDescent="0.2">
      <c r="B227" s="1">
        <v>19036</v>
      </c>
      <c r="C227" s="1">
        <v>0</v>
      </c>
      <c r="G227" s="1">
        <v>19036</v>
      </c>
      <c r="H227" s="1">
        <v>0</v>
      </c>
      <c r="L227" s="1">
        <v>19036</v>
      </c>
      <c r="M227" s="1">
        <v>0</v>
      </c>
      <c r="P227" s="1">
        <v>19036</v>
      </c>
      <c r="Q227" s="1">
        <v>0</v>
      </c>
    </row>
    <row r="228" spans="2:17" hidden="1" x14ac:dyDescent="0.2">
      <c r="B228" s="1">
        <v>19037</v>
      </c>
      <c r="C228" s="1">
        <v>0</v>
      </c>
      <c r="G228" s="1">
        <v>19037</v>
      </c>
      <c r="H228" s="1">
        <v>0</v>
      </c>
      <c r="L228" s="1">
        <v>19037</v>
      </c>
      <c r="M228" s="1">
        <v>0</v>
      </c>
      <c r="P228" s="1">
        <v>19037</v>
      </c>
      <c r="Q228" s="1">
        <v>0</v>
      </c>
    </row>
    <row r="229" spans="2:17" hidden="1" x14ac:dyDescent="0.2">
      <c r="B229" s="1">
        <v>19038</v>
      </c>
      <c r="C229" s="1">
        <v>0</v>
      </c>
      <c r="G229" s="1">
        <v>19038</v>
      </c>
      <c r="H229" s="1">
        <v>0</v>
      </c>
      <c r="L229" s="1">
        <v>19038</v>
      </c>
      <c r="M229" s="1">
        <v>0</v>
      </c>
      <c r="P229" s="1">
        <v>19038</v>
      </c>
      <c r="Q229" s="1">
        <v>0</v>
      </c>
    </row>
    <row r="230" spans="2:17" hidden="1" x14ac:dyDescent="0.2">
      <c r="B230" s="1">
        <v>19039</v>
      </c>
      <c r="C230" s="1">
        <v>0</v>
      </c>
      <c r="G230" s="1">
        <v>19039</v>
      </c>
      <c r="H230" s="1">
        <v>0</v>
      </c>
      <c r="L230" s="1">
        <v>19039</v>
      </c>
      <c r="M230" s="1">
        <v>0</v>
      </c>
      <c r="P230" s="1">
        <v>19039</v>
      </c>
      <c r="Q230" s="1">
        <v>0</v>
      </c>
    </row>
    <row r="231" spans="2:17" hidden="1" x14ac:dyDescent="0.2">
      <c r="B231" s="1">
        <v>19040</v>
      </c>
      <c r="C231" s="1">
        <v>0</v>
      </c>
      <c r="G231" s="1">
        <v>19040</v>
      </c>
      <c r="H231" s="1">
        <v>0</v>
      </c>
      <c r="L231" s="1">
        <v>19040</v>
      </c>
      <c r="M231" s="1">
        <v>0</v>
      </c>
      <c r="P231" s="1">
        <v>19040</v>
      </c>
      <c r="Q231" s="1">
        <v>0</v>
      </c>
    </row>
    <row r="232" spans="2:17" hidden="1" x14ac:dyDescent="0.2">
      <c r="B232" s="1">
        <v>19041</v>
      </c>
      <c r="C232" s="1">
        <v>0</v>
      </c>
      <c r="G232" s="1">
        <v>19041</v>
      </c>
      <c r="H232" s="1">
        <v>0</v>
      </c>
      <c r="L232" s="1">
        <v>19041</v>
      </c>
      <c r="M232" s="1">
        <v>0</v>
      </c>
      <c r="P232" s="1">
        <v>19041</v>
      </c>
      <c r="Q232" s="1">
        <v>0</v>
      </c>
    </row>
    <row r="233" spans="2:17" hidden="1" x14ac:dyDescent="0.2">
      <c r="B233" s="1">
        <v>19042</v>
      </c>
      <c r="C233" s="1">
        <v>0</v>
      </c>
      <c r="G233" s="1">
        <v>19042</v>
      </c>
      <c r="H233" s="1">
        <v>0</v>
      </c>
      <c r="L233" s="1">
        <v>19042</v>
      </c>
      <c r="M233" s="1">
        <v>0</v>
      </c>
      <c r="P233" s="1">
        <v>19042</v>
      </c>
      <c r="Q233" s="1">
        <v>0</v>
      </c>
    </row>
    <row r="234" spans="2:17" hidden="1" x14ac:dyDescent="0.2">
      <c r="B234" s="1">
        <v>19043</v>
      </c>
      <c r="C234" s="1">
        <v>0</v>
      </c>
      <c r="G234" s="1">
        <v>19043</v>
      </c>
      <c r="H234" s="1">
        <v>0</v>
      </c>
      <c r="L234" s="1">
        <v>19043</v>
      </c>
      <c r="M234" s="1">
        <v>0</v>
      </c>
      <c r="P234" s="1">
        <v>19043</v>
      </c>
      <c r="Q234" s="1">
        <v>0</v>
      </c>
    </row>
    <row r="235" spans="2:17" hidden="1" x14ac:dyDescent="0.2">
      <c r="B235" s="1">
        <v>19044</v>
      </c>
      <c r="C235" s="1">
        <v>0</v>
      </c>
      <c r="G235" s="1">
        <v>19044</v>
      </c>
      <c r="H235" s="1">
        <v>0</v>
      </c>
      <c r="L235" s="1">
        <v>19044</v>
      </c>
      <c r="M235" s="1">
        <v>0</v>
      </c>
      <c r="P235" s="1">
        <v>19044</v>
      </c>
      <c r="Q235" s="1">
        <v>0</v>
      </c>
    </row>
    <row r="236" spans="2:17" hidden="1" x14ac:dyDescent="0.2">
      <c r="B236" s="1">
        <v>19045</v>
      </c>
      <c r="C236" s="1">
        <v>0</v>
      </c>
      <c r="G236" s="1">
        <v>19045</v>
      </c>
      <c r="H236" s="1">
        <v>0</v>
      </c>
      <c r="L236" s="1">
        <v>19045</v>
      </c>
      <c r="M236" s="1">
        <v>0</v>
      </c>
      <c r="P236" s="1">
        <v>19045</v>
      </c>
      <c r="Q236" s="1">
        <v>0</v>
      </c>
    </row>
    <row r="237" spans="2:17" hidden="1" x14ac:dyDescent="0.2">
      <c r="B237" s="1">
        <v>19046</v>
      </c>
      <c r="C237" s="1">
        <v>0</v>
      </c>
      <c r="G237" s="1">
        <v>19046</v>
      </c>
      <c r="H237" s="1">
        <v>0</v>
      </c>
      <c r="L237" s="1">
        <v>19046</v>
      </c>
      <c r="M237" s="1">
        <v>0</v>
      </c>
      <c r="P237" s="1">
        <v>19046</v>
      </c>
      <c r="Q237" s="1">
        <v>0</v>
      </c>
    </row>
    <row r="238" spans="2:17" hidden="1" x14ac:dyDescent="0.2">
      <c r="B238" s="1">
        <v>19047</v>
      </c>
      <c r="C238" s="1">
        <v>0</v>
      </c>
      <c r="G238" s="1">
        <v>19047</v>
      </c>
      <c r="H238" s="1">
        <v>0</v>
      </c>
      <c r="L238" s="1">
        <v>19047</v>
      </c>
      <c r="M238" s="1">
        <v>0</v>
      </c>
      <c r="P238" s="1">
        <v>19047</v>
      </c>
      <c r="Q238" s="1">
        <v>0</v>
      </c>
    </row>
    <row r="239" spans="2:17" hidden="1" x14ac:dyDescent="0.2">
      <c r="B239" s="1">
        <v>19048</v>
      </c>
      <c r="C239" s="1">
        <v>0</v>
      </c>
      <c r="G239" s="1">
        <v>19048</v>
      </c>
      <c r="H239" s="1">
        <v>0</v>
      </c>
      <c r="L239" s="1">
        <v>19048</v>
      </c>
      <c r="M239" s="1">
        <v>0</v>
      </c>
      <c r="P239" s="1">
        <v>19048</v>
      </c>
      <c r="Q239" s="1">
        <v>0</v>
      </c>
    </row>
    <row r="240" spans="2:17" hidden="1" x14ac:dyDescent="0.2">
      <c r="B240" s="1">
        <v>19049</v>
      </c>
      <c r="C240" s="1">
        <v>0</v>
      </c>
      <c r="G240" s="1">
        <v>19049</v>
      </c>
      <c r="H240" s="1">
        <v>0</v>
      </c>
      <c r="L240" s="1">
        <v>19049</v>
      </c>
      <c r="M240" s="1">
        <v>0</v>
      </c>
      <c r="P240" s="1">
        <v>19049</v>
      </c>
      <c r="Q240" s="1">
        <v>0</v>
      </c>
    </row>
    <row r="241" spans="2:17" hidden="1" x14ac:dyDescent="0.2">
      <c r="B241" s="1">
        <v>19050</v>
      </c>
      <c r="C241" s="1">
        <v>0</v>
      </c>
      <c r="G241" s="1">
        <v>19050</v>
      </c>
      <c r="H241" s="1">
        <v>0</v>
      </c>
      <c r="L241" s="1">
        <v>19050</v>
      </c>
      <c r="M241" s="1">
        <v>0</v>
      </c>
      <c r="P241" s="1">
        <v>19050</v>
      </c>
      <c r="Q241" s="1">
        <v>0</v>
      </c>
    </row>
    <row r="242" spans="2:17" hidden="1" x14ac:dyDescent="0.2">
      <c r="B242" s="1">
        <v>19051</v>
      </c>
      <c r="C242" s="1">
        <v>0</v>
      </c>
      <c r="G242" s="1">
        <v>19051</v>
      </c>
      <c r="H242" s="1">
        <v>0</v>
      </c>
      <c r="L242" s="1">
        <v>19051</v>
      </c>
      <c r="M242" s="1">
        <v>0</v>
      </c>
      <c r="P242" s="1">
        <v>19051</v>
      </c>
      <c r="Q242" s="1">
        <v>0</v>
      </c>
    </row>
    <row r="243" spans="2:17" hidden="1" x14ac:dyDescent="0.2">
      <c r="B243" s="1">
        <v>20036</v>
      </c>
      <c r="C243" s="1">
        <v>0</v>
      </c>
      <c r="G243" s="1">
        <v>20036</v>
      </c>
      <c r="H243" s="1">
        <v>0</v>
      </c>
      <c r="L243" s="1">
        <v>20036</v>
      </c>
      <c r="M243" s="1">
        <v>0</v>
      </c>
      <c r="P243" s="1">
        <v>20036</v>
      </c>
      <c r="Q243" s="1">
        <v>0</v>
      </c>
    </row>
    <row r="244" spans="2:17" hidden="1" x14ac:dyDescent="0.2">
      <c r="B244" s="1">
        <v>20037</v>
      </c>
      <c r="C244" s="1">
        <v>0</v>
      </c>
      <c r="G244" s="1">
        <v>20037</v>
      </c>
      <c r="H244" s="1">
        <v>0</v>
      </c>
      <c r="L244" s="1">
        <v>20037</v>
      </c>
      <c r="M244" s="1">
        <v>0</v>
      </c>
      <c r="P244" s="1">
        <v>20037</v>
      </c>
      <c r="Q244" s="1">
        <v>0</v>
      </c>
    </row>
    <row r="245" spans="2:17" hidden="1" x14ac:dyDescent="0.2">
      <c r="B245" s="1">
        <v>20038</v>
      </c>
      <c r="C245" s="1">
        <v>0</v>
      </c>
      <c r="G245" s="1">
        <v>20038</v>
      </c>
      <c r="H245" s="1">
        <v>0</v>
      </c>
      <c r="L245" s="1">
        <v>20038</v>
      </c>
      <c r="M245" s="1">
        <v>0</v>
      </c>
      <c r="P245" s="1">
        <v>20038</v>
      </c>
      <c r="Q245" s="1">
        <v>0</v>
      </c>
    </row>
    <row r="246" spans="2:17" hidden="1" x14ac:dyDescent="0.2">
      <c r="B246" s="1">
        <v>20039</v>
      </c>
      <c r="C246" s="1">
        <v>0</v>
      </c>
      <c r="G246" s="1">
        <v>20039</v>
      </c>
      <c r="H246" s="1">
        <v>0</v>
      </c>
      <c r="L246" s="1">
        <v>20039</v>
      </c>
      <c r="M246" s="1">
        <v>0</v>
      </c>
      <c r="P246" s="1">
        <v>20039</v>
      </c>
      <c r="Q246" s="1">
        <v>0</v>
      </c>
    </row>
    <row r="247" spans="2:17" hidden="1" x14ac:dyDescent="0.2">
      <c r="B247" s="1">
        <v>20040</v>
      </c>
      <c r="C247" s="1">
        <v>0</v>
      </c>
      <c r="G247" s="1">
        <v>20040</v>
      </c>
      <c r="H247" s="1">
        <v>0</v>
      </c>
      <c r="L247" s="1">
        <v>20040</v>
      </c>
      <c r="M247" s="1">
        <v>0</v>
      </c>
      <c r="P247" s="1">
        <v>20040</v>
      </c>
      <c r="Q247" s="1">
        <v>0</v>
      </c>
    </row>
    <row r="248" spans="2:17" hidden="1" x14ac:dyDescent="0.2">
      <c r="B248" s="1">
        <v>20041</v>
      </c>
      <c r="C248" s="1">
        <v>0</v>
      </c>
      <c r="G248" s="1">
        <v>20041</v>
      </c>
      <c r="H248" s="1">
        <v>0</v>
      </c>
      <c r="L248" s="1">
        <v>20041</v>
      </c>
      <c r="M248" s="1">
        <v>0</v>
      </c>
      <c r="P248" s="1">
        <v>20041</v>
      </c>
      <c r="Q248" s="1">
        <v>0</v>
      </c>
    </row>
    <row r="249" spans="2:17" hidden="1" x14ac:dyDescent="0.2">
      <c r="B249" s="1">
        <v>20042</v>
      </c>
      <c r="C249" s="1">
        <v>0</v>
      </c>
      <c r="G249" s="1">
        <v>20042</v>
      </c>
      <c r="H249" s="1">
        <v>0</v>
      </c>
      <c r="L249" s="1">
        <v>20042</v>
      </c>
      <c r="M249" s="1">
        <v>0</v>
      </c>
      <c r="P249" s="1">
        <v>20042</v>
      </c>
      <c r="Q249" s="1">
        <v>0</v>
      </c>
    </row>
    <row r="250" spans="2:17" hidden="1" x14ac:dyDescent="0.2">
      <c r="B250" s="1">
        <v>20043</v>
      </c>
      <c r="C250" s="1">
        <v>0</v>
      </c>
      <c r="G250" s="1">
        <v>20043</v>
      </c>
      <c r="H250" s="1">
        <v>0</v>
      </c>
      <c r="L250" s="1">
        <v>20043</v>
      </c>
      <c r="M250" s="1">
        <v>0</v>
      </c>
      <c r="P250" s="1">
        <v>20043</v>
      </c>
      <c r="Q250" s="1">
        <v>0</v>
      </c>
    </row>
    <row r="251" spans="2:17" hidden="1" x14ac:dyDescent="0.2">
      <c r="B251" s="1">
        <v>20044</v>
      </c>
      <c r="C251" s="1">
        <v>0</v>
      </c>
      <c r="G251" s="1">
        <v>20044</v>
      </c>
      <c r="H251" s="1">
        <v>0</v>
      </c>
      <c r="L251" s="1">
        <v>20044</v>
      </c>
      <c r="M251" s="1">
        <v>0</v>
      </c>
      <c r="P251" s="1">
        <v>20044</v>
      </c>
      <c r="Q251" s="1">
        <v>0</v>
      </c>
    </row>
    <row r="252" spans="2:17" hidden="1" x14ac:dyDescent="0.2">
      <c r="B252" s="1">
        <v>20045</v>
      </c>
      <c r="C252" s="1">
        <v>0</v>
      </c>
      <c r="G252" s="1">
        <v>20045</v>
      </c>
      <c r="H252" s="1">
        <v>0</v>
      </c>
      <c r="L252" s="1">
        <v>20045</v>
      </c>
      <c r="M252" s="1">
        <v>0</v>
      </c>
      <c r="P252" s="1">
        <v>20045</v>
      </c>
      <c r="Q252" s="1">
        <v>0</v>
      </c>
    </row>
    <row r="253" spans="2:17" hidden="1" x14ac:dyDescent="0.2">
      <c r="B253" s="1">
        <v>20046</v>
      </c>
      <c r="C253" s="1">
        <v>0</v>
      </c>
      <c r="G253" s="1">
        <v>20046</v>
      </c>
      <c r="H253" s="1">
        <v>0</v>
      </c>
      <c r="L253" s="1">
        <v>20046</v>
      </c>
      <c r="M253" s="1">
        <v>0</v>
      </c>
      <c r="P253" s="1">
        <v>20046</v>
      </c>
      <c r="Q253" s="1">
        <v>0</v>
      </c>
    </row>
    <row r="254" spans="2:17" hidden="1" x14ac:dyDescent="0.2">
      <c r="B254" s="1">
        <v>20047</v>
      </c>
      <c r="C254" s="1">
        <v>0</v>
      </c>
      <c r="G254" s="1">
        <v>20047</v>
      </c>
      <c r="H254" s="1">
        <v>0</v>
      </c>
      <c r="L254" s="1">
        <v>20047</v>
      </c>
      <c r="M254" s="1">
        <v>0</v>
      </c>
      <c r="P254" s="1">
        <v>20047</v>
      </c>
      <c r="Q254" s="1">
        <v>0</v>
      </c>
    </row>
    <row r="255" spans="2:17" hidden="1" x14ac:dyDescent="0.2">
      <c r="B255" s="1">
        <v>20048</v>
      </c>
      <c r="C255" s="1">
        <v>0</v>
      </c>
      <c r="G255" s="1">
        <v>20048</v>
      </c>
      <c r="H255" s="1">
        <v>0</v>
      </c>
      <c r="L255" s="1">
        <v>20048</v>
      </c>
      <c r="M255" s="1">
        <v>0</v>
      </c>
      <c r="P255" s="1">
        <v>20048</v>
      </c>
      <c r="Q255" s="1">
        <v>0</v>
      </c>
    </row>
    <row r="256" spans="2:17" hidden="1" x14ac:dyDescent="0.2">
      <c r="B256" s="1">
        <v>20049</v>
      </c>
      <c r="C256" s="1">
        <v>0</v>
      </c>
      <c r="G256" s="1">
        <v>20049</v>
      </c>
      <c r="H256" s="1">
        <v>0</v>
      </c>
      <c r="L256" s="1">
        <v>20049</v>
      </c>
      <c r="M256" s="1">
        <v>0</v>
      </c>
      <c r="P256" s="1">
        <v>20049</v>
      </c>
      <c r="Q256" s="1">
        <v>0</v>
      </c>
    </row>
    <row r="257" spans="2:17" hidden="1" x14ac:dyDescent="0.2">
      <c r="B257" s="1">
        <v>20050</v>
      </c>
      <c r="C257" s="1">
        <v>0</v>
      </c>
      <c r="G257" s="1">
        <v>20050</v>
      </c>
      <c r="H257" s="1">
        <v>0</v>
      </c>
      <c r="L257" s="1">
        <v>20050</v>
      </c>
      <c r="M257" s="1">
        <v>0</v>
      </c>
      <c r="P257" s="1">
        <v>20050</v>
      </c>
      <c r="Q257" s="1">
        <v>0</v>
      </c>
    </row>
    <row r="258" spans="2:17" hidden="1" x14ac:dyDescent="0.2">
      <c r="B258" s="1">
        <v>20051</v>
      </c>
      <c r="C258" s="1">
        <v>0</v>
      </c>
      <c r="G258" s="1">
        <v>20051</v>
      </c>
      <c r="H258" s="1">
        <v>0</v>
      </c>
      <c r="L258" s="1">
        <v>20051</v>
      </c>
      <c r="M258" s="1">
        <v>0</v>
      </c>
      <c r="P258" s="1">
        <v>20051</v>
      </c>
      <c r="Q258" s="1">
        <v>0</v>
      </c>
    </row>
    <row r="259" spans="2:17" hidden="1" x14ac:dyDescent="0.2">
      <c r="B259" s="1">
        <v>21040</v>
      </c>
      <c r="C259" s="1">
        <v>0</v>
      </c>
      <c r="G259" s="1">
        <v>21040</v>
      </c>
      <c r="H259" s="1">
        <v>0</v>
      </c>
      <c r="L259" s="1">
        <v>21040</v>
      </c>
      <c r="M259" s="1">
        <v>0</v>
      </c>
      <c r="P259" s="1">
        <v>21040</v>
      </c>
      <c r="Q259" s="1">
        <v>0</v>
      </c>
    </row>
    <row r="260" spans="2:17" hidden="1" x14ac:dyDescent="0.2">
      <c r="B260" s="1">
        <v>21041</v>
      </c>
      <c r="C260" s="1">
        <v>0</v>
      </c>
      <c r="G260" s="1">
        <v>21041</v>
      </c>
      <c r="H260" s="1">
        <v>0</v>
      </c>
      <c r="L260" s="1">
        <v>21041</v>
      </c>
      <c r="M260" s="1">
        <v>0</v>
      </c>
      <c r="P260" s="1">
        <v>21041</v>
      </c>
      <c r="Q260" s="1">
        <v>0</v>
      </c>
    </row>
    <row r="261" spans="2:17" hidden="1" x14ac:dyDescent="0.2">
      <c r="B261" s="1">
        <v>21042</v>
      </c>
      <c r="C261" s="1">
        <v>0</v>
      </c>
      <c r="G261" s="1">
        <v>21042</v>
      </c>
      <c r="H261" s="1">
        <v>0</v>
      </c>
      <c r="L261" s="1">
        <v>21042</v>
      </c>
      <c r="M261" s="1">
        <v>0</v>
      </c>
      <c r="P261" s="1">
        <v>21042</v>
      </c>
      <c r="Q261" s="1">
        <v>0</v>
      </c>
    </row>
    <row r="262" spans="2:17" hidden="1" x14ac:dyDescent="0.2">
      <c r="B262" s="1">
        <v>21043</v>
      </c>
      <c r="C262" s="1">
        <v>0</v>
      </c>
      <c r="G262" s="1">
        <v>21043</v>
      </c>
      <c r="H262" s="1">
        <v>0</v>
      </c>
      <c r="L262" s="1">
        <v>21043</v>
      </c>
      <c r="M262" s="1">
        <v>0</v>
      </c>
      <c r="P262" s="1">
        <v>21043</v>
      </c>
      <c r="Q262" s="1">
        <v>0</v>
      </c>
    </row>
    <row r="263" spans="2:17" hidden="1" x14ac:dyDescent="0.2">
      <c r="B263" s="1">
        <v>21044</v>
      </c>
      <c r="C263" s="1">
        <v>0</v>
      </c>
      <c r="G263" s="1">
        <v>21044</v>
      </c>
      <c r="H263" s="1">
        <v>0</v>
      </c>
      <c r="L263" s="1">
        <v>21044</v>
      </c>
      <c r="M263" s="1">
        <v>0</v>
      </c>
      <c r="P263" s="1">
        <v>21044</v>
      </c>
      <c r="Q263" s="1">
        <v>0</v>
      </c>
    </row>
    <row r="264" spans="2:17" hidden="1" x14ac:dyDescent="0.2">
      <c r="B264" s="1">
        <v>21045</v>
      </c>
      <c r="C264" s="1">
        <v>0</v>
      </c>
      <c r="G264" s="1">
        <v>21045</v>
      </c>
      <c r="H264" s="1">
        <v>0</v>
      </c>
      <c r="L264" s="1">
        <v>21045</v>
      </c>
      <c r="M264" s="1">
        <v>0</v>
      </c>
      <c r="P264" s="1">
        <v>21045</v>
      </c>
      <c r="Q264" s="1">
        <v>0</v>
      </c>
    </row>
    <row r="265" spans="2:17" hidden="1" x14ac:dyDescent="0.2">
      <c r="B265" s="1">
        <v>21046</v>
      </c>
      <c r="C265" s="1">
        <v>0</v>
      </c>
      <c r="G265" s="1">
        <v>21046</v>
      </c>
      <c r="H265" s="1">
        <v>0</v>
      </c>
      <c r="L265" s="1">
        <v>21046</v>
      </c>
      <c r="M265" s="1">
        <v>0</v>
      </c>
      <c r="P265" s="1">
        <v>21046</v>
      </c>
      <c r="Q265" s="1">
        <v>0</v>
      </c>
    </row>
    <row r="266" spans="2:17" hidden="1" x14ac:dyDescent="0.2">
      <c r="B266" s="1">
        <v>21047</v>
      </c>
      <c r="C266" s="1">
        <v>0</v>
      </c>
      <c r="G266" s="1">
        <v>21047</v>
      </c>
      <c r="H266" s="1">
        <v>0</v>
      </c>
      <c r="L266" s="1">
        <v>21047</v>
      </c>
      <c r="M266" s="1">
        <v>0</v>
      </c>
      <c r="P266" s="1">
        <v>21047</v>
      </c>
      <c r="Q266" s="1">
        <v>0</v>
      </c>
    </row>
    <row r="267" spans="2:17" hidden="1" x14ac:dyDescent="0.2">
      <c r="B267" s="1">
        <v>21048</v>
      </c>
      <c r="C267" s="1">
        <v>0</v>
      </c>
      <c r="G267" s="1">
        <v>21048</v>
      </c>
      <c r="H267" s="1">
        <v>0</v>
      </c>
      <c r="L267" s="1">
        <v>21048</v>
      </c>
      <c r="M267" s="1">
        <v>0</v>
      </c>
      <c r="P267" s="1">
        <v>21048</v>
      </c>
      <c r="Q267" s="1">
        <v>0</v>
      </c>
    </row>
    <row r="268" spans="2:17" hidden="1" x14ac:dyDescent="0.2">
      <c r="B268" s="1">
        <v>21049</v>
      </c>
      <c r="C268" s="1">
        <v>0</v>
      </c>
      <c r="G268" s="1">
        <v>21049</v>
      </c>
      <c r="H268" s="1">
        <v>0</v>
      </c>
      <c r="L268" s="1">
        <v>21049</v>
      </c>
      <c r="M268" s="1">
        <v>0</v>
      </c>
      <c r="P268" s="1">
        <v>21049</v>
      </c>
      <c r="Q268" s="1">
        <v>0</v>
      </c>
    </row>
    <row r="269" spans="2:17" hidden="1" x14ac:dyDescent="0.2">
      <c r="B269" s="1">
        <v>21050</v>
      </c>
      <c r="C269" s="1">
        <v>0</v>
      </c>
      <c r="G269" s="1">
        <v>21050</v>
      </c>
      <c r="H269" s="1">
        <v>0</v>
      </c>
      <c r="L269" s="1">
        <v>21050</v>
      </c>
      <c r="M269" s="1">
        <v>0</v>
      </c>
      <c r="P269" s="1">
        <v>21050</v>
      </c>
      <c r="Q269" s="1">
        <v>0</v>
      </c>
    </row>
    <row r="270" spans="2:17" hidden="1" x14ac:dyDescent="0.2">
      <c r="B270" s="1">
        <v>21051</v>
      </c>
      <c r="C270" s="1">
        <v>0</v>
      </c>
      <c r="G270" s="1">
        <v>21051</v>
      </c>
      <c r="H270" s="1">
        <v>0</v>
      </c>
      <c r="L270" s="1">
        <v>21051</v>
      </c>
      <c r="M270" s="1">
        <v>0</v>
      </c>
      <c r="P270" s="1">
        <v>21051</v>
      </c>
      <c r="Q270" s="1">
        <v>0</v>
      </c>
    </row>
    <row r="271" spans="2:17" hidden="1" x14ac:dyDescent="0.2">
      <c r="B271" s="1">
        <v>22041</v>
      </c>
      <c r="C271" s="1">
        <v>0</v>
      </c>
      <c r="G271" s="1">
        <v>22041</v>
      </c>
      <c r="H271" s="1">
        <v>0</v>
      </c>
      <c r="L271" s="1">
        <v>22041</v>
      </c>
      <c r="M271" s="1">
        <v>0</v>
      </c>
      <c r="P271" s="1">
        <v>22041</v>
      </c>
      <c r="Q271" s="1">
        <v>0</v>
      </c>
    </row>
    <row r="272" spans="2:17" hidden="1" x14ac:dyDescent="0.2">
      <c r="B272" s="1">
        <v>22042</v>
      </c>
      <c r="C272" s="1">
        <v>0</v>
      </c>
      <c r="G272" s="1">
        <v>22042</v>
      </c>
      <c r="H272" s="1">
        <v>0</v>
      </c>
      <c r="L272" s="1">
        <v>22042</v>
      </c>
      <c r="M272" s="1">
        <v>0</v>
      </c>
      <c r="P272" s="1">
        <v>22042</v>
      </c>
      <c r="Q272" s="1">
        <v>0</v>
      </c>
    </row>
    <row r="273" spans="2:17" hidden="1" x14ac:dyDescent="0.2">
      <c r="B273" s="1">
        <v>22043</v>
      </c>
      <c r="C273" s="1">
        <v>0</v>
      </c>
      <c r="G273" s="1">
        <v>22043</v>
      </c>
      <c r="H273" s="1">
        <v>0</v>
      </c>
      <c r="L273" s="1">
        <v>22043</v>
      </c>
      <c r="M273" s="1">
        <v>0</v>
      </c>
      <c r="P273" s="1">
        <v>22043</v>
      </c>
      <c r="Q273" s="1">
        <v>0</v>
      </c>
    </row>
    <row r="274" spans="2:17" hidden="1" x14ac:dyDescent="0.2">
      <c r="B274" s="1">
        <v>22044</v>
      </c>
      <c r="C274" s="1">
        <v>0</v>
      </c>
      <c r="G274" s="1">
        <v>22044</v>
      </c>
      <c r="H274" s="1">
        <v>0</v>
      </c>
      <c r="L274" s="1">
        <v>22044</v>
      </c>
      <c r="M274" s="1">
        <v>0</v>
      </c>
      <c r="P274" s="1">
        <v>22044</v>
      </c>
      <c r="Q274" s="1">
        <v>0</v>
      </c>
    </row>
    <row r="275" spans="2:17" hidden="1" x14ac:dyDescent="0.2">
      <c r="B275" s="1">
        <v>22045</v>
      </c>
      <c r="C275" s="1">
        <v>0</v>
      </c>
      <c r="G275" s="1">
        <v>22045</v>
      </c>
      <c r="H275" s="1">
        <v>0</v>
      </c>
      <c r="L275" s="1">
        <v>22045</v>
      </c>
      <c r="M275" s="1">
        <v>0</v>
      </c>
      <c r="P275" s="1">
        <v>22045</v>
      </c>
      <c r="Q275" s="1">
        <v>0</v>
      </c>
    </row>
    <row r="276" spans="2:17" hidden="1" x14ac:dyDescent="0.2">
      <c r="B276" s="1">
        <v>22046</v>
      </c>
      <c r="C276" s="1">
        <v>0</v>
      </c>
      <c r="G276" s="1">
        <v>22046</v>
      </c>
      <c r="H276" s="1">
        <v>0</v>
      </c>
      <c r="L276" s="1">
        <v>22046</v>
      </c>
      <c r="M276" s="1">
        <v>0</v>
      </c>
      <c r="P276" s="1">
        <v>22046</v>
      </c>
      <c r="Q276" s="1">
        <v>0</v>
      </c>
    </row>
    <row r="277" spans="2:17" hidden="1" x14ac:dyDescent="0.2">
      <c r="B277" s="1">
        <v>22047</v>
      </c>
      <c r="C277" s="1">
        <v>0</v>
      </c>
      <c r="G277" s="1">
        <v>22047</v>
      </c>
      <c r="H277" s="1">
        <v>0</v>
      </c>
      <c r="L277" s="1">
        <v>22047</v>
      </c>
      <c r="M277" s="1">
        <v>0</v>
      </c>
      <c r="P277" s="1">
        <v>22047</v>
      </c>
      <c r="Q277" s="1">
        <v>0</v>
      </c>
    </row>
    <row r="278" spans="2:17" hidden="1" x14ac:dyDescent="0.2">
      <c r="B278" s="1">
        <v>22048</v>
      </c>
      <c r="C278" s="1">
        <v>0</v>
      </c>
      <c r="G278" s="1">
        <v>22048</v>
      </c>
      <c r="H278" s="1">
        <v>0</v>
      </c>
      <c r="L278" s="1">
        <v>22048</v>
      </c>
      <c r="M278" s="1">
        <v>0</v>
      </c>
      <c r="P278" s="1">
        <v>22048</v>
      </c>
      <c r="Q278" s="1">
        <v>0</v>
      </c>
    </row>
    <row r="279" spans="2:17" hidden="1" x14ac:dyDescent="0.2">
      <c r="B279" s="1">
        <v>22049</v>
      </c>
      <c r="C279" s="1">
        <v>0</v>
      </c>
      <c r="G279" s="1">
        <v>22049</v>
      </c>
      <c r="H279" s="1">
        <v>0</v>
      </c>
      <c r="L279" s="1">
        <v>22049</v>
      </c>
      <c r="M279" s="1">
        <v>0</v>
      </c>
      <c r="P279" s="1">
        <v>22049</v>
      </c>
      <c r="Q279" s="1">
        <v>0</v>
      </c>
    </row>
    <row r="280" spans="2:17" hidden="1" x14ac:dyDescent="0.2">
      <c r="B280" s="1">
        <v>22050</v>
      </c>
      <c r="C280" s="1">
        <v>0</v>
      </c>
      <c r="G280" s="1">
        <v>22050</v>
      </c>
      <c r="H280" s="1">
        <v>0</v>
      </c>
      <c r="L280" s="1">
        <v>22050</v>
      </c>
      <c r="M280" s="1">
        <v>0</v>
      </c>
      <c r="P280" s="1">
        <v>22050</v>
      </c>
      <c r="Q280" s="1">
        <v>0</v>
      </c>
    </row>
    <row r="281" spans="2:17" hidden="1" x14ac:dyDescent="0.2">
      <c r="B281" s="1">
        <v>22051</v>
      </c>
      <c r="C281" s="1">
        <v>0</v>
      </c>
      <c r="G281" s="1">
        <v>22051</v>
      </c>
      <c r="H281" s="1">
        <v>0</v>
      </c>
      <c r="L281" s="1">
        <v>22051</v>
      </c>
      <c r="M281" s="1">
        <v>0</v>
      </c>
      <c r="P281" s="1">
        <v>22051</v>
      </c>
      <c r="Q281" s="1">
        <v>0</v>
      </c>
    </row>
    <row r="282" spans="2:17" hidden="1" x14ac:dyDescent="0.2">
      <c r="B282" s="1">
        <v>22052</v>
      </c>
      <c r="C282" s="1">
        <v>0</v>
      </c>
      <c r="G282" s="1">
        <v>22052</v>
      </c>
      <c r="H282" s="1">
        <v>0</v>
      </c>
      <c r="L282" s="1">
        <v>22052</v>
      </c>
      <c r="M282" s="1">
        <v>0</v>
      </c>
      <c r="P282" s="1">
        <v>22052</v>
      </c>
      <c r="Q282" s="1">
        <v>0</v>
      </c>
    </row>
    <row r="283" spans="2:17" hidden="1" x14ac:dyDescent="0.2">
      <c r="B283" s="1">
        <v>22053</v>
      </c>
      <c r="C283" s="1">
        <v>0</v>
      </c>
      <c r="G283" s="1">
        <v>22053</v>
      </c>
      <c r="H283" s="1">
        <v>0</v>
      </c>
      <c r="L283" s="1">
        <v>22053</v>
      </c>
      <c r="M283" s="1">
        <v>0</v>
      </c>
      <c r="P283" s="1">
        <v>22053</v>
      </c>
      <c r="Q283" s="1">
        <v>0</v>
      </c>
    </row>
    <row r="284" spans="2:17" hidden="1" x14ac:dyDescent="0.2">
      <c r="B284" s="1">
        <v>22054</v>
      </c>
      <c r="C284" s="1">
        <v>0</v>
      </c>
      <c r="G284" s="1">
        <v>22054</v>
      </c>
      <c r="H284" s="1">
        <v>0</v>
      </c>
      <c r="L284" s="1">
        <v>22054</v>
      </c>
      <c r="M284" s="1">
        <v>0</v>
      </c>
      <c r="P284" s="1">
        <v>22054</v>
      </c>
      <c r="Q284" s="1">
        <v>0</v>
      </c>
    </row>
    <row r="285" spans="2:17" hidden="1" x14ac:dyDescent="0.2">
      <c r="B285" s="1">
        <v>23044</v>
      </c>
      <c r="C285" s="1">
        <v>0</v>
      </c>
      <c r="G285" s="1">
        <v>23044</v>
      </c>
      <c r="H285" s="1">
        <v>0</v>
      </c>
      <c r="L285" s="1">
        <v>23044</v>
      </c>
      <c r="M285" s="1">
        <v>0</v>
      </c>
      <c r="P285" s="1">
        <v>23044</v>
      </c>
      <c r="Q285" s="1">
        <v>0</v>
      </c>
    </row>
    <row r="286" spans="2:17" hidden="1" x14ac:dyDescent="0.2">
      <c r="B286" s="1">
        <v>23045</v>
      </c>
      <c r="C286" s="1">
        <v>0</v>
      </c>
      <c r="G286" s="1">
        <v>23045</v>
      </c>
      <c r="H286" s="1">
        <v>0</v>
      </c>
      <c r="L286" s="1">
        <v>23045</v>
      </c>
      <c r="M286" s="1">
        <v>0</v>
      </c>
      <c r="P286" s="1">
        <v>23045</v>
      </c>
      <c r="Q286" s="1">
        <v>0</v>
      </c>
    </row>
    <row r="287" spans="2:17" hidden="1" x14ac:dyDescent="0.2">
      <c r="B287" s="1">
        <v>23046</v>
      </c>
      <c r="C287" s="1">
        <v>0</v>
      </c>
      <c r="G287" s="1">
        <v>23046</v>
      </c>
      <c r="H287" s="1">
        <v>0</v>
      </c>
      <c r="L287" s="1">
        <v>23046</v>
      </c>
      <c r="M287" s="1">
        <v>0</v>
      </c>
      <c r="P287" s="1">
        <v>23046</v>
      </c>
      <c r="Q287" s="1">
        <v>0</v>
      </c>
    </row>
    <row r="288" spans="2:17" hidden="1" x14ac:dyDescent="0.2">
      <c r="B288" s="1">
        <v>23047</v>
      </c>
      <c r="C288" s="1">
        <v>0</v>
      </c>
      <c r="G288" s="1">
        <v>23047</v>
      </c>
      <c r="H288" s="1">
        <v>0</v>
      </c>
      <c r="L288" s="1">
        <v>23047</v>
      </c>
      <c r="M288" s="1">
        <v>0</v>
      </c>
      <c r="P288" s="1">
        <v>23047</v>
      </c>
      <c r="Q288" s="1">
        <v>0</v>
      </c>
    </row>
    <row r="289" spans="2:17" hidden="1" x14ac:dyDescent="0.2">
      <c r="B289" s="1">
        <v>23048</v>
      </c>
      <c r="C289" s="1">
        <v>0</v>
      </c>
      <c r="G289" s="1">
        <v>23048</v>
      </c>
      <c r="H289" s="1">
        <v>0</v>
      </c>
      <c r="L289" s="1">
        <v>23048</v>
      </c>
      <c r="M289" s="1">
        <v>0</v>
      </c>
      <c r="P289" s="1">
        <v>23048</v>
      </c>
      <c r="Q289" s="1">
        <v>0</v>
      </c>
    </row>
    <row r="290" spans="2:17" hidden="1" x14ac:dyDescent="0.2">
      <c r="B290" s="1">
        <v>23049</v>
      </c>
      <c r="C290" s="1">
        <v>0</v>
      </c>
      <c r="G290" s="1">
        <v>23049</v>
      </c>
      <c r="H290" s="1">
        <v>0</v>
      </c>
      <c r="L290" s="1">
        <v>23049</v>
      </c>
      <c r="M290" s="1">
        <v>0</v>
      </c>
      <c r="P290" s="1">
        <v>23049</v>
      </c>
      <c r="Q290" s="1">
        <v>0</v>
      </c>
    </row>
    <row r="291" spans="2:17" hidden="1" x14ac:dyDescent="0.2">
      <c r="B291" s="1">
        <v>23050</v>
      </c>
      <c r="C291" s="1">
        <v>0</v>
      </c>
      <c r="G291" s="1">
        <v>23050</v>
      </c>
      <c r="H291" s="1">
        <v>0</v>
      </c>
      <c r="L291" s="1">
        <v>23050</v>
      </c>
      <c r="M291" s="1">
        <v>0</v>
      </c>
      <c r="P291" s="1">
        <v>23050</v>
      </c>
      <c r="Q291" s="1">
        <v>0</v>
      </c>
    </row>
    <row r="292" spans="2:17" hidden="1" x14ac:dyDescent="0.2">
      <c r="B292" s="1">
        <v>23051</v>
      </c>
      <c r="C292" s="1">
        <v>0</v>
      </c>
      <c r="G292" s="1">
        <v>23051</v>
      </c>
      <c r="H292" s="1">
        <v>0</v>
      </c>
      <c r="L292" s="1">
        <v>23051</v>
      </c>
      <c r="M292" s="1">
        <v>0</v>
      </c>
      <c r="P292" s="1">
        <v>23051</v>
      </c>
      <c r="Q292" s="1">
        <v>0</v>
      </c>
    </row>
    <row r="293" spans="2:17" hidden="1" x14ac:dyDescent="0.2">
      <c r="B293" s="1">
        <v>23052</v>
      </c>
      <c r="C293" s="1">
        <v>0</v>
      </c>
      <c r="G293" s="1">
        <v>23052</v>
      </c>
      <c r="H293" s="1">
        <v>0</v>
      </c>
      <c r="L293" s="1">
        <v>23052</v>
      </c>
      <c r="M293" s="1">
        <v>0</v>
      </c>
      <c r="P293" s="1">
        <v>23052</v>
      </c>
      <c r="Q293" s="1">
        <v>0</v>
      </c>
    </row>
    <row r="294" spans="2:17" hidden="1" x14ac:dyDescent="0.2">
      <c r="B294" s="1">
        <v>23053</v>
      </c>
      <c r="C294" s="1">
        <v>0</v>
      </c>
      <c r="G294" s="1">
        <v>23053</v>
      </c>
      <c r="H294" s="1">
        <v>0</v>
      </c>
      <c r="L294" s="1">
        <v>23053</v>
      </c>
      <c r="M294" s="1">
        <v>0</v>
      </c>
      <c r="P294" s="1">
        <v>23053</v>
      </c>
      <c r="Q294" s="1">
        <v>0</v>
      </c>
    </row>
    <row r="295" spans="2:17" hidden="1" x14ac:dyDescent="0.2">
      <c r="B295" s="1">
        <v>23054</v>
      </c>
      <c r="C295" s="1">
        <v>0</v>
      </c>
      <c r="G295" s="1">
        <v>23054</v>
      </c>
      <c r="H295" s="1">
        <v>0</v>
      </c>
      <c r="L295" s="1">
        <v>23054</v>
      </c>
      <c r="M295" s="1">
        <v>0</v>
      </c>
      <c r="P295" s="1">
        <v>23054</v>
      </c>
      <c r="Q295" s="1">
        <v>0</v>
      </c>
    </row>
    <row r="296" spans="2:17" hidden="1" x14ac:dyDescent="0.2">
      <c r="B296" s="1">
        <v>23055</v>
      </c>
      <c r="C296" s="1">
        <v>0</v>
      </c>
      <c r="G296" s="1">
        <v>23055</v>
      </c>
      <c r="H296" s="1">
        <v>0</v>
      </c>
      <c r="L296" s="1">
        <v>23055</v>
      </c>
      <c r="M296" s="1">
        <v>0</v>
      </c>
      <c r="P296" s="1">
        <v>23055</v>
      </c>
      <c r="Q296" s="1">
        <v>0</v>
      </c>
    </row>
    <row r="297" spans="2:17" hidden="1" x14ac:dyDescent="0.2">
      <c r="B297" s="1">
        <v>23056</v>
      </c>
      <c r="C297" s="1">
        <v>0</v>
      </c>
      <c r="G297" s="1">
        <v>23056</v>
      </c>
      <c r="H297" s="1">
        <v>0</v>
      </c>
      <c r="L297" s="1">
        <v>23056</v>
      </c>
      <c r="M297" s="1">
        <v>0</v>
      </c>
      <c r="P297" s="1">
        <v>23056</v>
      </c>
      <c r="Q297" s="1">
        <v>0</v>
      </c>
    </row>
    <row r="298" spans="2:17" x14ac:dyDescent="0.2">
      <c r="B298" s="1">
        <v>24045</v>
      </c>
      <c r="C298" s="1">
        <v>0</v>
      </c>
      <c r="G298" s="1">
        <v>24045</v>
      </c>
      <c r="H298" s="1">
        <v>0</v>
      </c>
      <c r="L298" s="1">
        <v>24045</v>
      </c>
      <c r="M298" s="1">
        <v>0</v>
      </c>
      <c r="P298" s="1">
        <v>24045</v>
      </c>
      <c r="Q298" s="1">
        <v>6.9799999999999994E-11</v>
      </c>
    </row>
    <row r="299" spans="2:17" hidden="1" x14ac:dyDescent="0.2">
      <c r="B299" s="1">
        <v>24046</v>
      </c>
      <c r="C299" s="1">
        <v>0</v>
      </c>
      <c r="G299" s="1">
        <v>24046</v>
      </c>
      <c r="H299" s="1">
        <v>0</v>
      </c>
      <c r="L299" s="1">
        <v>24046</v>
      </c>
      <c r="M299" s="1">
        <v>0</v>
      </c>
      <c r="P299" s="1">
        <v>24046</v>
      </c>
      <c r="Q299" s="1">
        <v>0</v>
      </c>
    </row>
    <row r="300" spans="2:17" hidden="1" x14ac:dyDescent="0.2">
      <c r="B300" s="1">
        <v>24047</v>
      </c>
      <c r="C300" s="1">
        <v>0</v>
      </c>
      <c r="G300" s="1">
        <v>24047</v>
      </c>
      <c r="H300" s="1">
        <v>0</v>
      </c>
      <c r="L300" s="1">
        <v>24047</v>
      </c>
      <c r="M300" s="1">
        <v>0</v>
      </c>
      <c r="P300" s="1">
        <v>24047</v>
      </c>
      <c r="Q300" s="1">
        <v>0</v>
      </c>
    </row>
    <row r="301" spans="2:17" hidden="1" x14ac:dyDescent="0.2">
      <c r="B301" s="1">
        <v>24048</v>
      </c>
      <c r="C301" s="1">
        <v>0</v>
      </c>
      <c r="G301" s="1">
        <v>24048</v>
      </c>
      <c r="H301" s="1">
        <v>0</v>
      </c>
      <c r="L301" s="1">
        <v>24048</v>
      </c>
      <c r="M301" s="1">
        <v>0</v>
      </c>
      <c r="P301" s="1">
        <v>24048</v>
      </c>
      <c r="Q301" s="1">
        <v>0</v>
      </c>
    </row>
    <row r="302" spans="2:17" hidden="1" x14ac:dyDescent="0.2">
      <c r="B302" s="1">
        <v>24049</v>
      </c>
      <c r="C302" s="1">
        <v>0</v>
      </c>
      <c r="G302" s="1">
        <v>24049</v>
      </c>
      <c r="H302" s="1">
        <v>0</v>
      </c>
      <c r="L302" s="1">
        <v>24049</v>
      </c>
      <c r="M302" s="1">
        <v>0</v>
      </c>
      <c r="P302" s="1">
        <v>24049</v>
      </c>
      <c r="Q302" s="1">
        <v>0</v>
      </c>
    </row>
    <row r="303" spans="2:17" hidden="1" x14ac:dyDescent="0.2">
      <c r="B303" s="1">
        <v>24050</v>
      </c>
      <c r="C303" s="1">
        <v>0</v>
      </c>
      <c r="G303" s="1">
        <v>24050</v>
      </c>
      <c r="H303" s="1">
        <v>0</v>
      </c>
      <c r="L303" s="1">
        <v>24050</v>
      </c>
      <c r="M303" s="1">
        <v>0</v>
      </c>
      <c r="P303" s="1">
        <v>24050</v>
      </c>
      <c r="Q303" s="1">
        <v>0</v>
      </c>
    </row>
    <row r="304" spans="2:17" x14ac:dyDescent="0.2">
      <c r="B304" s="1">
        <v>24051</v>
      </c>
      <c r="C304" s="1">
        <v>0</v>
      </c>
      <c r="G304" s="1">
        <v>24051</v>
      </c>
      <c r="H304" s="1">
        <v>0</v>
      </c>
      <c r="L304" s="1">
        <v>24051</v>
      </c>
      <c r="M304" s="1">
        <v>6.9799999999999994E-11</v>
      </c>
      <c r="P304" s="1">
        <v>24051</v>
      </c>
      <c r="Q304" s="1">
        <v>6.9799999999999994E-11</v>
      </c>
    </row>
    <row r="305" spans="2:17" hidden="1" x14ac:dyDescent="0.2">
      <c r="B305" s="1">
        <v>24052</v>
      </c>
      <c r="C305" s="1">
        <v>0</v>
      </c>
      <c r="G305" s="1">
        <v>24052</v>
      </c>
      <c r="H305" s="1">
        <v>0</v>
      </c>
      <c r="L305" s="1">
        <v>24052</v>
      </c>
      <c r="M305" s="1">
        <v>0</v>
      </c>
      <c r="P305" s="1">
        <v>24052</v>
      </c>
      <c r="Q305" s="1">
        <v>0</v>
      </c>
    </row>
    <row r="306" spans="2:17" hidden="1" x14ac:dyDescent="0.2">
      <c r="B306" s="1">
        <v>24053</v>
      </c>
      <c r="C306" s="1">
        <v>0</v>
      </c>
      <c r="G306" s="1">
        <v>24053</v>
      </c>
      <c r="H306" s="1">
        <v>0</v>
      </c>
      <c r="L306" s="1">
        <v>24053</v>
      </c>
      <c r="M306" s="1">
        <v>0</v>
      </c>
      <c r="P306" s="1">
        <v>24053</v>
      </c>
      <c r="Q306" s="1">
        <v>0</v>
      </c>
    </row>
    <row r="307" spans="2:17" hidden="1" x14ac:dyDescent="0.2">
      <c r="B307" s="1">
        <v>24054</v>
      </c>
      <c r="C307" s="1">
        <v>0</v>
      </c>
      <c r="G307" s="1">
        <v>24054</v>
      </c>
      <c r="H307" s="1">
        <v>0</v>
      </c>
      <c r="L307" s="1">
        <v>24054</v>
      </c>
      <c r="M307" s="1">
        <v>0</v>
      </c>
      <c r="P307" s="1">
        <v>24054</v>
      </c>
      <c r="Q307" s="1">
        <v>0</v>
      </c>
    </row>
    <row r="308" spans="2:17" hidden="1" x14ac:dyDescent="0.2">
      <c r="B308" s="1">
        <v>24055</v>
      </c>
      <c r="C308" s="1">
        <v>0</v>
      </c>
      <c r="G308" s="1">
        <v>24055</v>
      </c>
      <c r="H308" s="1">
        <v>0</v>
      </c>
      <c r="L308" s="1">
        <v>24055</v>
      </c>
      <c r="M308" s="1">
        <v>0</v>
      </c>
      <c r="P308" s="1">
        <v>24055</v>
      </c>
      <c r="Q308" s="1">
        <v>0</v>
      </c>
    </row>
    <row r="309" spans="2:17" hidden="1" x14ac:dyDescent="0.2">
      <c r="B309" s="1">
        <v>24056</v>
      </c>
      <c r="C309" s="1">
        <v>0</v>
      </c>
      <c r="G309" s="1">
        <v>24056</v>
      </c>
      <c r="H309" s="1">
        <v>0</v>
      </c>
      <c r="L309" s="1">
        <v>24056</v>
      </c>
      <c r="M309" s="1">
        <v>0</v>
      </c>
      <c r="P309" s="1">
        <v>24056</v>
      </c>
      <c r="Q309" s="1">
        <v>0</v>
      </c>
    </row>
    <row r="310" spans="2:17" hidden="1" x14ac:dyDescent="0.2">
      <c r="B310" s="1">
        <v>24057</v>
      </c>
      <c r="C310" s="1">
        <v>0</v>
      </c>
      <c r="G310" s="1">
        <v>24057</v>
      </c>
      <c r="H310" s="1">
        <v>0</v>
      </c>
      <c r="L310" s="1">
        <v>24057</v>
      </c>
      <c r="M310" s="1">
        <v>0</v>
      </c>
      <c r="P310" s="1">
        <v>24057</v>
      </c>
      <c r="Q310" s="1">
        <v>0</v>
      </c>
    </row>
    <row r="311" spans="2:17" hidden="1" x14ac:dyDescent="0.2">
      <c r="B311" s="1">
        <v>24058</v>
      </c>
      <c r="C311" s="1">
        <v>0</v>
      </c>
      <c r="G311" s="1">
        <v>24058</v>
      </c>
      <c r="H311" s="1">
        <v>0</v>
      </c>
      <c r="L311" s="1">
        <v>24058</v>
      </c>
      <c r="M311" s="1">
        <v>0</v>
      </c>
      <c r="P311" s="1">
        <v>24058</v>
      </c>
      <c r="Q311" s="1">
        <v>0</v>
      </c>
    </row>
    <row r="312" spans="2:17" hidden="1" x14ac:dyDescent="0.2">
      <c r="B312" s="1">
        <v>24059</v>
      </c>
      <c r="C312" s="1">
        <v>0</v>
      </c>
      <c r="G312" s="1">
        <v>24059</v>
      </c>
      <c r="H312" s="1">
        <v>0</v>
      </c>
      <c r="L312" s="1">
        <v>24059</v>
      </c>
      <c r="M312" s="1">
        <v>0</v>
      </c>
      <c r="P312" s="1">
        <v>24059</v>
      </c>
      <c r="Q312" s="1">
        <v>0</v>
      </c>
    </row>
    <row r="313" spans="2:17" hidden="1" x14ac:dyDescent="0.2">
      <c r="B313" s="1">
        <v>25049</v>
      </c>
      <c r="C313" s="1">
        <v>0</v>
      </c>
      <c r="G313" s="1">
        <v>25049</v>
      </c>
      <c r="H313" s="1">
        <v>0</v>
      </c>
      <c r="L313" s="1">
        <v>25049</v>
      </c>
      <c r="M313" s="1">
        <v>0</v>
      </c>
      <c r="P313" s="1">
        <v>25049</v>
      </c>
      <c r="Q313" s="1">
        <v>0</v>
      </c>
    </row>
    <row r="314" spans="2:17" x14ac:dyDescent="0.2">
      <c r="B314" s="1">
        <v>25050</v>
      </c>
      <c r="C314" s="1">
        <v>0</v>
      </c>
      <c r="G314" s="1">
        <v>25050</v>
      </c>
      <c r="H314" s="1">
        <v>0</v>
      </c>
      <c r="L314" s="1">
        <v>25050</v>
      </c>
      <c r="M314" s="1">
        <v>6.9799999999999994E-11</v>
      </c>
      <c r="P314" s="1">
        <v>25050</v>
      </c>
      <c r="Q314" s="1">
        <v>6.9799999999999994E-11</v>
      </c>
    </row>
    <row r="315" spans="2:17" x14ac:dyDescent="0.2">
      <c r="B315" s="1">
        <v>25051</v>
      </c>
      <c r="C315" s="1">
        <v>0</v>
      </c>
      <c r="G315" s="1">
        <v>25051</v>
      </c>
      <c r="H315" s="1">
        <v>0</v>
      </c>
      <c r="L315" s="1">
        <v>25051</v>
      </c>
      <c r="M315" s="1">
        <v>0</v>
      </c>
      <c r="P315" s="1">
        <v>25051</v>
      </c>
      <c r="Q315" s="1">
        <v>6.9799999999999994E-11</v>
      </c>
    </row>
    <row r="316" spans="2:17" hidden="1" x14ac:dyDescent="0.2">
      <c r="B316" s="1">
        <v>25052</v>
      </c>
      <c r="C316" s="1">
        <v>0</v>
      </c>
      <c r="G316" s="1">
        <v>25052</v>
      </c>
      <c r="H316" s="1">
        <v>0</v>
      </c>
      <c r="L316" s="1">
        <v>25052</v>
      </c>
      <c r="M316" s="1">
        <v>0</v>
      </c>
      <c r="P316" s="1">
        <v>25052</v>
      </c>
      <c r="Q316" s="1">
        <v>0</v>
      </c>
    </row>
    <row r="317" spans="2:17" x14ac:dyDescent="0.2">
      <c r="B317" s="1">
        <v>25053</v>
      </c>
      <c r="C317" s="1">
        <v>0</v>
      </c>
      <c r="G317" s="1">
        <v>25053</v>
      </c>
      <c r="H317" s="1">
        <v>0</v>
      </c>
      <c r="L317" s="1">
        <v>25053</v>
      </c>
      <c r="M317" s="1">
        <v>6.9799999999999994E-11</v>
      </c>
      <c r="P317" s="1">
        <v>25053</v>
      </c>
      <c r="Q317" s="1">
        <v>6.9799999999999994E-11</v>
      </c>
    </row>
    <row r="318" spans="2:17" hidden="1" x14ac:dyDescent="0.2">
      <c r="B318" s="1">
        <v>25054</v>
      </c>
      <c r="C318" s="1">
        <v>0</v>
      </c>
      <c r="G318" s="1">
        <v>25054</v>
      </c>
      <c r="H318" s="1">
        <v>0</v>
      </c>
      <c r="L318" s="1">
        <v>25054</v>
      </c>
      <c r="M318" s="1">
        <v>0</v>
      </c>
      <c r="P318" s="1">
        <v>25054</v>
      </c>
      <c r="Q318" s="1">
        <v>0</v>
      </c>
    </row>
    <row r="319" spans="2:17" hidden="1" x14ac:dyDescent="0.2">
      <c r="B319" s="1">
        <v>25055</v>
      </c>
      <c r="C319" s="1">
        <v>0</v>
      </c>
      <c r="G319" s="1">
        <v>25055</v>
      </c>
      <c r="H319" s="1">
        <v>0</v>
      </c>
      <c r="L319" s="1">
        <v>25055</v>
      </c>
      <c r="M319" s="1">
        <v>0</v>
      </c>
      <c r="P319" s="1">
        <v>25055</v>
      </c>
      <c r="Q319" s="1">
        <v>0</v>
      </c>
    </row>
    <row r="320" spans="2:17" hidden="1" x14ac:dyDescent="0.2">
      <c r="B320" s="1">
        <v>25056</v>
      </c>
      <c r="C320" s="1">
        <v>0</v>
      </c>
      <c r="G320" s="1">
        <v>25056</v>
      </c>
      <c r="H320" s="1">
        <v>0</v>
      </c>
      <c r="L320" s="1">
        <v>25056</v>
      </c>
      <c r="M320" s="1">
        <v>0</v>
      </c>
      <c r="P320" s="1">
        <v>25056</v>
      </c>
      <c r="Q320" s="1">
        <v>0</v>
      </c>
    </row>
    <row r="321" spans="2:17" hidden="1" x14ac:dyDescent="0.2">
      <c r="B321" s="1">
        <v>25057</v>
      </c>
      <c r="C321" s="1">
        <v>0</v>
      </c>
      <c r="G321" s="1">
        <v>25057</v>
      </c>
      <c r="H321" s="1">
        <v>0</v>
      </c>
      <c r="L321" s="1">
        <v>25057</v>
      </c>
      <c r="M321" s="1">
        <v>0</v>
      </c>
      <c r="P321" s="1">
        <v>25057</v>
      </c>
      <c r="Q321" s="1">
        <v>0</v>
      </c>
    </row>
    <row r="322" spans="2:17" hidden="1" x14ac:dyDescent="0.2">
      <c r="B322" s="1">
        <v>25058</v>
      </c>
      <c r="C322" s="1">
        <v>0</v>
      </c>
      <c r="G322" s="1">
        <v>25058</v>
      </c>
      <c r="H322" s="1">
        <v>0</v>
      </c>
      <c r="L322" s="1">
        <v>25058</v>
      </c>
      <c r="M322" s="1">
        <v>0</v>
      </c>
      <c r="P322" s="1">
        <v>25058</v>
      </c>
      <c r="Q322" s="1">
        <v>0</v>
      </c>
    </row>
    <row r="323" spans="2:17" hidden="1" x14ac:dyDescent="0.2">
      <c r="B323" s="1">
        <v>25059</v>
      </c>
      <c r="C323" s="1">
        <v>0</v>
      </c>
      <c r="G323" s="1">
        <v>25059</v>
      </c>
      <c r="H323" s="1">
        <v>0</v>
      </c>
      <c r="L323" s="1">
        <v>25059</v>
      </c>
      <c r="M323" s="1">
        <v>0</v>
      </c>
      <c r="P323" s="1">
        <v>25059</v>
      </c>
      <c r="Q323" s="1">
        <v>0</v>
      </c>
    </row>
    <row r="324" spans="2:17" hidden="1" x14ac:dyDescent="0.2">
      <c r="B324" s="1">
        <v>25060</v>
      </c>
      <c r="C324" s="1">
        <v>0</v>
      </c>
      <c r="G324" s="1">
        <v>25060</v>
      </c>
      <c r="H324" s="1">
        <v>0</v>
      </c>
      <c r="L324" s="1">
        <v>25060</v>
      </c>
      <c r="M324" s="1">
        <v>6.9799999999999994E-11</v>
      </c>
      <c r="P324" s="1">
        <v>25060</v>
      </c>
      <c r="Q324" s="1">
        <v>0</v>
      </c>
    </row>
    <row r="325" spans="2:17" hidden="1" x14ac:dyDescent="0.2">
      <c r="B325" s="1">
        <v>25061</v>
      </c>
      <c r="C325" s="1">
        <v>0</v>
      </c>
      <c r="G325" s="1">
        <v>25061</v>
      </c>
      <c r="H325" s="1">
        <v>0</v>
      </c>
      <c r="L325" s="1">
        <v>25061</v>
      </c>
      <c r="M325" s="1">
        <v>0</v>
      </c>
      <c r="P325" s="1">
        <v>25061</v>
      </c>
      <c r="Q325" s="1">
        <v>0</v>
      </c>
    </row>
    <row r="326" spans="2:17" hidden="1" x14ac:dyDescent="0.2">
      <c r="B326" s="1">
        <v>25062</v>
      </c>
      <c r="C326" s="1">
        <v>0</v>
      </c>
      <c r="G326" s="1">
        <v>25062</v>
      </c>
      <c r="H326" s="1">
        <v>0</v>
      </c>
      <c r="L326" s="1">
        <v>25062</v>
      </c>
      <c r="M326" s="1">
        <v>0</v>
      </c>
      <c r="P326" s="1">
        <v>25062</v>
      </c>
      <c r="Q326" s="1">
        <v>0</v>
      </c>
    </row>
    <row r="327" spans="2:17" x14ac:dyDescent="0.2">
      <c r="B327" s="1">
        <v>26049</v>
      </c>
      <c r="C327" s="1">
        <v>0</v>
      </c>
      <c r="G327" s="1">
        <v>26049</v>
      </c>
      <c r="H327" s="1">
        <v>0</v>
      </c>
      <c r="L327" s="1">
        <v>26049</v>
      </c>
      <c r="M327" s="1">
        <v>0</v>
      </c>
      <c r="P327" s="1">
        <v>26049</v>
      </c>
      <c r="Q327" s="1">
        <v>6.9799999999999994E-11</v>
      </c>
    </row>
    <row r="328" spans="2:17" x14ac:dyDescent="0.2">
      <c r="B328" s="1">
        <v>26050</v>
      </c>
      <c r="C328" s="1">
        <v>0</v>
      </c>
      <c r="G328" s="1">
        <v>26050</v>
      </c>
      <c r="H328" s="1">
        <v>0</v>
      </c>
      <c r="L328" s="1">
        <v>26050</v>
      </c>
      <c r="M328" s="1">
        <v>0</v>
      </c>
      <c r="P328" s="1">
        <v>26050</v>
      </c>
      <c r="Q328" s="1">
        <v>1.3959999999999999E-10</v>
      </c>
    </row>
    <row r="329" spans="2:17" hidden="1" x14ac:dyDescent="0.2">
      <c r="B329" s="1">
        <v>26051</v>
      </c>
      <c r="C329" s="1">
        <v>0</v>
      </c>
      <c r="G329" s="1">
        <v>26051</v>
      </c>
      <c r="H329" s="1">
        <v>0</v>
      </c>
      <c r="L329" s="1">
        <v>26051</v>
      </c>
      <c r="M329" s="1">
        <v>0</v>
      </c>
      <c r="P329" s="1">
        <v>26051</v>
      </c>
      <c r="Q329" s="1">
        <v>0</v>
      </c>
    </row>
    <row r="330" spans="2:17" x14ac:dyDescent="0.2">
      <c r="B330" s="1">
        <v>26052</v>
      </c>
      <c r="C330" s="1">
        <v>0</v>
      </c>
      <c r="G330" s="1">
        <v>26052</v>
      </c>
      <c r="H330" s="1">
        <v>0</v>
      </c>
      <c r="L330" s="1">
        <v>26052</v>
      </c>
      <c r="M330" s="1">
        <v>6.9799999999999994E-11</v>
      </c>
      <c r="P330" s="1">
        <v>26052</v>
      </c>
      <c r="Q330" s="1">
        <v>1.3959999999999999E-10</v>
      </c>
    </row>
    <row r="331" spans="2:17" x14ac:dyDescent="0.2">
      <c r="B331" s="1">
        <v>26053</v>
      </c>
      <c r="C331" s="1">
        <v>0</v>
      </c>
      <c r="G331" s="1">
        <v>26053</v>
      </c>
      <c r="H331" s="1">
        <v>0</v>
      </c>
      <c r="L331" s="1">
        <v>26053</v>
      </c>
      <c r="M331" s="1">
        <v>1.3959999999999999E-10</v>
      </c>
      <c r="P331" s="1">
        <v>26053</v>
      </c>
      <c r="Q331" s="1">
        <v>2.094E-10</v>
      </c>
    </row>
    <row r="332" spans="2:17" x14ac:dyDescent="0.2">
      <c r="B332" s="1">
        <v>26054</v>
      </c>
      <c r="C332" s="1">
        <v>0</v>
      </c>
      <c r="G332" s="1">
        <v>26054</v>
      </c>
      <c r="H332" s="1">
        <v>0</v>
      </c>
      <c r="L332" s="1">
        <v>26054</v>
      </c>
      <c r="M332" s="1">
        <v>0</v>
      </c>
      <c r="P332" s="1">
        <v>26054</v>
      </c>
      <c r="Q332" s="1">
        <v>6.9799999999999994E-11</v>
      </c>
    </row>
    <row r="333" spans="2:17" x14ac:dyDescent="0.2">
      <c r="B333" s="1">
        <v>26055</v>
      </c>
      <c r="C333" s="1">
        <v>0</v>
      </c>
      <c r="G333" s="1">
        <v>26055</v>
      </c>
      <c r="H333" s="1">
        <v>0</v>
      </c>
      <c r="L333" s="1">
        <v>26055</v>
      </c>
      <c r="M333" s="1">
        <v>0</v>
      </c>
      <c r="P333" s="1">
        <v>26055</v>
      </c>
      <c r="Q333" s="1">
        <v>1.3959999999999999E-10</v>
      </c>
    </row>
    <row r="334" spans="2:17" hidden="1" x14ac:dyDescent="0.2">
      <c r="B334" s="1">
        <v>26056</v>
      </c>
      <c r="C334" s="1">
        <v>0</v>
      </c>
      <c r="G334" s="1">
        <v>26056</v>
      </c>
      <c r="H334" s="1">
        <v>0</v>
      </c>
      <c r="L334" s="1">
        <v>26056</v>
      </c>
      <c r="M334" s="1">
        <v>0</v>
      </c>
      <c r="P334" s="1">
        <v>26056</v>
      </c>
      <c r="Q334" s="1">
        <v>0</v>
      </c>
    </row>
    <row r="335" spans="2:17" hidden="1" x14ac:dyDescent="0.2">
      <c r="B335" s="1">
        <v>26057</v>
      </c>
      <c r="C335" s="1">
        <v>0</v>
      </c>
      <c r="G335" s="1">
        <v>26057</v>
      </c>
      <c r="H335" s="1">
        <v>0</v>
      </c>
      <c r="L335" s="1">
        <v>26057</v>
      </c>
      <c r="M335" s="1">
        <v>0</v>
      </c>
      <c r="P335" s="1">
        <v>26057</v>
      </c>
      <c r="Q335" s="1">
        <v>0</v>
      </c>
    </row>
    <row r="336" spans="2:17" hidden="1" x14ac:dyDescent="0.2">
      <c r="B336" s="1">
        <v>26058</v>
      </c>
      <c r="C336" s="1">
        <v>0</v>
      </c>
      <c r="G336" s="1">
        <v>26058</v>
      </c>
      <c r="H336" s="1">
        <v>0</v>
      </c>
      <c r="L336" s="1">
        <v>26058</v>
      </c>
      <c r="M336" s="1">
        <v>0</v>
      </c>
      <c r="P336" s="1">
        <v>26058</v>
      </c>
      <c r="Q336" s="1">
        <v>0</v>
      </c>
    </row>
    <row r="337" spans="2:17" hidden="1" x14ac:dyDescent="0.2">
      <c r="B337" s="1">
        <v>26059</v>
      </c>
      <c r="C337" s="1">
        <v>0</v>
      </c>
      <c r="G337" s="1">
        <v>26059</v>
      </c>
      <c r="H337" s="1">
        <v>0</v>
      </c>
      <c r="L337" s="1">
        <v>26059</v>
      </c>
      <c r="M337" s="1">
        <v>0</v>
      </c>
      <c r="P337" s="1">
        <v>26059</v>
      </c>
      <c r="Q337" s="1">
        <v>0</v>
      </c>
    </row>
    <row r="338" spans="2:17" hidden="1" x14ac:dyDescent="0.2">
      <c r="B338" s="1">
        <v>26060</v>
      </c>
      <c r="C338" s="1">
        <v>0</v>
      </c>
      <c r="G338" s="1">
        <v>26060</v>
      </c>
      <c r="H338" s="1">
        <v>0</v>
      </c>
      <c r="L338" s="1">
        <v>26060</v>
      </c>
      <c r="M338" s="1">
        <v>0</v>
      </c>
      <c r="P338" s="1">
        <v>26060</v>
      </c>
      <c r="Q338" s="1">
        <v>0</v>
      </c>
    </row>
    <row r="339" spans="2:17" hidden="1" x14ac:dyDescent="0.2">
      <c r="B339" s="1">
        <v>26061</v>
      </c>
      <c r="C339" s="1">
        <v>0</v>
      </c>
      <c r="G339" s="1">
        <v>26061</v>
      </c>
      <c r="H339" s="1">
        <v>0</v>
      </c>
      <c r="L339" s="1">
        <v>26061</v>
      </c>
      <c r="M339" s="1">
        <v>6.9799999999999994E-11</v>
      </c>
      <c r="P339" s="1">
        <v>26061</v>
      </c>
      <c r="Q339" s="1">
        <v>0</v>
      </c>
    </row>
    <row r="340" spans="2:17" hidden="1" x14ac:dyDescent="0.2">
      <c r="B340" s="1">
        <v>26062</v>
      </c>
      <c r="C340" s="1">
        <v>0</v>
      </c>
      <c r="G340" s="1">
        <v>26062</v>
      </c>
      <c r="H340" s="1">
        <v>0</v>
      </c>
      <c r="L340" s="1">
        <v>26062</v>
      </c>
      <c r="M340" s="1">
        <v>0</v>
      </c>
      <c r="P340" s="1">
        <v>26062</v>
      </c>
      <c r="Q340" s="1">
        <v>0</v>
      </c>
    </row>
    <row r="341" spans="2:17" x14ac:dyDescent="0.2">
      <c r="B341" s="1">
        <v>26063</v>
      </c>
      <c r="C341" s="1">
        <v>0</v>
      </c>
      <c r="G341" s="1">
        <v>26063</v>
      </c>
      <c r="H341" s="1">
        <v>0</v>
      </c>
      <c r="L341" s="1">
        <v>26063</v>
      </c>
      <c r="M341" s="1">
        <v>0</v>
      </c>
      <c r="P341" s="1">
        <v>26063</v>
      </c>
      <c r="Q341" s="1">
        <v>6.9799999999999994E-11</v>
      </c>
    </row>
    <row r="342" spans="2:17" x14ac:dyDescent="0.2">
      <c r="B342" s="1">
        <v>26064</v>
      </c>
      <c r="C342" s="1">
        <v>0</v>
      </c>
      <c r="G342" s="1">
        <v>26064</v>
      </c>
      <c r="H342" s="1">
        <v>0</v>
      </c>
      <c r="L342" s="1">
        <v>26064</v>
      </c>
      <c r="M342" s="1">
        <v>6.9799999999999994E-11</v>
      </c>
      <c r="P342" s="1">
        <v>26064</v>
      </c>
      <c r="Q342" s="1">
        <v>1.3959999999999999E-10</v>
      </c>
    </row>
    <row r="343" spans="2:17" x14ac:dyDescent="0.2">
      <c r="B343" s="1">
        <v>27053</v>
      </c>
      <c r="C343" s="1">
        <v>0</v>
      </c>
      <c r="G343" s="1">
        <v>27053</v>
      </c>
      <c r="H343" s="1">
        <v>0</v>
      </c>
      <c r="L343" s="1">
        <v>27053</v>
      </c>
      <c r="M343" s="1">
        <v>1.3959999999999999E-10</v>
      </c>
      <c r="P343" s="1">
        <v>27053</v>
      </c>
      <c r="Q343" s="1">
        <v>2.094E-10</v>
      </c>
    </row>
    <row r="344" spans="2:17" x14ac:dyDescent="0.2">
      <c r="B344" s="1">
        <v>27054</v>
      </c>
      <c r="C344" s="1">
        <v>0</v>
      </c>
      <c r="G344" s="1">
        <v>27054</v>
      </c>
      <c r="H344" s="1">
        <v>0</v>
      </c>
      <c r="L344" s="1">
        <v>27054</v>
      </c>
      <c r="M344" s="1">
        <v>2.7919999999999998E-10</v>
      </c>
      <c r="P344" s="1">
        <v>27054</v>
      </c>
      <c r="Q344" s="1">
        <v>6.9799999999999997E-10</v>
      </c>
    </row>
    <row r="345" spans="2:17" x14ac:dyDescent="0.2">
      <c r="B345" s="1">
        <v>27055</v>
      </c>
      <c r="C345" s="1">
        <v>0</v>
      </c>
      <c r="G345" s="1">
        <v>27055</v>
      </c>
      <c r="H345" s="1">
        <v>0</v>
      </c>
      <c r="L345" s="1">
        <v>27055</v>
      </c>
      <c r="M345" s="1">
        <v>6.9799999999999994E-11</v>
      </c>
      <c r="P345" s="1">
        <v>27055</v>
      </c>
      <c r="Q345" s="1">
        <v>8.3759999999999998E-10</v>
      </c>
    </row>
    <row r="346" spans="2:17" x14ac:dyDescent="0.2">
      <c r="B346" s="1">
        <v>27056</v>
      </c>
      <c r="C346" s="1">
        <v>0</v>
      </c>
      <c r="G346" s="1">
        <v>27056</v>
      </c>
      <c r="H346" s="1">
        <v>0</v>
      </c>
      <c r="L346" s="1">
        <v>27056</v>
      </c>
      <c r="M346" s="1">
        <v>2.7919999999999998E-10</v>
      </c>
      <c r="P346" s="1">
        <v>27056</v>
      </c>
      <c r="Q346" s="1">
        <v>1.3959999999999999E-9</v>
      </c>
    </row>
    <row r="347" spans="2:17" x14ac:dyDescent="0.2">
      <c r="B347" s="1">
        <v>27057</v>
      </c>
      <c r="C347" s="1">
        <v>0</v>
      </c>
      <c r="G347" s="1">
        <v>27057</v>
      </c>
      <c r="H347" s="1">
        <v>0</v>
      </c>
      <c r="L347" s="1">
        <v>27057</v>
      </c>
      <c r="M347" s="1">
        <v>1.3959999999999999E-10</v>
      </c>
      <c r="P347" s="1">
        <v>27057</v>
      </c>
      <c r="Q347" s="1">
        <v>6.2819999999999996E-10</v>
      </c>
    </row>
    <row r="348" spans="2:17" x14ac:dyDescent="0.2">
      <c r="B348" s="1">
        <v>27058</v>
      </c>
      <c r="C348" s="1">
        <v>0</v>
      </c>
      <c r="G348" s="1">
        <v>27058</v>
      </c>
      <c r="H348" s="1">
        <v>0</v>
      </c>
      <c r="L348" s="1">
        <v>27058</v>
      </c>
      <c r="M348" s="1">
        <v>6.9799999999999994E-11</v>
      </c>
      <c r="P348" s="1">
        <v>27058</v>
      </c>
      <c r="Q348" s="1">
        <v>8.3759999999999998E-10</v>
      </c>
    </row>
    <row r="349" spans="2:17" x14ac:dyDescent="0.2">
      <c r="B349" s="1">
        <v>27059</v>
      </c>
      <c r="C349" s="1">
        <v>0</v>
      </c>
      <c r="G349" s="1">
        <v>27059</v>
      </c>
      <c r="H349" s="1">
        <v>0</v>
      </c>
      <c r="L349" s="1">
        <v>27059</v>
      </c>
      <c r="M349" s="1">
        <v>6.9799999999999994E-11</v>
      </c>
      <c r="P349" s="1">
        <v>27059</v>
      </c>
      <c r="Q349" s="1">
        <v>3.4899999999999998E-10</v>
      </c>
    </row>
    <row r="350" spans="2:17" x14ac:dyDescent="0.2">
      <c r="B350" s="1">
        <v>27060</v>
      </c>
      <c r="C350" s="1">
        <v>0</v>
      </c>
      <c r="G350" s="1">
        <v>27060</v>
      </c>
      <c r="H350" s="1">
        <v>0</v>
      </c>
      <c r="L350" s="1">
        <v>27060</v>
      </c>
      <c r="M350" s="1">
        <v>0</v>
      </c>
      <c r="P350" s="1">
        <v>27060</v>
      </c>
      <c r="Q350" s="1">
        <v>1.3959999999999999E-10</v>
      </c>
    </row>
    <row r="351" spans="2:17" hidden="1" x14ac:dyDescent="0.2">
      <c r="B351" s="1">
        <v>27061</v>
      </c>
      <c r="C351" s="1">
        <v>0</v>
      </c>
      <c r="G351" s="1">
        <v>27061</v>
      </c>
      <c r="H351" s="1">
        <v>0</v>
      </c>
      <c r="L351" s="1">
        <v>27061</v>
      </c>
      <c r="M351" s="1">
        <v>0</v>
      </c>
      <c r="P351" s="1">
        <v>27061</v>
      </c>
      <c r="Q351" s="1">
        <v>0</v>
      </c>
    </row>
    <row r="352" spans="2:17" x14ac:dyDescent="0.2">
      <c r="B352" s="1">
        <v>27062</v>
      </c>
      <c r="C352" s="1">
        <v>0</v>
      </c>
      <c r="G352" s="1">
        <v>27062</v>
      </c>
      <c r="H352" s="1">
        <v>0</v>
      </c>
      <c r="L352" s="1">
        <v>27062</v>
      </c>
      <c r="M352" s="1">
        <v>0</v>
      </c>
      <c r="P352" s="1">
        <v>27062</v>
      </c>
      <c r="Q352" s="1">
        <v>6.9799999999999994E-11</v>
      </c>
    </row>
    <row r="353" spans="2:17" hidden="1" x14ac:dyDescent="0.2">
      <c r="B353" s="1">
        <v>27063</v>
      </c>
      <c r="C353" s="1">
        <v>0</v>
      </c>
      <c r="G353" s="1">
        <v>27063</v>
      </c>
      <c r="H353" s="1">
        <v>0</v>
      </c>
      <c r="L353" s="1">
        <v>27063</v>
      </c>
      <c r="M353" s="1">
        <v>0</v>
      </c>
      <c r="P353" s="1">
        <v>27063</v>
      </c>
      <c r="Q353" s="1">
        <v>0</v>
      </c>
    </row>
    <row r="354" spans="2:17" hidden="1" x14ac:dyDescent="0.2">
      <c r="B354" s="1">
        <v>27064</v>
      </c>
      <c r="C354" s="1">
        <v>0</v>
      </c>
      <c r="G354" s="1">
        <v>27064</v>
      </c>
      <c r="H354" s="1">
        <v>0</v>
      </c>
      <c r="L354" s="1">
        <v>27064</v>
      </c>
      <c r="M354" s="1">
        <v>0</v>
      </c>
      <c r="P354" s="1">
        <v>27064</v>
      </c>
      <c r="Q354" s="1">
        <v>0</v>
      </c>
    </row>
    <row r="355" spans="2:17" x14ac:dyDescent="0.2">
      <c r="B355" s="1">
        <v>28053</v>
      </c>
      <c r="C355" s="1">
        <v>0</v>
      </c>
      <c r="G355" s="1">
        <v>28053</v>
      </c>
      <c r="H355" s="1">
        <v>0</v>
      </c>
      <c r="L355" s="1">
        <v>28053</v>
      </c>
      <c r="M355" s="1">
        <v>6.9799999999999994E-11</v>
      </c>
      <c r="P355" s="1">
        <v>28053</v>
      </c>
      <c r="Q355" s="1">
        <v>6.9799999999999994E-11</v>
      </c>
    </row>
    <row r="356" spans="2:17" x14ac:dyDescent="0.2">
      <c r="B356" s="1">
        <v>28054</v>
      </c>
      <c r="C356" s="1">
        <v>0</v>
      </c>
      <c r="G356" s="1">
        <v>28054</v>
      </c>
      <c r="H356" s="1">
        <v>0</v>
      </c>
      <c r="L356" s="1">
        <v>28054</v>
      </c>
      <c r="M356" s="1">
        <v>1.3959999999999999E-10</v>
      </c>
      <c r="P356" s="1">
        <v>28054</v>
      </c>
      <c r="Q356" s="1">
        <v>3.4899999999999998E-10</v>
      </c>
    </row>
    <row r="357" spans="2:17" x14ac:dyDescent="0.2">
      <c r="B357" s="1">
        <v>28055</v>
      </c>
      <c r="C357" s="1">
        <v>0</v>
      </c>
      <c r="G357" s="1">
        <v>28055</v>
      </c>
      <c r="H357" s="1">
        <v>0</v>
      </c>
      <c r="L357" s="1">
        <v>28055</v>
      </c>
      <c r="M357" s="1">
        <v>4.1879999999999999E-10</v>
      </c>
      <c r="P357" s="1">
        <v>28055</v>
      </c>
      <c r="Q357" s="1">
        <v>6.2819999999999996E-10</v>
      </c>
    </row>
    <row r="358" spans="2:17" x14ac:dyDescent="0.2">
      <c r="B358" s="1">
        <v>28056</v>
      </c>
      <c r="C358" s="1">
        <v>0</v>
      </c>
      <c r="G358" s="1">
        <v>28056</v>
      </c>
      <c r="H358" s="1">
        <v>0</v>
      </c>
      <c r="L358" s="1">
        <v>28056</v>
      </c>
      <c r="M358" s="1">
        <v>3.4899999999999998E-10</v>
      </c>
      <c r="P358" s="1">
        <v>28056</v>
      </c>
      <c r="Q358" s="1">
        <v>1.1866E-9</v>
      </c>
    </row>
    <row r="359" spans="2:17" x14ac:dyDescent="0.2">
      <c r="B359" s="1">
        <v>28057</v>
      </c>
      <c r="C359" s="1">
        <v>0</v>
      </c>
      <c r="G359" s="1">
        <v>28057</v>
      </c>
      <c r="H359" s="1">
        <v>0</v>
      </c>
      <c r="L359" s="1">
        <v>28057</v>
      </c>
      <c r="M359" s="1">
        <v>1.047E-9</v>
      </c>
      <c r="P359" s="1">
        <v>28057</v>
      </c>
      <c r="Q359" s="1">
        <v>3.1409999999999998E-9</v>
      </c>
    </row>
    <row r="360" spans="2:17" x14ac:dyDescent="0.2">
      <c r="B360" s="1">
        <v>28058</v>
      </c>
      <c r="C360" s="1">
        <v>0</v>
      </c>
      <c r="G360" s="1">
        <v>28058</v>
      </c>
      <c r="H360" s="1">
        <v>0</v>
      </c>
      <c r="L360" s="1">
        <v>28058</v>
      </c>
      <c r="M360" s="1">
        <v>8.3759999999999998E-10</v>
      </c>
      <c r="P360" s="1">
        <v>28058</v>
      </c>
      <c r="Q360" s="1">
        <v>3.8389999999999997E-9</v>
      </c>
    </row>
    <row r="361" spans="2:17" x14ac:dyDescent="0.2">
      <c r="B361" s="1">
        <v>28059</v>
      </c>
      <c r="C361" s="1">
        <v>0</v>
      </c>
      <c r="G361" s="1">
        <v>28059</v>
      </c>
      <c r="H361" s="1">
        <v>0</v>
      </c>
      <c r="L361" s="1">
        <v>28059</v>
      </c>
      <c r="M361" s="1">
        <v>1.047E-9</v>
      </c>
      <c r="P361" s="1">
        <v>28059</v>
      </c>
      <c r="Q361" s="1">
        <v>5.4443999999999999E-9</v>
      </c>
    </row>
    <row r="362" spans="2:17" x14ac:dyDescent="0.2">
      <c r="B362" s="1">
        <v>28060</v>
      </c>
      <c r="C362" s="1">
        <v>0</v>
      </c>
      <c r="G362" s="1">
        <v>28060</v>
      </c>
      <c r="H362" s="1">
        <v>0</v>
      </c>
      <c r="L362" s="1">
        <v>28060</v>
      </c>
      <c r="M362" s="1">
        <v>2.7919999999999998E-10</v>
      </c>
      <c r="P362" s="1">
        <v>28060</v>
      </c>
      <c r="Q362" s="1">
        <v>3.7691999999999998E-9</v>
      </c>
    </row>
    <row r="363" spans="2:17" x14ac:dyDescent="0.2">
      <c r="B363" s="1">
        <v>28061</v>
      </c>
      <c r="C363" s="1">
        <v>0</v>
      </c>
      <c r="G363" s="1">
        <v>28061</v>
      </c>
      <c r="H363" s="1">
        <v>0</v>
      </c>
      <c r="L363" s="1">
        <v>28061</v>
      </c>
      <c r="M363" s="1">
        <v>2.094E-10</v>
      </c>
      <c r="P363" s="1">
        <v>28061</v>
      </c>
      <c r="Q363" s="1">
        <v>2.7919999999999999E-9</v>
      </c>
    </row>
    <row r="364" spans="2:17" x14ac:dyDescent="0.2">
      <c r="B364" s="1">
        <v>28062</v>
      </c>
      <c r="C364" s="1">
        <v>0</v>
      </c>
      <c r="G364" s="1">
        <v>28062</v>
      </c>
      <c r="H364" s="1">
        <v>0</v>
      </c>
      <c r="L364" s="1">
        <v>28062</v>
      </c>
      <c r="M364" s="1">
        <v>1.3959999999999999E-10</v>
      </c>
      <c r="P364" s="1">
        <v>28062</v>
      </c>
      <c r="Q364" s="1">
        <v>9.772000000000001E-10</v>
      </c>
    </row>
    <row r="365" spans="2:17" x14ac:dyDescent="0.2">
      <c r="B365" s="1">
        <v>28063</v>
      </c>
      <c r="C365" s="1">
        <v>0</v>
      </c>
      <c r="G365" s="1">
        <v>28063</v>
      </c>
      <c r="H365" s="1">
        <v>0</v>
      </c>
      <c r="L365" s="1">
        <v>28063</v>
      </c>
      <c r="M365" s="1">
        <v>1.3959999999999999E-10</v>
      </c>
      <c r="P365" s="1">
        <v>28063</v>
      </c>
      <c r="Q365" s="1">
        <v>9.0739999999999999E-10</v>
      </c>
    </row>
    <row r="366" spans="2:17" x14ac:dyDescent="0.2">
      <c r="B366" s="1">
        <v>28064</v>
      </c>
      <c r="C366" s="1">
        <v>0</v>
      </c>
      <c r="G366" s="1">
        <v>28064</v>
      </c>
      <c r="H366" s="1">
        <v>0</v>
      </c>
      <c r="L366" s="1">
        <v>28064</v>
      </c>
      <c r="M366" s="1">
        <v>0</v>
      </c>
      <c r="P366" s="1">
        <v>28064</v>
      </c>
      <c r="Q366" s="1">
        <v>6.9799999999999994E-11</v>
      </c>
    </row>
    <row r="367" spans="2:17" hidden="1" x14ac:dyDescent="0.2">
      <c r="B367" s="1">
        <v>28065</v>
      </c>
      <c r="C367" s="1">
        <v>0</v>
      </c>
      <c r="G367" s="1">
        <v>28065</v>
      </c>
      <c r="H367" s="1">
        <v>0</v>
      </c>
      <c r="L367" s="1">
        <v>28065</v>
      </c>
      <c r="M367" s="1">
        <v>1.3959999999999999E-10</v>
      </c>
      <c r="P367" s="1">
        <v>28065</v>
      </c>
      <c r="Q367" s="1">
        <v>0</v>
      </c>
    </row>
    <row r="368" spans="2:17" hidden="1" x14ac:dyDescent="0.2">
      <c r="B368" s="1">
        <v>28066</v>
      </c>
      <c r="C368" s="1">
        <v>0</v>
      </c>
      <c r="G368" s="1">
        <v>28066</v>
      </c>
      <c r="H368" s="1">
        <v>0</v>
      </c>
      <c r="L368" s="1">
        <v>28066</v>
      </c>
      <c r="M368" s="1">
        <v>2.7919999999999998E-10</v>
      </c>
      <c r="P368" s="1">
        <v>28066</v>
      </c>
      <c r="Q368" s="1">
        <v>0</v>
      </c>
    </row>
    <row r="369" spans="2:17" x14ac:dyDescent="0.2">
      <c r="B369" s="1">
        <v>28067</v>
      </c>
      <c r="C369" s="1">
        <v>0</v>
      </c>
      <c r="G369" s="1">
        <v>28067</v>
      </c>
      <c r="H369" s="1">
        <v>0</v>
      </c>
      <c r="L369" s="1">
        <v>28067</v>
      </c>
      <c r="M369" s="1">
        <v>8.3759999999999998E-10</v>
      </c>
      <c r="P369" s="1">
        <v>28067</v>
      </c>
      <c r="Q369" s="1">
        <v>6.9799999999999994E-11</v>
      </c>
    </row>
    <row r="370" spans="2:17" x14ac:dyDescent="0.2">
      <c r="B370" s="1">
        <v>28068</v>
      </c>
      <c r="C370" s="1">
        <v>0</v>
      </c>
      <c r="G370" s="1">
        <v>28068</v>
      </c>
      <c r="H370" s="1">
        <v>0</v>
      </c>
      <c r="L370" s="1">
        <v>28068</v>
      </c>
      <c r="M370" s="1">
        <v>1.9544000000000002E-9</v>
      </c>
      <c r="P370" s="1">
        <v>28068</v>
      </c>
      <c r="Q370" s="1">
        <v>4.1879999999999999E-10</v>
      </c>
    </row>
    <row r="371" spans="2:17" x14ac:dyDescent="0.2">
      <c r="B371" s="1">
        <v>29057</v>
      </c>
      <c r="C371" s="1">
        <v>0</v>
      </c>
      <c r="G371" s="1">
        <v>29057</v>
      </c>
      <c r="H371" s="1">
        <v>0</v>
      </c>
      <c r="L371" s="1">
        <v>29057</v>
      </c>
      <c r="M371" s="1">
        <v>3.3503999999999999E-9</v>
      </c>
      <c r="P371" s="1">
        <v>29057</v>
      </c>
      <c r="Q371" s="1">
        <v>2.094E-9</v>
      </c>
    </row>
    <row r="372" spans="2:17" x14ac:dyDescent="0.2">
      <c r="B372" s="1">
        <v>29058</v>
      </c>
      <c r="C372" s="1">
        <v>0</v>
      </c>
      <c r="G372" s="1">
        <v>29058</v>
      </c>
      <c r="H372" s="1">
        <v>0</v>
      </c>
      <c r="L372" s="1">
        <v>29058</v>
      </c>
      <c r="M372" s="1">
        <v>1.04002E-8</v>
      </c>
      <c r="P372" s="1">
        <v>29058</v>
      </c>
      <c r="Q372" s="1">
        <v>5.1652000000000003E-9</v>
      </c>
    </row>
    <row r="373" spans="2:17" x14ac:dyDescent="0.2">
      <c r="B373" s="1">
        <v>29059</v>
      </c>
      <c r="C373" s="1">
        <v>0</v>
      </c>
      <c r="G373" s="1">
        <v>29059</v>
      </c>
      <c r="H373" s="1">
        <v>0</v>
      </c>
      <c r="L373" s="1">
        <v>29059</v>
      </c>
      <c r="M373" s="1">
        <v>9.4928000000000001E-9</v>
      </c>
      <c r="P373" s="1">
        <v>29059</v>
      </c>
      <c r="Q373" s="1">
        <v>7.8176000000000008E-9</v>
      </c>
    </row>
    <row r="374" spans="2:17" x14ac:dyDescent="0.2">
      <c r="B374" s="1">
        <v>29060</v>
      </c>
      <c r="C374" s="1">
        <v>0</v>
      </c>
      <c r="G374" s="1">
        <v>29060</v>
      </c>
      <c r="H374" s="1">
        <v>0</v>
      </c>
      <c r="L374" s="1">
        <v>29060</v>
      </c>
      <c r="M374" s="1">
        <v>1.26338E-8</v>
      </c>
      <c r="P374" s="1">
        <v>29060</v>
      </c>
      <c r="Q374" s="1">
        <v>2.0451400000000001E-8</v>
      </c>
    </row>
    <row r="375" spans="2:17" x14ac:dyDescent="0.2">
      <c r="B375" s="1">
        <v>29061</v>
      </c>
      <c r="C375" s="1">
        <v>0</v>
      </c>
      <c r="G375" s="1">
        <v>29061</v>
      </c>
      <c r="H375" s="1">
        <v>0</v>
      </c>
      <c r="L375" s="1">
        <v>29061</v>
      </c>
      <c r="M375" s="1">
        <v>6.4216000000000002E-9</v>
      </c>
      <c r="P375" s="1">
        <v>29061</v>
      </c>
      <c r="Q375" s="1">
        <v>1.6193600000000001E-8</v>
      </c>
    </row>
    <row r="376" spans="2:17" x14ac:dyDescent="0.2">
      <c r="B376" s="1">
        <v>29062</v>
      </c>
      <c r="C376" s="1">
        <v>9.9999999999999995E-8</v>
      </c>
      <c r="G376" s="1">
        <v>29062</v>
      </c>
      <c r="H376" s="1">
        <v>0</v>
      </c>
      <c r="L376" s="1">
        <v>29062</v>
      </c>
      <c r="M376" s="1">
        <v>5.4443999999999999E-9</v>
      </c>
      <c r="P376" s="1">
        <v>29062</v>
      </c>
      <c r="Q376" s="1">
        <v>2.3732E-8</v>
      </c>
    </row>
    <row r="377" spans="2:17" x14ac:dyDescent="0.2">
      <c r="B377" s="1">
        <v>29063</v>
      </c>
      <c r="C377" s="1">
        <v>0</v>
      </c>
      <c r="G377" s="1">
        <v>29063</v>
      </c>
      <c r="H377" s="1">
        <v>0</v>
      </c>
      <c r="L377" s="1">
        <v>29063</v>
      </c>
      <c r="M377" s="1">
        <v>1.5355999999999999E-9</v>
      </c>
      <c r="P377" s="1">
        <v>29063</v>
      </c>
      <c r="Q377" s="1">
        <v>1.10284E-8</v>
      </c>
    </row>
    <row r="378" spans="2:17" x14ac:dyDescent="0.2">
      <c r="B378" s="1">
        <v>29064</v>
      </c>
      <c r="C378" s="1">
        <v>0</v>
      </c>
      <c r="G378" s="1">
        <v>29064</v>
      </c>
      <c r="H378" s="1">
        <v>0</v>
      </c>
      <c r="L378" s="1">
        <v>29064</v>
      </c>
      <c r="M378" s="1">
        <v>1.2563999999999999E-9</v>
      </c>
      <c r="P378" s="1">
        <v>29064</v>
      </c>
      <c r="Q378" s="1">
        <v>1.0679399999999999E-8</v>
      </c>
    </row>
    <row r="379" spans="2:17" x14ac:dyDescent="0.2">
      <c r="B379" s="1">
        <v>29065</v>
      </c>
      <c r="C379" s="1">
        <v>0</v>
      </c>
      <c r="G379" s="1">
        <v>29065</v>
      </c>
      <c r="H379" s="1">
        <v>0</v>
      </c>
      <c r="L379" s="1">
        <v>29065</v>
      </c>
      <c r="M379" s="1">
        <v>2.7919999999999998E-10</v>
      </c>
      <c r="P379" s="1">
        <v>29065</v>
      </c>
      <c r="Q379" s="1">
        <v>3.4900000000000001E-9</v>
      </c>
    </row>
    <row r="380" spans="2:17" x14ac:dyDescent="0.2">
      <c r="B380" s="1">
        <v>29066</v>
      </c>
      <c r="C380" s="1">
        <v>0</v>
      </c>
      <c r="G380" s="1">
        <v>29066</v>
      </c>
      <c r="H380" s="1">
        <v>0</v>
      </c>
      <c r="L380" s="1">
        <v>29066</v>
      </c>
      <c r="M380" s="1">
        <v>1.3959999999999999E-10</v>
      </c>
      <c r="P380" s="1">
        <v>29066</v>
      </c>
      <c r="Q380" s="1">
        <v>1.9544000000000002E-9</v>
      </c>
    </row>
    <row r="381" spans="2:17" x14ac:dyDescent="0.2">
      <c r="B381" s="1">
        <v>29067</v>
      </c>
      <c r="C381" s="1">
        <v>0</v>
      </c>
      <c r="G381" s="1">
        <v>29067</v>
      </c>
      <c r="H381" s="1">
        <v>0</v>
      </c>
      <c r="L381" s="1">
        <v>29067</v>
      </c>
      <c r="M381" s="1">
        <v>6.9799999999999994E-11</v>
      </c>
      <c r="P381" s="1">
        <v>29067</v>
      </c>
      <c r="Q381" s="1">
        <v>2.094E-10</v>
      </c>
    </row>
    <row r="382" spans="2:17" x14ac:dyDescent="0.2">
      <c r="B382" s="1">
        <v>29068</v>
      </c>
      <c r="C382" s="1">
        <v>0</v>
      </c>
      <c r="G382" s="1">
        <v>29068</v>
      </c>
      <c r="H382" s="1">
        <v>0</v>
      </c>
      <c r="L382" s="1">
        <v>29068</v>
      </c>
      <c r="M382" s="1">
        <v>2.094E-10</v>
      </c>
      <c r="P382" s="1">
        <v>29068</v>
      </c>
      <c r="Q382" s="1">
        <v>1.3959999999999999E-10</v>
      </c>
    </row>
    <row r="383" spans="2:17" x14ac:dyDescent="0.2">
      <c r="B383" s="1">
        <v>29069</v>
      </c>
      <c r="C383" s="1">
        <v>0</v>
      </c>
      <c r="G383" s="1">
        <v>29069</v>
      </c>
      <c r="H383" s="1">
        <v>0</v>
      </c>
      <c r="L383" s="1">
        <v>29069</v>
      </c>
      <c r="M383" s="1">
        <v>5.5839999999999995E-10</v>
      </c>
      <c r="P383" s="1">
        <v>29069</v>
      </c>
      <c r="Q383" s="1">
        <v>9.0739999999999999E-10</v>
      </c>
    </row>
    <row r="384" spans="2:17" x14ac:dyDescent="0.2">
      <c r="B384" s="1">
        <v>29070</v>
      </c>
      <c r="C384" s="1">
        <v>0</v>
      </c>
      <c r="G384" s="1">
        <v>29070</v>
      </c>
      <c r="H384" s="1">
        <v>0</v>
      </c>
      <c r="L384" s="1">
        <v>29070</v>
      </c>
      <c r="M384" s="1">
        <v>2.094E-9</v>
      </c>
      <c r="P384" s="1">
        <v>29070</v>
      </c>
      <c r="Q384" s="1">
        <v>1.6054000000000001E-9</v>
      </c>
    </row>
    <row r="385" spans="2:17" x14ac:dyDescent="0.2">
      <c r="B385" s="1">
        <v>29071</v>
      </c>
      <c r="C385" s="1">
        <v>0</v>
      </c>
      <c r="G385" s="1">
        <v>29071</v>
      </c>
      <c r="H385" s="1">
        <v>0</v>
      </c>
      <c r="L385" s="1">
        <v>29071</v>
      </c>
      <c r="M385" s="1">
        <v>6.9102000000000004E-9</v>
      </c>
      <c r="P385" s="1">
        <v>29071</v>
      </c>
      <c r="Q385" s="1">
        <v>6.4914000000000001E-9</v>
      </c>
    </row>
    <row r="386" spans="2:17" x14ac:dyDescent="0.2">
      <c r="B386" s="1">
        <v>29072</v>
      </c>
      <c r="C386" s="1">
        <v>0</v>
      </c>
      <c r="G386" s="1">
        <v>29072</v>
      </c>
      <c r="H386" s="1">
        <v>0</v>
      </c>
      <c r="L386" s="1">
        <v>29072</v>
      </c>
      <c r="M386" s="1">
        <v>1.10284E-8</v>
      </c>
      <c r="P386" s="1">
        <v>29072</v>
      </c>
      <c r="Q386" s="1">
        <v>1.34714E-8</v>
      </c>
    </row>
    <row r="387" spans="2:17" x14ac:dyDescent="0.2">
      <c r="B387" s="1">
        <v>29073</v>
      </c>
      <c r="C387" s="1">
        <v>9.9999999999999995E-8</v>
      </c>
      <c r="G387" s="1">
        <v>29073</v>
      </c>
      <c r="H387" s="1">
        <v>0</v>
      </c>
      <c r="L387" s="1">
        <v>29073</v>
      </c>
      <c r="M387" s="1">
        <v>2.8897200000000001E-8</v>
      </c>
      <c r="P387" s="1">
        <v>29073</v>
      </c>
      <c r="Q387" s="1">
        <v>3.7691999999999998E-8</v>
      </c>
    </row>
    <row r="388" spans="2:17" x14ac:dyDescent="0.2">
      <c r="B388" s="1">
        <v>30057</v>
      </c>
      <c r="C388" s="1">
        <v>0</v>
      </c>
      <c r="G388" s="1">
        <v>30057</v>
      </c>
      <c r="H388" s="1">
        <v>0</v>
      </c>
      <c r="L388" s="1">
        <v>30057</v>
      </c>
      <c r="M388" s="1">
        <v>2.3313199999999999E-8</v>
      </c>
      <c r="P388" s="1">
        <v>30057</v>
      </c>
      <c r="Q388" s="1">
        <v>5.07446E-8</v>
      </c>
    </row>
    <row r="389" spans="2:17" x14ac:dyDescent="0.2">
      <c r="B389" s="1">
        <v>30058</v>
      </c>
      <c r="C389" s="1">
        <v>9.9999999999999995E-8</v>
      </c>
      <c r="G389" s="1">
        <v>30058</v>
      </c>
      <c r="H389" s="1">
        <v>0</v>
      </c>
      <c r="L389" s="1">
        <v>30058</v>
      </c>
      <c r="M389" s="1">
        <v>2.7082399999999999E-8</v>
      </c>
      <c r="P389" s="1">
        <v>30058</v>
      </c>
      <c r="Q389" s="1">
        <v>9.4230000000000004E-8</v>
      </c>
    </row>
    <row r="390" spans="2:17" x14ac:dyDescent="0.2">
      <c r="B390" s="1">
        <v>30059</v>
      </c>
      <c r="C390" s="1">
        <v>0</v>
      </c>
      <c r="G390" s="1">
        <v>30059</v>
      </c>
      <c r="H390" s="1">
        <v>0</v>
      </c>
      <c r="L390" s="1">
        <v>30059</v>
      </c>
      <c r="M390" s="1">
        <v>1.1167999999999999E-8</v>
      </c>
      <c r="P390" s="1">
        <v>30059</v>
      </c>
      <c r="Q390" s="1">
        <v>6.4913999999999995E-8</v>
      </c>
    </row>
    <row r="391" spans="2:17" x14ac:dyDescent="0.2">
      <c r="B391" s="1">
        <v>30060</v>
      </c>
      <c r="C391" s="1">
        <v>0</v>
      </c>
      <c r="G391" s="1">
        <v>30060</v>
      </c>
      <c r="H391" s="1">
        <v>0</v>
      </c>
      <c r="L391" s="1">
        <v>30060</v>
      </c>
      <c r="M391" s="1">
        <v>8.5155999999999998E-9</v>
      </c>
      <c r="P391" s="1">
        <v>30060</v>
      </c>
      <c r="Q391" s="1">
        <v>8.3341200000000003E-8</v>
      </c>
    </row>
    <row r="392" spans="2:17" x14ac:dyDescent="0.2">
      <c r="B392" s="1">
        <v>30061</v>
      </c>
      <c r="C392" s="1">
        <v>0</v>
      </c>
      <c r="G392" s="1">
        <v>30061</v>
      </c>
      <c r="H392" s="1">
        <v>0</v>
      </c>
      <c r="L392" s="1">
        <v>30061</v>
      </c>
      <c r="M392" s="1">
        <v>3.1409999999999998E-9</v>
      </c>
      <c r="P392" s="1">
        <v>30061</v>
      </c>
      <c r="Q392" s="1">
        <v>3.6505399999999997E-8</v>
      </c>
    </row>
    <row r="393" spans="2:17" x14ac:dyDescent="0.2">
      <c r="B393" s="1">
        <v>30062</v>
      </c>
      <c r="C393" s="1">
        <v>0</v>
      </c>
      <c r="G393" s="1">
        <v>30062</v>
      </c>
      <c r="H393" s="1">
        <v>0</v>
      </c>
      <c r="L393" s="1">
        <v>30062</v>
      </c>
      <c r="M393" s="1">
        <v>2.3034000000000001E-9</v>
      </c>
      <c r="P393" s="1">
        <v>30062</v>
      </c>
      <c r="Q393" s="1">
        <v>2.8827399999999999E-8</v>
      </c>
    </row>
    <row r="394" spans="2:17" x14ac:dyDescent="0.2">
      <c r="B394" s="1">
        <v>30063</v>
      </c>
      <c r="C394" s="1">
        <v>0</v>
      </c>
      <c r="G394" s="1">
        <v>30063</v>
      </c>
      <c r="H394" s="1">
        <v>0</v>
      </c>
      <c r="L394" s="1">
        <v>30063</v>
      </c>
      <c r="M394" s="1">
        <v>3.4899999999999998E-10</v>
      </c>
      <c r="P394" s="1">
        <v>30063</v>
      </c>
      <c r="Q394" s="1">
        <v>8.3061999999999993E-9</v>
      </c>
    </row>
    <row r="395" spans="2:17" x14ac:dyDescent="0.2">
      <c r="B395" s="1">
        <v>30064</v>
      </c>
      <c r="C395" s="1">
        <v>0</v>
      </c>
      <c r="G395" s="1">
        <v>30064</v>
      </c>
      <c r="H395" s="1">
        <v>0</v>
      </c>
      <c r="L395" s="1">
        <v>30064</v>
      </c>
      <c r="M395" s="1">
        <v>3.4899999999999998E-10</v>
      </c>
      <c r="P395" s="1">
        <v>30064</v>
      </c>
      <c r="Q395" s="1">
        <v>4.5370000000000004E-9</v>
      </c>
    </row>
    <row r="396" spans="2:17" x14ac:dyDescent="0.2">
      <c r="B396" s="1">
        <v>30065</v>
      </c>
      <c r="C396" s="1">
        <v>0</v>
      </c>
      <c r="G396" s="1">
        <v>30065</v>
      </c>
      <c r="H396" s="1">
        <v>0</v>
      </c>
      <c r="L396" s="1">
        <v>30065</v>
      </c>
      <c r="M396" s="1">
        <v>6.9799999999999994E-11</v>
      </c>
      <c r="P396" s="1">
        <v>30065</v>
      </c>
      <c r="Q396" s="1">
        <v>4.1879999999999999E-10</v>
      </c>
    </row>
    <row r="397" spans="2:17" x14ac:dyDescent="0.2">
      <c r="B397" s="1">
        <v>30066</v>
      </c>
      <c r="C397" s="1">
        <v>0</v>
      </c>
      <c r="G397" s="1">
        <v>30066</v>
      </c>
      <c r="H397" s="1">
        <v>0</v>
      </c>
      <c r="L397" s="1">
        <v>30066</v>
      </c>
      <c r="M397" s="1">
        <v>0</v>
      </c>
      <c r="P397" s="1">
        <v>30066</v>
      </c>
      <c r="Q397" s="1">
        <v>6.9799999999999994E-11</v>
      </c>
    </row>
    <row r="398" spans="2:17" hidden="1" x14ac:dyDescent="0.2">
      <c r="B398" s="1">
        <v>30067</v>
      </c>
      <c r="C398" s="1">
        <v>0</v>
      </c>
      <c r="G398" s="1">
        <v>30067</v>
      </c>
      <c r="H398" s="1">
        <v>0</v>
      </c>
      <c r="L398" s="1">
        <v>30067</v>
      </c>
      <c r="M398" s="1">
        <v>0</v>
      </c>
      <c r="P398" s="1">
        <v>30067</v>
      </c>
      <c r="Q398" s="1">
        <v>0</v>
      </c>
    </row>
    <row r="399" spans="2:17" hidden="1" x14ac:dyDescent="0.2">
      <c r="B399" s="1">
        <v>30068</v>
      </c>
      <c r="C399" s="1">
        <v>0</v>
      </c>
      <c r="G399" s="1">
        <v>30068</v>
      </c>
      <c r="H399" s="1">
        <v>0</v>
      </c>
      <c r="L399" s="1">
        <v>30068</v>
      </c>
      <c r="M399" s="1">
        <v>0</v>
      </c>
      <c r="P399" s="1">
        <v>30068</v>
      </c>
      <c r="Q399" s="1">
        <v>0</v>
      </c>
    </row>
    <row r="400" spans="2:17" hidden="1" x14ac:dyDescent="0.2">
      <c r="B400" s="1">
        <v>30069</v>
      </c>
      <c r="C400" s="1">
        <v>0</v>
      </c>
      <c r="G400" s="1">
        <v>30069</v>
      </c>
      <c r="H400" s="1">
        <v>0</v>
      </c>
      <c r="L400" s="1">
        <v>30069</v>
      </c>
      <c r="M400" s="1">
        <v>3.4899999999999998E-10</v>
      </c>
      <c r="P400" s="1">
        <v>30069</v>
      </c>
      <c r="Q400" s="1">
        <v>0</v>
      </c>
    </row>
    <row r="401" spans="2:17" x14ac:dyDescent="0.2">
      <c r="B401" s="1">
        <v>30070</v>
      </c>
      <c r="C401" s="1">
        <v>0</v>
      </c>
      <c r="G401" s="1">
        <v>30070</v>
      </c>
      <c r="H401" s="1">
        <v>0</v>
      </c>
      <c r="L401" s="1">
        <v>30070</v>
      </c>
      <c r="M401" s="1">
        <v>2.0242000000000001E-9</v>
      </c>
      <c r="P401" s="1">
        <v>30070</v>
      </c>
      <c r="Q401" s="1">
        <v>1.3959999999999999E-10</v>
      </c>
    </row>
    <row r="402" spans="2:17" x14ac:dyDescent="0.2">
      <c r="B402" s="1">
        <v>30071</v>
      </c>
      <c r="C402" s="1">
        <v>0</v>
      </c>
      <c r="G402" s="1">
        <v>30071</v>
      </c>
      <c r="H402" s="1">
        <v>0</v>
      </c>
      <c r="L402" s="1">
        <v>30071</v>
      </c>
      <c r="M402" s="1">
        <v>7.4686000000000005E-9</v>
      </c>
      <c r="P402" s="1">
        <v>30071</v>
      </c>
      <c r="Q402" s="1">
        <v>4.1879999999999999E-10</v>
      </c>
    </row>
    <row r="403" spans="2:17" x14ac:dyDescent="0.2">
      <c r="B403" s="1">
        <v>30072</v>
      </c>
      <c r="C403" s="1">
        <v>0</v>
      </c>
      <c r="G403" s="1">
        <v>30072</v>
      </c>
      <c r="H403" s="1">
        <v>0</v>
      </c>
      <c r="L403" s="1">
        <v>30072</v>
      </c>
      <c r="M403" s="1">
        <v>1.9055399999999999E-8</v>
      </c>
      <c r="P403" s="1">
        <v>30072</v>
      </c>
      <c r="Q403" s="1">
        <v>4.8859999999999999E-9</v>
      </c>
    </row>
    <row r="404" spans="2:17" x14ac:dyDescent="0.2">
      <c r="B404" s="1">
        <v>30073</v>
      </c>
      <c r="C404" s="1">
        <v>2.9999999999999999E-7</v>
      </c>
      <c r="G404" s="1">
        <v>30073</v>
      </c>
      <c r="H404" s="1">
        <v>9.9999999999999995E-8</v>
      </c>
      <c r="L404" s="1">
        <v>30073</v>
      </c>
      <c r="M404" s="1">
        <v>3.7133599999999998E-8</v>
      </c>
      <c r="P404" s="1">
        <v>30073</v>
      </c>
      <c r="Q404" s="1">
        <v>1.06096E-8</v>
      </c>
    </row>
    <row r="405" spans="2:17" x14ac:dyDescent="0.2">
      <c r="B405" s="1">
        <v>30074</v>
      </c>
      <c r="C405" s="1">
        <v>0</v>
      </c>
      <c r="G405" s="1">
        <v>30074</v>
      </c>
      <c r="H405" s="1">
        <v>9.9999999999999995E-8</v>
      </c>
      <c r="L405" s="1">
        <v>30074</v>
      </c>
      <c r="M405" s="1">
        <v>9.1856800000000002E-8</v>
      </c>
      <c r="P405" s="1">
        <v>30074</v>
      </c>
      <c r="Q405" s="1">
        <v>5.2070799999999999E-8</v>
      </c>
    </row>
    <row r="406" spans="2:17" x14ac:dyDescent="0.2">
      <c r="B406" s="1">
        <v>30075</v>
      </c>
      <c r="C406" s="1">
        <v>0</v>
      </c>
      <c r="G406" s="1">
        <v>30075</v>
      </c>
      <c r="H406" s="1">
        <v>3.9999999999999998E-7</v>
      </c>
      <c r="L406" s="1">
        <v>30075</v>
      </c>
      <c r="M406" s="1">
        <v>1.16845E-7</v>
      </c>
      <c r="P406" s="1">
        <v>30075</v>
      </c>
      <c r="Q406" s="1">
        <v>6.7287199999999997E-8</v>
      </c>
    </row>
    <row r="407" spans="2:17" x14ac:dyDescent="0.2">
      <c r="B407" s="1">
        <v>30076</v>
      </c>
      <c r="C407" s="1">
        <v>9.9999999999999995E-8</v>
      </c>
      <c r="G407" s="1">
        <v>30076</v>
      </c>
      <c r="H407" s="1">
        <v>0</v>
      </c>
      <c r="L407" s="1">
        <v>30076</v>
      </c>
      <c r="M407" s="1">
        <v>2.11354E-7</v>
      </c>
      <c r="P407" s="1">
        <v>30076</v>
      </c>
      <c r="Q407" s="1">
        <v>2.0088399999999999E-7</v>
      </c>
    </row>
    <row r="408" spans="2:17" x14ac:dyDescent="0.2">
      <c r="B408" s="1">
        <v>30077</v>
      </c>
      <c r="C408" s="1">
        <v>9.9999999999999995E-8</v>
      </c>
      <c r="G408" s="1">
        <v>30077</v>
      </c>
      <c r="H408" s="1">
        <v>1.9999999999999999E-7</v>
      </c>
      <c r="L408" s="1">
        <v>30077</v>
      </c>
      <c r="M408" s="1">
        <v>1.40158E-7</v>
      </c>
      <c r="P408" s="1">
        <v>30077</v>
      </c>
      <c r="Q408" s="1">
        <v>1.9606800000000001E-7</v>
      </c>
    </row>
    <row r="409" spans="2:17" x14ac:dyDescent="0.2">
      <c r="B409" s="1">
        <v>30078</v>
      </c>
      <c r="C409" s="1">
        <v>1.9999999999999999E-7</v>
      </c>
      <c r="G409" s="1">
        <v>30078</v>
      </c>
      <c r="H409" s="1">
        <v>1.9999999999999999E-7</v>
      </c>
      <c r="L409" s="1">
        <v>30078</v>
      </c>
      <c r="M409" s="1">
        <v>1.3652899999999999E-7</v>
      </c>
      <c r="P409" s="1">
        <v>30078</v>
      </c>
      <c r="Q409" s="1">
        <v>3.26106E-7</v>
      </c>
    </row>
    <row r="410" spans="2:17" x14ac:dyDescent="0.2">
      <c r="B410" s="1">
        <v>31062</v>
      </c>
      <c r="C410" s="1">
        <v>0</v>
      </c>
      <c r="G410" s="1">
        <v>31062</v>
      </c>
      <c r="H410" s="1">
        <v>0</v>
      </c>
      <c r="L410" s="1">
        <v>31062</v>
      </c>
      <c r="M410" s="1">
        <v>5.3466800000000001E-8</v>
      </c>
      <c r="P410" s="1">
        <v>31062</v>
      </c>
      <c r="Q410" s="1">
        <v>2.3850700000000001E-7</v>
      </c>
    </row>
    <row r="411" spans="2:17" x14ac:dyDescent="0.2">
      <c r="B411" s="1">
        <v>31063</v>
      </c>
      <c r="C411" s="1">
        <v>9.9999999999999995E-8</v>
      </c>
      <c r="G411" s="1">
        <v>31063</v>
      </c>
      <c r="H411" s="1">
        <v>0</v>
      </c>
      <c r="L411" s="1">
        <v>31063</v>
      </c>
      <c r="M411" s="1">
        <v>3.07818E-8</v>
      </c>
      <c r="P411" s="1">
        <v>31063</v>
      </c>
      <c r="Q411" s="1">
        <v>2.8429499999999999E-7</v>
      </c>
    </row>
    <row r="412" spans="2:17" x14ac:dyDescent="0.2">
      <c r="B412" s="1">
        <v>31064</v>
      </c>
      <c r="C412" s="1">
        <v>0</v>
      </c>
      <c r="G412" s="1">
        <v>31064</v>
      </c>
      <c r="H412" s="1">
        <v>0</v>
      </c>
      <c r="L412" s="1">
        <v>31064</v>
      </c>
      <c r="M412" s="1">
        <v>3.6296E-9</v>
      </c>
      <c r="P412" s="1">
        <v>31064</v>
      </c>
      <c r="Q412" s="1">
        <v>1.6682200000000001E-8</v>
      </c>
    </row>
    <row r="413" spans="2:17" x14ac:dyDescent="0.2">
      <c r="B413" s="1">
        <v>31065</v>
      </c>
      <c r="C413" s="1">
        <v>0</v>
      </c>
      <c r="G413" s="1">
        <v>31065</v>
      </c>
      <c r="H413" s="1">
        <v>0</v>
      </c>
      <c r="L413" s="1">
        <v>31065</v>
      </c>
      <c r="M413" s="1">
        <v>3.7691999999999998E-9</v>
      </c>
      <c r="P413" s="1">
        <v>31065</v>
      </c>
      <c r="Q413" s="1">
        <v>5.84924E-8</v>
      </c>
    </row>
    <row r="414" spans="2:17" x14ac:dyDescent="0.2">
      <c r="B414" s="1">
        <v>31066</v>
      </c>
      <c r="C414" s="1">
        <v>0</v>
      </c>
      <c r="G414" s="1">
        <v>31066</v>
      </c>
      <c r="H414" s="1">
        <v>0</v>
      </c>
      <c r="L414" s="1">
        <v>31066</v>
      </c>
      <c r="M414" s="1">
        <v>6.9799999999999997E-10</v>
      </c>
      <c r="P414" s="1">
        <v>31066</v>
      </c>
      <c r="Q414" s="1">
        <v>1.1796199999999999E-8</v>
      </c>
    </row>
    <row r="415" spans="2:17" x14ac:dyDescent="0.2">
      <c r="B415" s="1">
        <v>31067</v>
      </c>
      <c r="C415" s="1">
        <v>0</v>
      </c>
      <c r="G415" s="1">
        <v>31067</v>
      </c>
      <c r="H415" s="1">
        <v>0</v>
      </c>
      <c r="L415" s="1">
        <v>31067</v>
      </c>
      <c r="M415" s="1">
        <v>2.094E-10</v>
      </c>
      <c r="P415" s="1">
        <v>31067</v>
      </c>
      <c r="Q415" s="1">
        <v>6.7705999999999998E-9</v>
      </c>
    </row>
    <row r="416" spans="2:17" x14ac:dyDescent="0.2">
      <c r="B416" s="1">
        <v>31068</v>
      </c>
      <c r="C416" s="1">
        <v>0</v>
      </c>
      <c r="G416" s="1">
        <v>31068</v>
      </c>
      <c r="H416" s="1">
        <v>0</v>
      </c>
      <c r="L416" s="1">
        <v>31068</v>
      </c>
      <c r="M416" s="1">
        <v>0</v>
      </c>
      <c r="P416" s="1">
        <v>31068</v>
      </c>
      <c r="Q416" s="1">
        <v>5.5839999999999995E-10</v>
      </c>
    </row>
    <row r="417" spans="2:17" x14ac:dyDescent="0.2">
      <c r="B417" s="1">
        <v>31069</v>
      </c>
      <c r="C417" s="1">
        <v>0</v>
      </c>
      <c r="G417" s="1">
        <v>31069</v>
      </c>
      <c r="H417" s="1">
        <v>0</v>
      </c>
      <c r="L417" s="1">
        <v>31069</v>
      </c>
      <c r="M417" s="1">
        <v>0</v>
      </c>
      <c r="P417" s="1">
        <v>31069</v>
      </c>
      <c r="Q417" s="1">
        <v>2.094E-10</v>
      </c>
    </row>
    <row r="418" spans="2:17" hidden="1" x14ac:dyDescent="0.2">
      <c r="B418" s="1">
        <v>31070</v>
      </c>
      <c r="C418" s="1">
        <v>0</v>
      </c>
      <c r="G418" s="1">
        <v>31070</v>
      </c>
      <c r="H418" s="1">
        <v>0</v>
      </c>
      <c r="L418" s="1">
        <v>31070</v>
      </c>
      <c r="M418" s="1">
        <v>0</v>
      </c>
      <c r="P418" s="1">
        <v>31070</v>
      </c>
      <c r="Q418" s="1">
        <v>0</v>
      </c>
    </row>
    <row r="419" spans="2:17" hidden="1" x14ac:dyDescent="0.2">
      <c r="B419" s="1">
        <v>31071</v>
      </c>
      <c r="C419" s="1">
        <v>0</v>
      </c>
      <c r="G419" s="1">
        <v>31071</v>
      </c>
      <c r="H419" s="1">
        <v>0</v>
      </c>
      <c r="L419" s="1">
        <v>31071</v>
      </c>
      <c r="M419" s="1">
        <v>1.3959999999999999E-10</v>
      </c>
      <c r="P419" s="1">
        <v>31071</v>
      </c>
      <c r="Q419" s="1">
        <v>0</v>
      </c>
    </row>
    <row r="420" spans="2:17" hidden="1" x14ac:dyDescent="0.2">
      <c r="B420" s="1">
        <v>31072</v>
      </c>
      <c r="C420" s="1">
        <v>0</v>
      </c>
      <c r="G420" s="1">
        <v>31072</v>
      </c>
      <c r="H420" s="1">
        <v>0</v>
      </c>
      <c r="L420" s="1">
        <v>31072</v>
      </c>
      <c r="M420" s="1">
        <v>1.6054000000000001E-9</v>
      </c>
      <c r="P420" s="1">
        <v>31072</v>
      </c>
      <c r="Q420" s="1">
        <v>0</v>
      </c>
    </row>
    <row r="421" spans="2:17" x14ac:dyDescent="0.2">
      <c r="B421" s="1">
        <v>31073</v>
      </c>
      <c r="C421" s="1">
        <v>0</v>
      </c>
      <c r="G421" s="1">
        <v>31073</v>
      </c>
      <c r="H421" s="1">
        <v>0</v>
      </c>
      <c r="L421" s="1">
        <v>31073</v>
      </c>
      <c r="M421" s="1">
        <v>6.2819999999999996E-9</v>
      </c>
      <c r="P421" s="1">
        <v>31073</v>
      </c>
      <c r="Q421" s="1">
        <v>1.2563999999999999E-9</v>
      </c>
    </row>
    <row r="422" spans="2:17" x14ac:dyDescent="0.2">
      <c r="B422" s="1">
        <v>31074</v>
      </c>
      <c r="C422" s="1">
        <v>0</v>
      </c>
      <c r="G422" s="1">
        <v>31074</v>
      </c>
      <c r="H422" s="1">
        <v>0</v>
      </c>
      <c r="L422" s="1">
        <v>31074</v>
      </c>
      <c r="M422" s="1">
        <v>1.7310399999999999E-8</v>
      </c>
      <c r="P422" s="1">
        <v>31074</v>
      </c>
      <c r="Q422" s="1">
        <v>4.5370000000000004E-9</v>
      </c>
    </row>
    <row r="423" spans="2:17" x14ac:dyDescent="0.2">
      <c r="B423" s="1">
        <v>31075</v>
      </c>
      <c r="C423" s="1">
        <v>0</v>
      </c>
      <c r="G423" s="1">
        <v>31075</v>
      </c>
      <c r="H423" s="1">
        <v>1.9999999999999999E-7</v>
      </c>
      <c r="L423" s="1">
        <v>31075</v>
      </c>
      <c r="M423" s="1">
        <v>5.2838599999999999E-8</v>
      </c>
      <c r="P423" s="1">
        <v>31075</v>
      </c>
      <c r="Q423" s="1">
        <v>3.0572399999999999E-8</v>
      </c>
    </row>
    <row r="424" spans="2:17" x14ac:dyDescent="0.2">
      <c r="B424" s="1">
        <v>31076</v>
      </c>
      <c r="C424" s="1">
        <v>0</v>
      </c>
      <c r="G424" s="1">
        <v>31076</v>
      </c>
      <c r="H424" s="1">
        <v>0</v>
      </c>
      <c r="L424" s="1">
        <v>31076</v>
      </c>
      <c r="M424" s="1">
        <v>1.10354E-7</v>
      </c>
      <c r="P424" s="1">
        <v>31076</v>
      </c>
      <c r="Q424" s="1">
        <v>6.3308600000000006E-8</v>
      </c>
    </row>
    <row r="425" spans="2:17" x14ac:dyDescent="0.2">
      <c r="B425" s="1">
        <v>31077</v>
      </c>
      <c r="C425" s="1">
        <v>1.9999999999999999E-7</v>
      </c>
      <c r="G425" s="1">
        <v>31077</v>
      </c>
      <c r="H425" s="1">
        <v>1.9999999999999999E-7</v>
      </c>
      <c r="L425" s="1">
        <v>31077</v>
      </c>
      <c r="M425" s="1">
        <v>2.8520300000000002E-7</v>
      </c>
      <c r="P425" s="1">
        <v>31077</v>
      </c>
      <c r="Q425" s="1">
        <v>2.3041000000000001E-7</v>
      </c>
    </row>
    <row r="426" spans="2:17" x14ac:dyDescent="0.2">
      <c r="B426" s="1">
        <v>31078</v>
      </c>
      <c r="C426" s="1">
        <v>0</v>
      </c>
      <c r="G426" s="1">
        <v>31078</v>
      </c>
      <c r="H426" s="1">
        <v>9.9999999999999995E-8</v>
      </c>
      <c r="L426" s="1">
        <v>31078</v>
      </c>
      <c r="M426" s="1">
        <v>3.1842800000000002E-7</v>
      </c>
      <c r="P426" s="1">
        <v>31078</v>
      </c>
      <c r="Q426" s="1">
        <v>3.8452800000000001E-7</v>
      </c>
    </row>
    <row r="427" spans="2:17" x14ac:dyDescent="0.2">
      <c r="B427" s="1">
        <v>31079</v>
      </c>
      <c r="C427" s="1">
        <v>6.9999999999999997E-7</v>
      </c>
      <c r="G427" s="1">
        <v>31079</v>
      </c>
      <c r="H427" s="1">
        <v>3.9999999999999998E-7</v>
      </c>
      <c r="L427" s="1">
        <v>31079</v>
      </c>
      <c r="M427" s="1">
        <v>5.0297900000000005E-7</v>
      </c>
      <c r="P427" s="1">
        <v>31079</v>
      </c>
      <c r="Q427" s="1">
        <v>7.8315600000000003E-7</v>
      </c>
    </row>
    <row r="428" spans="2:17" x14ac:dyDescent="0.2">
      <c r="B428" s="1">
        <v>31080</v>
      </c>
      <c r="C428" s="1">
        <v>9.9999999999999995E-8</v>
      </c>
      <c r="G428" s="1">
        <v>31080</v>
      </c>
      <c r="H428" s="1">
        <v>1.9999999999999999E-7</v>
      </c>
      <c r="L428" s="1">
        <v>31080</v>
      </c>
      <c r="M428" s="1">
        <v>2.8764600000000001E-7</v>
      </c>
      <c r="P428" s="1">
        <v>31080</v>
      </c>
      <c r="Q428" s="1">
        <v>6.6798600000000004E-7</v>
      </c>
    </row>
    <row r="429" spans="2:17" x14ac:dyDescent="0.2">
      <c r="B429" s="1">
        <v>31081</v>
      </c>
      <c r="C429" s="1">
        <v>1.3E-6</v>
      </c>
      <c r="G429" s="1">
        <v>31081</v>
      </c>
      <c r="H429" s="1">
        <v>1.9999999999999999E-7</v>
      </c>
      <c r="L429" s="1">
        <v>31081</v>
      </c>
      <c r="M429" s="1">
        <v>2.4779000000000002E-7</v>
      </c>
      <c r="P429" s="1">
        <v>31081</v>
      </c>
      <c r="Q429" s="1">
        <v>1.12839E-6</v>
      </c>
    </row>
    <row r="430" spans="2:17" x14ac:dyDescent="0.2">
      <c r="B430" s="1">
        <v>31082</v>
      </c>
      <c r="C430" s="1">
        <v>2.9999999999999999E-7</v>
      </c>
      <c r="G430" s="1">
        <v>31082</v>
      </c>
      <c r="H430" s="1">
        <v>0</v>
      </c>
      <c r="L430" s="1">
        <v>31082</v>
      </c>
      <c r="M430" s="1">
        <v>7.7129000000000002E-8</v>
      </c>
      <c r="P430" s="1">
        <v>31082</v>
      </c>
      <c r="Q430" s="1">
        <v>4.8154999999999997E-7</v>
      </c>
    </row>
    <row r="431" spans="2:17" x14ac:dyDescent="0.2">
      <c r="B431" s="1">
        <v>31083</v>
      </c>
      <c r="C431" s="1">
        <v>0</v>
      </c>
      <c r="G431" s="1">
        <v>31083</v>
      </c>
      <c r="H431" s="1">
        <v>0</v>
      </c>
      <c r="L431" s="1">
        <v>31083</v>
      </c>
      <c r="M431" s="1">
        <v>3.9227599999999997E-8</v>
      </c>
      <c r="P431" s="1">
        <v>31083</v>
      </c>
      <c r="Q431" s="1">
        <v>3.66101E-7</v>
      </c>
    </row>
    <row r="432" spans="2:17" x14ac:dyDescent="0.2">
      <c r="B432" s="1">
        <v>32061</v>
      </c>
      <c r="C432" s="1">
        <v>1.9999999999999999E-7</v>
      </c>
      <c r="G432" s="1">
        <v>32061</v>
      </c>
      <c r="H432" s="1">
        <v>0</v>
      </c>
      <c r="L432" s="1">
        <v>32061</v>
      </c>
      <c r="M432" s="1">
        <v>1.23546E-8</v>
      </c>
      <c r="P432" s="1">
        <v>32061</v>
      </c>
      <c r="Q432" s="1">
        <v>1.5363000000000001E-7</v>
      </c>
    </row>
    <row r="433" spans="2:17" x14ac:dyDescent="0.2">
      <c r="B433" s="1">
        <v>32062</v>
      </c>
      <c r="C433" s="1">
        <v>0</v>
      </c>
      <c r="G433" s="1">
        <v>32062</v>
      </c>
      <c r="H433" s="1">
        <v>0</v>
      </c>
      <c r="L433" s="1">
        <v>32062</v>
      </c>
      <c r="M433" s="1">
        <v>4.6068000000000003E-9</v>
      </c>
      <c r="P433" s="1">
        <v>32062</v>
      </c>
      <c r="Q433" s="1">
        <v>9.2066199999999996E-8</v>
      </c>
    </row>
    <row r="434" spans="2:17" x14ac:dyDescent="0.2">
      <c r="B434" s="1">
        <v>32063</v>
      </c>
      <c r="C434" s="1">
        <v>0</v>
      </c>
      <c r="G434" s="1">
        <v>32063</v>
      </c>
      <c r="H434" s="1">
        <v>0</v>
      </c>
      <c r="L434" s="1">
        <v>32063</v>
      </c>
      <c r="M434" s="1">
        <v>6.9799999999999997E-10</v>
      </c>
      <c r="P434" s="1">
        <v>32063</v>
      </c>
      <c r="Q434" s="1">
        <v>2.0242E-8</v>
      </c>
    </row>
    <row r="435" spans="2:17" x14ac:dyDescent="0.2">
      <c r="B435" s="1">
        <v>32064</v>
      </c>
      <c r="C435" s="1">
        <v>0</v>
      </c>
      <c r="G435" s="1">
        <v>32064</v>
      </c>
      <c r="H435" s="1">
        <v>0</v>
      </c>
      <c r="L435" s="1">
        <v>32064</v>
      </c>
      <c r="M435" s="1">
        <v>2.094E-10</v>
      </c>
      <c r="P435" s="1">
        <v>32064</v>
      </c>
      <c r="Q435" s="1">
        <v>7.3987999999999997E-9</v>
      </c>
    </row>
    <row r="436" spans="2:17" x14ac:dyDescent="0.2">
      <c r="B436" s="1">
        <v>32065</v>
      </c>
      <c r="C436" s="1">
        <v>0</v>
      </c>
      <c r="G436" s="1">
        <v>32065</v>
      </c>
      <c r="H436" s="1">
        <v>0</v>
      </c>
      <c r="L436" s="1">
        <v>32065</v>
      </c>
      <c r="M436" s="1">
        <v>0</v>
      </c>
      <c r="P436" s="1">
        <v>32065</v>
      </c>
      <c r="Q436" s="1">
        <v>1.1167999999999999E-9</v>
      </c>
    </row>
    <row r="437" spans="2:17" x14ac:dyDescent="0.2">
      <c r="B437" s="1">
        <v>32066</v>
      </c>
      <c r="C437" s="1">
        <v>0</v>
      </c>
      <c r="G437" s="1">
        <v>32066</v>
      </c>
      <c r="H437" s="1">
        <v>0</v>
      </c>
      <c r="L437" s="1">
        <v>32066</v>
      </c>
      <c r="M437" s="1">
        <v>0</v>
      </c>
      <c r="P437" s="1">
        <v>32066</v>
      </c>
      <c r="Q437" s="1">
        <v>6.9799999999999994E-11</v>
      </c>
    </row>
    <row r="438" spans="2:17" hidden="1" x14ac:dyDescent="0.2">
      <c r="B438" s="1">
        <v>32067</v>
      </c>
      <c r="C438" s="1">
        <v>0</v>
      </c>
      <c r="G438" s="1">
        <v>32067</v>
      </c>
      <c r="H438" s="1">
        <v>0</v>
      </c>
      <c r="L438" s="1">
        <v>32067</v>
      </c>
      <c r="M438" s="1">
        <v>0</v>
      </c>
      <c r="P438" s="1">
        <v>32067</v>
      </c>
      <c r="Q438" s="1">
        <v>0</v>
      </c>
    </row>
    <row r="439" spans="2:17" hidden="1" x14ac:dyDescent="0.2">
      <c r="B439" s="1">
        <v>32068</v>
      </c>
      <c r="C439" s="1">
        <v>0</v>
      </c>
      <c r="G439" s="1">
        <v>32068</v>
      </c>
      <c r="H439" s="1">
        <v>0</v>
      </c>
      <c r="L439" s="1">
        <v>32068</v>
      </c>
      <c r="M439" s="1">
        <v>0</v>
      </c>
      <c r="P439" s="1">
        <v>32068</v>
      </c>
      <c r="Q439" s="1">
        <v>0</v>
      </c>
    </row>
    <row r="440" spans="2:17" hidden="1" x14ac:dyDescent="0.2">
      <c r="B440" s="1">
        <v>32069</v>
      </c>
      <c r="C440" s="1">
        <v>0</v>
      </c>
      <c r="G440" s="1">
        <v>32069</v>
      </c>
      <c r="H440" s="1">
        <v>0</v>
      </c>
      <c r="L440" s="1">
        <v>32069</v>
      </c>
      <c r="M440" s="1">
        <v>0</v>
      </c>
      <c r="P440" s="1">
        <v>32069</v>
      </c>
      <c r="Q440" s="1">
        <v>0</v>
      </c>
    </row>
    <row r="441" spans="2:17" hidden="1" x14ac:dyDescent="0.2">
      <c r="B441" s="1">
        <v>32070</v>
      </c>
      <c r="C441" s="1">
        <v>0</v>
      </c>
      <c r="G441" s="1">
        <v>32070</v>
      </c>
      <c r="H441" s="1">
        <v>0</v>
      </c>
      <c r="L441" s="1">
        <v>32070</v>
      </c>
      <c r="M441" s="1">
        <v>0</v>
      </c>
      <c r="P441" s="1">
        <v>32070</v>
      </c>
      <c r="Q441" s="1">
        <v>0</v>
      </c>
    </row>
    <row r="442" spans="2:17" hidden="1" x14ac:dyDescent="0.2">
      <c r="B442" s="1">
        <v>32071</v>
      </c>
      <c r="C442" s="1">
        <v>0</v>
      </c>
      <c r="G442" s="1">
        <v>32071</v>
      </c>
      <c r="H442" s="1">
        <v>0</v>
      </c>
      <c r="L442" s="1">
        <v>32071</v>
      </c>
      <c r="M442" s="1">
        <v>0</v>
      </c>
      <c r="P442" s="1">
        <v>32071</v>
      </c>
      <c r="Q442" s="1">
        <v>0</v>
      </c>
    </row>
    <row r="443" spans="2:17" hidden="1" x14ac:dyDescent="0.2">
      <c r="B443" s="1">
        <v>32072</v>
      </c>
      <c r="C443" s="1">
        <v>0</v>
      </c>
      <c r="G443" s="1">
        <v>32072</v>
      </c>
      <c r="H443" s="1">
        <v>0</v>
      </c>
      <c r="L443" s="1">
        <v>32072</v>
      </c>
      <c r="M443" s="1">
        <v>6.2819999999999996E-10</v>
      </c>
      <c r="P443" s="1">
        <v>32072</v>
      </c>
      <c r="Q443" s="1">
        <v>0</v>
      </c>
    </row>
    <row r="444" spans="2:17" hidden="1" x14ac:dyDescent="0.2">
      <c r="B444" s="1">
        <v>32073</v>
      </c>
      <c r="C444" s="1">
        <v>0</v>
      </c>
      <c r="G444" s="1">
        <v>32073</v>
      </c>
      <c r="H444" s="1">
        <v>0</v>
      </c>
      <c r="L444" s="1">
        <v>32073</v>
      </c>
      <c r="M444" s="1">
        <v>1.6752E-9</v>
      </c>
      <c r="P444" s="1">
        <v>32073</v>
      </c>
      <c r="Q444" s="1">
        <v>0</v>
      </c>
    </row>
    <row r="445" spans="2:17" x14ac:dyDescent="0.2">
      <c r="B445" s="1">
        <v>32074</v>
      </c>
      <c r="C445" s="1">
        <v>0</v>
      </c>
      <c r="G445" s="1">
        <v>32074</v>
      </c>
      <c r="H445" s="1">
        <v>0</v>
      </c>
      <c r="L445" s="1">
        <v>32074</v>
      </c>
      <c r="M445" s="1">
        <v>9.1437999999999998E-9</v>
      </c>
      <c r="P445" s="1">
        <v>32074</v>
      </c>
      <c r="Q445" s="1">
        <v>4.8860000000000005E-10</v>
      </c>
    </row>
    <row r="446" spans="2:17" x14ac:dyDescent="0.2">
      <c r="B446" s="1">
        <v>32075</v>
      </c>
      <c r="C446" s="1">
        <v>0</v>
      </c>
      <c r="G446" s="1">
        <v>32075</v>
      </c>
      <c r="H446" s="1">
        <v>1.9999999999999999E-7</v>
      </c>
      <c r="L446" s="1">
        <v>32075</v>
      </c>
      <c r="M446" s="1">
        <v>2.8897200000000001E-8</v>
      </c>
      <c r="P446" s="1">
        <v>32075</v>
      </c>
      <c r="Q446" s="1">
        <v>1.3959999999999999E-9</v>
      </c>
    </row>
    <row r="447" spans="2:17" x14ac:dyDescent="0.2">
      <c r="B447" s="1">
        <v>32076</v>
      </c>
      <c r="C447" s="1">
        <v>0</v>
      </c>
      <c r="G447" s="1">
        <v>32076</v>
      </c>
      <c r="H447" s="1">
        <v>9.9999999999999995E-8</v>
      </c>
      <c r="L447" s="1">
        <v>32076</v>
      </c>
      <c r="M447" s="1">
        <v>8.4318399999999996E-8</v>
      </c>
      <c r="P447" s="1">
        <v>32076</v>
      </c>
      <c r="Q447" s="1">
        <v>1.2703600000000001E-8</v>
      </c>
    </row>
    <row r="448" spans="2:17" x14ac:dyDescent="0.2">
      <c r="B448" s="1">
        <v>32077</v>
      </c>
      <c r="C448" s="1">
        <v>0</v>
      </c>
      <c r="G448" s="1">
        <v>32077</v>
      </c>
      <c r="H448" s="1">
        <v>9.9999999999999995E-8</v>
      </c>
      <c r="L448" s="1">
        <v>32077</v>
      </c>
      <c r="M448" s="1">
        <v>2.26012E-7</v>
      </c>
      <c r="P448" s="1">
        <v>32077</v>
      </c>
      <c r="Q448" s="1">
        <v>3.4411399999999998E-8</v>
      </c>
    </row>
    <row r="449" spans="2:17" x14ac:dyDescent="0.2">
      <c r="B449" s="1">
        <v>32078</v>
      </c>
      <c r="C449" s="1">
        <v>0</v>
      </c>
      <c r="G449" s="1">
        <v>32078</v>
      </c>
      <c r="H449" s="1">
        <v>1.9999999999999999E-7</v>
      </c>
      <c r="L449" s="1">
        <v>32078</v>
      </c>
      <c r="M449" s="1">
        <v>5.51909E-7</v>
      </c>
      <c r="P449" s="1">
        <v>32078</v>
      </c>
      <c r="Q449" s="1">
        <v>2.0032599999999999E-7</v>
      </c>
    </row>
    <row r="450" spans="2:17" x14ac:dyDescent="0.2">
      <c r="B450" s="1">
        <v>32079</v>
      </c>
      <c r="C450" s="1">
        <v>0</v>
      </c>
      <c r="G450" s="1">
        <v>32079</v>
      </c>
      <c r="H450" s="1">
        <v>9.9999999999999995E-7</v>
      </c>
      <c r="L450" s="1">
        <v>32079</v>
      </c>
      <c r="M450" s="1">
        <v>9.4229999999999996E-7</v>
      </c>
      <c r="P450" s="1">
        <v>32079</v>
      </c>
      <c r="Q450" s="1">
        <v>3.5472399999999999E-7</v>
      </c>
    </row>
    <row r="451" spans="2:17" x14ac:dyDescent="0.2">
      <c r="B451" s="1">
        <v>32080</v>
      </c>
      <c r="C451" s="1">
        <v>3.9999999999999998E-7</v>
      </c>
      <c r="G451" s="1">
        <v>32080</v>
      </c>
      <c r="H451" s="1">
        <v>1.9999999999999999E-6</v>
      </c>
      <c r="L451" s="1">
        <v>32080</v>
      </c>
      <c r="M451" s="1">
        <v>1.8628899999999999E-6</v>
      </c>
      <c r="P451" s="1">
        <v>32080</v>
      </c>
      <c r="Q451" s="1">
        <v>1.21026E-6</v>
      </c>
    </row>
    <row r="452" spans="2:17" x14ac:dyDescent="0.2">
      <c r="B452" s="1">
        <v>32081</v>
      </c>
      <c r="C452" s="1">
        <v>1.3E-6</v>
      </c>
      <c r="G452" s="1">
        <v>32081</v>
      </c>
      <c r="H452" s="1">
        <v>1.9999999999999999E-6</v>
      </c>
      <c r="L452" s="1">
        <v>32081</v>
      </c>
      <c r="M452" s="1">
        <v>1.81906E-6</v>
      </c>
      <c r="P452" s="1">
        <v>32081</v>
      </c>
      <c r="Q452" s="1">
        <v>1.30372E-6</v>
      </c>
    </row>
    <row r="453" spans="2:17" x14ac:dyDescent="0.2">
      <c r="B453" s="1">
        <v>32082</v>
      </c>
      <c r="C453" s="1">
        <v>1.9999999999999999E-6</v>
      </c>
      <c r="G453" s="1">
        <v>32082</v>
      </c>
      <c r="H453" s="1">
        <v>1.5999999999999999E-6</v>
      </c>
      <c r="L453" s="1">
        <v>32082</v>
      </c>
      <c r="M453" s="1">
        <v>2.1452300000000002E-6</v>
      </c>
      <c r="P453" s="1">
        <v>32082</v>
      </c>
      <c r="Q453" s="1">
        <v>2.9413699999999999E-6</v>
      </c>
    </row>
    <row r="454" spans="2:17" x14ac:dyDescent="0.2">
      <c r="B454" s="1">
        <v>32083</v>
      </c>
      <c r="C454" s="1">
        <v>7.9999999999999996E-7</v>
      </c>
      <c r="G454" s="1">
        <v>32083</v>
      </c>
      <c r="H454" s="1">
        <v>2.9999999999999999E-7</v>
      </c>
      <c r="L454" s="1">
        <v>32083</v>
      </c>
      <c r="M454" s="1">
        <v>9.9660400000000002E-7</v>
      </c>
      <c r="P454" s="1">
        <v>32083</v>
      </c>
      <c r="Q454" s="1">
        <v>1.4849299999999999E-6</v>
      </c>
    </row>
    <row r="455" spans="2:17" x14ac:dyDescent="0.2">
      <c r="B455" s="1">
        <v>32084</v>
      </c>
      <c r="C455" s="1">
        <v>1.1000000000000001E-6</v>
      </c>
      <c r="G455" s="1">
        <v>32084</v>
      </c>
      <c r="H455" s="1">
        <v>3.9999999999999998E-7</v>
      </c>
      <c r="L455" s="1">
        <v>32084</v>
      </c>
      <c r="M455" s="1">
        <v>5.6838100000000004E-7</v>
      </c>
      <c r="P455" s="1">
        <v>32084</v>
      </c>
      <c r="Q455" s="1">
        <v>1.9867899999999999E-6</v>
      </c>
    </row>
    <row r="456" spans="2:17" x14ac:dyDescent="0.2">
      <c r="B456" s="1">
        <v>33066</v>
      </c>
      <c r="C456" s="1">
        <v>1.9999999999999999E-7</v>
      </c>
      <c r="G456" s="1">
        <v>33066</v>
      </c>
      <c r="H456" s="1">
        <v>1.9999999999999999E-7</v>
      </c>
      <c r="L456" s="1">
        <v>33066</v>
      </c>
      <c r="M456" s="1">
        <v>1.54886E-7</v>
      </c>
      <c r="P456" s="1">
        <v>33066</v>
      </c>
      <c r="Q456" s="1">
        <v>7.8364499999999997E-7</v>
      </c>
    </row>
    <row r="457" spans="2:17" x14ac:dyDescent="0.2">
      <c r="B457" s="1">
        <v>33067</v>
      </c>
      <c r="C457" s="1">
        <v>1.9999999999999999E-7</v>
      </c>
      <c r="G457" s="1">
        <v>33067</v>
      </c>
      <c r="H457" s="1">
        <v>0</v>
      </c>
      <c r="L457" s="1">
        <v>33067</v>
      </c>
      <c r="M457" s="1">
        <v>6.7356999999999999E-8</v>
      </c>
      <c r="P457" s="1">
        <v>33067</v>
      </c>
      <c r="Q457" s="1">
        <v>7.7205799999999999E-7</v>
      </c>
    </row>
    <row r="458" spans="2:17" x14ac:dyDescent="0.2">
      <c r="B458" s="1">
        <v>33068</v>
      </c>
      <c r="C458" s="1">
        <v>9.9999999999999995E-8</v>
      </c>
      <c r="G458" s="1">
        <v>33068</v>
      </c>
      <c r="H458" s="1">
        <v>0</v>
      </c>
      <c r="L458" s="1">
        <v>33068</v>
      </c>
      <c r="M458" s="1">
        <v>1.13774E-8</v>
      </c>
      <c r="P458" s="1">
        <v>33068</v>
      </c>
      <c r="Q458" s="1">
        <v>1.76105E-7</v>
      </c>
    </row>
    <row r="459" spans="2:17" x14ac:dyDescent="0.2">
      <c r="B459" s="1">
        <v>33069</v>
      </c>
      <c r="C459" s="1">
        <v>9.9999999999999995E-8</v>
      </c>
      <c r="G459" s="1">
        <v>33069</v>
      </c>
      <c r="H459" s="1">
        <v>0</v>
      </c>
      <c r="L459" s="1">
        <v>33069</v>
      </c>
      <c r="M459" s="1">
        <v>5.3048000000000001E-9</v>
      </c>
      <c r="P459" s="1">
        <v>33069</v>
      </c>
      <c r="Q459" s="1">
        <v>1.1866000000000001E-7</v>
      </c>
    </row>
    <row r="460" spans="2:17" x14ac:dyDescent="0.2">
      <c r="B460" s="1">
        <v>33070</v>
      </c>
      <c r="C460" s="1">
        <v>0</v>
      </c>
      <c r="G460" s="1">
        <v>33070</v>
      </c>
      <c r="H460" s="1">
        <v>0</v>
      </c>
      <c r="L460" s="1">
        <v>33070</v>
      </c>
      <c r="M460" s="1">
        <v>3.4899999999999998E-10</v>
      </c>
      <c r="P460" s="1">
        <v>33070</v>
      </c>
      <c r="Q460" s="1">
        <v>1.45184E-8</v>
      </c>
    </row>
    <row r="461" spans="2:17" x14ac:dyDescent="0.2">
      <c r="B461" s="1">
        <v>33071</v>
      </c>
      <c r="C461" s="1">
        <v>0</v>
      </c>
      <c r="G461" s="1">
        <v>33071</v>
      </c>
      <c r="H461" s="1">
        <v>0</v>
      </c>
      <c r="L461" s="1">
        <v>33071</v>
      </c>
      <c r="M461" s="1">
        <v>2.094E-10</v>
      </c>
      <c r="P461" s="1">
        <v>33071</v>
      </c>
      <c r="Q461" s="1">
        <v>6.7705999999999998E-9</v>
      </c>
    </row>
    <row r="462" spans="2:17" x14ac:dyDescent="0.2">
      <c r="B462" s="1">
        <v>33072</v>
      </c>
      <c r="C462" s="1">
        <v>0</v>
      </c>
      <c r="G462" s="1">
        <v>33072</v>
      </c>
      <c r="H462" s="1">
        <v>0</v>
      </c>
      <c r="L462" s="1">
        <v>33072</v>
      </c>
      <c r="M462" s="1">
        <v>6.9799999999999994E-11</v>
      </c>
      <c r="P462" s="1">
        <v>33072</v>
      </c>
      <c r="Q462" s="1">
        <v>3.4899999999999998E-10</v>
      </c>
    </row>
    <row r="463" spans="2:17" x14ac:dyDescent="0.2">
      <c r="B463" s="1">
        <v>33073</v>
      </c>
      <c r="C463" s="1">
        <v>0</v>
      </c>
      <c r="G463" s="1">
        <v>33073</v>
      </c>
      <c r="H463" s="1">
        <v>0</v>
      </c>
      <c r="L463" s="1">
        <v>33073</v>
      </c>
      <c r="M463" s="1">
        <v>6.9799999999999994E-11</v>
      </c>
      <c r="P463" s="1">
        <v>33073</v>
      </c>
      <c r="Q463" s="1">
        <v>6.9799999999999994E-11</v>
      </c>
    </row>
    <row r="464" spans="2:17" hidden="1" x14ac:dyDescent="0.2">
      <c r="B464" s="1">
        <v>33074</v>
      </c>
      <c r="C464" s="1">
        <v>0</v>
      </c>
      <c r="G464" s="1">
        <v>33074</v>
      </c>
      <c r="H464" s="1">
        <v>0</v>
      </c>
      <c r="L464" s="1">
        <v>33074</v>
      </c>
      <c r="M464" s="1">
        <v>2.7919999999999998E-10</v>
      </c>
      <c r="P464" s="1">
        <v>33074</v>
      </c>
      <c r="Q464" s="1">
        <v>0</v>
      </c>
    </row>
    <row r="465" spans="2:17" hidden="1" x14ac:dyDescent="0.2">
      <c r="B465" s="1">
        <v>33075</v>
      </c>
      <c r="C465" s="1">
        <v>0</v>
      </c>
      <c r="G465" s="1">
        <v>33075</v>
      </c>
      <c r="H465" s="1">
        <v>0</v>
      </c>
      <c r="L465" s="1">
        <v>33075</v>
      </c>
      <c r="M465" s="1">
        <v>1.7450000000000001E-9</v>
      </c>
      <c r="P465" s="1">
        <v>33075</v>
      </c>
      <c r="Q465" s="1">
        <v>0</v>
      </c>
    </row>
    <row r="466" spans="2:17" x14ac:dyDescent="0.2">
      <c r="B466" s="1">
        <v>33076</v>
      </c>
      <c r="C466" s="1">
        <v>0</v>
      </c>
      <c r="G466" s="1">
        <v>33076</v>
      </c>
      <c r="H466" s="1">
        <v>0</v>
      </c>
      <c r="L466" s="1">
        <v>33076</v>
      </c>
      <c r="M466" s="1">
        <v>6.4216000000000002E-9</v>
      </c>
      <c r="P466" s="1">
        <v>33076</v>
      </c>
      <c r="Q466" s="1">
        <v>1.3959999999999999E-10</v>
      </c>
    </row>
    <row r="467" spans="2:17" x14ac:dyDescent="0.2">
      <c r="B467" s="1">
        <v>33077</v>
      </c>
      <c r="C467" s="1">
        <v>0</v>
      </c>
      <c r="G467" s="1">
        <v>33077</v>
      </c>
      <c r="H467" s="1">
        <v>9.9999999999999995E-8</v>
      </c>
      <c r="L467" s="1">
        <v>33077</v>
      </c>
      <c r="M467" s="1">
        <v>2.8687800000000001E-8</v>
      </c>
      <c r="P467" s="1">
        <v>33077</v>
      </c>
      <c r="Q467" s="1">
        <v>1.8845999999999999E-9</v>
      </c>
    </row>
    <row r="468" spans="2:17" x14ac:dyDescent="0.2">
      <c r="B468" s="1">
        <v>33078</v>
      </c>
      <c r="C468" s="1">
        <v>0</v>
      </c>
      <c r="G468" s="1">
        <v>33078</v>
      </c>
      <c r="H468" s="1">
        <v>0</v>
      </c>
      <c r="L468" s="1">
        <v>33078</v>
      </c>
      <c r="M468" s="1">
        <v>8.6621799999999995E-8</v>
      </c>
      <c r="P468" s="1">
        <v>33078</v>
      </c>
      <c r="Q468" s="1">
        <v>1.10284E-8</v>
      </c>
    </row>
    <row r="469" spans="2:17" x14ac:dyDescent="0.2">
      <c r="B469" s="1">
        <v>33079</v>
      </c>
      <c r="C469" s="1">
        <v>1.9999999999999999E-7</v>
      </c>
      <c r="G469" s="1">
        <v>33079</v>
      </c>
      <c r="H469" s="1">
        <v>9.9999999999999995E-8</v>
      </c>
      <c r="L469" s="1">
        <v>33079</v>
      </c>
      <c r="M469" s="1">
        <v>2.7152199999999999E-7</v>
      </c>
      <c r="P469" s="1">
        <v>33079</v>
      </c>
      <c r="Q469" s="1">
        <v>6.9241599999999997E-8</v>
      </c>
    </row>
    <row r="470" spans="2:17" x14ac:dyDescent="0.2">
      <c r="B470" s="1">
        <v>33080</v>
      </c>
      <c r="C470" s="1">
        <v>2.9999999999999999E-7</v>
      </c>
      <c r="G470" s="1">
        <v>33080</v>
      </c>
      <c r="H470" s="1">
        <v>2.9999999999999999E-7</v>
      </c>
      <c r="L470" s="1">
        <v>33080</v>
      </c>
      <c r="M470" s="1">
        <v>6.6337900000000003E-7</v>
      </c>
      <c r="P470" s="1">
        <v>33080</v>
      </c>
      <c r="Q470" s="1">
        <v>1.8915800000000001E-7</v>
      </c>
    </row>
    <row r="471" spans="2:17" x14ac:dyDescent="0.2">
      <c r="B471" s="1">
        <v>33081</v>
      </c>
      <c r="C471" s="1">
        <v>1.9999999999999999E-7</v>
      </c>
      <c r="G471" s="1">
        <v>33081</v>
      </c>
      <c r="H471" s="1">
        <v>1.9E-6</v>
      </c>
      <c r="L471" s="1">
        <v>33081</v>
      </c>
      <c r="M471" s="1">
        <v>1.77508E-6</v>
      </c>
      <c r="P471" s="1">
        <v>33081</v>
      </c>
      <c r="Q471" s="1">
        <v>8.6258799999999999E-7</v>
      </c>
    </row>
    <row r="472" spans="2:17" x14ac:dyDescent="0.2">
      <c r="B472" s="1">
        <v>33082</v>
      </c>
      <c r="C472" s="1">
        <v>9.9999999999999995E-7</v>
      </c>
      <c r="G472" s="1">
        <v>33082</v>
      </c>
      <c r="H472" s="1">
        <v>1.7999999999999999E-6</v>
      </c>
      <c r="L472" s="1">
        <v>33082</v>
      </c>
      <c r="M472" s="1">
        <v>2.7661699999999999E-6</v>
      </c>
      <c r="P472" s="1">
        <v>33082</v>
      </c>
      <c r="Q472" s="1">
        <v>1.51864E-6</v>
      </c>
    </row>
    <row r="473" spans="2:17" x14ac:dyDescent="0.2">
      <c r="B473" s="1">
        <v>33083</v>
      </c>
      <c r="C473" s="1">
        <v>3.1E-6</v>
      </c>
      <c r="G473" s="1">
        <v>33083</v>
      </c>
      <c r="H473" s="1">
        <v>5.5999999999999997E-6</v>
      </c>
      <c r="L473" s="1">
        <v>33083</v>
      </c>
      <c r="M473" s="1">
        <v>5.1904000000000003E-6</v>
      </c>
      <c r="P473" s="1">
        <v>33083</v>
      </c>
      <c r="Q473" s="1">
        <v>4.4794800000000004E-6</v>
      </c>
    </row>
    <row r="474" spans="2:17" x14ac:dyDescent="0.2">
      <c r="B474" s="1">
        <v>33084</v>
      </c>
      <c r="C474" s="1">
        <v>1.3999999999999999E-6</v>
      </c>
      <c r="G474" s="1">
        <v>33084</v>
      </c>
      <c r="H474" s="1">
        <v>4.4000000000000002E-6</v>
      </c>
      <c r="L474" s="1">
        <v>33084</v>
      </c>
      <c r="M474" s="1">
        <v>3.6175199999999998E-6</v>
      </c>
      <c r="P474" s="1">
        <v>33084</v>
      </c>
      <c r="Q474" s="1">
        <v>3.6082399999999999E-6</v>
      </c>
    </row>
    <row r="475" spans="2:17" x14ac:dyDescent="0.2">
      <c r="B475" s="1">
        <v>33085</v>
      </c>
      <c r="C475" s="1">
        <v>2.3999999999999999E-6</v>
      </c>
      <c r="G475" s="1">
        <v>33085</v>
      </c>
      <c r="H475" s="1">
        <v>2.7E-6</v>
      </c>
      <c r="L475" s="1">
        <v>33085</v>
      </c>
      <c r="M475" s="1">
        <v>3.4113400000000001E-6</v>
      </c>
      <c r="P475" s="1">
        <v>33085</v>
      </c>
      <c r="Q475" s="1">
        <v>5.3098999999999998E-6</v>
      </c>
    </row>
    <row r="476" spans="2:17" x14ac:dyDescent="0.2">
      <c r="B476" s="1">
        <v>33086</v>
      </c>
      <c r="C476" s="1">
        <v>1.5E-6</v>
      </c>
      <c r="G476" s="1">
        <v>33086</v>
      </c>
      <c r="H476" s="1">
        <v>1.3999999999999999E-6</v>
      </c>
      <c r="L476" s="1">
        <v>33086</v>
      </c>
      <c r="M476" s="1">
        <v>1.3008600000000001E-6</v>
      </c>
      <c r="P476" s="1">
        <v>33086</v>
      </c>
      <c r="Q476" s="1">
        <v>2.7526999999999999E-6</v>
      </c>
    </row>
    <row r="477" spans="2:17" x14ac:dyDescent="0.2">
      <c r="B477" s="1">
        <v>33087</v>
      </c>
      <c r="C477" s="1">
        <v>1.9E-6</v>
      </c>
      <c r="G477" s="1">
        <v>33087</v>
      </c>
      <c r="H477" s="1">
        <v>1.9999999999999999E-7</v>
      </c>
      <c r="L477" s="1">
        <v>33087</v>
      </c>
      <c r="M477" s="1">
        <v>7.7450099999999998E-7</v>
      </c>
      <c r="P477" s="1">
        <v>33087</v>
      </c>
      <c r="Q477" s="1">
        <v>4.0763899999999998E-6</v>
      </c>
    </row>
    <row r="478" spans="2:17" x14ac:dyDescent="0.2">
      <c r="B478" s="1">
        <v>34068</v>
      </c>
      <c r="C478" s="1">
        <v>7.9999999999999996E-7</v>
      </c>
      <c r="G478" s="1">
        <v>34068</v>
      </c>
      <c r="H478" s="1">
        <v>2.9999999999999999E-7</v>
      </c>
      <c r="L478" s="1">
        <v>34068</v>
      </c>
      <c r="M478" s="1">
        <v>2.0828300000000001E-7</v>
      </c>
      <c r="P478" s="1">
        <v>34068</v>
      </c>
      <c r="Q478" s="1">
        <v>1.38176E-6</v>
      </c>
    </row>
    <row r="479" spans="2:17" x14ac:dyDescent="0.2">
      <c r="B479" s="1">
        <v>34069</v>
      </c>
      <c r="C479" s="1">
        <v>5.9999999999999997E-7</v>
      </c>
      <c r="G479" s="1">
        <v>34069</v>
      </c>
      <c r="H479" s="1">
        <v>0</v>
      </c>
      <c r="L479" s="1">
        <v>34069</v>
      </c>
      <c r="M479" s="1">
        <v>8.0130399999999999E-8</v>
      </c>
      <c r="P479" s="1">
        <v>34069</v>
      </c>
      <c r="Q479" s="1">
        <v>9.7182500000000001E-7</v>
      </c>
    </row>
    <row r="480" spans="2:17" x14ac:dyDescent="0.2">
      <c r="B480" s="1">
        <v>34070</v>
      </c>
      <c r="C480" s="1">
        <v>0</v>
      </c>
      <c r="G480" s="1">
        <v>34070</v>
      </c>
      <c r="H480" s="1">
        <v>0</v>
      </c>
      <c r="L480" s="1">
        <v>34070</v>
      </c>
      <c r="M480" s="1">
        <v>1.7798999999999999E-8</v>
      </c>
      <c r="P480" s="1">
        <v>34070</v>
      </c>
      <c r="Q480" s="1">
        <v>2.2852499999999999E-7</v>
      </c>
    </row>
    <row r="481" spans="2:17" x14ac:dyDescent="0.2">
      <c r="B481" s="1">
        <v>34071</v>
      </c>
      <c r="C481" s="1">
        <v>9.9999999999999995E-8</v>
      </c>
      <c r="G481" s="1">
        <v>34071</v>
      </c>
      <c r="H481" s="1">
        <v>0</v>
      </c>
      <c r="L481" s="1">
        <v>34071</v>
      </c>
      <c r="M481" s="1">
        <v>4.6068000000000003E-9</v>
      </c>
      <c r="P481" s="1">
        <v>34071</v>
      </c>
      <c r="Q481" s="1">
        <v>1.07143E-7</v>
      </c>
    </row>
    <row r="482" spans="2:17" x14ac:dyDescent="0.2">
      <c r="B482" s="1">
        <v>34072</v>
      </c>
      <c r="C482" s="1">
        <v>0</v>
      </c>
      <c r="G482" s="1">
        <v>34072</v>
      </c>
      <c r="H482" s="1">
        <v>0</v>
      </c>
      <c r="L482" s="1">
        <v>34072</v>
      </c>
      <c r="M482" s="1">
        <v>4.1879999999999999E-10</v>
      </c>
      <c r="P482" s="1">
        <v>34072</v>
      </c>
      <c r="Q482" s="1">
        <v>1.6333199999999999E-8</v>
      </c>
    </row>
    <row r="483" spans="2:17" x14ac:dyDescent="0.2">
      <c r="B483" s="1">
        <v>34073</v>
      </c>
      <c r="C483" s="1">
        <v>0</v>
      </c>
      <c r="G483" s="1">
        <v>34073</v>
      </c>
      <c r="H483" s="1">
        <v>0</v>
      </c>
      <c r="L483" s="1">
        <v>34073</v>
      </c>
      <c r="M483" s="1">
        <v>6.9799999999999994E-11</v>
      </c>
      <c r="P483" s="1">
        <v>34073</v>
      </c>
      <c r="Q483" s="1">
        <v>4.8859999999999999E-9</v>
      </c>
    </row>
    <row r="484" spans="2:17" x14ac:dyDescent="0.2">
      <c r="B484" s="1">
        <v>34074</v>
      </c>
      <c r="C484" s="1">
        <v>0</v>
      </c>
      <c r="G484" s="1">
        <v>34074</v>
      </c>
      <c r="H484" s="1">
        <v>0</v>
      </c>
      <c r="L484" s="1">
        <v>34074</v>
      </c>
      <c r="M484" s="1">
        <v>6.9799999999999994E-11</v>
      </c>
      <c r="P484" s="1">
        <v>34074</v>
      </c>
      <c r="Q484" s="1">
        <v>6.2819999999999996E-10</v>
      </c>
    </row>
    <row r="485" spans="2:17" x14ac:dyDescent="0.2">
      <c r="B485" s="1">
        <v>34075</v>
      </c>
      <c r="C485" s="1">
        <v>0</v>
      </c>
      <c r="G485" s="1">
        <v>34075</v>
      </c>
      <c r="H485" s="1">
        <v>0</v>
      </c>
      <c r="L485" s="1">
        <v>34075</v>
      </c>
      <c r="M485" s="1">
        <v>6.9799999999999994E-11</v>
      </c>
      <c r="P485" s="1">
        <v>34075</v>
      </c>
      <c r="Q485" s="1">
        <v>6.9799999999999994E-11</v>
      </c>
    </row>
    <row r="486" spans="2:17" hidden="1" x14ac:dyDescent="0.2">
      <c r="B486" s="1">
        <v>34076</v>
      </c>
      <c r="C486" s="1">
        <v>0</v>
      </c>
      <c r="G486" s="1">
        <v>34076</v>
      </c>
      <c r="H486" s="1">
        <v>0</v>
      </c>
      <c r="L486" s="1">
        <v>34076</v>
      </c>
      <c r="M486" s="1">
        <v>4.1879999999999999E-10</v>
      </c>
      <c r="P486" s="1">
        <v>34076</v>
      </c>
      <c r="Q486" s="1">
        <v>0</v>
      </c>
    </row>
    <row r="487" spans="2:17" hidden="1" x14ac:dyDescent="0.2">
      <c r="B487" s="1">
        <v>34077</v>
      </c>
      <c r="C487" s="1">
        <v>0</v>
      </c>
      <c r="G487" s="1">
        <v>34077</v>
      </c>
      <c r="H487" s="1">
        <v>0</v>
      </c>
      <c r="L487" s="1">
        <v>34077</v>
      </c>
      <c r="M487" s="1">
        <v>4.2577999999999999E-9</v>
      </c>
      <c r="P487" s="1">
        <v>34077</v>
      </c>
      <c r="Q487" s="1">
        <v>0</v>
      </c>
    </row>
    <row r="488" spans="2:17" x14ac:dyDescent="0.2">
      <c r="B488" s="1">
        <v>34078</v>
      </c>
      <c r="C488" s="1">
        <v>0</v>
      </c>
      <c r="G488" s="1">
        <v>34078</v>
      </c>
      <c r="H488" s="1">
        <v>0</v>
      </c>
      <c r="L488" s="1">
        <v>34078</v>
      </c>
      <c r="M488" s="1">
        <v>2.0800399999999999E-8</v>
      </c>
      <c r="P488" s="1">
        <v>34078</v>
      </c>
      <c r="Q488" s="1">
        <v>2.094E-10</v>
      </c>
    </row>
    <row r="489" spans="2:17" x14ac:dyDescent="0.2">
      <c r="B489" s="1">
        <v>34079</v>
      </c>
      <c r="C489" s="1">
        <v>0</v>
      </c>
      <c r="G489" s="1">
        <v>34079</v>
      </c>
      <c r="H489" s="1">
        <v>0</v>
      </c>
      <c r="L489" s="1">
        <v>34079</v>
      </c>
      <c r="M489" s="1">
        <v>7.7687399999999995E-8</v>
      </c>
      <c r="P489" s="1">
        <v>34079</v>
      </c>
      <c r="Q489" s="1">
        <v>1.6752E-9</v>
      </c>
    </row>
    <row r="490" spans="2:17" x14ac:dyDescent="0.2">
      <c r="B490" s="1">
        <v>34080</v>
      </c>
      <c r="C490" s="1">
        <v>0</v>
      </c>
      <c r="G490" s="1">
        <v>34080</v>
      </c>
      <c r="H490" s="1">
        <v>0</v>
      </c>
      <c r="L490" s="1">
        <v>34080</v>
      </c>
      <c r="M490" s="1">
        <v>2.7731500000000002E-7</v>
      </c>
      <c r="P490" s="1">
        <v>34080</v>
      </c>
      <c r="Q490" s="1">
        <v>1.5844599999999999E-8</v>
      </c>
    </row>
    <row r="491" spans="2:17" x14ac:dyDescent="0.2">
      <c r="B491" s="1">
        <v>34081</v>
      </c>
      <c r="C491" s="1">
        <v>0</v>
      </c>
      <c r="G491" s="1">
        <v>34081</v>
      </c>
      <c r="H491" s="1">
        <v>3.9999999999999998E-7</v>
      </c>
      <c r="L491" s="1">
        <v>34081</v>
      </c>
      <c r="M491" s="1">
        <v>7.8566900000000005E-7</v>
      </c>
      <c r="P491" s="1">
        <v>34081</v>
      </c>
      <c r="Q491" s="1">
        <v>6.1423999999999995E-8</v>
      </c>
    </row>
    <row r="492" spans="2:17" x14ac:dyDescent="0.2">
      <c r="B492" s="1">
        <v>34082</v>
      </c>
      <c r="C492" s="1">
        <v>2.9999999999999999E-7</v>
      </c>
      <c r="G492" s="1">
        <v>34082</v>
      </c>
      <c r="H492" s="1">
        <v>1.5E-6</v>
      </c>
      <c r="L492" s="1">
        <v>34082</v>
      </c>
      <c r="M492" s="1">
        <v>2.0254600000000001E-6</v>
      </c>
      <c r="P492" s="1">
        <v>34082</v>
      </c>
      <c r="Q492" s="1">
        <v>4.3282999999999999E-7</v>
      </c>
    </row>
    <row r="493" spans="2:17" x14ac:dyDescent="0.2">
      <c r="B493" s="1">
        <v>34083</v>
      </c>
      <c r="C493" s="1">
        <v>8.9999999999999996E-7</v>
      </c>
      <c r="G493" s="1">
        <v>34083</v>
      </c>
      <c r="H493" s="1">
        <v>4.1999999999999996E-6</v>
      </c>
      <c r="L493" s="1">
        <v>34083</v>
      </c>
      <c r="M493" s="1">
        <v>4.19463E-6</v>
      </c>
      <c r="P493" s="1">
        <v>34083</v>
      </c>
      <c r="Q493" s="1">
        <v>9.2422199999999995E-7</v>
      </c>
    </row>
    <row r="494" spans="2:17" x14ac:dyDescent="0.2">
      <c r="B494" s="1">
        <v>34084</v>
      </c>
      <c r="C494" s="1">
        <v>1.9E-6</v>
      </c>
      <c r="G494" s="1">
        <v>34084</v>
      </c>
      <c r="H494" s="1">
        <v>8.8999999999999995E-6</v>
      </c>
      <c r="L494" s="1">
        <v>34084</v>
      </c>
      <c r="M494" s="1">
        <v>8.9602299999999998E-6</v>
      </c>
      <c r="P494" s="1">
        <v>34084</v>
      </c>
      <c r="Q494" s="1">
        <v>4.1990300000000004E-6</v>
      </c>
    </row>
    <row r="495" spans="2:17" x14ac:dyDescent="0.2">
      <c r="B495" s="1">
        <v>34085</v>
      </c>
      <c r="C495" s="1">
        <v>2.5000000000000002E-6</v>
      </c>
      <c r="G495" s="1">
        <v>34085</v>
      </c>
      <c r="H495" s="1">
        <v>1.3699999999999999E-5</v>
      </c>
      <c r="L495" s="1">
        <v>34085</v>
      </c>
      <c r="M495" s="1">
        <v>1.14712E-5</v>
      </c>
      <c r="P495" s="1">
        <v>34085</v>
      </c>
      <c r="Q495" s="1">
        <v>5.0480099999999996E-6</v>
      </c>
    </row>
    <row r="496" spans="2:17" x14ac:dyDescent="0.2">
      <c r="B496" s="1">
        <v>34086</v>
      </c>
      <c r="C496" s="1">
        <v>5.2000000000000002E-6</v>
      </c>
      <c r="G496" s="1">
        <v>34086</v>
      </c>
      <c r="H496" s="1">
        <v>1.7399999999999999E-5</v>
      </c>
      <c r="L496" s="1">
        <v>34086</v>
      </c>
      <c r="M496" s="1">
        <v>1.50468E-5</v>
      </c>
      <c r="P496" s="1">
        <v>34086</v>
      </c>
      <c r="Q496" s="1">
        <v>9.4065299999999992E-6</v>
      </c>
    </row>
    <row r="497" spans="2:17" x14ac:dyDescent="0.2">
      <c r="B497" s="1">
        <v>34087</v>
      </c>
      <c r="C497" s="1">
        <v>5.2000000000000002E-6</v>
      </c>
      <c r="G497" s="1">
        <v>34087</v>
      </c>
      <c r="H497" s="1">
        <v>8.6999999999999997E-6</v>
      </c>
      <c r="L497" s="1">
        <v>34087</v>
      </c>
      <c r="M497" s="1">
        <v>9.6638099999999996E-6</v>
      </c>
      <c r="P497" s="1">
        <v>34087</v>
      </c>
      <c r="Q497" s="1">
        <v>7.6673899999999998E-6</v>
      </c>
    </row>
    <row r="498" spans="2:17" x14ac:dyDescent="0.2">
      <c r="B498" s="1">
        <v>34088</v>
      </c>
      <c r="C498" s="1">
        <v>5.5999999999999997E-6</v>
      </c>
      <c r="G498" s="1">
        <v>34088</v>
      </c>
      <c r="H498" s="1">
        <v>5.6999999999999996E-6</v>
      </c>
      <c r="L498" s="1">
        <v>34088</v>
      </c>
      <c r="M498" s="1">
        <v>6.94342E-6</v>
      </c>
      <c r="P498" s="1">
        <v>34088</v>
      </c>
      <c r="Q498" s="1">
        <v>8.9306299999999992E-6</v>
      </c>
    </row>
    <row r="499" spans="2:17" x14ac:dyDescent="0.2">
      <c r="B499" s="1">
        <v>34089</v>
      </c>
      <c r="C499" s="1">
        <v>3.8E-6</v>
      </c>
      <c r="G499" s="1">
        <v>34089</v>
      </c>
      <c r="H499" s="1">
        <v>2.2000000000000001E-6</v>
      </c>
      <c r="L499" s="1">
        <v>34089</v>
      </c>
      <c r="M499" s="1">
        <v>2.42506E-6</v>
      </c>
      <c r="P499" s="1">
        <v>34089</v>
      </c>
      <c r="Q499" s="1">
        <v>5.8637600000000003E-6</v>
      </c>
    </row>
    <row r="500" spans="2:17" x14ac:dyDescent="0.2">
      <c r="B500" s="1">
        <v>34090</v>
      </c>
      <c r="C500" s="1">
        <v>3.4000000000000001E-6</v>
      </c>
      <c r="G500" s="1">
        <v>34090</v>
      </c>
      <c r="H500" s="1">
        <v>8.9999999999999996E-7</v>
      </c>
      <c r="L500" s="1">
        <v>34090</v>
      </c>
      <c r="M500" s="1">
        <v>9.5751599999999996E-7</v>
      </c>
      <c r="P500" s="1">
        <v>34090</v>
      </c>
      <c r="Q500" s="1">
        <v>4.5967499999999997E-6</v>
      </c>
    </row>
    <row r="501" spans="2:17" x14ac:dyDescent="0.2">
      <c r="B501" s="1">
        <v>34091</v>
      </c>
      <c r="C501" s="1">
        <v>9.9999999999999995E-7</v>
      </c>
      <c r="G501" s="1">
        <v>34091</v>
      </c>
      <c r="H501" s="1">
        <v>1.9999999999999999E-7</v>
      </c>
      <c r="L501" s="1">
        <v>34091</v>
      </c>
      <c r="M501" s="1">
        <v>1.98581E-7</v>
      </c>
      <c r="P501" s="1">
        <v>34091</v>
      </c>
      <c r="Q501" s="1">
        <v>1.25054E-6</v>
      </c>
    </row>
    <row r="502" spans="2:17" x14ac:dyDescent="0.2">
      <c r="B502" s="1">
        <v>35070</v>
      </c>
      <c r="C502" s="1">
        <v>6.9999999999999997E-7</v>
      </c>
      <c r="G502" s="1">
        <v>35070</v>
      </c>
      <c r="H502" s="1">
        <v>9.9999999999999995E-8</v>
      </c>
      <c r="L502" s="1">
        <v>35070</v>
      </c>
      <c r="M502" s="1">
        <v>6.4355600000000002E-8</v>
      </c>
      <c r="P502" s="1">
        <v>35070</v>
      </c>
      <c r="Q502" s="1">
        <v>8.5107100000000004E-7</v>
      </c>
    </row>
    <row r="503" spans="2:17" x14ac:dyDescent="0.2">
      <c r="B503" s="1">
        <v>35071</v>
      </c>
      <c r="C503" s="1">
        <v>0</v>
      </c>
      <c r="G503" s="1">
        <v>35071</v>
      </c>
      <c r="H503" s="1">
        <v>0</v>
      </c>
      <c r="L503" s="1">
        <v>35071</v>
      </c>
      <c r="M503" s="1">
        <v>1.10982E-8</v>
      </c>
      <c r="P503" s="1">
        <v>35071</v>
      </c>
      <c r="Q503" s="1">
        <v>1.47557E-7</v>
      </c>
    </row>
    <row r="504" spans="2:17" x14ac:dyDescent="0.2">
      <c r="B504" s="1">
        <v>35072</v>
      </c>
      <c r="C504" s="1">
        <v>1.9999999999999999E-7</v>
      </c>
      <c r="G504" s="1">
        <v>35072</v>
      </c>
      <c r="H504" s="1">
        <v>0</v>
      </c>
      <c r="L504" s="1">
        <v>35072</v>
      </c>
      <c r="M504" s="1">
        <v>3.3503999999999999E-9</v>
      </c>
      <c r="P504" s="1">
        <v>35072</v>
      </c>
      <c r="Q504" s="1">
        <v>6.8613400000000002E-8</v>
      </c>
    </row>
    <row r="505" spans="2:17" x14ac:dyDescent="0.2">
      <c r="B505" s="1">
        <v>35073</v>
      </c>
      <c r="C505" s="1">
        <v>0</v>
      </c>
      <c r="G505" s="1">
        <v>35073</v>
      </c>
      <c r="H505" s="1">
        <v>0</v>
      </c>
      <c r="L505" s="1">
        <v>35073</v>
      </c>
      <c r="M505" s="1">
        <v>2.094E-10</v>
      </c>
      <c r="P505" s="1">
        <v>35073</v>
      </c>
      <c r="Q505" s="1">
        <v>6.9800000000000003E-9</v>
      </c>
    </row>
    <row r="506" spans="2:17" x14ac:dyDescent="0.2">
      <c r="B506" s="1">
        <v>35074</v>
      </c>
      <c r="C506" s="1">
        <v>0</v>
      </c>
      <c r="G506" s="1">
        <v>35074</v>
      </c>
      <c r="H506" s="1">
        <v>0</v>
      </c>
      <c r="L506" s="1">
        <v>35074</v>
      </c>
      <c r="M506" s="1">
        <v>0</v>
      </c>
      <c r="P506" s="1">
        <v>35074</v>
      </c>
      <c r="Q506" s="1">
        <v>2.5826000000000002E-9</v>
      </c>
    </row>
    <row r="507" spans="2:17" x14ac:dyDescent="0.2">
      <c r="B507" s="1">
        <v>35075</v>
      </c>
      <c r="C507" s="1">
        <v>0</v>
      </c>
      <c r="G507" s="1">
        <v>35075</v>
      </c>
      <c r="H507" s="1">
        <v>0</v>
      </c>
      <c r="L507" s="1">
        <v>35075</v>
      </c>
      <c r="M507" s="1">
        <v>0</v>
      </c>
      <c r="P507" s="1">
        <v>35075</v>
      </c>
      <c r="Q507" s="1">
        <v>2.094E-10</v>
      </c>
    </row>
    <row r="508" spans="2:17" x14ac:dyDescent="0.2">
      <c r="B508" s="1">
        <v>35076</v>
      </c>
      <c r="C508" s="1">
        <v>0</v>
      </c>
      <c r="G508" s="1">
        <v>35076</v>
      </c>
      <c r="H508" s="1">
        <v>0</v>
      </c>
      <c r="L508" s="1">
        <v>35076</v>
      </c>
      <c r="M508" s="1">
        <v>0</v>
      </c>
      <c r="P508" s="1">
        <v>35076</v>
      </c>
      <c r="Q508" s="1">
        <v>6.9799999999999994E-11</v>
      </c>
    </row>
    <row r="509" spans="2:17" hidden="1" x14ac:dyDescent="0.2">
      <c r="B509" s="1">
        <v>35077</v>
      </c>
      <c r="C509" s="1">
        <v>0</v>
      </c>
      <c r="G509" s="1">
        <v>35077</v>
      </c>
      <c r="H509" s="1">
        <v>0</v>
      </c>
      <c r="L509" s="1">
        <v>35077</v>
      </c>
      <c r="M509" s="1">
        <v>0</v>
      </c>
      <c r="P509" s="1">
        <v>35077</v>
      </c>
      <c r="Q509" s="1">
        <v>0</v>
      </c>
    </row>
    <row r="510" spans="2:17" hidden="1" x14ac:dyDescent="0.2">
      <c r="B510" s="1">
        <v>35078</v>
      </c>
      <c r="C510" s="1">
        <v>0</v>
      </c>
      <c r="G510" s="1">
        <v>35078</v>
      </c>
      <c r="H510" s="1">
        <v>0</v>
      </c>
      <c r="L510" s="1">
        <v>35078</v>
      </c>
      <c r="M510" s="1">
        <v>5.5839999999999995E-10</v>
      </c>
      <c r="P510" s="1">
        <v>35078</v>
      </c>
      <c r="Q510" s="1">
        <v>0</v>
      </c>
    </row>
    <row r="511" spans="2:17" hidden="1" x14ac:dyDescent="0.2">
      <c r="B511" s="1">
        <v>35079</v>
      </c>
      <c r="C511" s="1">
        <v>0</v>
      </c>
      <c r="G511" s="1">
        <v>35079</v>
      </c>
      <c r="H511" s="1">
        <v>0</v>
      </c>
      <c r="L511" s="1">
        <v>35079</v>
      </c>
      <c r="M511" s="1">
        <v>1.3262E-9</v>
      </c>
      <c r="P511" s="1">
        <v>35079</v>
      </c>
      <c r="Q511" s="1">
        <v>0</v>
      </c>
    </row>
    <row r="512" spans="2:17" x14ac:dyDescent="0.2">
      <c r="B512" s="1">
        <v>35080</v>
      </c>
      <c r="C512" s="1">
        <v>0</v>
      </c>
      <c r="G512" s="1">
        <v>35080</v>
      </c>
      <c r="H512" s="1">
        <v>0</v>
      </c>
      <c r="L512" s="1">
        <v>35080</v>
      </c>
      <c r="M512" s="1">
        <v>1.2215000000000001E-8</v>
      </c>
      <c r="P512" s="1">
        <v>35080</v>
      </c>
      <c r="Q512" s="1">
        <v>1.3959999999999999E-10</v>
      </c>
    </row>
    <row r="513" spans="2:17" x14ac:dyDescent="0.2">
      <c r="B513" s="1">
        <v>35081</v>
      </c>
      <c r="C513" s="1">
        <v>0</v>
      </c>
      <c r="G513" s="1">
        <v>35081</v>
      </c>
      <c r="H513" s="1">
        <v>0</v>
      </c>
      <c r="L513" s="1">
        <v>35081</v>
      </c>
      <c r="M513" s="1">
        <v>4.89996E-8</v>
      </c>
      <c r="P513" s="1">
        <v>35081</v>
      </c>
      <c r="Q513" s="1">
        <v>6.9799999999999997E-10</v>
      </c>
    </row>
    <row r="514" spans="2:17" x14ac:dyDescent="0.2">
      <c r="B514" s="1">
        <v>35082</v>
      </c>
      <c r="C514" s="1">
        <v>0</v>
      </c>
      <c r="G514" s="1">
        <v>35082</v>
      </c>
      <c r="H514" s="1">
        <v>0</v>
      </c>
      <c r="L514" s="1">
        <v>35082</v>
      </c>
      <c r="M514" s="1">
        <v>1.91182E-7</v>
      </c>
      <c r="P514" s="1">
        <v>35082</v>
      </c>
      <c r="Q514" s="1">
        <v>1.0051199999999999E-8</v>
      </c>
    </row>
    <row r="515" spans="2:17" x14ac:dyDescent="0.2">
      <c r="B515" s="1">
        <v>35083</v>
      </c>
      <c r="C515" s="1">
        <v>9.9999999999999995E-8</v>
      </c>
      <c r="G515" s="1">
        <v>35083</v>
      </c>
      <c r="H515" s="1">
        <v>0</v>
      </c>
      <c r="L515" s="1">
        <v>35083</v>
      </c>
      <c r="M515" s="1">
        <v>6.7468700000000004E-7</v>
      </c>
      <c r="P515" s="1">
        <v>35083</v>
      </c>
      <c r="Q515" s="1">
        <v>8.5574799999999999E-8</v>
      </c>
    </row>
    <row r="516" spans="2:17" x14ac:dyDescent="0.2">
      <c r="B516" s="1">
        <v>35084</v>
      </c>
      <c r="C516" s="1">
        <v>2.9999999999999999E-7</v>
      </c>
      <c r="G516" s="1">
        <v>35084</v>
      </c>
      <c r="H516" s="1">
        <v>2.0999999999999998E-6</v>
      </c>
      <c r="L516" s="1">
        <v>35084</v>
      </c>
      <c r="M516" s="1">
        <v>1.9777799999999998E-6</v>
      </c>
      <c r="P516" s="1">
        <v>35084</v>
      </c>
      <c r="Q516" s="1">
        <v>2.9211300000000002E-7</v>
      </c>
    </row>
    <row r="517" spans="2:17" x14ac:dyDescent="0.2">
      <c r="B517" s="1">
        <v>35085</v>
      </c>
      <c r="C517" s="1">
        <v>1.1999999999999999E-6</v>
      </c>
      <c r="G517" s="1">
        <v>35085</v>
      </c>
      <c r="H517" s="1">
        <v>6.4999999999999996E-6</v>
      </c>
      <c r="L517" s="1">
        <v>35085</v>
      </c>
      <c r="M517" s="1">
        <v>5.9023600000000002E-6</v>
      </c>
      <c r="P517" s="1">
        <v>35085</v>
      </c>
      <c r="Q517" s="1">
        <v>1.9753399999999998E-6</v>
      </c>
    </row>
    <row r="518" spans="2:17" x14ac:dyDescent="0.2">
      <c r="B518" s="1">
        <v>35086</v>
      </c>
      <c r="C518" s="1">
        <v>3.0000000000000001E-6</v>
      </c>
      <c r="G518" s="1">
        <v>35086</v>
      </c>
      <c r="H518" s="1">
        <v>1.22E-5</v>
      </c>
      <c r="L518" s="1">
        <v>35086</v>
      </c>
      <c r="M518" s="1">
        <v>1.11154E-5</v>
      </c>
      <c r="P518" s="1">
        <v>35086</v>
      </c>
      <c r="Q518" s="1">
        <v>3.5823500000000001E-6</v>
      </c>
    </row>
    <row r="519" spans="2:17" x14ac:dyDescent="0.2">
      <c r="B519" s="1">
        <v>35087</v>
      </c>
      <c r="C519" s="1">
        <v>5.9000000000000003E-6</v>
      </c>
      <c r="G519" s="1">
        <v>35087</v>
      </c>
      <c r="H519" s="1">
        <v>2.2500000000000001E-5</v>
      </c>
      <c r="L519" s="1">
        <v>35087</v>
      </c>
      <c r="M519" s="1">
        <v>2.1094499999999999E-5</v>
      </c>
      <c r="P519" s="1">
        <v>35087</v>
      </c>
      <c r="Q519" s="1">
        <v>8.5490999999999992E-6</v>
      </c>
    </row>
    <row r="520" spans="2:17" x14ac:dyDescent="0.2">
      <c r="B520" s="1">
        <v>35088</v>
      </c>
      <c r="C520" s="1">
        <v>7.9999999999999996E-6</v>
      </c>
      <c r="G520" s="1">
        <v>35088</v>
      </c>
      <c r="H520" s="1">
        <v>2.0400000000000001E-5</v>
      </c>
      <c r="L520" s="1">
        <v>35088</v>
      </c>
      <c r="M520" s="1">
        <v>2.08134E-5</v>
      </c>
      <c r="P520" s="1">
        <v>35088</v>
      </c>
      <c r="Q520" s="1">
        <v>1.15686E-5</v>
      </c>
    </row>
    <row r="521" spans="2:17" x14ac:dyDescent="0.2">
      <c r="B521" s="1">
        <v>35089</v>
      </c>
      <c r="C521" s="1">
        <v>1.2099999999999999E-5</v>
      </c>
      <c r="G521" s="1">
        <v>35089</v>
      </c>
      <c r="H521" s="1">
        <v>2.1999999999999999E-5</v>
      </c>
      <c r="L521" s="1">
        <v>35089</v>
      </c>
      <c r="M521" s="1">
        <v>2.2754600000000001E-5</v>
      </c>
      <c r="P521" s="1">
        <v>35089</v>
      </c>
      <c r="Q521" s="1">
        <v>1.78453E-5</v>
      </c>
    </row>
    <row r="522" spans="2:17" x14ac:dyDescent="0.2">
      <c r="B522" s="1">
        <v>35090</v>
      </c>
      <c r="C522" s="1">
        <v>9.2E-6</v>
      </c>
      <c r="G522" s="1">
        <v>35090</v>
      </c>
      <c r="H522" s="1">
        <v>1.06E-5</v>
      </c>
      <c r="L522" s="1">
        <v>35090</v>
      </c>
      <c r="M522" s="1">
        <v>1.1881E-5</v>
      </c>
      <c r="P522" s="1">
        <v>35090</v>
      </c>
      <c r="Q522" s="1">
        <v>1.3694599999999999E-5</v>
      </c>
    </row>
    <row r="523" spans="2:17" x14ac:dyDescent="0.2">
      <c r="B523" s="1">
        <v>35091</v>
      </c>
      <c r="C523" s="1">
        <v>8.3000000000000002E-6</v>
      </c>
      <c r="G523" s="1">
        <v>35091</v>
      </c>
      <c r="H523" s="1">
        <v>6.6000000000000003E-6</v>
      </c>
      <c r="L523" s="1">
        <v>35091</v>
      </c>
      <c r="M523" s="1">
        <v>7.73377E-6</v>
      </c>
      <c r="P523" s="1">
        <v>35091</v>
      </c>
      <c r="Q523" s="1">
        <v>1.28729E-5</v>
      </c>
    </row>
    <row r="524" spans="2:17" x14ac:dyDescent="0.2">
      <c r="B524" s="1">
        <v>35092</v>
      </c>
      <c r="C524" s="1">
        <v>2.9000000000000002E-6</v>
      </c>
      <c r="G524" s="1">
        <v>35092</v>
      </c>
      <c r="H524" s="1">
        <v>2.7999999999999999E-6</v>
      </c>
      <c r="L524" s="1">
        <v>35092</v>
      </c>
      <c r="M524" s="1">
        <v>2.3635700000000001E-6</v>
      </c>
      <c r="P524" s="1">
        <v>35092</v>
      </c>
      <c r="Q524" s="1">
        <v>5.4033600000000004E-6</v>
      </c>
    </row>
    <row r="525" spans="2:17" x14ac:dyDescent="0.2">
      <c r="B525" s="1">
        <v>36071</v>
      </c>
      <c r="C525" s="1">
        <v>2.7E-6</v>
      </c>
      <c r="G525" s="1">
        <v>36071</v>
      </c>
      <c r="H525" s="1">
        <v>4.9999999999999998E-7</v>
      </c>
      <c r="L525" s="1">
        <v>36071</v>
      </c>
      <c r="M525" s="1">
        <v>9.1500800000000004E-7</v>
      </c>
      <c r="P525" s="1">
        <v>36071</v>
      </c>
      <c r="Q525" s="1">
        <v>3.3900499999999998E-6</v>
      </c>
    </row>
    <row r="526" spans="2:17" x14ac:dyDescent="0.2">
      <c r="B526" s="1">
        <v>36072</v>
      </c>
      <c r="C526" s="1">
        <v>1.5E-6</v>
      </c>
      <c r="G526" s="1">
        <v>36072</v>
      </c>
      <c r="H526" s="1">
        <v>0</v>
      </c>
      <c r="L526" s="1">
        <v>36072</v>
      </c>
      <c r="M526" s="1">
        <v>2.8799500000000001E-7</v>
      </c>
      <c r="P526" s="1">
        <v>36072</v>
      </c>
      <c r="Q526" s="1">
        <v>2.6595900000000001E-6</v>
      </c>
    </row>
    <row r="527" spans="2:17" x14ac:dyDescent="0.2">
      <c r="B527" s="1">
        <v>36073</v>
      </c>
      <c r="C527" s="1">
        <v>4.9999999999999998E-7</v>
      </c>
      <c r="G527" s="1">
        <v>36073</v>
      </c>
      <c r="H527" s="1">
        <v>9.9999999999999995E-8</v>
      </c>
      <c r="L527" s="1">
        <v>36073</v>
      </c>
      <c r="M527" s="1">
        <v>5.9330000000000003E-8</v>
      </c>
      <c r="P527" s="1">
        <v>36073</v>
      </c>
      <c r="Q527" s="1">
        <v>6.2331399999999999E-7</v>
      </c>
    </row>
    <row r="528" spans="2:17" x14ac:dyDescent="0.2">
      <c r="B528" s="1">
        <v>36074</v>
      </c>
      <c r="C528" s="1">
        <v>2.9999999999999999E-7</v>
      </c>
      <c r="G528" s="1">
        <v>36074</v>
      </c>
      <c r="H528" s="1">
        <v>0</v>
      </c>
      <c r="L528" s="1">
        <v>36074</v>
      </c>
      <c r="M528" s="1">
        <v>1.04002E-8</v>
      </c>
      <c r="P528" s="1">
        <v>36074</v>
      </c>
      <c r="Q528" s="1">
        <v>1.0400199999999999E-7</v>
      </c>
    </row>
    <row r="529" spans="2:17" x14ac:dyDescent="0.2">
      <c r="B529" s="1">
        <v>36075</v>
      </c>
      <c r="C529" s="1">
        <v>0</v>
      </c>
      <c r="G529" s="1">
        <v>36075</v>
      </c>
      <c r="H529" s="1">
        <v>0</v>
      </c>
      <c r="L529" s="1">
        <v>36075</v>
      </c>
      <c r="M529" s="1">
        <v>2.3732E-9</v>
      </c>
      <c r="P529" s="1">
        <v>36075</v>
      </c>
      <c r="Q529" s="1">
        <v>3.8808800000000003E-8</v>
      </c>
    </row>
    <row r="530" spans="2:17" x14ac:dyDescent="0.2">
      <c r="B530" s="1">
        <v>36076</v>
      </c>
      <c r="C530" s="1">
        <v>0</v>
      </c>
      <c r="G530" s="1">
        <v>36076</v>
      </c>
      <c r="H530" s="1">
        <v>0</v>
      </c>
      <c r="L530" s="1">
        <v>36076</v>
      </c>
      <c r="M530" s="1">
        <v>2.7919999999999998E-10</v>
      </c>
      <c r="P530" s="1">
        <v>36076</v>
      </c>
      <c r="Q530" s="1">
        <v>4.9557999999999998E-9</v>
      </c>
    </row>
    <row r="531" spans="2:17" x14ac:dyDescent="0.2">
      <c r="B531" s="1">
        <v>36077</v>
      </c>
      <c r="C531" s="1">
        <v>0</v>
      </c>
      <c r="G531" s="1">
        <v>36077</v>
      </c>
      <c r="H531" s="1">
        <v>0</v>
      </c>
      <c r="L531" s="1">
        <v>36077</v>
      </c>
      <c r="M531" s="1">
        <v>6.9799999999999994E-11</v>
      </c>
      <c r="P531" s="1">
        <v>36077</v>
      </c>
      <c r="Q531" s="1">
        <v>1.4658E-9</v>
      </c>
    </row>
    <row r="532" spans="2:17" x14ac:dyDescent="0.2">
      <c r="B532" s="1">
        <v>36078</v>
      </c>
      <c r="C532" s="1">
        <v>0</v>
      </c>
      <c r="G532" s="1">
        <v>36078</v>
      </c>
      <c r="H532" s="1">
        <v>0</v>
      </c>
      <c r="L532" s="1">
        <v>36078</v>
      </c>
      <c r="M532" s="1">
        <v>0</v>
      </c>
      <c r="P532" s="1">
        <v>36078</v>
      </c>
      <c r="Q532" s="1">
        <v>6.9799999999999994E-11</v>
      </c>
    </row>
    <row r="533" spans="2:17" x14ac:dyDescent="0.2">
      <c r="B533" s="1">
        <v>36079</v>
      </c>
      <c r="C533" s="1">
        <v>0</v>
      </c>
      <c r="G533" s="1">
        <v>36079</v>
      </c>
      <c r="H533" s="1">
        <v>0</v>
      </c>
      <c r="L533" s="1">
        <v>36079</v>
      </c>
      <c r="M533" s="1">
        <v>6.9799999999999994E-11</v>
      </c>
      <c r="P533" s="1">
        <v>36079</v>
      </c>
      <c r="Q533" s="1">
        <v>6.9799999999999994E-11</v>
      </c>
    </row>
    <row r="534" spans="2:17" hidden="1" x14ac:dyDescent="0.2">
      <c r="B534" s="1">
        <v>36080</v>
      </c>
      <c r="C534" s="1">
        <v>0</v>
      </c>
      <c r="G534" s="1">
        <v>36080</v>
      </c>
      <c r="H534" s="1">
        <v>0</v>
      </c>
      <c r="L534" s="1">
        <v>36080</v>
      </c>
      <c r="M534" s="1">
        <v>6.2819999999999996E-10</v>
      </c>
      <c r="P534" s="1">
        <v>36080</v>
      </c>
      <c r="Q534" s="1">
        <v>0</v>
      </c>
    </row>
    <row r="535" spans="2:17" hidden="1" x14ac:dyDescent="0.2">
      <c r="B535" s="1">
        <v>36081</v>
      </c>
      <c r="C535" s="1">
        <v>0</v>
      </c>
      <c r="G535" s="1">
        <v>36081</v>
      </c>
      <c r="H535" s="1">
        <v>0</v>
      </c>
      <c r="L535" s="1">
        <v>36081</v>
      </c>
      <c r="M535" s="1">
        <v>3.6296E-9</v>
      </c>
      <c r="P535" s="1">
        <v>36081</v>
      </c>
      <c r="Q535" s="1">
        <v>0</v>
      </c>
    </row>
    <row r="536" spans="2:17" x14ac:dyDescent="0.2">
      <c r="B536" s="1">
        <v>36082</v>
      </c>
      <c r="C536" s="1">
        <v>0</v>
      </c>
      <c r="G536" s="1">
        <v>36082</v>
      </c>
      <c r="H536" s="1">
        <v>0</v>
      </c>
      <c r="L536" s="1">
        <v>36082</v>
      </c>
      <c r="M536" s="1">
        <v>1.7589599999999999E-8</v>
      </c>
      <c r="P536" s="1">
        <v>36082</v>
      </c>
      <c r="Q536" s="1">
        <v>2.7919999999999998E-10</v>
      </c>
    </row>
    <row r="537" spans="2:17" x14ac:dyDescent="0.2">
      <c r="B537" s="1">
        <v>36083</v>
      </c>
      <c r="C537" s="1">
        <v>0</v>
      </c>
      <c r="G537" s="1">
        <v>36083</v>
      </c>
      <c r="H537" s="1">
        <v>0</v>
      </c>
      <c r="L537" s="1">
        <v>36083</v>
      </c>
      <c r="M537" s="1">
        <v>8.7110399999999999E-8</v>
      </c>
      <c r="P537" s="1">
        <v>36083</v>
      </c>
      <c r="Q537" s="1">
        <v>8.3759999999999998E-10</v>
      </c>
    </row>
    <row r="538" spans="2:17" x14ac:dyDescent="0.2">
      <c r="B538" s="1">
        <v>36084</v>
      </c>
      <c r="C538" s="1">
        <v>0</v>
      </c>
      <c r="G538" s="1">
        <v>36084</v>
      </c>
      <c r="H538" s="1">
        <v>0</v>
      </c>
      <c r="L538" s="1">
        <v>36084</v>
      </c>
      <c r="M538" s="1">
        <v>3.6777600000000002E-7</v>
      </c>
      <c r="P538" s="1">
        <v>36084</v>
      </c>
      <c r="Q538" s="1">
        <v>1.16566E-8</v>
      </c>
    </row>
    <row r="539" spans="2:17" x14ac:dyDescent="0.2">
      <c r="B539" s="1">
        <v>36085</v>
      </c>
      <c r="C539" s="1">
        <v>9.9999999999999995E-8</v>
      </c>
      <c r="G539" s="1">
        <v>36085</v>
      </c>
      <c r="H539" s="1">
        <v>2.9999999999999999E-7</v>
      </c>
      <c r="L539" s="1">
        <v>36085</v>
      </c>
      <c r="M539" s="1">
        <v>1.2485100000000001E-6</v>
      </c>
      <c r="P539" s="1">
        <v>36085</v>
      </c>
      <c r="Q539" s="1">
        <v>5.90508E-8</v>
      </c>
    </row>
    <row r="540" spans="2:17" x14ac:dyDescent="0.2">
      <c r="B540" s="1">
        <v>36086</v>
      </c>
      <c r="C540" s="1">
        <v>1.9999999999999999E-7</v>
      </c>
      <c r="G540" s="1">
        <v>36086</v>
      </c>
      <c r="H540" s="1">
        <v>3.0000000000000001E-6</v>
      </c>
      <c r="L540" s="1">
        <v>36086</v>
      </c>
      <c r="M540" s="1">
        <v>3.5988199999999999E-6</v>
      </c>
      <c r="P540" s="1">
        <v>36086</v>
      </c>
      <c r="Q540" s="1">
        <v>6.1005200000000004E-7</v>
      </c>
    </row>
    <row r="541" spans="2:17" x14ac:dyDescent="0.2">
      <c r="B541" s="1">
        <v>36087</v>
      </c>
      <c r="C541" s="1">
        <v>7.9999999999999996E-7</v>
      </c>
      <c r="G541" s="1">
        <v>36087</v>
      </c>
      <c r="H541" s="1">
        <v>6.9E-6</v>
      </c>
      <c r="L541" s="1">
        <v>36087</v>
      </c>
      <c r="M541" s="1">
        <v>8.6558999999999996E-6</v>
      </c>
      <c r="P541" s="1">
        <v>36087</v>
      </c>
      <c r="Q541" s="1">
        <v>1.6130799999999999E-6</v>
      </c>
    </row>
    <row r="542" spans="2:17" x14ac:dyDescent="0.2">
      <c r="B542" s="1">
        <v>36088</v>
      </c>
      <c r="C542" s="1">
        <v>3.3000000000000002E-6</v>
      </c>
      <c r="G542" s="1">
        <v>36088</v>
      </c>
      <c r="H542" s="1">
        <v>1.8600000000000001E-5</v>
      </c>
      <c r="L542" s="1">
        <v>36088</v>
      </c>
      <c r="M542" s="1">
        <v>1.8726E-5</v>
      </c>
      <c r="P542" s="1">
        <v>36088</v>
      </c>
      <c r="Q542" s="1">
        <v>5.8275300000000001E-6</v>
      </c>
    </row>
    <row r="543" spans="2:17" x14ac:dyDescent="0.2">
      <c r="B543" s="1">
        <v>36089</v>
      </c>
      <c r="C543" s="1">
        <v>4.6E-6</v>
      </c>
      <c r="G543" s="1">
        <v>36089</v>
      </c>
      <c r="H543" s="1">
        <v>3.3200000000000001E-5</v>
      </c>
      <c r="L543" s="1">
        <v>36089</v>
      </c>
      <c r="M543" s="1">
        <v>3.0769899999999998E-5</v>
      </c>
      <c r="P543" s="1">
        <v>36089</v>
      </c>
      <c r="Q543" s="1">
        <v>9.9878199999999992E-6</v>
      </c>
    </row>
    <row r="544" spans="2:17" x14ac:dyDescent="0.2">
      <c r="B544" s="1">
        <v>36090</v>
      </c>
      <c r="C544" s="1">
        <v>1.24E-5</v>
      </c>
      <c r="G544" s="1">
        <v>36090</v>
      </c>
      <c r="H544" s="1">
        <v>5.1199999999999998E-5</v>
      </c>
      <c r="L544" s="1">
        <v>36090</v>
      </c>
      <c r="M544" s="1">
        <v>4.4976399999999999E-5</v>
      </c>
      <c r="P544" s="1">
        <v>36090</v>
      </c>
      <c r="Q544" s="1">
        <v>2.0305500000000001E-5</v>
      </c>
    </row>
    <row r="545" spans="2:17" x14ac:dyDescent="0.2">
      <c r="B545" s="1">
        <v>36091</v>
      </c>
      <c r="C545" s="1">
        <v>1.26E-5</v>
      </c>
      <c r="G545" s="1">
        <v>36091</v>
      </c>
      <c r="H545" s="1">
        <v>4.3399999999999998E-5</v>
      </c>
      <c r="L545" s="1">
        <v>36091</v>
      </c>
      <c r="M545" s="1">
        <v>4.1325800000000003E-5</v>
      </c>
      <c r="P545" s="1">
        <v>36091</v>
      </c>
      <c r="Q545" s="1">
        <v>2.0797399999999998E-5</v>
      </c>
    </row>
    <row r="546" spans="2:17" x14ac:dyDescent="0.2">
      <c r="B546" s="1">
        <v>36092</v>
      </c>
      <c r="C546" s="1">
        <v>1.36E-5</v>
      </c>
      <c r="G546" s="1">
        <v>36092</v>
      </c>
      <c r="H546" s="1">
        <v>4.18E-5</v>
      </c>
      <c r="L546" s="1">
        <v>36092</v>
      </c>
      <c r="M546" s="1">
        <v>3.6357099999999998E-5</v>
      </c>
      <c r="P546" s="1">
        <v>36092</v>
      </c>
      <c r="Q546" s="1">
        <v>2.4842400000000001E-5</v>
      </c>
    </row>
    <row r="547" spans="2:17" x14ac:dyDescent="0.2">
      <c r="B547" s="1">
        <v>36093</v>
      </c>
      <c r="C547" s="1">
        <v>7.5000000000000002E-6</v>
      </c>
      <c r="G547" s="1">
        <v>36093</v>
      </c>
      <c r="H547" s="1">
        <v>1.52E-5</v>
      </c>
      <c r="L547" s="1">
        <v>36093</v>
      </c>
      <c r="M547" s="1">
        <v>1.60266E-5</v>
      </c>
      <c r="P547" s="1">
        <v>36093</v>
      </c>
      <c r="Q547" s="1">
        <v>1.28574E-5</v>
      </c>
    </row>
    <row r="548" spans="2:17" x14ac:dyDescent="0.2">
      <c r="B548" s="1">
        <v>36094</v>
      </c>
      <c r="C548" s="1">
        <v>6.6000000000000003E-6</v>
      </c>
      <c r="G548" s="1">
        <v>36094</v>
      </c>
      <c r="H548" s="1">
        <v>6.3999999999999997E-6</v>
      </c>
      <c r="L548" s="1">
        <v>36094</v>
      </c>
      <c r="M548" s="1">
        <v>7.7108099999999998E-6</v>
      </c>
      <c r="P548" s="1">
        <v>36094</v>
      </c>
      <c r="Q548" s="1">
        <v>1.13819E-5</v>
      </c>
    </row>
    <row r="549" spans="2:17" x14ac:dyDescent="0.2">
      <c r="B549" s="1">
        <v>36095</v>
      </c>
      <c r="C549" s="1">
        <v>4.0999999999999997E-6</v>
      </c>
      <c r="G549" s="1">
        <v>36095</v>
      </c>
      <c r="H549" s="1">
        <v>1.1000000000000001E-6</v>
      </c>
      <c r="L549" s="1">
        <v>36095</v>
      </c>
      <c r="M549" s="1">
        <v>1.9912500000000002E-6</v>
      </c>
      <c r="P549" s="1">
        <v>36095</v>
      </c>
      <c r="Q549" s="1">
        <v>4.6708799999999999E-6</v>
      </c>
    </row>
    <row r="550" spans="2:17" x14ac:dyDescent="0.2">
      <c r="B550" s="1">
        <v>36096</v>
      </c>
      <c r="C550" s="1">
        <v>3.8E-6</v>
      </c>
      <c r="G550" s="1">
        <v>36096</v>
      </c>
      <c r="H550" s="1">
        <v>3.9999999999999998E-7</v>
      </c>
      <c r="L550" s="1">
        <v>36096</v>
      </c>
      <c r="M550" s="1">
        <v>6.5514300000000001E-7</v>
      </c>
      <c r="P550" s="1">
        <v>36096</v>
      </c>
      <c r="Q550" s="1">
        <v>5.5634799999999996E-6</v>
      </c>
    </row>
    <row r="551" spans="2:17" x14ac:dyDescent="0.2">
      <c r="B551" s="1">
        <v>36097</v>
      </c>
      <c r="C551" s="1">
        <v>1.9999999999999999E-7</v>
      </c>
      <c r="G551" s="1">
        <v>36097</v>
      </c>
      <c r="H551" s="1">
        <v>0</v>
      </c>
      <c r="L551" s="1">
        <v>36097</v>
      </c>
      <c r="M551" s="1">
        <v>1.0484E-7</v>
      </c>
      <c r="P551" s="1">
        <v>36097</v>
      </c>
      <c r="Q551" s="1">
        <v>5.58679E-7</v>
      </c>
    </row>
    <row r="552" spans="2:17" x14ac:dyDescent="0.2">
      <c r="B552" s="1">
        <v>37074</v>
      </c>
      <c r="C552" s="1">
        <v>0</v>
      </c>
      <c r="G552" s="1">
        <v>37074</v>
      </c>
      <c r="H552" s="1">
        <v>0</v>
      </c>
      <c r="L552" s="1">
        <v>37074</v>
      </c>
      <c r="M552" s="1">
        <v>2.2335999999999999E-8</v>
      </c>
      <c r="P552" s="1">
        <v>37074</v>
      </c>
      <c r="Q552" s="1">
        <v>2.8262000000000003E-7</v>
      </c>
    </row>
    <row r="553" spans="2:17" x14ac:dyDescent="0.2">
      <c r="B553" s="1">
        <v>37075</v>
      </c>
      <c r="C553" s="1">
        <v>0</v>
      </c>
      <c r="G553" s="1">
        <v>37075</v>
      </c>
      <c r="H553" s="1">
        <v>0</v>
      </c>
      <c r="L553" s="1">
        <v>37075</v>
      </c>
      <c r="M553" s="1">
        <v>2.6524000000000001E-9</v>
      </c>
      <c r="P553" s="1">
        <v>37075</v>
      </c>
      <c r="Q553" s="1">
        <v>3.2666399999999998E-8</v>
      </c>
    </row>
    <row r="554" spans="2:17" x14ac:dyDescent="0.2">
      <c r="B554" s="1">
        <v>37076</v>
      </c>
      <c r="C554" s="1">
        <v>0</v>
      </c>
      <c r="G554" s="1">
        <v>37076</v>
      </c>
      <c r="H554" s="1">
        <v>0</v>
      </c>
      <c r="L554" s="1">
        <v>37076</v>
      </c>
      <c r="M554" s="1">
        <v>6.2819999999999996E-10</v>
      </c>
      <c r="P554" s="1">
        <v>37076</v>
      </c>
      <c r="Q554" s="1">
        <v>1.43788E-8</v>
      </c>
    </row>
    <row r="555" spans="2:17" x14ac:dyDescent="0.2">
      <c r="B555" s="1">
        <v>37077</v>
      </c>
      <c r="C555" s="1">
        <v>0</v>
      </c>
      <c r="G555" s="1">
        <v>37077</v>
      </c>
      <c r="H555" s="1">
        <v>0</v>
      </c>
      <c r="L555" s="1">
        <v>37077</v>
      </c>
      <c r="M555" s="1">
        <v>0</v>
      </c>
      <c r="P555" s="1">
        <v>37077</v>
      </c>
      <c r="Q555" s="1">
        <v>1.1866E-9</v>
      </c>
    </row>
    <row r="556" spans="2:17" x14ac:dyDescent="0.2">
      <c r="B556" s="1">
        <v>37078</v>
      </c>
      <c r="C556" s="1">
        <v>0</v>
      </c>
      <c r="G556" s="1">
        <v>37078</v>
      </c>
      <c r="H556" s="1">
        <v>0</v>
      </c>
      <c r="L556" s="1">
        <v>37078</v>
      </c>
      <c r="M556" s="1">
        <v>0</v>
      </c>
      <c r="P556" s="1">
        <v>37078</v>
      </c>
      <c r="Q556" s="1">
        <v>2.7919999999999998E-10</v>
      </c>
    </row>
    <row r="557" spans="2:17" hidden="1" x14ac:dyDescent="0.2">
      <c r="B557" s="1">
        <v>37079</v>
      </c>
      <c r="C557" s="1">
        <v>0</v>
      </c>
      <c r="G557" s="1">
        <v>37079</v>
      </c>
      <c r="H557" s="1">
        <v>0</v>
      </c>
      <c r="L557" s="1">
        <v>37079</v>
      </c>
      <c r="M557" s="1">
        <v>0</v>
      </c>
      <c r="P557" s="1">
        <v>37079</v>
      </c>
      <c r="Q557" s="1">
        <v>0</v>
      </c>
    </row>
    <row r="558" spans="2:17" hidden="1" x14ac:dyDescent="0.2">
      <c r="B558" s="1">
        <v>37080</v>
      </c>
      <c r="C558" s="1">
        <v>0</v>
      </c>
      <c r="G558" s="1">
        <v>37080</v>
      </c>
      <c r="H558" s="1">
        <v>0</v>
      </c>
      <c r="L558" s="1">
        <v>37080</v>
      </c>
      <c r="M558" s="1">
        <v>0</v>
      </c>
      <c r="P558" s="1">
        <v>37080</v>
      </c>
      <c r="Q558" s="1">
        <v>0</v>
      </c>
    </row>
    <row r="559" spans="2:17" hidden="1" x14ac:dyDescent="0.2">
      <c r="B559" s="1">
        <v>37081</v>
      </c>
      <c r="C559" s="1">
        <v>0</v>
      </c>
      <c r="G559" s="1">
        <v>37081</v>
      </c>
      <c r="H559" s="1">
        <v>0</v>
      </c>
      <c r="L559" s="1">
        <v>37081</v>
      </c>
      <c r="M559" s="1">
        <v>0</v>
      </c>
      <c r="P559" s="1">
        <v>37081</v>
      </c>
      <c r="Q559" s="1">
        <v>0</v>
      </c>
    </row>
    <row r="560" spans="2:17" hidden="1" x14ac:dyDescent="0.2">
      <c r="B560" s="1">
        <v>37082</v>
      </c>
      <c r="C560" s="1">
        <v>0</v>
      </c>
      <c r="G560" s="1">
        <v>37082</v>
      </c>
      <c r="H560" s="1">
        <v>0</v>
      </c>
      <c r="L560" s="1">
        <v>37082</v>
      </c>
      <c r="M560" s="1">
        <v>1.3959999999999999E-10</v>
      </c>
      <c r="P560" s="1">
        <v>37082</v>
      </c>
      <c r="Q560" s="1">
        <v>0</v>
      </c>
    </row>
    <row r="561" spans="2:17" hidden="1" x14ac:dyDescent="0.2">
      <c r="B561" s="1">
        <v>37083</v>
      </c>
      <c r="C561" s="1">
        <v>0</v>
      </c>
      <c r="G561" s="1">
        <v>37083</v>
      </c>
      <c r="H561" s="1">
        <v>0</v>
      </c>
      <c r="L561" s="1">
        <v>37083</v>
      </c>
      <c r="M561" s="1">
        <v>9.772000000000001E-10</v>
      </c>
      <c r="P561" s="1">
        <v>37083</v>
      </c>
      <c r="Q561" s="1">
        <v>0</v>
      </c>
    </row>
    <row r="562" spans="2:17" hidden="1" x14ac:dyDescent="0.2">
      <c r="B562" s="1">
        <v>37084</v>
      </c>
      <c r="C562" s="1">
        <v>0</v>
      </c>
      <c r="G562" s="1">
        <v>37084</v>
      </c>
      <c r="H562" s="1">
        <v>0</v>
      </c>
      <c r="L562" s="1">
        <v>37084</v>
      </c>
      <c r="M562" s="1">
        <v>8.0269999999999997E-9</v>
      </c>
      <c r="P562" s="1">
        <v>37084</v>
      </c>
      <c r="Q562" s="1">
        <v>0</v>
      </c>
    </row>
    <row r="563" spans="2:17" x14ac:dyDescent="0.2">
      <c r="B563" s="1">
        <v>37085</v>
      </c>
      <c r="C563" s="1">
        <v>0</v>
      </c>
      <c r="G563" s="1">
        <v>37085</v>
      </c>
      <c r="H563" s="1">
        <v>9.9999999999999995E-8</v>
      </c>
      <c r="L563" s="1">
        <v>37085</v>
      </c>
      <c r="M563" s="1">
        <v>3.8878599999999998E-8</v>
      </c>
      <c r="P563" s="1">
        <v>37085</v>
      </c>
      <c r="Q563" s="1">
        <v>5.5839999999999995E-10</v>
      </c>
    </row>
    <row r="564" spans="2:17" x14ac:dyDescent="0.2">
      <c r="B564" s="1">
        <v>37086</v>
      </c>
      <c r="C564" s="1">
        <v>0</v>
      </c>
      <c r="G564" s="1">
        <v>37086</v>
      </c>
      <c r="H564" s="1">
        <v>0</v>
      </c>
      <c r="L564" s="1">
        <v>37086</v>
      </c>
      <c r="M564" s="1">
        <v>1.7149899999999999E-7</v>
      </c>
      <c r="P564" s="1">
        <v>37086</v>
      </c>
      <c r="Q564" s="1">
        <v>4.6068000000000003E-9</v>
      </c>
    </row>
    <row r="565" spans="2:17" x14ac:dyDescent="0.2">
      <c r="B565" s="1">
        <v>37087</v>
      </c>
      <c r="C565" s="1">
        <v>0</v>
      </c>
      <c r="G565" s="1">
        <v>37087</v>
      </c>
      <c r="H565" s="1">
        <v>5.9999999999999997E-7</v>
      </c>
      <c r="L565" s="1">
        <v>37087</v>
      </c>
      <c r="M565" s="1">
        <v>6.7273199999999997E-7</v>
      </c>
      <c r="P565" s="1">
        <v>37087</v>
      </c>
      <c r="Q565" s="1">
        <v>7.4825600000000003E-8</v>
      </c>
    </row>
    <row r="566" spans="2:17" x14ac:dyDescent="0.2">
      <c r="B566" s="1">
        <v>37088</v>
      </c>
      <c r="C566" s="1">
        <v>1.9999999999999999E-7</v>
      </c>
      <c r="G566" s="1">
        <v>37088</v>
      </c>
      <c r="H566" s="1">
        <v>9.9999999999999995E-7</v>
      </c>
      <c r="L566" s="1">
        <v>37088</v>
      </c>
      <c r="M566" s="1">
        <v>2.2233399999999998E-6</v>
      </c>
      <c r="P566" s="1">
        <v>37088</v>
      </c>
      <c r="Q566" s="1">
        <v>3.0844599999999998E-7</v>
      </c>
    </row>
    <row r="567" spans="2:17" x14ac:dyDescent="0.2">
      <c r="B567" s="1">
        <v>37089</v>
      </c>
      <c r="C567" s="1">
        <v>1.5999999999999999E-6</v>
      </c>
      <c r="G567" s="1">
        <v>37089</v>
      </c>
      <c r="H567" s="1">
        <v>6.1999999999999999E-6</v>
      </c>
      <c r="L567" s="1">
        <v>37089</v>
      </c>
      <c r="M567" s="1">
        <v>7.1252500000000001E-6</v>
      </c>
      <c r="P567" s="1">
        <v>37089</v>
      </c>
      <c r="Q567" s="1">
        <v>1.5353200000000001E-6</v>
      </c>
    </row>
    <row r="568" spans="2:17" x14ac:dyDescent="0.2">
      <c r="B568" s="1">
        <v>37090</v>
      </c>
      <c r="C568" s="1">
        <v>2.3999999999999999E-6</v>
      </c>
      <c r="G568" s="1">
        <v>37090</v>
      </c>
      <c r="H568" s="1">
        <v>1.6699999999999999E-5</v>
      </c>
      <c r="L568" s="1">
        <v>37090</v>
      </c>
      <c r="M568" s="1">
        <v>1.5968799999999999E-5</v>
      </c>
      <c r="P568" s="1">
        <v>37090</v>
      </c>
      <c r="Q568" s="1">
        <v>4.2028699999999996E-6</v>
      </c>
    </row>
    <row r="569" spans="2:17" x14ac:dyDescent="0.2">
      <c r="B569" s="1">
        <v>37091</v>
      </c>
      <c r="C569" s="1">
        <v>7.7999999999999999E-6</v>
      </c>
      <c r="G569" s="1">
        <v>37091</v>
      </c>
      <c r="H569" s="1">
        <v>3.7400000000000001E-5</v>
      </c>
      <c r="L569" s="1">
        <v>37091</v>
      </c>
      <c r="M569" s="1">
        <v>3.4290299999999999E-5</v>
      </c>
      <c r="P569" s="1">
        <v>37091</v>
      </c>
      <c r="Q569" s="1">
        <v>1.1511999999999999E-5</v>
      </c>
    </row>
    <row r="570" spans="2:17" x14ac:dyDescent="0.2">
      <c r="B570" s="1">
        <v>37092</v>
      </c>
      <c r="C570" s="1">
        <v>1.11E-5</v>
      </c>
      <c r="G570" s="1">
        <v>37092</v>
      </c>
      <c r="H570" s="1">
        <v>5.1199999999999998E-5</v>
      </c>
      <c r="L570" s="1">
        <v>37092</v>
      </c>
      <c r="M570" s="1">
        <v>4.6752799999999997E-5</v>
      </c>
      <c r="P570" s="1">
        <v>37092</v>
      </c>
      <c r="Q570" s="1">
        <v>1.8562800000000001E-5</v>
      </c>
    </row>
    <row r="571" spans="2:17" x14ac:dyDescent="0.2">
      <c r="B571" s="1">
        <v>37093</v>
      </c>
      <c r="C571" s="1">
        <v>2.0000000000000002E-5</v>
      </c>
      <c r="G571" s="1">
        <v>37093</v>
      </c>
      <c r="H571" s="1">
        <v>6.4300000000000004E-5</v>
      </c>
      <c r="L571" s="1">
        <v>37093</v>
      </c>
      <c r="M571" s="1">
        <v>5.9101300000000003E-5</v>
      </c>
      <c r="P571" s="1">
        <v>37093</v>
      </c>
      <c r="Q571" s="1">
        <v>3.0247799999999999E-5</v>
      </c>
    </row>
    <row r="572" spans="2:17" x14ac:dyDescent="0.2">
      <c r="B572" s="1">
        <v>37094</v>
      </c>
      <c r="C572" s="1">
        <v>1.5999999999999999E-5</v>
      </c>
      <c r="G572" s="1">
        <v>37094</v>
      </c>
      <c r="H572" s="1">
        <v>4.5899999999999998E-5</v>
      </c>
      <c r="L572" s="1">
        <v>37094</v>
      </c>
      <c r="M572" s="1">
        <v>4.0043999999999998E-5</v>
      </c>
      <c r="P572" s="1">
        <v>37094</v>
      </c>
      <c r="Q572" s="1">
        <v>2.4550599999999998E-5</v>
      </c>
    </row>
    <row r="573" spans="2:17" x14ac:dyDescent="0.2">
      <c r="B573" s="1">
        <v>37095</v>
      </c>
      <c r="C573" s="1">
        <v>1.66E-5</v>
      </c>
      <c r="G573" s="1">
        <v>37095</v>
      </c>
      <c r="H573" s="1">
        <v>3.0199999999999999E-5</v>
      </c>
      <c r="L573" s="1">
        <v>37095</v>
      </c>
      <c r="M573" s="1">
        <v>3.0660600000000003E-5</v>
      </c>
      <c r="P573" s="1">
        <v>37095</v>
      </c>
      <c r="Q573" s="1">
        <v>2.6670899999999999E-5</v>
      </c>
    </row>
    <row r="574" spans="2:17" x14ac:dyDescent="0.2">
      <c r="B574" s="1">
        <v>37096</v>
      </c>
      <c r="C574" s="1">
        <v>7.3000000000000004E-6</v>
      </c>
      <c r="G574" s="1">
        <v>37096</v>
      </c>
      <c r="H574" s="1">
        <v>1.13E-5</v>
      </c>
      <c r="L574" s="1">
        <v>37096</v>
      </c>
      <c r="M574" s="1">
        <v>1.19838E-5</v>
      </c>
      <c r="P574" s="1">
        <v>37096</v>
      </c>
      <c r="Q574" s="1">
        <v>1.3219E-5</v>
      </c>
    </row>
    <row r="575" spans="2:17" x14ac:dyDescent="0.2">
      <c r="B575" s="1">
        <v>37097</v>
      </c>
      <c r="C575" s="1">
        <v>7.7000000000000008E-6</v>
      </c>
      <c r="G575" s="1">
        <v>37097</v>
      </c>
      <c r="H575" s="1">
        <v>5.4E-6</v>
      </c>
      <c r="L575" s="1">
        <v>37097</v>
      </c>
      <c r="M575" s="1">
        <v>5.6120599999999998E-6</v>
      </c>
      <c r="P575" s="1">
        <v>37097</v>
      </c>
      <c r="Q575" s="1">
        <v>1.0947999999999999E-5</v>
      </c>
    </row>
    <row r="576" spans="2:17" x14ac:dyDescent="0.2">
      <c r="B576" s="1">
        <v>37098</v>
      </c>
      <c r="C576" s="1">
        <v>3.4999999999999999E-6</v>
      </c>
      <c r="G576" s="1">
        <v>37098</v>
      </c>
      <c r="H576" s="1">
        <v>9.9999999999999995E-7</v>
      </c>
      <c r="L576" s="1">
        <v>37098</v>
      </c>
      <c r="M576" s="1">
        <v>1.6683599999999999E-6</v>
      </c>
      <c r="P576" s="1">
        <v>37098</v>
      </c>
      <c r="Q576" s="1">
        <v>3.9120099999999998E-6</v>
      </c>
    </row>
    <row r="577" spans="2:17" x14ac:dyDescent="0.2">
      <c r="B577" s="1">
        <v>37099</v>
      </c>
      <c r="C577" s="1">
        <v>7.9999999999999996E-7</v>
      </c>
      <c r="G577" s="1">
        <v>37099</v>
      </c>
      <c r="H577" s="1">
        <v>1.9999999999999999E-7</v>
      </c>
      <c r="L577" s="1">
        <v>37099</v>
      </c>
      <c r="M577" s="1">
        <v>4.79177E-7</v>
      </c>
      <c r="P577" s="1">
        <v>37099</v>
      </c>
      <c r="Q577" s="1">
        <v>1.76447E-6</v>
      </c>
    </row>
    <row r="578" spans="2:17" x14ac:dyDescent="0.2">
      <c r="B578" s="1">
        <v>37100</v>
      </c>
      <c r="C578" s="1">
        <v>8.9999999999999996E-7</v>
      </c>
      <c r="G578" s="1">
        <v>37100</v>
      </c>
      <c r="H578" s="1">
        <v>9.9999999999999995E-8</v>
      </c>
      <c r="L578" s="1">
        <v>37100</v>
      </c>
      <c r="M578" s="1">
        <v>1.08609E-7</v>
      </c>
      <c r="P578" s="1">
        <v>37100</v>
      </c>
      <c r="Q578" s="1">
        <v>1.0498600000000001E-6</v>
      </c>
    </row>
    <row r="579" spans="2:17" x14ac:dyDescent="0.2">
      <c r="B579" s="1">
        <v>38077</v>
      </c>
      <c r="C579" s="1">
        <v>0</v>
      </c>
      <c r="G579" s="1">
        <v>38077</v>
      </c>
      <c r="H579" s="1">
        <v>0</v>
      </c>
      <c r="L579" s="1">
        <v>38077</v>
      </c>
      <c r="M579" s="1">
        <v>1.40996E-8</v>
      </c>
      <c r="P579" s="1">
        <v>38077</v>
      </c>
      <c r="Q579" s="1">
        <v>1.2375500000000001E-7</v>
      </c>
    </row>
    <row r="580" spans="2:17" x14ac:dyDescent="0.2">
      <c r="B580" s="1">
        <v>38078</v>
      </c>
      <c r="C580" s="1">
        <v>0</v>
      </c>
      <c r="G580" s="1">
        <v>38078</v>
      </c>
      <c r="H580" s="1">
        <v>0</v>
      </c>
      <c r="L580" s="1">
        <v>38078</v>
      </c>
      <c r="M580" s="1">
        <v>1.1866E-9</v>
      </c>
      <c r="P580" s="1">
        <v>38078</v>
      </c>
      <c r="Q580" s="1">
        <v>1.8845999999999999E-8</v>
      </c>
    </row>
    <row r="581" spans="2:17" x14ac:dyDescent="0.2">
      <c r="B581" s="1">
        <v>38079</v>
      </c>
      <c r="C581" s="1">
        <v>0</v>
      </c>
      <c r="G581" s="1">
        <v>38079</v>
      </c>
      <c r="H581" s="1">
        <v>0</v>
      </c>
      <c r="L581" s="1">
        <v>38079</v>
      </c>
      <c r="M581" s="1">
        <v>6.9799999999999994E-11</v>
      </c>
      <c r="P581" s="1">
        <v>38079</v>
      </c>
      <c r="Q581" s="1">
        <v>5.7236000000000004E-9</v>
      </c>
    </row>
    <row r="582" spans="2:17" x14ac:dyDescent="0.2">
      <c r="B582" s="1">
        <v>38080</v>
      </c>
      <c r="C582" s="1">
        <v>0</v>
      </c>
      <c r="G582" s="1">
        <v>38080</v>
      </c>
      <c r="H582" s="1">
        <v>0</v>
      </c>
      <c r="L582" s="1">
        <v>38080</v>
      </c>
      <c r="M582" s="1">
        <v>0</v>
      </c>
      <c r="P582" s="1">
        <v>38080</v>
      </c>
      <c r="Q582" s="1">
        <v>4.8860000000000005E-10</v>
      </c>
    </row>
    <row r="583" spans="2:17" x14ac:dyDescent="0.2">
      <c r="B583" s="1">
        <v>38081</v>
      </c>
      <c r="C583" s="1">
        <v>0</v>
      </c>
      <c r="G583" s="1">
        <v>38081</v>
      </c>
      <c r="H583" s="1">
        <v>0</v>
      </c>
      <c r="L583" s="1">
        <v>38081</v>
      </c>
      <c r="M583" s="1">
        <v>0</v>
      </c>
      <c r="P583" s="1">
        <v>38081</v>
      </c>
      <c r="Q583" s="1">
        <v>2.094E-10</v>
      </c>
    </row>
    <row r="584" spans="2:17" hidden="1" x14ac:dyDescent="0.2">
      <c r="B584" s="1">
        <v>38082</v>
      </c>
      <c r="C584" s="1">
        <v>0</v>
      </c>
      <c r="G584" s="1">
        <v>38082</v>
      </c>
      <c r="H584" s="1">
        <v>0</v>
      </c>
      <c r="L584" s="1">
        <v>38082</v>
      </c>
      <c r="M584" s="1">
        <v>0</v>
      </c>
      <c r="P584" s="1">
        <v>38082</v>
      </c>
      <c r="Q584" s="1">
        <v>0</v>
      </c>
    </row>
    <row r="585" spans="2:17" hidden="1" x14ac:dyDescent="0.2">
      <c r="B585" s="1">
        <v>38083</v>
      </c>
      <c r="C585" s="1">
        <v>0</v>
      </c>
      <c r="G585" s="1">
        <v>38083</v>
      </c>
      <c r="H585" s="1">
        <v>0</v>
      </c>
      <c r="L585" s="1">
        <v>38083</v>
      </c>
      <c r="M585" s="1">
        <v>0</v>
      </c>
      <c r="P585" s="1">
        <v>38083</v>
      </c>
      <c r="Q585" s="1">
        <v>0</v>
      </c>
    </row>
    <row r="586" spans="2:17" hidden="1" x14ac:dyDescent="0.2">
      <c r="B586" s="1">
        <v>38084</v>
      </c>
      <c r="C586" s="1">
        <v>0</v>
      </c>
      <c r="G586" s="1">
        <v>38084</v>
      </c>
      <c r="H586" s="1">
        <v>0</v>
      </c>
      <c r="L586" s="1">
        <v>38084</v>
      </c>
      <c r="M586" s="1">
        <v>2.094E-10</v>
      </c>
      <c r="P586" s="1">
        <v>38084</v>
      </c>
      <c r="Q586" s="1">
        <v>0</v>
      </c>
    </row>
    <row r="587" spans="2:17" hidden="1" x14ac:dyDescent="0.2">
      <c r="B587" s="1">
        <v>38085</v>
      </c>
      <c r="C587" s="1">
        <v>0</v>
      </c>
      <c r="G587" s="1">
        <v>38085</v>
      </c>
      <c r="H587" s="1">
        <v>0</v>
      </c>
      <c r="L587" s="1">
        <v>38085</v>
      </c>
      <c r="M587" s="1">
        <v>9.0739999999999999E-10</v>
      </c>
      <c r="P587" s="1">
        <v>38085</v>
      </c>
      <c r="Q587" s="1">
        <v>0</v>
      </c>
    </row>
    <row r="588" spans="2:17" x14ac:dyDescent="0.2">
      <c r="B588" s="1">
        <v>38086</v>
      </c>
      <c r="C588" s="1">
        <v>0</v>
      </c>
      <c r="G588" s="1">
        <v>38086</v>
      </c>
      <c r="H588" s="1">
        <v>0</v>
      </c>
      <c r="L588" s="1">
        <v>38086</v>
      </c>
      <c r="M588" s="1">
        <v>7.6082000000000003E-9</v>
      </c>
      <c r="P588" s="1">
        <v>38086</v>
      </c>
      <c r="Q588" s="1">
        <v>6.9799999999999994E-11</v>
      </c>
    </row>
    <row r="589" spans="2:17" x14ac:dyDescent="0.2">
      <c r="B589" s="1">
        <v>38087</v>
      </c>
      <c r="C589" s="1">
        <v>0</v>
      </c>
      <c r="G589" s="1">
        <v>38087</v>
      </c>
      <c r="H589" s="1">
        <v>0</v>
      </c>
      <c r="L589" s="1">
        <v>38087</v>
      </c>
      <c r="M589" s="1">
        <v>3.9786000000000003E-8</v>
      </c>
      <c r="P589" s="1">
        <v>38087</v>
      </c>
      <c r="Q589" s="1">
        <v>4.1879999999999999E-10</v>
      </c>
    </row>
    <row r="590" spans="2:17" x14ac:dyDescent="0.2">
      <c r="B590" s="1">
        <v>38088</v>
      </c>
      <c r="C590" s="1">
        <v>1.9999999999999999E-7</v>
      </c>
      <c r="G590" s="1">
        <v>38088</v>
      </c>
      <c r="H590" s="1">
        <v>1.9999999999999999E-7</v>
      </c>
      <c r="L590" s="1">
        <v>38088</v>
      </c>
      <c r="M590" s="1">
        <v>1.7450000000000001E-7</v>
      </c>
      <c r="P590" s="1">
        <v>38088</v>
      </c>
      <c r="Q590" s="1">
        <v>5.5141999999999998E-9</v>
      </c>
    </row>
    <row r="591" spans="2:17" x14ac:dyDescent="0.2">
      <c r="B591" s="1">
        <v>38089</v>
      </c>
      <c r="C591" s="1">
        <v>9.9999999999999995E-8</v>
      </c>
      <c r="G591" s="1">
        <v>38089</v>
      </c>
      <c r="H591" s="1">
        <v>0</v>
      </c>
      <c r="L591" s="1">
        <v>38089</v>
      </c>
      <c r="M591" s="1">
        <v>7.3234199999999995E-7</v>
      </c>
      <c r="P591" s="1">
        <v>38089</v>
      </c>
      <c r="Q591" s="1">
        <v>4.1391399999999998E-8</v>
      </c>
    </row>
    <row r="592" spans="2:17" x14ac:dyDescent="0.2">
      <c r="B592" s="1">
        <v>38090</v>
      </c>
      <c r="C592" s="1">
        <v>2.9999999999999999E-7</v>
      </c>
      <c r="G592" s="1">
        <v>38090</v>
      </c>
      <c r="H592" s="1">
        <v>1.1000000000000001E-6</v>
      </c>
      <c r="L592" s="1">
        <v>38090</v>
      </c>
      <c r="M592" s="1">
        <v>2.4836900000000002E-6</v>
      </c>
      <c r="P592" s="1">
        <v>38090</v>
      </c>
      <c r="Q592" s="1">
        <v>2.9993099999999999E-7</v>
      </c>
    </row>
    <row r="593" spans="2:17" x14ac:dyDescent="0.2">
      <c r="B593" s="1">
        <v>38091</v>
      </c>
      <c r="C593" s="1">
        <v>1.9999999999999999E-7</v>
      </c>
      <c r="G593" s="1">
        <v>38091</v>
      </c>
      <c r="H593" s="1">
        <v>5.8000000000000004E-6</v>
      </c>
      <c r="L593" s="1">
        <v>38091</v>
      </c>
      <c r="M593" s="1">
        <v>7.0508499999999996E-6</v>
      </c>
      <c r="P593" s="1">
        <v>38091</v>
      </c>
      <c r="Q593" s="1">
        <v>1.02913E-6</v>
      </c>
    </row>
    <row r="594" spans="2:17" x14ac:dyDescent="0.2">
      <c r="B594" s="1">
        <v>38092</v>
      </c>
      <c r="C594" s="1">
        <v>2.7E-6</v>
      </c>
      <c r="G594" s="1">
        <v>38092</v>
      </c>
      <c r="H594" s="1">
        <v>1.8300000000000001E-5</v>
      </c>
      <c r="L594" s="1">
        <v>38092</v>
      </c>
      <c r="M594" s="1">
        <v>1.6656399999999999E-5</v>
      </c>
      <c r="P594" s="1">
        <v>38092</v>
      </c>
      <c r="Q594" s="1">
        <v>4.5028000000000003E-6</v>
      </c>
    </row>
    <row r="595" spans="2:17" x14ac:dyDescent="0.2">
      <c r="B595" s="1">
        <v>38093</v>
      </c>
      <c r="C595" s="1">
        <v>6.3999999999999997E-6</v>
      </c>
      <c r="G595" s="1">
        <v>38093</v>
      </c>
      <c r="H595" s="1">
        <v>3.3200000000000001E-5</v>
      </c>
      <c r="L595" s="1">
        <v>38093</v>
      </c>
      <c r="M595" s="1">
        <v>3.3427199999999997E-5</v>
      </c>
      <c r="P595" s="1">
        <v>38093</v>
      </c>
      <c r="Q595" s="1">
        <v>9.5610599999999996E-6</v>
      </c>
    </row>
    <row r="596" spans="2:17" x14ac:dyDescent="0.2">
      <c r="B596" s="1">
        <v>38094</v>
      </c>
      <c r="C596" s="1">
        <v>1.3200000000000001E-5</v>
      </c>
      <c r="G596" s="1">
        <v>38094</v>
      </c>
      <c r="H596" s="1">
        <v>6.6000000000000005E-5</v>
      </c>
      <c r="L596" s="1">
        <v>38094</v>
      </c>
      <c r="M596" s="1">
        <v>5.7698400000000003E-5</v>
      </c>
      <c r="P596" s="1">
        <v>38094</v>
      </c>
      <c r="Q596" s="1">
        <v>2.42979E-5</v>
      </c>
    </row>
    <row r="597" spans="2:17" x14ac:dyDescent="0.2">
      <c r="B597" s="1">
        <v>38095</v>
      </c>
      <c r="C597" s="1">
        <v>1.2300000000000001E-5</v>
      </c>
      <c r="G597" s="1">
        <v>38095</v>
      </c>
      <c r="H597" s="1">
        <v>7.9900000000000004E-5</v>
      </c>
      <c r="L597" s="1">
        <v>38095</v>
      </c>
      <c r="M597" s="1">
        <v>7.0071099999999994E-5</v>
      </c>
      <c r="P597" s="1">
        <v>38095</v>
      </c>
      <c r="Q597" s="1">
        <v>2.46254E-5</v>
      </c>
    </row>
    <row r="598" spans="2:17" x14ac:dyDescent="0.2">
      <c r="B598" s="1">
        <v>38096</v>
      </c>
      <c r="C598" s="1">
        <v>2.09E-5</v>
      </c>
      <c r="G598" s="1">
        <v>38096</v>
      </c>
      <c r="H598" s="1">
        <v>8.2700000000000004E-5</v>
      </c>
      <c r="L598" s="1">
        <v>38096</v>
      </c>
      <c r="M598" s="1">
        <v>7.1081599999999994E-5</v>
      </c>
      <c r="P598" s="1">
        <v>38096</v>
      </c>
      <c r="Q598" s="1">
        <v>3.47111E-5</v>
      </c>
    </row>
    <row r="599" spans="2:17" x14ac:dyDescent="0.2">
      <c r="B599" s="1">
        <v>38097</v>
      </c>
      <c r="C599" s="1">
        <v>1.27E-5</v>
      </c>
      <c r="G599" s="1">
        <v>38097</v>
      </c>
      <c r="H599" s="1">
        <v>5.3699999999999997E-5</v>
      </c>
      <c r="L599" s="1">
        <v>38097</v>
      </c>
      <c r="M599" s="1">
        <v>4.5796800000000002E-5</v>
      </c>
      <c r="P599" s="1">
        <v>38097</v>
      </c>
      <c r="Q599" s="1">
        <v>2.2148199999999999E-5</v>
      </c>
    </row>
    <row r="600" spans="2:17" x14ac:dyDescent="0.2">
      <c r="B600" s="1">
        <v>38098</v>
      </c>
      <c r="C600" s="1">
        <v>1.1600000000000001E-5</v>
      </c>
      <c r="G600" s="1">
        <v>38098</v>
      </c>
      <c r="H600" s="1">
        <v>2.6400000000000001E-5</v>
      </c>
      <c r="L600" s="1">
        <v>38098</v>
      </c>
      <c r="M600" s="1">
        <v>2.60672E-5</v>
      </c>
      <c r="P600" s="1">
        <v>38098</v>
      </c>
      <c r="Q600" s="1">
        <v>2.07114E-5</v>
      </c>
    </row>
    <row r="601" spans="2:17" x14ac:dyDescent="0.2">
      <c r="B601" s="1">
        <v>38099</v>
      </c>
      <c r="C601" s="1">
        <v>4.3000000000000003E-6</v>
      </c>
      <c r="G601" s="1">
        <v>38099</v>
      </c>
      <c r="H601" s="1">
        <v>7.5000000000000002E-6</v>
      </c>
      <c r="L601" s="1">
        <v>38099</v>
      </c>
      <c r="M601" s="1">
        <v>8.4500599999999995E-6</v>
      </c>
      <c r="P601" s="1">
        <v>38099</v>
      </c>
      <c r="Q601" s="1">
        <v>7.7651100000000003E-6</v>
      </c>
    </row>
    <row r="602" spans="2:17" x14ac:dyDescent="0.2">
      <c r="B602" s="1">
        <v>38100</v>
      </c>
      <c r="C602" s="1">
        <v>4.1999999999999996E-6</v>
      </c>
      <c r="G602" s="1">
        <v>38100</v>
      </c>
      <c r="H602" s="1">
        <v>1.1999999999999999E-6</v>
      </c>
      <c r="L602" s="1">
        <v>38100</v>
      </c>
      <c r="M602" s="1">
        <v>2.6510000000000001E-6</v>
      </c>
      <c r="P602" s="1">
        <v>38100</v>
      </c>
      <c r="Q602" s="1">
        <v>6.7033800000000004E-6</v>
      </c>
    </row>
    <row r="603" spans="2:17" x14ac:dyDescent="0.2">
      <c r="B603" s="1">
        <v>39080</v>
      </c>
      <c r="C603" s="1">
        <v>1.1999999999999999E-6</v>
      </c>
      <c r="G603" s="1">
        <v>39080</v>
      </c>
      <c r="H603" s="1">
        <v>9.9999999999999995E-8</v>
      </c>
      <c r="L603" s="1">
        <v>39080</v>
      </c>
      <c r="M603" s="1">
        <v>4.9746499999999999E-7</v>
      </c>
      <c r="P603" s="1">
        <v>39080</v>
      </c>
      <c r="Q603" s="1">
        <v>2.9618199999999999E-6</v>
      </c>
    </row>
    <row r="604" spans="2:17" x14ac:dyDescent="0.2">
      <c r="B604" s="1">
        <v>39081</v>
      </c>
      <c r="C604" s="1">
        <v>9.9999999999999995E-8</v>
      </c>
      <c r="G604" s="1">
        <v>39081</v>
      </c>
      <c r="H604" s="1">
        <v>0</v>
      </c>
      <c r="L604" s="1">
        <v>39081</v>
      </c>
      <c r="M604" s="1">
        <v>7.9222999999999994E-8</v>
      </c>
      <c r="P604" s="1">
        <v>39081</v>
      </c>
      <c r="Q604" s="1">
        <v>5.2992199999999997E-7</v>
      </c>
    </row>
    <row r="605" spans="2:17" x14ac:dyDescent="0.2">
      <c r="B605" s="1">
        <v>39082</v>
      </c>
      <c r="C605" s="1">
        <v>9.9999999999999995E-8</v>
      </c>
      <c r="G605" s="1">
        <v>39082</v>
      </c>
      <c r="H605" s="1">
        <v>0</v>
      </c>
      <c r="L605" s="1">
        <v>39082</v>
      </c>
      <c r="M605" s="1">
        <v>6.4216000000000002E-9</v>
      </c>
      <c r="P605" s="1">
        <v>39082</v>
      </c>
      <c r="Q605" s="1">
        <v>8.6831200000000003E-8</v>
      </c>
    </row>
    <row r="606" spans="2:17" x14ac:dyDescent="0.2">
      <c r="B606" s="1">
        <v>39083</v>
      </c>
      <c r="C606" s="1">
        <v>0</v>
      </c>
      <c r="G606" s="1">
        <v>39083</v>
      </c>
      <c r="H606" s="1">
        <v>0</v>
      </c>
      <c r="L606" s="1">
        <v>39083</v>
      </c>
      <c r="M606" s="1">
        <v>1.3262E-9</v>
      </c>
      <c r="P606" s="1">
        <v>39083</v>
      </c>
      <c r="Q606" s="1">
        <v>4.1321600000000003E-8</v>
      </c>
    </row>
    <row r="607" spans="2:17" x14ac:dyDescent="0.2">
      <c r="B607" s="1">
        <v>39084</v>
      </c>
      <c r="C607" s="1">
        <v>0</v>
      </c>
      <c r="G607" s="1">
        <v>39084</v>
      </c>
      <c r="H607" s="1">
        <v>0</v>
      </c>
      <c r="L607" s="1">
        <v>39084</v>
      </c>
      <c r="M607" s="1">
        <v>0</v>
      </c>
      <c r="P607" s="1">
        <v>39084</v>
      </c>
      <c r="Q607" s="1">
        <v>5.2350000000000002E-9</v>
      </c>
    </row>
    <row r="608" spans="2:17" x14ac:dyDescent="0.2">
      <c r="B608" s="1">
        <v>39085</v>
      </c>
      <c r="C608" s="1">
        <v>0</v>
      </c>
      <c r="G608" s="1">
        <v>39085</v>
      </c>
      <c r="H608" s="1">
        <v>0</v>
      </c>
      <c r="L608" s="1">
        <v>39085</v>
      </c>
      <c r="M608" s="1">
        <v>0</v>
      </c>
      <c r="P608" s="1">
        <v>39085</v>
      </c>
      <c r="Q608" s="1">
        <v>1.3959999999999999E-9</v>
      </c>
    </row>
    <row r="609" spans="2:17" x14ac:dyDescent="0.2">
      <c r="B609" s="1">
        <v>39086</v>
      </c>
      <c r="C609" s="1">
        <v>0</v>
      </c>
      <c r="G609" s="1">
        <v>39086</v>
      </c>
      <c r="H609" s="1">
        <v>0</v>
      </c>
      <c r="L609" s="1">
        <v>39086</v>
      </c>
      <c r="M609" s="1">
        <v>0</v>
      </c>
      <c r="P609" s="1">
        <v>39086</v>
      </c>
      <c r="Q609" s="1">
        <v>1.3959999999999999E-10</v>
      </c>
    </row>
    <row r="610" spans="2:17" x14ac:dyDescent="0.2">
      <c r="B610" s="1">
        <v>39087</v>
      </c>
      <c r="C610" s="1">
        <v>0</v>
      </c>
      <c r="G610" s="1">
        <v>39087</v>
      </c>
      <c r="H610" s="1">
        <v>0</v>
      </c>
      <c r="L610" s="1">
        <v>39087</v>
      </c>
      <c r="M610" s="1">
        <v>2.094E-10</v>
      </c>
      <c r="P610" s="1">
        <v>39087</v>
      </c>
      <c r="Q610" s="1">
        <v>6.9799999999999994E-11</v>
      </c>
    </row>
    <row r="611" spans="2:17" hidden="1" x14ac:dyDescent="0.2">
      <c r="B611" s="1">
        <v>39088</v>
      </c>
      <c r="C611" s="1">
        <v>0</v>
      </c>
      <c r="G611" s="1">
        <v>39088</v>
      </c>
      <c r="H611" s="1">
        <v>0</v>
      </c>
      <c r="L611" s="1">
        <v>39088</v>
      </c>
      <c r="M611" s="1">
        <v>1.3959999999999999E-9</v>
      </c>
      <c r="P611" s="1">
        <v>39088</v>
      </c>
      <c r="Q611" s="1">
        <v>0</v>
      </c>
    </row>
    <row r="612" spans="2:17" x14ac:dyDescent="0.2">
      <c r="B612" s="1">
        <v>39089</v>
      </c>
      <c r="C612" s="1">
        <v>0</v>
      </c>
      <c r="G612" s="1">
        <v>39089</v>
      </c>
      <c r="H612" s="1">
        <v>0</v>
      </c>
      <c r="L612" s="1">
        <v>39089</v>
      </c>
      <c r="M612" s="1">
        <v>1.02606E-8</v>
      </c>
      <c r="P612" s="1">
        <v>39089</v>
      </c>
      <c r="Q612" s="1">
        <v>4.8860000000000005E-10</v>
      </c>
    </row>
    <row r="613" spans="2:17" x14ac:dyDescent="0.2">
      <c r="B613" s="1">
        <v>39090</v>
      </c>
      <c r="C613" s="1">
        <v>0</v>
      </c>
      <c r="G613" s="1">
        <v>39090</v>
      </c>
      <c r="H613" s="1">
        <v>0</v>
      </c>
      <c r="L613" s="1">
        <v>39090</v>
      </c>
      <c r="M613" s="1">
        <v>5.6468199999999997E-8</v>
      </c>
      <c r="P613" s="1">
        <v>39090</v>
      </c>
      <c r="Q613" s="1">
        <v>1.3262E-9</v>
      </c>
    </row>
    <row r="614" spans="2:17" x14ac:dyDescent="0.2">
      <c r="B614" s="1">
        <v>39091</v>
      </c>
      <c r="C614" s="1">
        <v>0</v>
      </c>
      <c r="G614" s="1">
        <v>39091</v>
      </c>
      <c r="H614" s="1">
        <v>2.9999999999999999E-7</v>
      </c>
      <c r="L614" s="1">
        <v>39091</v>
      </c>
      <c r="M614" s="1">
        <v>2.53234E-7</v>
      </c>
      <c r="P614" s="1">
        <v>39091</v>
      </c>
      <c r="Q614" s="1">
        <v>1.6123799999999998E-8</v>
      </c>
    </row>
    <row r="615" spans="2:17" x14ac:dyDescent="0.2">
      <c r="B615" s="1">
        <v>39092</v>
      </c>
      <c r="C615" s="1">
        <v>9.9999999999999995E-8</v>
      </c>
      <c r="G615" s="1">
        <v>39092</v>
      </c>
      <c r="H615" s="1">
        <v>2.9999999999999999E-7</v>
      </c>
      <c r="L615" s="1">
        <v>39092</v>
      </c>
      <c r="M615" s="1">
        <v>9.8885700000000005E-7</v>
      </c>
      <c r="P615" s="1">
        <v>39092</v>
      </c>
      <c r="Q615" s="1">
        <v>9.7580399999999999E-8</v>
      </c>
    </row>
    <row r="616" spans="2:17" x14ac:dyDescent="0.2">
      <c r="B616" s="1">
        <v>39093</v>
      </c>
      <c r="C616" s="1">
        <v>1.9999999999999999E-7</v>
      </c>
      <c r="G616" s="1">
        <v>39093</v>
      </c>
      <c r="H616" s="1">
        <v>2.3999999999999999E-6</v>
      </c>
      <c r="L616" s="1">
        <v>39093</v>
      </c>
      <c r="M616" s="1">
        <v>3.5352999999999998E-6</v>
      </c>
      <c r="P616" s="1">
        <v>39093</v>
      </c>
      <c r="Q616" s="1">
        <v>6.3720400000000002E-7</v>
      </c>
    </row>
    <row r="617" spans="2:17" x14ac:dyDescent="0.2">
      <c r="B617" s="1">
        <v>39094</v>
      </c>
      <c r="C617" s="1">
        <v>1.7999999999999999E-6</v>
      </c>
      <c r="G617" s="1">
        <v>39094</v>
      </c>
      <c r="H617" s="1">
        <v>8.1000000000000004E-6</v>
      </c>
      <c r="L617" s="1">
        <v>39094</v>
      </c>
      <c r="M617" s="1">
        <v>9.3795799999999994E-6</v>
      </c>
      <c r="P617" s="1">
        <v>39094</v>
      </c>
      <c r="Q617" s="1">
        <v>2.2451899999999998E-6</v>
      </c>
    </row>
    <row r="618" spans="2:17" x14ac:dyDescent="0.2">
      <c r="B618" s="1">
        <v>39095</v>
      </c>
      <c r="C618" s="1">
        <v>3.8E-6</v>
      </c>
      <c r="G618" s="1">
        <v>39095</v>
      </c>
      <c r="H618" s="1">
        <v>2.4499999999999999E-5</v>
      </c>
      <c r="L618" s="1">
        <v>39095</v>
      </c>
      <c r="M618" s="1">
        <v>2.52543E-5</v>
      </c>
      <c r="P618" s="1">
        <v>39095</v>
      </c>
      <c r="Q618" s="1">
        <v>8.2075700000000004E-6</v>
      </c>
    </row>
    <row r="619" spans="2:17" x14ac:dyDescent="0.2">
      <c r="B619" s="1">
        <v>39096</v>
      </c>
      <c r="C619" s="1">
        <v>9.5000000000000005E-6</v>
      </c>
      <c r="G619" s="1">
        <v>39096</v>
      </c>
      <c r="H619" s="1">
        <v>3.8000000000000002E-5</v>
      </c>
      <c r="L619" s="1">
        <v>39096</v>
      </c>
      <c r="M619" s="1">
        <v>4.24339E-5</v>
      </c>
      <c r="P619" s="1">
        <v>39096</v>
      </c>
      <c r="Q619" s="1">
        <v>1.5322799999999998E-5</v>
      </c>
    </row>
    <row r="620" spans="2:17" x14ac:dyDescent="0.2">
      <c r="B620" s="1">
        <v>39097</v>
      </c>
      <c r="C620" s="1">
        <v>1.4100000000000001E-5</v>
      </c>
      <c r="G620" s="1">
        <v>39097</v>
      </c>
      <c r="H620" s="1">
        <v>7.2399999999999998E-5</v>
      </c>
      <c r="L620" s="1">
        <v>39097</v>
      </c>
      <c r="M620" s="1">
        <v>6.9031900000000006E-5</v>
      </c>
      <c r="P620" s="1">
        <v>39097</v>
      </c>
      <c r="Q620" s="1">
        <v>2.64968E-5</v>
      </c>
    </row>
    <row r="621" spans="2:17" x14ac:dyDescent="0.2">
      <c r="B621" s="1">
        <v>39098</v>
      </c>
      <c r="C621" s="1">
        <v>1.52E-5</v>
      </c>
      <c r="G621" s="1">
        <v>39098</v>
      </c>
      <c r="H621" s="1">
        <v>7.1099999999999994E-5</v>
      </c>
      <c r="L621" s="1">
        <v>39098</v>
      </c>
      <c r="M621" s="1">
        <v>6.3832900000000003E-5</v>
      </c>
      <c r="P621" s="1">
        <v>39098</v>
      </c>
      <c r="Q621" s="1">
        <v>2.36196E-5</v>
      </c>
    </row>
    <row r="622" spans="2:17" x14ac:dyDescent="0.2">
      <c r="B622" s="1">
        <v>39099</v>
      </c>
      <c r="C622" s="1">
        <v>1.7399999999999999E-5</v>
      </c>
      <c r="G622" s="1">
        <v>39099</v>
      </c>
      <c r="H622" s="1">
        <v>6.02E-5</v>
      </c>
      <c r="L622" s="1">
        <v>39099</v>
      </c>
      <c r="M622" s="1">
        <v>5.4675700000000002E-5</v>
      </c>
      <c r="P622" s="1">
        <v>39099</v>
      </c>
      <c r="Q622" s="1">
        <v>2.86367E-5</v>
      </c>
    </row>
    <row r="623" spans="2:17" x14ac:dyDescent="0.2">
      <c r="B623" s="1">
        <v>39100</v>
      </c>
      <c r="C623" s="1">
        <v>1.3499999999999999E-5</v>
      </c>
      <c r="G623" s="1">
        <v>39100</v>
      </c>
      <c r="H623" s="1">
        <v>2.83E-5</v>
      </c>
      <c r="L623" s="1">
        <v>39100</v>
      </c>
      <c r="M623" s="1">
        <v>2.6766799999999999E-5</v>
      </c>
      <c r="P623" s="1">
        <v>39100</v>
      </c>
      <c r="Q623" s="1">
        <v>1.96514E-5</v>
      </c>
    </row>
    <row r="624" spans="2:17" x14ac:dyDescent="0.2">
      <c r="B624" s="1">
        <v>39101</v>
      </c>
      <c r="C624" s="1">
        <v>7.9000000000000006E-6</v>
      </c>
      <c r="G624" s="1">
        <v>39101</v>
      </c>
      <c r="H624" s="1">
        <v>1.0200000000000001E-5</v>
      </c>
      <c r="L624" s="1">
        <v>39101</v>
      </c>
      <c r="M624" s="1">
        <v>1.21421E-5</v>
      </c>
      <c r="P624" s="1">
        <v>39101</v>
      </c>
      <c r="Q624" s="1">
        <v>1.24008E-5</v>
      </c>
    </row>
    <row r="625" spans="2:17" x14ac:dyDescent="0.2">
      <c r="B625" s="1">
        <v>39102</v>
      </c>
      <c r="C625" s="1">
        <v>3.7000000000000002E-6</v>
      </c>
      <c r="G625" s="1">
        <v>39102</v>
      </c>
      <c r="H625" s="1">
        <v>1.5E-6</v>
      </c>
      <c r="L625" s="1">
        <v>39102</v>
      </c>
      <c r="M625" s="1">
        <v>3.1645899999999999E-6</v>
      </c>
      <c r="P625" s="1">
        <v>39102</v>
      </c>
      <c r="Q625" s="1">
        <v>6.2177800000000003E-6</v>
      </c>
    </row>
    <row r="626" spans="2:17" x14ac:dyDescent="0.2">
      <c r="B626" s="1">
        <v>40081</v>
      </c>
      <c r="C626" s="1">
        <v>2.3E-6</v>
      </c>
      <c r="G626" s="1">
        <v>40081</v>
      </c>
      <c r="H626" s="1">
        <v>1.9999999999999999E-7</v>
      </c>
      <c r="L626" s="1">
        <v>40081</v>
      </c>
      <c r="M626" s="1">
        <v>8.33552E-7</v>
      </c>
      <c r="P626" s="1">
        <v>40081</v>
      </c>
      <c r="Q626" s="1">
        <v>4.1241299999999996E-6</v>
      </c>
    </row>
    <row r="627" spans="2:17" x14ac:dyDescent="0.2">
      <c r="B627" s="1">
        <v>40082</v>
      </c>
      <c r="C627" s="1">
        <v>9.9999999999999995E-8</v>
      </c>
      <c r="G627" s="1">
        <v>40082</v>
      </c>
      <c r="H627" s="1">
        <v>9.9999999999999995E-8</v>
      </c>
      <c r="L627" s="1">
        <v>40082</v>
      </c>
      <c r="M627" s="1">
        <v>1.09865E-7</v>
      </c>
      <c r="P627" s="1">
        <v>40082</v>
      </c>
      <c r="Q627" s="1">
        <v>5.1135500000000002E-7</v>
      </c>
    </row>
    <row r="628" spans="2:17" x14ac:dyDescent="0.2">
      <c r="B628" s="1">
        <v>40083</v>
      </c>
      <c r="C628" s="1">
        <v>1.9999999999999999E-7</v>
      </c>
      <c r="G628" s="1">
        <v>40083</v>
      </c>
      <c r="H628" s="1">
        <v>0</v>
      </c>
      <c r="L628" s="1">
        <v>40083</v>
      </c>
      <c r="M628" s="1">
        <v>1.8845999999999999E-8</v>
      </c>
      <c r="P628" s="1">
        <v>40083</v>
      </c>
      <c r="Q628" s="1">
        <v>2.3711100000000001E-7</v>
      </c>
    </row>
    <row r="629" spans="2:17" x14ac:dyDescent="0.2">
      <c r="B629" s="1">
        <v>40084</v>
      </c>
      <c r="C629" s="1">
        <v>0</v>
      </c>
      <c r="G629" s="1">
        <v>40084</v>
      </c>
      <c r="H629" s="1">
        <v>0</v>
      </c>
      <c r="L629" s="1">
        <v>40084</v>
      </c>
      <c r="M629" s="1">
        <v>1.8148E-9</v>
      </c>
      <c r="P629" s="1">
        <v>40084</v>
      </c>
      <c r="Q629" s="1">
        <v>3.9576600000000002E-8</v>
      </c>
    </row>
    <row r="630" spans="2:17" x14ac:dyDescent="0.2">
      <c r="B630" s="1">
        <v>40085</v>
      </c>
      <c r="C630" s="1">
        <v>0</v>
      </c>
      <c r="G630" s="1">
        <v>40085</v>
      </c>
      <c r="H630" s="1">
        <v>0</v>
      </c>
      <c r="L630" s="1">
        <v>40085</v>
      </c>
      <c r="M630" s="1">
        <v>4.8860000000000005E-10</v>
      </c>
      <c r="P630" s="1">
        <v>40085</v>
      </c>
      <c r="Q630" s="1">
        <v>1.34016E-8</v>
      </c>
    </row>
    <row r="631" spans="2:17" x14ac:dyDescent="0.2">
      <c r="B631" s="1">
        <v>40086</v>
      </c>
      <c r="C631" s="1">
        <v>0</v>
      </c>
      <c r="G631" s="1">
        <v>40086</v>
      </c>
      <c r="H631" s="1">
        <v>0</v>
      </c>
      <c r="L631" s="1">
        <v>40086</v>
      </c>
      <c r="M631" s="1">
        <v>1.3959999999999999E-10</v>
      </c>
      <c r="P631" s="1">
        <v>40086</v>
      </c>
      <c r="Q631" s="1">
        <v>1.8845999999999999E-9</v>
      </c>
    </row>
    <row r="632" spans="2:17" x14ac:dyDescent="0.2">
      <c r="B632" s="1">
        <v>40087</v>
      </c>
      <c r="C632" s="1">
        <v>0</v>
      </c>
      <c r="G632" s="1">
        <v>40087</v>
      </c>
      <c r="H632" s="1">
        <v>0</v>
      </c>
      <c r="L632" s="1">
        <v>40087</v>
      </c>
      <c r="M632" s="1">
        <v>0</v>
      </c>
      <c r="P632" s="1">
        <v>40087</v>
      </c>
      <c r="Q632" s="1">
        <v>2.7919999999999998E-10</v>
      </c>
    </row>
    <row r="633" spans="2:17" hidden="1" x14ac:dyDescent="0.2">
      <c r="B633" s="1">
        <v>40088</v>
      </c>
      <c r="C633" s="1">
        <v>0</v>
      </c>
      <c r="G633" s="1">
        <v>40088</v>
      </c>
      <c r="H633" s="1">
        <v>0</v>
      </c>
      <c r="L633" s="1">
        <v>40088</v>
      </c>
      <c r="M633" s="1">
        <v>0</v>
      </c>
      <c r="P633" s="1">
        <v>40088</v>
      </c>
      <c r="Q633" s="1">
        <v>0</v>
      </c>
    </row>
    <row r="634" spans="2:17" hidden="1" x14ac:dyDescent="0.2">
      <c r="B634" s="1">
        <v>40089</v>
      </c>
      <c r="C634" s="1">
        <v>0</v>
      </c>
      <c r="G634" s="1">
        <v>40089</v>
      </c>
      <c r="H634" s="1">
        <v>0</v>
      </c>
      <c r="L634" s="1">
        <v>40089</v>
      </c>
      <c r="M634" s="1">
        <v>1.3959999999999999E-10</v>
      </c>
      <c r="P634" s="1">
        <v>40089</v>
      </c>
      <c r="Q634" s="1">
        <v>0</v>
      </c>
    </row>
    <row r="635" spans="2:17" hidden="1" x14ac:dyDescent="0.2">
      <c r="B635" s="1">
        <v>40090</v>
      </c>
      <c r="C635" s="1">
        <v>0</v>
      </c>
      <c r="G635" s="1">
        <v>40090</v>
      </c>
      <c r="H635" s="1">
        <v>0</v>
      </c>
      <c r="L635" s="1">
        <v>40090</v>
      </c>
      <c r="M635" s="1">
        <v>9.772000000000001E-10</v>
      </c>
      <c r="P635" s="1">
        <v>40090</v>
      </c>
      <c r="Q635" s="1">
        <v>0</v>
      </c>
    </row>
    <row r="636" spans="2:17" x14ac:dyDescent="0.2">
      <c r="B636" s="1">
        <v>40091</v>
      </c>
      <c r="C636" s="1">
        <v>0</v>
      </c>
      <c r="G636" s="1">
        <v>40091</v>
      </c>
      <c r="H636" s="1">
        <v>0</v>
      </c>
      <c r="L636" s="1">
        <v>40091</v>
      </c>
      <c r="M636" s="1">
        <v>7.3987999999999997E-9</v>
      </c>
      <c r="P636" s="1">
        <v>40091</v>
      </c>
      <c r="Q636" s="1">
        <v>1.3959999999999999E-10</v>
      </c>
    </row>
    <row r="637" spans="2:17" x14ac:dyDescent="0.2">
      <c r="B637" s="1">
        <v>40092</v>
      </c>
      <c r="C637" s="1">
        <v>0</v>
      </c>
      <c r="G637" s="1">
        <v>40092</v>
      </c>
      <c r="H637" s="1">
        <v>0</v>
      </c>
      <c r="L637" s="1">
        <v>40092</v>
      </c>
      <c r="M637" s="1">
        <v>3.8041000000000003E-8</v>
      </c>
      <c r="P637" s="1">
        <v>40092</v>
      </c>
      <c r="Q637" s="1">
        <v>9.0739999999999999E-10</v>
      </c>
    </row>
    <row r="638" spans="2:17" x14ac:dyDescent="0.2">
      <c r="B638" s="1">
        <v>40093</v>
      </c>
      <c r="C638" s="1">
        <v>0</v>
      </c>
      <c r="G638" s="1">
        <v>40093</v>
      </c>
      <c r="H638" s="1">
        <v>9.9999999999999995E-8</v>
      </c>
      <c r="L638" s="1">
        <v>40093</v>
      </c>
      <c r="M638" s="1">
        <v>1.91601E-7</v>
      </c>
      <c r="P638" s="1">
        <v>40093</v>
      </c>
      <c r="Q638" s="1">
        <v>6.631E-9</v>
      </c>
    </row>
    <row r="639" spans="2:17" x14ac:dyDescent="0.2">
      <c r="B639" s="1">
        <v>40094</v>
      </c>
      <c r="C639" s="1">
        <v>0</v>
      </c>
      <c r="G639" s="1">
        <v>40094</v>
      </c>
      <c r="H639" s="1">
        <v>2.9999999999999999E-7</v>
      </c>
      <c r="L639" s="1">
        <v>40094</v>
      </c>
      <c r="M639" s="1">
        <v>8.0276999999999998E-7</v>
      </c>
      <c r="P639" s="1">
        <v>40094</v>
      </c>
      <c r="Q639" s="1">
        <v>6.4215999999999997E-8</v>
      </c>
    </row>
    <row r="640" spans="2:17" x14ac:dyDescent="0.2">
      <c r="B640" s="1">
        <v>40095</v>
      </c>
      <c r="C640" s="1">
        <v>9.9999999999999995E-8</v>
      </c>
      <c r="G640" s="1">
        <v>40095</v>
      </c>
      <c r="H640" s="1">
        <v>1.1000000000000001E-6</v>
      </c>
      <c r="L640" s="1">
        <v>40095</v>
      </c>
      <c r="M640" s="1">
        <v>2.8452599999999998E-6</v>
      </c>
      <c r="P640" s="1">
        <v>40095</v>
      </c>
      <c r="Q640" s="1">
        <v>3.2059100000000002E-7</v>
      </c>
    </row>
    <row r="641" spans="2:17" x14ac:dyDescent="0.2">
      <c r="B641" s="1">
        <v>40096</v>
      </c>
      <c r="C641" s="1">
        <v>8.9999999999999996E-7</v>
      </c>
      <c r="G641" s="1">
        <v>40096</v>
      </c>
      <c r="H641" s="1">
        <v>7.5000000000000002E-6</v>
      </c>
      <c r="L641" s="1">
        <v>40096</v>
      </c>
      <c r="M641" s="1">
        <v>8.3706299999999995E-6</v>
      </c>
      <c r="P641" s="1">
        <v>40096</v>
      </c>
      <c r="Q641" s="1">
        <v>1.9395299999999998E-6</v>
      </c>
    </row>
    <row r="642" spans="2:17" x14ac:dyDescent="0.2">
      <c r="B642" s="1">
        <v>40097</v>
      </c>
      <c r="C642" s="1">
        <v>3.4999999999999999E-6</v>
      </c>
      <c r="G642" s="1">
        <v>40097</v>
      </c>
      <c r="H642" s="1">
        <v>1.88E-5</v>
      </c>
      <c r="L642" s="1">
        <v>40097</v>
      </c>
      <c r="M642" s="1">
        <v>2.0043699999999999E-5</v>
      </c>
      <c r="P642" s="1">
        <v>40097</v>
      </c>
      <c r="Q642" s="1">
        <v>5.0529600000000003E-6</v>
      </c>
    </row>
    <row r="643" spans="2:17" x14ac:dyDescent="0.2">
      <c r="B643" s="1">
        <v>40098</v>
      </c>
      <c r="C643" s="1">
        <v>7.7999999999999999E-6</v>
      </c>
      <c r="G643" s="1">
        <v>40098</v>
      </c>
      <c r="H643" s="1">
        <v>4.2200000000000003E-5</v>
      </c>
      <c r="L643" s="1">
        <v>40098</v>
      </c>
      <c r="M643" s="1">
        <v>4.1214899999999997E-5</v>
      </c>
      <c r="P643" s="1">
        <v>40098</v>
      </c>
      <c r="Q643" s="1">
        <v>1.28967E-5</v>
      </c>
    </row>
    <row r="644" spans="2:17" x14ac:dyDescent="0.2">
      <c r="B644" s="1">
        <v>40099</v>
      </c>
      <c r="C644" s="1">
        <v>8.4999999999999999E-6</v>
      </c>
      <c r="G644" s="1">
        <v>40099</v>
      </c>
      <c r="H644" s="1">
        <v>7.0900000000000002E-5</v>
      </c>
      <c r="L644" s="1">
        <v>40099</v>
      </c>
      <c r="M644" s="1">
        <v>6.3559599999999994E-5</v>
      </c>
      <c r="P644" s="1">
        <v>40099</v>
      </c>
      <c r="Q644" s="1">
        <v>1.52091E-5</v>
      </c>
    </row>
    <row r="645" spans="2:17" x14ac:dyDescent="0.2">
      <c r="B645" s="1">
        <v>40100</v>
      </c>
      <c r="C645" s="1">
        <v>1.8600000000000001E-5</v>
      </c>
      <c r="G645" s="1">
        <v>40100</v>
      </c>
      <c r="H645" s="1">
        <v>8.3100000000000001E-5</v>
      </c>
      <c r="L645" s="1">
        <v>40100</v>
      </c>
      <c r="M645" s="1">
        <v>7.5980800000000003E-5</v>
      </c>
      <c r="P645" s="1">
        <v>40100</v>
      </c>
      <c r="Q645" s="1">
        <v>2.7160200000000001E-5</v>
      </c>
    </row>
    <row r="646" spans="2:17" x14ac:dyDescent="0.2">
      <c r="B646" s="1">
        <v>40101</v>
      </c>
      <c r="C646" s="1">
        <v>1.31E-5</v>
      </c>
      <c r="G646" s="1">
        <v>40101</v>
      </c>
      <c r="H646" s="1">
        <v>6.7799999999999995E-5</v>
      </c>
      <c r="L646" s="1">
        <v>40101</v>
      </c>
      <c r="M646" s="1">
        <v>6.0205099999999997E-5</v>
      </c>
      <c r="P646" s="1">
        <v>40101</v>
      </c>
      <c r="Q646" s="1">
        <v>1.9953300000000001E-5</v>
      </c>
    </row>
    <row r="647" spans="2:17" x14ac:dyDescent="0.2">
      <c r="B647" s="1">
        <v>40102</v>
      </c>
      <c r="C647" s="1">
        <v>1.0699999999999999E-5</v>
      </c>
      <c r="G647" s="1">
        <v>40102</v>
      </c>
      <c r="H647" s="1">
        <v>3.43E-5</v>
      </c>
      <c r="L647" s="1">
        <v>40102</v>
      </c>
      <c r="M647" s="1">
        <v>3.4218199999999997E-5</v>
      </c>
      <c r="P647" s="1">
        <v>40102</v>
      </c>
      <c r="Q647" s="1">
        <v>1.7580100000000001E-5</v>
      </c>
    </row>
    <row r="648" spans="2:17" x14ac:dyDescent="0.2">
      <c r="B648" s="1">
        <v>41084</v>
      </c>
      <c r="C648" s="1">
        <v>4.6999999999999999E-6</v>
      </c>
      <c r="G648" s="1">
        <v>41084</v>
      </c>
      <c r="H648" s="1">
        <v>1.0000000000000001E-5</v>
      </c>
      <c r="L648" s="1">
        <v>41084</v>
      </c>
      <c r="M648" s="1">
        <v>1.23821E-5</v>
      </c>
      <c r="P648" s="1">
        <v>41084</v>
      </c>
      <c r="Q648" s="1">
        <v>8.6783699999999994E-6</v>
      </c>
    </row>
    <row r="649" spans="2:17" x14ac:dyDescent="0.2">
      <c r="B649" s="1">
        <v>41085</v>
      </c>
      <c r="C649" s="1">
        <v>3.8999999999999999E-6</v>
      </c>
      <c r="G649" s="1">
        <v>41085</v>
      </c>
      <c r="H649" s="1">
        <v>2.0999999999999998E-6</v>
      </c>
      <c r="L649" s="1">
        <v>41085</v>
      </c>
      <c r="M649" s="1">
        <v>3.6280600000000002E-6</v>
      </c>
      <c r="P649" s="1">
        <v>41085</v>
      </c>
      <c r="Q649" s="1">
        <v>6.61243E-6</v>
      </c>
    </row>
    <row r="650" spans="2:17" x14ac:dyDescent="0.2">
      <c r="B650" s="1">
        <v>41086</v>
      </c>
      <c r="C650" s="1">
        <v>1.1000000000000001E-6</v>
      </c>
      <c r="G650" s="1">
        <v>41086</v>
      </c>
      <c r="H650" s="1">
        <v>2.9999999999999999E-7</v>
      </c>
      <c r="L650" s="1">
        <v>41086</v>
      </c>
      <c r="M650" s="1">
        <v>7.1531000000000002E-7</v>
      </c>
      <c r="P650" s="1">
        <v>41086</v>
      </c>
      <c r="Q650" s="1">
        <v>3.0097799999999998E-6</v>
      </c>
    </row>
    <row r="651" spans="2:17" x14ac:dyDescent="0.2">
      <c r="B651" s="1">
        <v>41087</v>
      </c>
      <c r="C651" s="1">
        <v>1.9999999999999999E-7</v>
      </c>
      <c r="G651" s="1">
        <v>41087</v>
      </c>
      <c r="H651" s="1">
        <v>0</v>
      </c>
      <c r="L651" s="1">
        <v>41087</v>
      </c>
      <c r="M651" s="1">
        <v>1.42252E-7</v>
      </c>
      <c r="P651" s="1">
        <v>41087</v>
      </c>
      <c r="Q651" s="1">
        <v>7.1314700000000003E-7</v>
      </c>
    </row>
    <row r="652" spans="2:17" x14ac:dyDescent="0.2">
      <c r="B652" s="1">
        <v>41088</v>
      </c>
      <c r="C652" s="1">
        <v>0</v>
      </c>
      <c r="G652" s="1">
        <v>41088</v>
      </c>
      <c r="H652" s="1">
        <v>0</v>
      </c>
      <c r="L652" s="1">
        <v>41088</v>
      </c>
      <c r="M652" s="1">
        <v>3.0711999999999997E-8</v>
      </c>
      <c r="P652" s="1">
        <v>41088</v>
      </c>
      <c r="Q652" s="1">
        <v>1.3701699999999999E-7</v>
      </c>
    </row>
    <row r="653" spans="2:17" x14ac:dyDescent="0.2">
      <c r="B653" s="1">
        <v>41089</v>
      </c>
      <c r="C653" s="1">
        <v>0</v>
      </c>
      <c r="G653" s="1">
        <v>41089</v>
      </c>
      <c r="H653" s="1">
        <v>0</v>
      </c>
      <c r="L653" s="1">
        <v>41089</v>
      </c>
      <c r="M653" s="1">
        <v>1.10284E-8</v>
      </c>
      <c r="P653" s="1">
        <v>41089</v>
      </c>
      <c r="Q653" s="1">
        <v>6.3797199999999996E-8</v>
      </c>
    </row>
    <row r="654" spans="2:17" x14ac:dyDescent="0.2">
      <c r="B654" s="1">
        <v>41090</v>
      </c>
      <c r="C654" s="1">
        <v>9.9999999999999995E-8</v>
      </c>
      <c r="G654" s="1">
        <v>41090</v>
      </c>
      <c r="H654" s="1">
        <v>0</v>
      </c>
      <c r="L654" s="1">
        <v>41090</v>
      </c>
      <c r="M654" s="1">
        <v>2.9316000000000001E-9</v>
      </c>
      <c r="P654" s="1">
        <v>41090</v>
      </c>
      <c r="Q654" s="1">
        <v>7.6082000000000003E-9</v>
      </c>
    </row>
    <row r="655" spans="2:17" x14ac:dyDescent="0.2">
      <c r="B655" s="1">
        <v>41091</v>
      </c>
      <c r="C655" s="1">
        <v>0</v>
      </c>
      <c r="G655" s="1">
        <v>41091</v>
      </c>
      <c r="H655" s="1">
        <v>0</v>
      </c>
      <c r="L655" s="1">
        <v>41091</v>
      </c>
      <c r="M655" s="1">
        <v>1.047E-9</v>
      </c>
      <c r="P655" s="1">
        <v>41091</v>
      </c>
      <c r="Q655" s="1">
        <v>2.9316000000000001E-9</v>
      </c>
    </row>
    <row r="656" spans="2:17" x14ac:dyDescent="0.2">
      <c r="B656" s="1">
        <v>41092</v>
      </c>
      <c r="C656" s="1">
        <v>0</v>
      </c>
      <c r="G656" s="1">
        <v>41092</v>
      </c>
      <c r="H656" s="1">
        <v>0</v>
      </c>
      <c r="L656" s="1">
        <v>41092</v>
      </c>
      <c r="M656" s="1">
        <v>5.5839999999999995E-10</v>
      </c>
      <c r="P656" s="1">
        <v>41092</v>
      </c>
      <c r="Q656" s="1">
        <v>4.1879999999999999E-10</v>
      </c>
    </row>
    <row r="657" spans="2:17" x14ac:dyDescent="0.2">
      <c r="B657" s="1">
        <v>41093</v>
      </c>
      <c r="C657" s="1">
        <v>0</v>
      </c>
      <c r="G657" s="1">
        <v>41093</v>
      </c>
      <c r="H657" s="1">
        <v>0</v>
      </c>
      <c r="L657" s="1">
        <v>41093</v>
      </c>
      <c r="M657" s="1">
        <v>1.047E-9</v>
      </c>
      <c r="P657" s="1">
        <v>41093</v>
      </c>
      <c r="Q657" s="1">
        <v>2.094E-10</v>
      </c>
    </row>
    <row r="658" spans="2:17" hidden="1" x14ac:dyDescent="0.2">
      <c r="B658" s="1">
        <v>41094</v>
      </c>
      <c r="C658" s="1">
        <v>0</v>
      </c>
      <c r="G658" s="1">
        <v>41094</v>
      </c>
      <c r="H658" s="1">
        <v>0</v>
      </c>
      <c r="L658" s="1">
        <v>41094</v>
      </c>
      <c r="M658" s="1">
        <v>9.4928000000000001E-9</v>
      </c>
      <c r="P658" s="1">
        <v>41094</v>
      </c>
      <c r="Q658" s="1">
        <v>0</v>
      </c>
    </row>
    <row r="659" spans="2:17" x14ac:dyDescent="0.2">
      <c r="B659" s="1">
        <v>41095</v>
      </c>
      <c r="C659" s="1">
        <v>0</v>
      </c>
      <c r="G659" s="1">
        <v>41095</v>
      </c>
      <c r="H659" s="1">
        <v>0</v>
      </c>
      <c r="L659" s="1">
        <v>41095</v>
      </c>
      <c r="M659" s="1">
        <v>5.4444000000000001E-8</v>
      </c>
      <c r="P659" s="1">
        <v>41095</v>
      </c>
      <c r="Q659" s="1">
        <v>1.6054000000000001E-9</v>
      </c>
    </row>
    <row r="660" spans="2:17" x14ac:dyDescent="0.2">
      <c r="B660" s="1">
        <v>41096</v>
      </c>
      <c r="C660" s="1">
        <v>9.9999999999999995E-8</v>
      </c>
      <c r="G660" s="1">
        <v>41096</v>
      </c>
      <c r="H660" s="1">
        <v>1.9999999999999999E-7</v>
      </c>
      <c r="L660" s="1">
        <v>41096</v>
      </c>
      <c r="M660" s="1">
        <v>2.5281600000000001E-7</v>
      </c>
      <c r="P660" s="1">
        <v>41096</v>
      </c>
      <c r="Q660" s="1">
        <v>1.5844599999999999E-8</v>
      </c>
    </row>
    <row r="661" spans="2:17" x14ac:dyDescent="0.2">
      <c r="B661" s="1">
        <v>41097</v>
      </c>
      <c r="C661" s="1">
        <v>0</v>
      </c>
      <c r="G661" s="1">
        <v>41097</v>
      </c>
      <c r="H661" s="1">
        <v>4.9999999999999998E-7</v>
      </c>
      <c r="L661" s="1">
        <v>41097</v>
      </c>
      <c r="M661" s="1">
        <v>1.08365E-6</v>
      </c>
      <c r="P661" s="1">
        <v>41097</v>
      </c>
      <c r="Q661" s="1">
        <v>1.4406699999999999E-7</v>
      </c>
    </row>
    <row r="662" spans="2:17" x14ac:dyDescent="0.2">
      <c r="B662" s="1">
        <v>41098</v>
      </c>
      <c r="C662" s="1">
        <v>1.9999999999999999E-7</v>
      </c>
      <c r="G662" s="1">
        <v>41098</v>
      </c>
      <c r="H662" s="1">
        <v>2.3999999999999999E-6</v>
      </c>
      <c r="L662" s="1">
        <v>41098</v>
      </c>
      <c r="M662" s="1">
        <v>3.5865299999999999E-6</v>
      </c>
      <c r="P662" s="1">
        <v>41098</v>
      </c>
      <c r="Q662" s="1">
        <v>5.4011200000000004E-7</v>
      </c>
    </row>
    <row r="663" spans="2:17" x14ac:dyDescent="0.2">
      <c r="B663" s="1">
        <v>41099</v>
      </c>
      <c r="C663" s="1">
        <v>1.3E-6</v>
      </c>
      <c r="G663" s="1">
        <v>41099</v>
      </c>
      <c r="H663" s="1">
        <v>1.0000000000000001E-5</v>
      </c>
      <c r="L663" s="1">
        <v>41099</v>
      </c>
      <c r="M663" s="1">
        <v>1.1817100000000001E-5</v>
      </c>
      <c r="P663" s="1">
        <v>41099</v>
      </c>
      <c r="Q663" s="1">
        <v>2.3530300000000002E-6</v>
      </c>
    </row>
    <row r="664" spans="2:17" x14ac:dyDescent="0.2">
      <c r="B664" s="1">
        <v>41100</v>
      </c>
      <c r="C664" s="1">
        <v>3.0000000000000001E-6</v>
      </c>
      <c r="G664" s="1">
        <v>41100</v>
      </c>
      <c r="H664" s="1">
        <v>2.1699999999999999E-5</v>
      </c>
      <c r="L664" s="1">
        <v>41100</v>
      </c>
      <c r="M664" s="1">
        <v>2.34096E-5</v>
      </c>
      <c r="P664" s="1">
        <v>41100</v>
      </c>
      <c r="Q664" s="1">
        <v>5.5206899999999997E-6</v>
      </c>
    </row>
    <row r="665" spans="2:17" x14ac:dyDescent="0.2">
      <c r="B665" s="1">
        <v>41101</v>
      </c>
      <c r="C665" s="1">
        <v>9.2E-6</v>
      </c>
      <c r="G665" s="1">
        <v>41101</v>
      </c>
      <c r="H665" s="1">
        <v>4.99E-5</v>
      </c>
      <c r="L665" s="1">
        <v>41101</v>
      </c>
      <c r="M665" s="1">
        <v>4.60276E-5</v>
      </c>
      <c r="P665" s="1">
        <v>41101</v>
      </c>
      <c r="Q665" s="1">
        <v>1.2611300000000001E-5</v>
      </c>
    </row>
    <row r="666" spans="2:17" x14ac:dyDescent="0.2">
      <c r="B666" s="1">
        <v>41102</v>
      </c>
      <c r="C666" s="1">
        <v>9.3000000000000007E-6</v>
      </c>
      <c r="G666" s="1">
        <v>41102</v>
      </c>
      <c r="H666" s="1">
        <v>5.3900000000000002E-5</v>
      </c>
      <c r="L666" s="1">
        <v>41102</v>
      </c>
      <c r="M666" s="1">
        <v>4.4322E-5</v>
      </c>
      <c r="P666" s="1">
        <v>41102</v>
      </c>
      <c r="Q666" s="1">
        <v>1.44658E-5</v>
      </c>
    </row>
    <row r="667" spans="2:17" x14ac:dyDescent="0.2">
      <c r="B667" s="1">
        <v>41103</v>
      </c>
      <c r="C667" s="1">
        <v>1.0699999999999999E-5</v>
      </c>
      <c r="G667" s="1">
        <v>41103</v>
      </c>
      <c r="H667" s="1">
        <v>3.9799999999999998E-5</v>
      </c>
      <c r="L667" s="1">
        <v>41103</v>
      </c>
      <c r="M667" s="1">
        <v>3.9722999999999999E-5</v>
      </c>
      <c r="P667" s="1">
        <v>41103</v>
      </c>
      <c r="Q667" s="1">
        <v>1.8581699999999999E-5</v>
      </c>
    </row>
    <row r="668" spans="2:17" x14ac:dyDescent="0.2">
      <c r="B668" s="1">
        <v>41104</v>
      </c>
      <c r="C668" s="1">
        <v>6.0000000000000002E-6</v>
      </c>
      <c r="G668" s="1">
        <v>41104</v>
      </c>
      <c r="H668" s="1">
        <v>1.7200000000000001E-5</v>
      </c>
      <c r="L668" s="1">
        <v>41104</v>
      </c>
      <c r="M668" s="1">
        <v>1.87679E-5</v>
      </c>
      <c r="P668" s="1">
        <v>41104</v>
      </c>
      <c r="Q668" s="1">
        <v>1.14173E-5</v>
      </c>
    </row>
    <row r="669" spans="2:17" x14ac:dyDescent="0.2">
      <c r="B669" s="1">
        <v>41105</v>
      </c>
      <c r="C669" s="1">
        <v>5.5999999999999997E-6</v>
      </c>
      <c r="G669" s="1">
        <v>41105</v>
      </c>
      <c r="H669" s="1">
        <v>6.9999999999999999E-6</v>
      </c>
      <c r="L669" s="1">
        <v>41105</v>
      </c>
      <c r="M669" s="1">
        <v>8.94752E-6</v>
      </c>
      <c r="P669" s="1">
        <v>41105</v>
      </c>
      <c r="Q669" s="1">
        <v>9.5032000000000008E-6</v>
      </c>
    </row>
    <row r="670" spans="2:17" x14ac:dyDescent="0.2">
      <c r="B670" s="1">
        <v>41106</v>
      </c>
      <c r="C670" s="1">
        <v>1.5999999999999999E-6</v>
      </c>
      <c r="G670" s="1">
        <v>41106</v>
      </c>
      <c r="H670" s="1">
        <v>1.7999999999999999E-6</v>
      </c>
      <c r="L670" s="1">
        <v>41106</v>
      </c>
      <c r="M670" s="1">
        <v>2.97034E-6</v>
      </c>
      <c r="P670" s="1">
        <v>41106</v>
      </c>
      <c r="Q670" s="1">
        <v>3.67253E-6</v>
      </c>
    </row>
    <row r="671" spans="2:17" x14ac:dyDescent="0.2">
      <c r="B671" s="1">
        <v>42087</v>
      </c>
      <c r="C671" s="1">
        <v>2.3999999999999999E-6</v>
      </c>
      <c r="G671" s="1">
        <v>42087</v>
      </c>
      <c r="H671" s="1">
        <v>9.9999999999999995E-7</v>
      </c>
      <c r="L671" s="1">
        <v>42087</v>
      </c>
      <c r="M671" s="1">
        <v>1.3649400000000001E-6</v>
      </c>
      <c r="P671" s="1">
        <v>42087</v>
      </c>
      <c r="Q671" s="1">
        <v>2.77825E-6</v>
      </c>
    </row>
    <row r="672" spans="2:17" x14ac:dyDescent="0.2">
      <c r="B672" s="1">
        <v>42088</v>
      </c>
      <c r="C672" s="1">
        <v>4.9999999999999998E-7</v>
      </c>
      <c r="G672" s="1">
        <v>42088</v>
      </c>
      <c r="H672" s="1">
        <v>5.9999999999999997E-7</v>
      </c>
      <c r="L672" s="1">
        <v>42088</v>
      </c>
      <c r="M672" s="1">
        <v>4.94324E-7</v>
      </c>
      <c r="P672" s="1">
        <v>42088</v>
      </c>
      <c r="Q672" s="1">
        <v>1.35824E-6</v>
      </c>
    </row>
    <row r="673" spans="2:17" x14ac:dyDescent="0.2">
      <c r="B673" s="1">
        <v>42089</v>
      </c>
      <c r="C673" s="1">
        <v>1.9999999999999999E-7</v>
      </c>
      <c r="G673" s="1">
        <v>42089</v>
      </c>
      <c r="H673" s="1">
        <v>1.9999999999999999E-7</v>
      </c>
      <c r="L673" s="1">
        <v>42089</v>
      </c>
      <c r="M673" s="1">
        <v>2.0577E-7</v>
      </c>
      <c r="P673" s="1">
        <v>42089</v>
      </c>
      <c r="Q673" s="1">
        <v>2.7221999999999999E-7</v>
      </c>
    </row>
    <row r="674" spans="2:17" x14ac:dyDescent="0.2">
      <c r="B674" s="1">
        <v>42090</v>
      </c>
      <c r="C674" s="1">
        <v>0</v>
      </c>
      <c r="G674" s="1">
        <v>42090</v>
      </c>
      <c r="H674" s="1">
        <v>0</v>
      </c>
      <c r="L674" s="1">
        <v>42090</v>
      </c>
      <c r="M674" s="1">
        <v>6.4774400000000003E-8</v>
      </c>
      <c r="P674" s="1">
        <v>42090</v>
      </c>
      <c r="Q674" s="1">
        <v>5.5909799999999998E-8</v>
      </c>
    </row>
    <row r="675" spans="2:17" x14ac:dyDescent="0.2">
      <c r="B675" s="1">
        <v>42091</v>
      </c>
      <c r="C675" s="1">
        <v>0</v>
      </c>
      <c r="G675" s="1">
        <v>42091</v>
      </c>
      <c r="H675" s="1">
        <v>1.9999999999999999E-7</v>
      </c>
      <c r="L675" s="1">
        <v>42091</v>
      </c>
      <c r="M675" s="1">
        <v>2.3034E-8</v>
      </c>
      <c r="P675" s="1">
        <v>42091</v>
      </c>
      <c r="Q675" s="1">
        <v>2.10098E-8</v>
      </c>
    </row>
    <row r="676" spans="2:17" x14ac:dyDescent="0.2">
      <c r="B676" s="1">
        <v>42092</v>
      </c>
      <c r="C676" s="1">
        <v>0</v>
      </c>
      <c r="G676" s="1">
        <v>42092</v>
      </c>
      <c r="H676" s="1">
        <v>0</v>
      </c>
      <c r="L676" s="1">
        <v>42092</v>
      </c>
      <c r="M676" s="1">
        <v>6.9102000000000004E-9</v>
      </c>
      <c r="P676" s="1">
        <v>42092</v>
      </c>
      <c r="Q676" s="1">
        <v>3.6296E-9</v>
      </c>
    </row>
    <row r="677" spans="2:17" x14ac:dyDescent="0.2">
      <c r="B677" s="1">
        <v>42093</v>
      </c>
      <c r="C677" s="1">
        <v>0</v>
      </c>
      <c r="G677" s="1">
        <v>42093</v>
      </c>
      <c r="H677" s="1">
        <v>0</v>
      </c>
      <c r="L677" s="1">
        <v>42093</v>
      </c>
      <c r="M677" s="1">
        <v>2.2335999999999998E-9</v>
      </c>
      <c r="P677" s="1">
        <v>42093</v>
      </c>
      <c r="Q677" s="1">
        <v>7.6779999999999997E-10</v>
      </c>
    </row>
    <row r="678" spans="2:17" hidden="1" x14ac:dyDescent="0.2">
      <c r="B678" s="1">
        <v>42094</v>
      </c>
      <c r="C678" s="1">
        <v>0</v>
      </c>
      <c r="G678" s="1">
        <v>42094</v>
      </c>
      <c r="H678" s="1">
        <v>0</v>
      </c>
      <c r="L678" s="1">
        <v>42094</v>
      </c>
      <c r="M678" s="1">
        <v>6.9799999999999997E-10</v>
      </c>
      <c r="P678" s="1">
        <v>42094</v>
      </c>
      <c r="Q678" s="1">
        <v>0</v>
      </c>
    </row>
    <row r="679" spans="2:17" hidden="1" x14ac:dyDescent="0.2">
      <c r="B679" s="1">
        <v>42095</v>
      </c>
      <c r="C679" s="1">
        <v>0</v>
      </c>
      <c r="G679" s="1">
        <v>42095</v>
      </c>
      <c r="H679" s="1">
        <v>0</v>
      </c>
      <c r="L679" s="1">
        <v>42095</v>
      </c>
      <c r="M679" s="1">
        <v>1.1167999999999999E-9</v>
      </c>
      <c r="P679" s="1">
        <v>42095</v>
      </c>
      <c r="Q679" s="1">
        <v>0</v>
      </c>
    </row>
    <row r="680" spans="2:17" hidden="1" x14ac:dyDescent="0.2">
      <c r="B680" s="1">
        <v>42096</v>
      </c>
      <c r="C680" s="1">
        <v>0</v>
      </c>
      <c r="G680" s="1">
        <v>42096</v>
      </c>
      <c r="H680" s="1">
        <v>0</v>
      </c>
      <c r="L680" s="1">
        <v>42096</v>
      </c>
      <c r="M680" s="1">
        <v>5.3048000000000001E-9</v>
      </c>
      <c r="P680" s="1">
        <v>42096</v>
      </c>
      <c r="Q680" s="1">
        <v>0</v>
      </c>
    </row>
    <row r="681" spans="2:17" x14ac:dyDescent="0.2">
      <c r="B681" s="1">
        <v>42097</v>
      </c>
      <c r="C681" s="1">
        <v>0</v>
      </c>
      <c r="G681" s="1">
        <v>42097</v>
      </c>
      <c r="H681" s="1">
        <v>0</v>
      </c>
      <c r="L681" s="1">
        <v>42097</v>
      </c>
      <c r="M681" s="1">
        <v>2.6663600000000001E-8</v>
      </c>
      <c r="P681" s="1">
        <v>42097</v>
      </c>
      <c r="Q681" s="1">
        <v>3.4899999999999998E-10</v>
      </c>
    </row>
    <row r="682" spans="2:17" x14ac:dyDescent="0.2">
      <c r="B682" s="1">
        <v>42098</v>
      </c>
      <c r="C682" s="1">
        <v>0</v>
      </c>
      <c r="G682" s="1">
        <v>42098</v>
      </c>
      <c r="H682" s="1">
        <v>0</v>
      </c>
      <c r="L682" s="1">
        <v>42098</v>
      </c>
      <c r="M682" s="1">
        <v>1.3778500000000001E-7</v>
      </c>
      <c r="P682" s="1">
        <v>42098</v>
      </c>
      <c r="Q682" s="1">
        <v>6.631E-9</v>
      </c>
    </row>
    <row r="683" spans="2:17" x14ac:dyDescent="0.2">
      <c r="B683" s="1">
        <v>42099</v>
      </c>
      <c r="C683" s="1">
        <v>0</v>
      </c>
      <c r="G683" s="1">
        <v>42099</v>
      </c>
      <c r="H683" s="1">
        <v>4.9999999999999998E-7</v>
      </c>
      <c r="L683" s="1">
        <v>42099</v>
      </c>
      <c r="M683" s="1">
        <v>5.6489100000000005E-7</v>
      </c>
      <c r="P683" s="1">
        <v>42099</v>
      </c>
      <c r="Q683" s="1">
        <v>3.77618E-8</v>
      </c>
    </row>
    <row r="684" spans="2:17" x14ac:dyDescent="0.2">
      <c r="B684" s="1">
        <v>42100</v>
      </c>
      <c r="C684" s="1">
        <v>1.9999999999999999E-7</v>
      </c>
      <c r="G684" s="1">
        <v>42100</v>
      </c>
      <c r="H684" s="1">
        <v>7.9999999999999996E-7</v>
      </c>
      <c r="L684" s="1">
        <v>42100</v>
      </c>
      <c r="M684" s="1">
        <v>1.9744300000000001E-6</v>
      </c>
      <c r="P684" s="1">
        <v>42100</v>
      </c>
      <c r="Q684" s="1">
        <v>2.7940900000000001E-7</v>
      </c>
    </row>
    <row r="685" spans="2:17" x14ac:dyDescent="0.2">
      <c r="B685" s="1">
        <v>42101</v>
      </c>
      <c r="C685" s="1">
        <v>1.9999999999999999E-7</v>
      </c>
      <c r="G685" s="1">
        <v>42101</v>
      </c>
      <c r="H685" s="1">
        <v>3.4999999999999999E-6</v>
      </c>
      <c r="L685" s="1">
        <v>42101</v>
      </c>
      <c r="M685" s="1">
        <v>5.4125700000000001E-6</v>
      </c>
      <c r="P685" s="1">
        <v>42101</v>
      </c>
      <c r="Q685" s="1">
        <v>7.329E-7</v>
      </c>
    </row>
    <row r="686" spans="2:17" x14ac:dyDescent="0.2">
      <c r="B686" s="1">
        <v>42102</v>
      </c>
      <c r="C686" s="1">
        <v>2.7999999999999999E-6</v>
      </c>
      <c r="G686" s="1">
        <v>42102</v>
      </c>
      <c r="H686" s="1">
        <v>1.22E-5</v>
      </c>
      <c r="L686" s="1">
        <v>42102</v>
      </c>
      <c r="M686" s="1">
        <v>1.28553E-5</v>
      </c>
      <c r="P686" s="1">
        <v>42102</v>
      </c>
      <c r="Q686" s="1">
        <v>3.9265999999999998E-6</v>
      </c>
    </row>
    <row r="687" spans="2:17" x14ac:dyDescent="0.2">
      <c r="B687" s="1">
        <v>42103</v>
      </c>
      <c r="C687" s="1">
        <v>2.7999999999999999E-6</v>
      </c>
      <c r="G687" s="1">
        <v>42103</v>
      </c>
      <c r="H687" s="1">
        <v>2.02E-5</v>
      </c>
      <c r="L687" s="1">
        <v>42103</v>
      </c>
      <c r="M687" s="1">
        <v>2.0372699999999999E-5</v>
      </c>
      <c r="P687" s="1">
        <v>42103</v>
      </c>
      <c r="Q687" s="1">
        <v>5.9638499999999997E-6</v>
      </c>
    </row>
    <row r="688" spans="2:17" x14ac:dyDescent="0.2">
      <c r="B688" s="1">
        <v>42104</v>
      </c>
      <c r="C688" s="1">
        <v>6.1E-6</v>
      </c>
      <c r="G688" s="1">
        <v>42104</v>
      </c>
      <c r="H688" s="1">
        <v>2.9E-5</v>
      </c>
      <c r="L688" s="1">
        <v>42104</v>
      </c>
      <c r="M688" s="1">
        <v>2.5771599999999999E-5</v>
      </c>
      <c r="P688" s="1">
        <v>42104</v>
      </c>
      <c r="Q688" s="1">
        <v>1.07374E-5</v>
      </c>
    </row>
    <row r="689" spans="2:17" x14ac:dyDescent="0.2">
      <c r="B689" s="1">
        <v>42105</v>
      </c>
      <c r="C689" s="1">
        <v>4.6E-6</v>
      </c>
      <c r="G689" s="1">
        <v>42105</v>
      </c>
      <c r="H689" s="1">
        <v>2.2900000000000001E-5</v>
      </c>
      <c r="L689" s="1">
        <v>42105</v>
      </c>
      <c r="M689" s="1">
        <v>2.09034E-5</v>
      </c>
      <c r="P689" s="1">
        <v>42105</v>
      </c>
      <c r="Q689" s="1">
        <v>8.3656E-6</v>
      </c>
    </row>
    <row r="690" spans="2:17" x14ac:dyDescent="0.2">
      <c r="B690" s="1">
        <v>42106</v>
      </c>
      <c r="C690" s="1">
        <v>6.0000000000000002E-6</v>
      </c>
      <c r="G690" s="1">
        <v>42106</v>
      </c>
      <c r="H690" s="1">
        <v>1.13E-5</v>
      </c>
      <c r="L690" s="1">
        <v>42106</v>
      </c>
      <c r="M690" s="1">
        <v>1.37088E-5</v>
      </c>
      <c r="P690" s="1">
        <v>42106</v>
      </c>
      <c r="Q690" s="1">
        <v>9.7631399999999992E-6</v>
      </c>
    </row>
    <row r="691" spans="2:17" x14ac:dyDescent="0.2">
      <c r="B691" s="1">
        <v>42107</v>
      </c>
      <c r="C691" s="1">
        <v>2.7999999999999999E-6</v>
      </c>
      <c r="G691" s="1">
        <v>42107</v>
      </c>
      <c r="H691" s="1">
        <v>5.9000000000000003E-6</v>
      </c>
      <c r="L691" s="1">
        <v>42107</v>
      </c>
      <c r="M691" s="1">
        <v>6.7137099999999996E-6</v>
      </c>
      <c r="P691" s="1">
        <v>42107</v>
      </c>
      <c r="Q691" s="1">
        <v>4.9592900000000003E-6</v>
      </c>
    </row>
    <row r="692" spans="2:17" x14ac:dyDescent="0.2">
      <c r="B692" s="1">
        <v>42108</v>
      </c>
      <c r="C692" s="1">
        <v>1.9999999999999999E-6</v>
      </c>
      <c r="G692" s="1">
        <v>42108</v>
      </c>
      <c r="H692" s="1">
        <v>3.5999999999999998E-6</v>
      </c>
      <c r="L692" s="1">
        <v>42108</v>
      </c>
      <c r="M692" s="1">
        <v>3.2891200000000001E-6</v>
      </c>
      <c r="P692" s="1">
        <v>42108</v>
      </c>
      <c r="Q692" s="1">
        <v>3.6742700000000001E-6</v>
      </c>
    </row>
    <row r="693" spans="2:17" x14ac:dyDescent="0.2">
      <c r="B693" s="1">
        <v>43090</v>
      </c>
      <c r="C693" s="1">
        <v>1.1000000000000001E-6</v>
      </c>
      <c r="G693" s="1">
        <v>43090</v>
      </c>
      <c r="H693" s="1">
        <v>1.5E-6</v>
      </c>
      <c r="L693" s="1">
        <v>43090</v>
      </c>
      <c r="M693" s="1">
        <v>1.40403E-6</v>
      </c>
      <c r="P693" s="1">
        <v>43090</v>
      </c>
      <c r="Q693" s="1">
        <v>1.3644499999999999E-6</v>
      </c>
    </row>
    <row r="694" spans="2:17" x14ac:dyDescent="0.2">
      <c r="B694" s="1">
        <v>43091</v>
      </c>
      <c r="C694" s="1">
        <v>2.9999999999999999E-7</v>
      </c>
      <c r="G694" s="1">
        <v>43091</v>
      </c>
      <c r="H694" s="1">
        <v>4.9999999999999998E-7</v>
      </c>
      <c r="L694" s="1">
        <v>43091</v>
      </c>
      <c r="M694" s="1">
        <v>6.1542699999999997E-7</v>
      </c>
      <c r="P694" s="1">
        <v>43091</v>
      </c>
      <c r="Q694" s="1">
        <v>9.4041500000000002E-7</v>
      </c>
    </row>
    <row r="695" spans="2:17" x14ac:dyDescent="0.2">
      <c r="B695" s="1">
        <v>43092</v>
      </c>
      <c r="C695" s="1">
        <v>1.9999999999999999E-7</v>
      </c>
      <c r="G695" s="1">
        <v>43092</v>
      </c>
      <c r="H695" s="1">
        <v>2.9999999999999999E-7</v>
      </c>
      <c r="L695" s="1">
        <v>43092</v>
      </c>
      <c r="M695" s="1">
        <v>2.05352E-7</v>
      </c>
      <c r="P695" s="1">
        <v>43092</v>
      </c>
      <c r="Q695" s="1">
        <v>3.5381600000000002E-7</v>
      </c>
    </row>
    <row r="696" spans="2:17" x14ac:dyDescent="0.2">
      <c r="B696" s="1">
        <v>43093</v>
      </c>
      <c r="C696" s="1">
        <v>0</v>
      </c>
      <c r="G696" s="1">
        <v>43093</v>
      </c>
      <c r="H696" s="1">
        <v>1.9999999999999999E-7</v>
      </c>
      <c r="L696" s="1">
        <v>43093</v>
      </c>
      <c r="M696" s="1">
        <v>6.3866999999999999E-8</v>
      </c>
      <c r="P696" s="1">
        <v>43093</v>
      </c>
      <c r="Q696" s="1">
        <v>6.4355600000000002E-8</v>
      </c>
    </row>
    <row r="697" spans="2:17" x14ac:dyDescent="0.2">
      <c r="B697" s="1">
        <v>43094</v>
      </c>
      <c r="C697" s="1">
        <v>0</v>
      </c>
      <c r="G697" s="1">
        <v>43094</v>
      </c>
      <c r="H697" s="1">
        <v>0</v>
      </c>
      <c r="L697" s="1">
        <v>43094</v>
      </c>
      <c r="M697" s="1">
        <v>1.5355999999999999E-8</v>
      </c>
      <c r="P697" s="1">
        <v>43094</v>
      </c>
      <c r="Q697" s="1">
        <v>1.1935799999999999E-8</v>
      </c>
    </row>
    <row r="698" spans="2:17" x14ac:dyDescent="0.2">
      <c r="B698" s="1">
        <v>43095</v>
      </c>
      <c r="C698" s="1">
        <v>0</v>
      </c>
      <c r="G698" s="1">
        <v>43095</v>
      </c>
      <c r="H698" s="1">
        <v>0</v>
      </c>
      <c r="L698" s="1">
        <v>43095</v>
      </c>
      <c r="M698" s="1">
        <v>5.1652000000000003E-9</v>
      </c>
      <c r="P698" s="1">
        <v>43095</v>
      </c>
      <c r="Q698" s="1">
        <v>4.0484000000000002E-9</v>
      </c>
    </row>
    <row r="699" spans="2:17" x14ac:dyDescent="0.2">
      <c r="B699" s="1">
        <v>43096</v>
      </c>
      <c r="C699" s="1">
        <v>0</v>
      </c>
      <c r="G699" s="1">
        <v>43096</v>
      </c>
      <c r="H699" s="1">
        <v>0</v>
      </c>
      <c r="L699" s="1">
        <v>43096</v>
      </c>
      <c r="M699" s="1">
        <v>9.772000000000001E-10</v>
      </c>
      <c r="P699" s="1">
        <v>43096</v>
      </c>
      <c r="Q699" s="1">
        <v>6.2819999999999996E-10</v>
      </c>
    </row>
    <row r="700" spans="2:17" x14ac:dyDescent="0.2">
      <c r="B700" s="1">
        <v>43097</v>
      </c>
      <c r="C700" s="1">
        <v>0</v>
      </c>
      <c r="G700" s="1">
        <v>43097</v>
      </c>
      <c r="H700" s="1">
        <v>0</v>
      </c>
      <c r="L700" s="1">
        <v>43097</v>
      </c>
      <c r="M700" s="1">
        <v>3.4899999999999998E-10</v>
      </c>
      <c r="P700" s="1">
        <v>43097</v>
      </c>
      <c r="Q700" s="1">
        <v>1.3959999999999999E-10</v>
      </c>
    </row>
    <row r="701" spans="2:17" x14ac:dyDescent="0.2">
      <c r="B701" s="1">
        <v>43098</v>
      </c>
      <c r="C701" s="1">
        <v>0</v>
      </c>
      <c r="G701" s="1">
        <v>43098</v>
      </c>
      <c r="H701" s="1">
        <v>0</v>
      </c>
      <c r="L701" s="1">
        <v>43098</v>
      </c>
      <c r="M701" s="1">
        <v>4.1879999999999999E-10</v>
      </c>
      <c r="P701" s="1">
        <v>43098</v>
      </c>
      <c r="Q701" s="1">
        <v>1.3959999999999999E-10</v>
      </c>
    </row>
    <row r="702" spans="2:17" x14ac:dyDescent="0.2">
      <c r="B702" s="1">
        <v>43099</v>
      </c>
      <c r="C702" s="1">
        <v>0</v>
      </c>
      <c r="G702" s="1">
        <v>43099</v>
      </c>
      <c r="H702" s="1">
        <v>0</v>
      </c>
      <c r="L702" s="1">
        <v>43099</v>
      </c>
      <c r="M702" s="1">
        <v>3.8389999999999997E-9</v>
      </c>
      <c r="P702" s="1">
        <v>43099</v>
      </c>
      <c r="Q702" s="1">
        <v>6.9799999999999994E-11</v>
      </c>
    </row>
    <row r="703" spans="2:17" x14ac:dyDescent="0.2">
      <c r="B703" s="1">
        <v>43100</v>
      </c>
      <c r="C703" s="1">
        <v>0</v>
      </c>
      <c r="G703" s="1">
        <v>43100</v>
      </c>
      <c r="H703" s="1">
        <v>0</v>
      </c>
      <c r="L703" s="1">
        <v>43100</v>
      </c>
      <c r="M703" s="1">
        <v>1.75198E-8</v>
      </c>
      <c r="P703" s="1">
        <v>43100</v>
      </c>
      <c r="Q703" s="1">
        <v>9.772000000000001E-10</v>
      </c>
    </row>
    <row r="704" spans="2:17" x14ac:dyDescent="0.2">
      <c r="B704" s="1">
        <v>43101</v>
      </c>
      <c r="C704" s="1">
        <v>0</v>
      </c>
      <c r="G704" s="1">
        <v>43101</v>
      </c>
      <c r="H704" s="1">
        <v>9.9999999999999995E-8</v>
      </c>
      <c r="L704" s="1">
        <v>43101</v>
      </c>
      <c r="M704" s="1">
        <v>8.9204400000000004E-8</v>
      </c>
      <c r="P704" s="1">
        <v>43101</v>
      </c>
      <c r="Q704" s="1">
        <v>1.04002E-8</v>
      </c>
    </row>
    <row r="705" spans="2:17" x14ac:dyDescent="0.2">
      <c r="B705" s="1">
        <v>43102</v>
      </c>
      <c r="C705" s="1">
        <v>0</v>
      </c>
      <c r="G705" s="1">
        <v>43102</v>
      </c>
      <c r="H705" s="1">
        <v>1.9999999999999999E-7</v>
      </c>
      <c r="L705" s="1">
        <v>43102</v>
      </c>
      <c r="M705" s="1">
        <v>3.5444399999999999E-7</v>
      </c>
      <c r="P705" s="1">
        <v>43102</v>
      </c>
      <c r="Q705" s="1">
        <v>4.5579400000000002E-8</v>
      </c>
    </row>
    <row r="706" spans="2:17" x14ac:dyDescent="0.2">
      <c r="B706" s="1">
        <v>43103</v>
      </c>
      <c r="C706" s="1">
        <v>0</v>
      </c>
      <c r="G706" s="1">
        <v>43103</v>
      </c>
      <c r="H706" s="1">
        <v>3.9999999999999998E-7</v>
      </c>
      <c r="L706" s="1">
        <v>43103</v>
      </c>
      <c r="M706" s="1">
        <v>1.2004899999999999E-6</v>
      </c>
      <c r="P706" s="1">
        <v>43103</v>
      </c>
      <c r="Q706" s="1">
        <v>2.8548199999999999E-7</v>
      </c>
    </row>
    <row r="707" spans="2:17" x14ac:dyDescent="0.2">
      <c r="B707" s="1">
        <v>43104</v>
      </c>
      <c r="C707" s="1">
        <v>4.9999999999999998E-7</v>
      </c>
      <c r="G707" s="1">
        <v>43104</v>
      </c>
      <c r="H707" s="1">
        <v>2.3E-6</v>
      </c>
      <c r="L707" s="1">
        <v>43104</v>
      </c>
      <c r="M707" s="1">
        <v>2.31192E-6</v>
      </c>
      <c r="P707" s="1">
        <v>43104</v>
      </c>
      <c r="Q707" s="1">
        <v>8.6649700000000001E-7</v>
      </c>
    </row>
    <row r="708" spans="2:17" x14ac:dyDescent="0.2">
      <c r="B708" s="1">
        <v>43105</v>
      </c>
      <c r="C708" s="1">
        <v>1.1999999999999999E-6</v>
      </c>
      <c r="G708" s="1">
        <v>43105</v>
      </c>
      <c r="H708" s="1">
        <v>3.9999999999999998E-6</v>
      </c>
      <c r="L708" s="1">
        <v>43105</v>
      </c>
      <c r="M708" s="1">
        <v>4.2495599999999997E-6</v>
      </c>
      <c r="P708" s="1">
        <v>43105</v>
      </c>
      <c r="Q708" s="1">
        <v>3.0029399999999999E-6</v>
      </c>
    </row>
    <row r="709" spans="2:17" x14ac:dyDescent="0.2">
      <c r="B709" s="1">
        <v>43106</v>
      </c>
      <c r="C709" s="1">
        <v>2.3E-6</v>
      </c>
      <c r="G709" s="1">
        <v>43106</v>
      </c>
      <c r="H709" s="1">
        <v>2.9000000000000002E-6</v>
      </c>
      <c r="L709" s="1">
        <v>43106</v>
      </c>
      <c r="M709" s="1">
        <v>3.7151100000000001E-6</v>
      </c>
      <c r="P709" s="1">
        <v>43106</v>
      </c>
      <c r="Q709" s="1">
        <v>3.7869300000000001E-6</v>
      </c>
    </row>
    <row r="710" spans="2:17" x14ac:dyDescent="0.2">
      <c r="B710" s="1">
        <v>43107</v>
      </c>
      <c r="C710" s="1">
        <v>2.7999999999999999E-6</v>
      </c>
      <c r="G710" s="1">
        <v>43107</v>
      </c>
      <c r="H710" s="1">
        <v>3.8E-6</v>
      </c>
      <c r="L710" s="1">
        <v>43107</v>
      </c>
      <c r="M710" s="1">
        <v>3.5595899999999999E-6</v>
      </c>
      <c r="P710" s="1">
        <v>43107</v>
      </c>
      <c r="Q710" s="1">
        <v>6.2084999999999999E-6</v>
      </c>
    </row>
    <row r="711" spans="2:17" x14ac:dyDescent="0.2">
      <c r="B711" s="1">
        <v>43108</v>
      </c>
      <c r="C711" s="1">
        <v>2.9000000000000002E-6</v>
      </c>
      <c r="G711" s="1">
        <v>43108</v>
      </c>
      <c r="H711" s="1">
        <v>1.9E-6</v>
      </c>
      <c r="L711" s="1">
        <v>43108</v>
      </c>
      <c r="M711" s="1">
        <v>1.99942E-6</v>
      </c>
      <c r="P711" s="1">
        <v>43108</v>
      </c>
      <c r="Q711" s="1">
        <v>4.3597099999999998E-6</v>
      </c>
    </row>
    <row r="712" spans="2:17" x14ac:dyDescent="0.2">
      <c r="B712" s="1">
        <v>43109</v>
      </c>
      <c r="C712" s="1">
        <v>1.7999999999999999E-6</v>
      </c>
      <c r="G712" s="1">
        <v>43109</v>
      </c>
      <c r="H712" s="1">
        <v>1.1000000000000001E-6</v>
      </c>
      <c r="L712" s="1">
        <v>43109</v>
      </c>
      <c r="M712" s="1">
        <v>1.4637799999999999E-6</v>
      </c>
      <c r="P712" s="1">
        <v>43109</v>
      </c>
      <c r="Q712" s="1">
        <v>4.1331399999999997E-6</v>
      </c>
    </row>
    <row r="713" spans="2:17" x14ac:dyDescent="0.2">
      <c r="B713" s="1">
        <v>43110</v>
      </c>
      <c r="C713" s="1">
        <v>1.5E-6</v>
      </c>
      <c r="G713" s="1">
        <v>43110</v>
      </c>
      <c r="H713" s="1">
        <v>7.9999999999999996E-7</v>
      </c>
      <c r="L713" s="1">
        <v>43110</v>
      </c>
      <c r="M713" s="1">
        <v>8.9113699999999999E-7</v>
      </c>
      <c r="P713" s="1">
        <v>43110</v>
      </c>
      <c r="Q713" s="1">
        <v>2.3925299999999999E-6</v>
      </c>
    </row>
    <row r="714" spans="2:17" x14ac:dyDescent="0.2">
      <c r="B714" s="1">
        <v>44092</v>
      </c>
      <c r="C714" s="1">
        <v>1.5E-6</v>
      </c>
      <c r="G714" s="1">
        <v>44092</v>
      </c>
      <c r="H714" s="1">
        <v>2.9999999999999999E-7</v>
      </c>
      <c r="L714" s="1">
        <v>44092</v>
      </c>
      <c r="M714" s="1">
        <v>6.6379800000000005E-7</v>
      </c>
      <c r="P714" s="1">
        <v>44092</v>
      </c>
      <c r="Q714" s="1">
        <v>1.8192000000000001E-6</v>
      </c>
    </row>
    <row r="715" spans="2:17" x14ac:dyDescent="0.2">
      <c r="B715" s="1">
        <v>44093</v>
      </c>
      <c r="C715" s="1">
        <v>2.9999999999999999E-7</v>
      </c>
      <c r="G715" s="1">
        <v>44093</v>
      </c>
      <c r="H715" s="1">
        <v>9.9999999999999995E-8</v>
      </c>
      <c r="L715" s="1">
        <v>44093</v>
      </c>
      <c r="M715" s="1">
        <v>3.0753899999999999E-7</v>
      </c>
      <c r="P715" s="1">
        <v>44093</v>
      </c>
      <c r="Q715" s="1">
        <v>7.3422599999999997E-7</v>
      </c>
    </row>
    <row r="716" spans="2:17" x14ac:dyDescent="0.2">
      <c r="B716" s="1">
        <v>44094</v>
      </c>
      <c r="C716" s="1">
        <v>6.9999999999999997E-7</v>
      </c>
      <c r="G716" s="1">
        <v>44094</v>
      </c>
      <c r="H716" s="1">
        <v>2.9999999999999999E-7</v>
      </c>
      <c r="L716" s="1">
        <v>44094</v>
      </c>
      <c r="M716" s="1">
        <v>1.8629599999999999E-7</v>
      </c>
      <c r="P716" s="1">
        <v>44094</v>
      </c>
      <c r="Q716" s="1">
        <v>5.9595200000000004E-7</v>
      </c>
    </row>
    <row r="717" spans="2:17" x14ac:dyDescent="0.2">
      <c r="B717" s="1">
        <v>44095</v>
      </c>
      <c r="C717" s="1">
        <v>0</v>
      </c>
      <c r="G717" s="1">
        <v>44095</v>
      </c>
      <c r="H717" s="1">
        <v>0</v>
      </c>
      <c r="L717" s="1">
        <v>44095</v>
      </c>
      <c r="M717" s="1">
        <v>5.24896E-8</v>
      </c>
      <c r="P717" s="1">
        <v>44095</v>
      </c>
      <c r="Q717" s="1">
        <v>6.5961000000000004E-8</v>
      </c>
    </row>
    <row r="718" spans="2:17" x14ac:dyDescent="0.2">
      <c r="B718" s="1">
        <v>44096</v>
      </c>
      <c r="C718" s="1">
        <v>0</v>
      </c>
      <c r="G718" s="1">
        <v>44096</v>
      </c>
      <c r="H718" s="1">
        <v>0</v>
      </c>
      <c r="L718" s="1">
        <v>44096</v>
      </c>
      <c r="M718" s="1">
        <v>2.0870199999999999E-8</v>
      </c>
      <c r="P718" s="1">
        <v>44096</v>
      </c>
      <c r="Q718" s="1">
        <v>2.9595199999999999E-8</v>
      </c>
    </row>
    <row r="719" spans="2:17" x14ac:dyDescent="0.2">
      <c r="B719" s="1">
        <v>44097</v>
      </c>
      <c r="C719" s="1">
        <v>0</v>
      </c>
      <c r="G719" s="1">
        <v>44097</v>
      </c>
      <c r="H719" s="1">
        <v>0</v>
      </c>
      <c r="L719" s="1">
        <v>44097</v>
      </c>
      <c r="M719" s="1">
        <v>5.2350000000000002E-9</v>
      </c>
      <c r="P719" s="1">
        <v>44097</v>
      </c>
      <c r="Q719" s="1">
        <v>5.3048000000000001E-9</v>
      </c>
    </row>
    <row r="720" spans="2:17" x14ac:dyDescent="0.2">
      <c r="B720" s="1">
        <v>44098</v>
      </c>
      <c r="C720" s="1">
        <v>0</v>
      </c>
      <c r="G720" s="1">
        <v>44098</v>
      </c>
      <c r="H720" s="1">
        <v>0</v>
      </c>
      <c r="L720" s="1">
        <v>44098</v>
      </c>
      <c r="M720" s="1">
        <v>1.5355999999999999E-9</v>
      </c>
      <c r="P720" s="1">
        <v>44098</v>
      </c>
      <c r="Q720" s="1">
        <v>2.3732E-9</v>
      </c>
    </row>
    <row r="721" spans="2:17" x14ac:dyDescent="0.2">
      <c r="B721" s="1">
        <v>44099</v>
      </c>
      <c r="C721" s="1">
        <v>0</v>
      </c>
      <c r="G721" s="1">
        <v>44099</v>
      </c>
      <c r="H721" s="1">
        <v>0</v>
      </c>
      <c r="L721" s="1">
        <v>44099</v>
      </c>
      <c r="M721" s="1">
        <v>6.9799999999999994E-11</v>
      </c>
      <c r="P721" s="1">
        <v>44099</v>
      </c>
      <c r="Q721" s="1">
        <v>4.1879999999999999E-10</v>
      </c>
    </row>
    <row r="722" spans="2:17" x14ac:dyDescent="0.2">
      <c r="B722" s="1">
        <v>44100</v>
      </c>
      <c r="C722" s="1">
        <v>0</v>
      </c>
      <c r="G722" s="1">
        <v>44100</v>
      </c>
      <c r="H722" s="1">
        <v>0</v>
      </c>
      <c r="L722" s="1">
        <v>44100</v>
      </c>
      <c r="M722" s="1">
        <v>0</v>
      </c>
      <c r="P722" s="1">
        <v>44100</v>
      </c>
      <c r="Q722" s="1">
        <v>6.9799999999999994E-11</v>
      </c>
    </row>
    <row r="723" spans="2:17" x14ac:dyDescent="0.2">
      <c r="B723" s="1">
        <v>44101</v>
      </c>
      <c r="C723" s="1">
        <v>0</v>
      </c>
      <c r="G723" s="1">
        <v>44101</v>
      </c>
      <c r="H723" s="1">
        <v>0</v>
      </c>
      <c r="L723" s="1">
        <v>44101</v>
      </c>
      <c r="M723" s="1">
        <v>6.9799999999999997E-10</v>
      </c>
      <c r="P723" s="1">
        <v>44101</v>
      </c>
      <c r="Q723" s="1">
        <v>1.3959999999999999E-10</v>
      </c>
    </row>
    <row r="724" spans="2:17" x14ac:dyDescent="0.2">
      <c r="B724" s="1">
        <v>44102</v>
      </c>
      <c r="C724" s="1">
        <v>0</v>
      </c>
      <c r="G724" s="1">
        <v>44102</v>
      </c>
      <c r="H724" s="1">
        <v>0</v>
      </c>
      <c r="L724" s="1">
        <v>44102</v>
      </c>
      <c r="M724" s="1">
        <v>2.7222E-9</v>
      </c>
      <c r="P724" s="1">
        <v>44102</v>
      </c>
      <c r="Q724" s="1">
        <v>4.8860000000000005E-10</v>
      </c>
    </row>
    <row r="725" spans="2:17" x14ac:dyDescent="0.2">
      <c r="B725" s="1">
        <v>44103</v>
      </c>
      <c r="C725" s="1">
        <v>0</v>
      </c>
      <c r="G725" s="1">
        <v>44103</v>
      </c>
      <c r="H725" s="1">
        <v>0</v>
      </c>
      <c r="L725" s="1">
        <v>44103</v>
      </c>
      <c r="M725" s="1">
        <v>1.0190799999999999E-8</v>
      </c>
      <c r="P725" s="1">
        <v>44103</v>
      </c>
      <c r="Q725" s="1">
        <v>1.7450000000000001E-9</v>
      </c>
    </row>
    <row r="726" spans="2:17" x14ac:dyDescent="0.2">
      <c r="B726" s="1">
        <v>44104</v>
      </c>
      <c r="C726" s="1">
        <v>0</v>
      </c>
      <c r="G726" s="1">
        <v>44104</v>
      </c>
      <c r="H726" s="1">
        <v>0</v>
      </c>
      <c r="L726" s="1">
        <v>44104</v>
      </c>
      <c r="M726" s="1">
        <v>3.8250399999999997E-8</v>
      </c>
      <c r="P726" s="1">
        <v>44104</v>
      </c>
      <c r="Q726" s="1">
        <v>1.9055399999999999E-8</v>
      </c>
    </row>
    <row r="727" spans="2:17" x14ac:dyDescent="0.2">
      <c r="B727" s="1">
        <v>44105</v>
      </c>
      <c r="C727" s="1">
        <v>0</v>
      </c>
      <c r="G727" s="1">
        <v>44105</v>
      </c>
      <c r="H727" s="1">
        <v>0</v>
      </c>
      <c r="L727" s="1">
        <v>44105</v>
      </c>
      <c r="M727" s="1">
        <v>1.02676E-7</v>
      </c>
      <c r="P727" s="1">
        <v>44105</v>
      </c>
      <c r="Q727" s="1">
        <v>7.1475199999999994E-8</v>
      </c>
    </row>
    <row r="728" spans="2:17" x14ac:dyDescent="0.2">
      <c r="B728" s="1">
        <v>44106</v>
      </c>
      <c r="C728" s="1">
        <v>9.9999999999999995E-8</v>
      </c>
      <c r="G728" s="1">
        <v>44106</v>
      </c>
      <c r="H728" s="1">
        <v>4.9999999999999998E-7</v>
      </c>
      <c r="L728" s="1">
        <v>44106</v>
      </c>
      <c r="M728" s="1">
        <v>2.7277799999999998E-7</v>
      </c>
      <c r="P728" s="1">
        <v>44106</v>
      </c>
      <c r="Q728" s="1">
        <v>4.52793E-7</v>
      </c>
    </row>
    <row r="729" spans="2:17" x14ac:dyDescent="0.2">
      <c r="B729" s="1">
        <v>44107</v>
      </c>
      <c r="C729" s="1">
        <v>1.9999999999999999E-7</v>
      </c>
      <c r="G729" s="1">
        <v>44107</v>
      </c>
      <c r="H729" s="1">
        <v>6.9999999999999997E-7</v>
      </c>
      <c r="L729" s="1">
        <v>44107</v>
      </c>
      <c r="M729" s="1">
        <v>4.65915E-7</v>
      </c>
      <c r="P729" s="1">
        <v>44107</v>
      </c>
      <c r="Q729" s="1">
        <v>8.3411000000000005E-7</v>
      </c>
    </row>
    <row r="730" spans="2:17" x14ac:dyDescent="0.2">
      <c r="B730" s="1">
        <v>44108</v>
      </c>
      <c r="C730" s="1">
        <v>1.3E-6</v>
      </c>
      <c r="G730" s="1">
        <v>44108</v>
      </c>
      <c r="H730" s="1">
        <v>9.9999999999999995E-7</v>
      </c>
      <c r="L730" s="1">
        <v>44108</v>
      </c>
      <c r="M730" s="1">
        <v>8.6021500000000003E-7</v>
      </c>
      <c r="P730" s="1">
        <v>44108</v>
      </c>
      <c r="Q730" s="1">
        <v>2.1219200000000001E-6</v>
      </c>
    </row>
    <row r="731" spans="2:17" x14ac:dyDescent="0.2">
      <c r="B731" s="1">
        <v>44109</v>
      </c>
      <c r="C731" s="1">
        <v>1.5999999999999999E-6</v>
      </c>
      <c r="G731" s="1">
        <v>44109</v>
      </c>
      <c r="H731" s="1">
        <v>9.9999999999999995E-7</v>
      </c>
      <c r="L731" s="1">
        <v>44109</v>
      </c>
      <c r="M731" s="1">
        <v>9.19057E-7</v>
      </c>
      <c r="P731" s="1">
        <v>44109</v>
      </c>
      <c r="Q731" s="1">
        <v>2.1755300000000002E-6</v>
      </c>
    </row>
    <row r="732" spans="2:17" x14ac:dyDescent="0.2">
      <c r="B732" s="1">
        <v>44110</v>
      </c>
      <c r="C732" s="1">
        <v>2.6000000000000001E-6</v>
      </c>
      <c r="G732" s="1">
        <v>44110</v>
      </c>
      <c r="H732" s="1">
        <v>1.1000000000000001E-6</v>
      </c>
      <c r="L732" s="1">
        <v>44110</v>
      </c>
      <c r="M732" s="1">
        <v>1.2280600000000001E-6</v>
      </c>
      <c r="P732" s="1">
        <v>44110</v>
      </c>
      <c r="Q732" s="1">
        <v>3.2726400000000001E-6</v>
      </c>
    </row>
    <row r="733" spans="2:17" x14ac:dyDescent="0.2">
      <c r="B733" s="1">
        <v>44111</v>
      </c>
      <c r="C733" s="1">
        <v>1.1999999999999999E-6</v>
      </c>
      <c r="G733" s="1">
        <v>44111</v>
      </c>
      <c r="H733" s="1">
        <v>1.5E-6</v>
      </c>
      <c r="L733" s="1">
        <v>44111</v>
      </c>
      <c r="M733" s="1">
        <v>1.0775000000000001E-6</v>
      </c>
      <c r="P733" s="1">
        <v>44111</v>
      </c>
      <c r="Q733" s="1">
        <v>1.89996E-6</v>
      </c>
    </row>
    <row r="734" spans="2:17" x14ac:dyDescent="0.2">
      <c r="B734" s="1">
        <v>44112</v>
      </c>
      <c r="C734" s="1">
        <v>1.5E-6</v>
      </c>
      <c r="G734" s="1">
        <v>44112</v>
      </c>
      <c r="H734" s="1">
        <v>1.9E-6</v>
      </c>
      <c r="L734" s="1">
        <v>44112</v>
      </c>
      <c r="M734" s="1">
        <v>1.1597300000000001E-6</v>
      </c>
      <c r="P734" s="1">
        <v>44112</v>
      </c>
      <c r="Q734" s="1">
        <v>2.14042E-6</v>
      </c>
    </row>
    <row r="735" spans="2:17" x14ac:dyDescent="0.2">
      <c r="B735" s="1">
        <v>44113</v>
      </c>
      <c r="C735" s="1">
        <v>5.9999999999999997E-7</v>
      </c>
      <c r="G735" s="1">
        <v>44113</v>
      </c>
      <c r="H735" s="1">
        <v>6.9999999999999997E-7</v>
      </c>
      <c r="L735" s="1">
        <v>44113</v>
      </c>
      <c r="M735" s="1">
        <v>8.3808899999999998E-7</v>
      </c>
      <c r="P735" s="1">
        <v>44113</v>
      </c>
      <c r="Q735" s="1">
        <v>9.75315E-7</v>
      </c>
    </row>
    <row r="736" spans="2:17" x14ac:dyDescent="0.2">
      <c r="B736" s="1">
        <v>45094</v>
      </c>
      <c r="C736" s="1">
        <v>7.9999999999999996E-7</v>
      </c>
      <c r="G736" s="1">
        <v>45094</v>
      </c>
      <c r="H736" s="1">
        <v>6.9999999999999997E-7</v>
      </c>
      <c r="L736" s="1">
        <v>45094</v>
      </c>
      <c r="M736" s="1">
        <v>6.1375099999999997E-7</v>
      </c>
      <c r="P736" s="1">
        <v>45094</v>
      </c>
      <c r="Q736" s="1">
        <v>8.05352E-7</v>
      </c>
    </row>
    <row r="737" spans="2:17" x14ac:dyDescent="0.2">
      <c r="B737" s="1">
        <v>45095</v>
      </c>
      <c r="C737" s="1">
        <v>9.9999999999999995E-8</v>
      </c>
      <c r="G737" s="1">
        <v>45095</v>
      </c>
      <c r="H737" s="1">
        <v>2.9999999999999999E-7</v>
      </c>
      <c r="L737" s="1">
        <v>45095</v>
      </c>
      <c r="M737" s="1">
        <v>3.2254599999999998E-7</v>
      </c>
      <c r="P737" s="1">
        <v>45095</v>
      </c>
      <c r="Q737" s="1">
        <v>3.7461700000000003E-7</v>
      </c>
    </row>
    <row r="738" spans="2:17" x14ac:dyDescent="0.2">
      <c r="B738" s="1">
        <v>45096</v>
      </c>
      <c r="C738" s="1">
        <v>1.9999999999999999E-7</v>
      </c>
      <c r="G738" s="1">
        <v>45096</v>
      </c>
      <c r="H738" s="1">
        <v>2.9999999999999999E-7</v>
      </c>
      <c r="L738" s="1">
        <v>45096</v>
      </c>
      <c r="M738" s="1">
        <v>1.3143300000000001E-7</v>
      </c>
      <c r="P738" s="1">
        <v>45096</v>
      </c>
      <c r="Q738" s="1">
        <v>1.0100100000000001E-7</v>
      </c>
    </row>
    <row r="739" spans="2:17" x14ac:dyDescent="0.2">
      <c r="B739" s="1">
        <v>45097</v>
      </c>
      <c r="C739" s="1">
        <v>0</v>
      </c>
      <c r="G739" s="1">
        <v>45097</v>
      </c>
      <c r="H739" s="1">
        <v>0</v>
      </c>
      <c r="L739" s="1">
        <v>45097</v>
      </c>
      <c r="M739" s="1">
        <v>4.3485399999999997E-8</v>
      </c>
      <c r="P739" s="1">
        <v>45097</v>
      </c>
      <c r="Q739" s="1">
        <v>2.25454E-8</v>
      </c>
    </row>
    <row r="740" spans="2:17" x14ac:dyDescent="0.2">
      <c r="B740" s="1">
        <v>45098</v>
      </c>
      <c r="C740" s="1">
        <v>0</v>
      </c>
      <c r="G740" s="1">
        <v>45098</v>
      </c>
      <c r="H740" s="1">
        <v>0</v>
      </c>
      <c r="L740" s="1">
        <v>45098</v>
      </c>
      <c r="M740" s="1">
        <v>1.40996E-8</v>
      </c>
      <c r="P740" s="1">
        <v>45098</v>
      </c>
      <c r="Q740" s="1">
        <v>1.1307599999999999E-8</v>
      </c>
    </row>
    <row r="741" spans="2:17" x14ac:dyDescent="0.2">
      <c r="B741" s="1">
        <v>45099</v>
      </c>
      <c r="C741" s="1">
        <v>0</v>
      </c>
      <c r="G741" s="1">
        <v>45099</v>
      </c>
      <c r="H741" s="1">
        <v>0</v>
      </c>
      <c r="L741" s="1">
        <v>45099</v>
      </c>
      <c r="M741" s="1">
        <v>2.5826000000000002E-9</v>
      </c>
      <c r="P741" s="1">
        <v>45099</v>
      </c>
      <c r="Q741" s="1">
        <v>2.1637999999999999E-9</v>
      </c>
    </row>
    <row r="742" spans="2:17" x14ac:dyDescent="0.2">
      <c r="B742" s="1">
        <v>45100</v>
      </c>
      <c r="C742" s="1">
        <v>0</v>
      </c>
      <c r="G742" s="1">
        <v>45100</v>
      </c>
      <c r="H742" s="1">
        <v>0</v>
      </c>
      <c r="L742" s="1">
        <v>45100</v>
      </c>
      <c r="M742" s="1">
        <v>5.5839999999999995E-10</v>
      </c>
      <c r="P742" s="1">
        <v>45100</v>
      </c>
      <c r="Q742" s="1">
        <v>1.4658E-9</v>
      </c>
    </row>
    <row r="743" spans="2:17" x14ac:dyDescent="0.2">
      <c r="B743" s="1">
        <v>45101</v>
      </c>
      <c r="C743" s="1">
        <v>0</v>
      </c>
      <c r="G743" s="1">
        <v>45101</v>
      </c>
      <c r="H743" s="1">
        <v>0</v>
      </c>
      <c r="L743" s="1">
        <v>45101</v>
      </c>
      <c r="M743" s="1">
        <v>6.9799999999999994E-11</v>
      </c>
      <c r="P743" s="1">
        <v>45101</v>
      </c>
      <c r="Q743" s="1">
        <v>4.1879999999999999E-10</v>
      </c>
    </row>
    <row r="744" spans="2:17" hidden="1" x14ac:dyDescent="0.2">
      <c r="B744" s="1">
        <v>45102</v>
      </c>
      <c r="C744" s="1">
        <v>0</v>
      </c>
      <c r="G744" s="1">
        <v>45102</v>
      </c>
      <c r="H744" s="1">
        <v>0</v>
      </c>
      <c r="L744" s="1">
        <v>45102</v>
      </c>
      <c r="M744" s="1">
        <v>0</v>
      </c>
      <c r="P744" s="1">
        <v>45102</v>
      </c>
      <c r="Q744" s="1">
        <v>0</v>
      </c>
    </row>
    <row r="745" spans="2:17" hidden="1" x14ac:dyDescent="0.2">
      <c r="B745" s="1">
        <v>45103</v>
      </c>
      <c r="C745" s="1">
        <v>0</v>
      </c>
      <c r="G745" s="1">
        <v>45103</v>
      </c>
      <c r="H745" s="1">
        <v>0</v>
      </c>
      <c r="L745" s="1">
        <v>45103</v>
      </c>
      <c r="M745" s="1">
        <v>0</v>
      </c>
      <c r="P745" s="1">
        <v>45103</v>
      </c>
      <c r="Q745" s="1">
        <v>0</v>
      </c>
    </row>
    <row r="746" spans="2:17" hidden="1" x14ac:dyDescent="0.2">
      <c r="B746" s="1">
        <v>45104</v>
      </c>
      <c r="C746" s="1">
        <v>0</v>
      </c>
      <c r="G746" s="1">
        <v>45104</v>
      </c>
      <c r="H746" s="1">
        <v>0</v>
      </c>
      <c r="L746" s="1">
        <v>45104</v>
      </c>
      <c r="M746" s="1">
        <v>6.9799999999999994E-11</v>
      </c>
      <c r="P746" s="1">
        <v>45104</v>
      </c>
      <c r="Q746" s="1">
        <v>0</v>
      </c>
    </row>
    <row r="747" spans="2:17" x14ac:dyDescent="0.2">
      <c r="B747" s="1">
        <v>45105</v>
      </c>
      <c r="C747" s="1">
        <v>0</v>
      </c>
      <c r="G747" s="1">
        <v>45105</v>
      </c>
      <c r="H747" s="1">
        <v>0</v>
      </c>
      <c r="L747" s="1">
        <v>45105</v>
      </c>
      <c r="M747" s="1">
        <v>6.2819999999999996E-10</v>
      </c>
      <c r="P747" s="1">
        <v>45105</v>
      </c>
      <c r="Q747" s="1">
        <v>2.094E-10</v>
      </c>
    </row>
    <row r="748" spans="2:17" x14ac:dyDescent="0.2">
      <c r="B748" s="1">
        <v>45106</v>
      </c>
      <c r="C748" s="1">
        <v>0</v>
      </c>
      <c r="G748" s="1">
        <v>45106</v>
      </c>
      <c r="H748" s="1">
        <v>0</v>
      </c>
      <c r="L748" s="1">
        <v>45106</v>
      </c>
      <c r="M748" s="1">
        <v>2.0242000000000001E-9</v>
      </c>
      <c r="P748" s="1">
        <v>45106</v>
      </c>
      <c r="Q748" s="1">
        <v>1.3959999999999999E-9</v>
      </c>
    </row>
    <row r="749" spans="2:17" x14ac:dyDescent="0.2">
      <c r="B749" s="1">
        <v>45107</v>
      </c>
      <c r="C749" s="1">
        <v>9.9999999999999995E-8</v>
      </c>
      <c r="G749" s="1">
        <v>45107</v>
      </c>
      <c r="H749" s="1">
        <v>9.9999999999999995E-8</v>
      </c>
      <c r="L749" s="1">
        <v>45107</v>
      </c>
      <c r="M749" s="1">
        <v>1.1307599999999999E-8</v>
      </c>
      <c r="P749" s="1">
        <v>45107</v>
      </c>
      <c r="Q749" s="1">
        <v>1.5705000000000001E-8</v>
      </c>
    </row>
    <row r="750" spans="2:17" x14ac:dyDescent="0.2">
      <c r="B750" s="1">
        <v>45108</v>
      </c>
      <c r="C750" s="1">
        <v>0</v>
      </c>
      <c r="G750" s="1">
        <v>45108</v>
      </c>
      <c r="H750" s="1">
        <v>0</v>
      </c>
      <c r="L750" s="1">
        <v>45108</v>
      </c>
      <c r="M750" s="1">
        <v>3.5458400000000001E-8</v>
      </c>
      <c r="P750" s="1">
        <v>45108</v>
      </c>
      <c r="Q750" s="1">
        <v>5.73058E-8</v>
      </c>
    </row>
    <row r="751" spans="2:17" x14ac:dyDescent="0.2">
      <c r="B751" s="1">
        <v>45109</v>
      </c>
      <c r="C751" s="1">
        <v>1.9999999999999999E-7</v>
      </c>
      <c r="G751" s="1">
        <v>45109</v>
      </c>
      <c r="H751" s="1">
        <v>9.9999999999999995E-8</v>
      </c>
      <c r="L751" s="1">
        <v>45109</v>
      </c>
      <c r="M751" s="1">
        <v>1.1845100000000001E-7</v>
      </c>
      <c r="P751" s="1">
        <v>45109</v>
      </c>
      <c r="Q751" s="1">
        <v>2.6607800000000001E-7</v>
      </c>
    </row>
    <row r="752" spans="2:17" x14ac:dyDescent="0.2">
      <c r="B752" s="1">
        <v>45110</v>
      </c>
      <c r="C752" s="1">
        <v>5.9999999999999997E-7</v>
      </c>
      <c r="G752" s="1">
        <v>45110</v>
      </c>
      <c r="H752" s="1">
        <v>2.9999999999999999E-7</v>
      </c>
      <c r="L752" s="1">
        <v>45110</v>
      </c>
      <c r="M752" s="1">
        <v>2.3075900000000001E-7</v>
      </c>
      <c r="P752" s="1">
        <v>45110</v>
      </c>
      <c r="Q752" s="1">
        <v>5.1610100000000005E-7</v>
      </c>
    </row>
    <row r="753" spans="2:17" x14ac:dyDescent="0.2">
      <c r="B753" s="1">
        <v>45111</v>
      </c>
      <c r="C753" s="1">
        <v>1.9999999999999999E-7</v>
      </c>
      <c r="G753" s="1">
        <v>45111</v>
      </c>
      <c r="H753" s="1">
        <v>1.9999999999999999E-7</v>
      </c>
      <c r="L753" s="1">
        <v>45111</v>
      </c>
      <c r="M753" s="1">
        <v>5.2454700000000004E-7</v>
      </c>
      <c r="P753" s="1">
        <v>45111</v>
      </c>
      <c r="Q753" s="1">
        <v>1.0692000000000001E-6</v>
      </c>
    </row>
    <row r="754" spans="2:17" x14ac:dyDescent="0.2">
      <c r="B754" s="1">
        <v>45112</v>
      </c>
      <c r="C754" s="1">
        <v>4.9999999999999998E-7</v>
      </c>
      <c r="G754" s="1">
        <v>45112</v>
      </c>
      <c r="H754" s="1">
        <v>3.9999999999999998E-7</v>
      </c>
      <c r="L754" s="1">
        <v>45112</v>
      </c>
      <c r="M754" s="1">
        <v>7.0169899999999996E-7</v>
      </c>
      <c r="P754" s="1">
        <v>45112</v>
      </c>
      <c r="Q754" s="1">
        <v>1.32885E-6</v>
      </c>
    </row>
    <row r="755" spans="2:17" x14ac:dyDescent="0.2">
      <c r="B755" s="1">
        <v>45113</v>
      </c>
      <c r="C755" s="1">
        <v>7.9999999999999996E-7</v>
      </c>
      <c r="G755" s="1">
        <v>45113</v>
      </c>
      <c r="H755" s="1">
        <v>1.3E-6</v>
      </c>
      <c r="L755" s="1">
        <v>45113</v>
      </c>
      <c r="M755" s="1">
        <v>1.12546E-6</v>
      </c>
      <c r="P755" s="1">
        <v>45113</v>
      </c>
      <c r="Q755" s="1">
        <v>1.9180999999999999E-6</v>
      </c>
    </row>
    <row r="756" spans="2:17" x14ac:dyDescent="0.2">
      <c r="B756" s="1">
        <v>45114</v>
      </c>
      <c r="C756" s="1">
        <v>8.9999999999999996E-7</v>
      </c>
      <c r="G756" s="1">
        <v>45114</v>
      </c>
      <c r="H756" s="1">
        <v>1.1000000000000001E-6</v>
      </c>
      <c r="L756" s="1">
        <v>45114</v>
      </c>
      <c r="M756" s="1">
        <v>9.5535299999999997E-7</v>
      </c>
      <c r="P756" s="1">
        <v>45114</v>
      </c>
      <c r="Q756" s="1">
        <v>1.32948E-6</v>
      </c>
    </row>
    <row r="757" spans="2:17" x14ac:dyDescent="0.2">
      <c r="B757" s="1">
        <v>46096</v>
      </c>
      <c r="C757" s="1">
        <v>4.9999999999999998E-7</v>
      </c>
      <c r="G757" s="1">
        <v>46096</v>
      </c>
      <c r="H757" s="1">
        <v>1.3E-6</v>
      </c>
      <c r="L757" s="1">
        <v>46096</v>
      </c>
      <c r="M757" s="1">
        <v>1.01678E-6</v>
      </c>
      <c r="P757" s="1">
        <v>46096</v>
      </c>
      <c r="Q757" s="1">
        <v>1.2134000000000001E-6</v>
      </c>
    </row>
    <row r="758" spans="2:17" x14ac:dyDescent="0.2">
      <c r="B758" s="1">
        <v>46097</v>
      </c>
      <c r="C758" s="1">
        <v>1.9999999999999999E-7</v>
      </c>
      <c r="G758" s="1">
        <v>46097</v>
      </c>
      <c r="H758" s="1">
        <v>7.9999999999999996E-7</v>
      </c>
      <c r="L758" s="1">
        <v>46097</v>
      </c>
      <c r="M758" s="1">
        <v>6.3483099999999995E-7</v>
      </c>
      <c r="P758" s="1">
        <v>46097</v>
      </c>
      <c r="Q758" s="1">
        <v>6.0237399999999996E-7</v>
      </c>
    </row>
    <row r="759" spans="2:17" x14ac:dyDescent="0.2">
      <c r="B759" s="1">
        <v>46098</v>
      </c>
      <c r="C759" s="1">
        <v>3.9999999999999998E-7</v>
      </c>
      <c r="G759" s="1">
        <v>46098</v>
      </c>
      <c r="H759" s="1">
        <v>4.9999999999999998E-7</v>
      </c>
      <c r="L759" s="1">
        <v>46098</v>
      </c>
      <c r="M759" s="1">
        <v>4.7254599999999998E-7</v>
      </c>
      <c r="P759" s="1">
        <v>46098</v>
      </c>
      <c r="Q759" s="1">
        <v>4.8413300000000001E-7</v>
      </c>
    </row>
    <row r="760" spans="2:17" x14ac:dyDescent="0.2">
      <c r="B760" s="1">
        <v>46099</v>
      </c>
      <c r="C760" s="1">
        <v>0</v>
      </c>
      <c r="G760" s="1">
        <v>46099</v>
      </c>
      <c r="H760" s="1">
        <v>1.9999999999999999E-7</v>
      </c>
      <c r="L760" s="1">
        <v>46099</v>
      </c>
      <c r="M760" s="1">
        <v>2.3006100000000001E-7</v>
      </c>
      <c r="P760" s="1">
        <v>46099</v>
      </c>
      <c r="Q760" s="1">
        <v>2.46324E-7</v>
      </c>
    </row>
    <row r="761" spans="2:17" x14ac:dyDescent="0.2">
      <c r="B761" s="1">
        <v>46100</v>
      </c>
      <c r="C761" s="1">
        <v>1.9999999999999999E-7</v>
      </c>
      <c r="G761" s="1">
        <v>46100</v>
      </c>
      <c r="H761" s="1">
        <v>1.9999999999999999E-7</v>
      </c>
      <c r="L761" s="1">
        <v>46100</v>
      </c>
      <c r="M761" s="1">
        <v>1.0449100000000001E-7</v>
      </c>
      <c r="P761" s="1">
        <v>46100</v>
      </c>
      <c r="Q761" s="1">
        <v>9.0391000000000005E-8</v>
      </c>
    </row>
    <row r="762" spans="2:17" x14ac:dyDescent="0.2">
      <c r="B762" s="1">
        <v>46101</v>
      </c>
      <c r="C762" s="1">
        <v>0</v>
      </c>
      <c r="G762" s="1">
        <v>46101</v>
      </c>
      <c r="H762" s="1">
        <v>9.9999999999999995E-8</v>
      </c>
      <c r="L762" s="1">
        <v>46101</v>
      </c>
      <c r="M762" s="1">
        <v>3.1898599999999998E-8</v>
      </c>
      <c r="P762" s="1">
        <v>46101</v>
      </c>
      <c r="Q762" s="1">
        <v>2.4569599999999999E-8</v>
      </c>
    </row>
    <row r="763" spans="2:17" x14ac:dyDescent="0.2">
      <c r="B763" s="1">
        <v>46102</v>
      </c>
      <c r="C763" s="1">
        <v>0</v>
      </c>
      <c r="G763" s="1">
        <v>46102</v>
      </c>
      <c r="H763" s="1">
        <v>0</v>
      </c>
      <c r="L763" s="1">
        <v>46102</v>
      </c>
      <c r="M763" s="1">
        <v>9.8418000000000005E-9</v>
      </c>
      <c r="P763" s="1">
        <v>46102</v>
      </c>
      <c r="Q763" s="1">
        <v>1.5076799999999999E-8</v>
      </c>
    </row>
    <row r="764" spans="2:17" x14ac:dyDescent="0.2">
      <c r="B764" s="1">
        <v>46103</v>
      </c>
      <c r="C764" s="1">
        <v>0</v>
      </c>
      <c r="G764" s="1">
        <v>46103</v>
      </c>
      <c r="H764" s="1">
        <v>0</v>
      </c>
      <c r="L764" s="1">
        <v>46103</v>
      </c>
      <c r="M764" s="1">
        <v>2.094E-9</v>
      </c>
      <c r="P764" s="1">
        <v>46103</v>
      </c>
      <c r="Q764" s="1">
        <v>3.0014E-9</v>
      </c>
    </row>
    <row r="765" spans="2:17" x14ac:dyDescent="0.2">
      <c r="B765" s="1">
        <v>46104</v>
      </c>
      <c r="C765" s="1">
        <v>0</v>
      </c>
      <c r="G765" s="1">
        <v>46104</v>
      </c>
      <c r="H765" s="1">
        <v>0</v>
      </c>
      <c r="L765" s="1">
        <v>46104</v>
      </c>
      <c r="M765" s="1">
        <v>7.6779999999999997E-10</v>
      </c>
      <c r="P765" s="1">
        <v>46104</v>
      </c>
      <c r="Q765" s="1">
        <v>1.8148E-9</v>
      </c>
    </row>
    <row r="766" spans="2:17" x14ac:dyDescent="0.2">
      <c r="B766" s="1">
        <v>46105</v>
      </c>
      <c r="C766" s="1">
        <v>0</v>
      </c>
      <c r="G766" s="1">
        <v>46105</v>
      </c>
      <c r="H766" s="1">
        <v>0</v>
      </c>
      <c r="L766" s="1">
        <v>46105</v>
      </c>
      <c r="M766" s="1">
        <v>2.094E-10</v>
      </c>
      <c r="P766" s="1">
        <v>46105</v>
      </c>
      <c r="Q766" s="1">
        <v>3.4899999999999998E-10</v>
      </c>
    </row>
    <row r="767" spans="2:17" x14ac:dyDescent="0.2">
      <c r="B767" s="1">
        <v>46106</v>
      </c>
      <c r="C767" s="1">
        <v>0</v>
      </c>
      <c r="G767" s="1">
        <v>46106</v>
      </c>
      <c r="H767" s="1">
        <v>0</v>
      </c>
      <c r="L767" s="1">
        <v>46106</v>
      </c>
      <c r="M767" s="1">
        <v>0</v>
      </c>
      <c r="P767" s="1">
        <v>46106</v>
      </c>
      <c r="Q767" s="1">
        <v>6.9799999999999994E-11</v>
      </c>
    </row>
    <row r="768" spans="2:17" x14ac:dyDescent="0.2">
      <c r="B768" s="1">
        <v>46107</v>
      </c>
      <c r="C768" s="1">
        <v>0</v>
      </c>
      <c r="G768" s="1">
        <v>46107</v>
      </c>
      <c r="H768" s="1">
        <v>0</v>
      </c>
      <c r="L768" s="1">
        <v>46107</v>
      </c>
      <c r="M768" s="1">
        <v>6.9799999999999994E-11</v>
      </c>
      <c r="P768" s="1">
        <v>46107</v>
      </c>
      <c r="Q768" s="1">
        <v>6.9799999999999994E-11</v>
      </c>
    </row>
    <row r="769" spans="2:17" x14ac:dyDescent="0.2">
      <c r="B769" s="1">
        <v>46108</v>
      </c>
      <c r="C769" s="1">
        <v>0</v>
      </c>
      <c r="G769" s="1">
        <v>46108</v>
      </c>
      <c r="H769" s="1">
        <v>0</v>
      </c>
      <c r="L769" s="1">
        <v>46108</v>
      </c>
      <c r="M769" s="1">
        <v>4.1879999999999999E-10</v>
      </c>
      <c r="P769" s="1">
        <v>46108</v>
      </c>
      <c r="Q769" s="1">
        <v>5.5839999999999995E-10</v>
      </c>
    </row>
    <row r="770" spans="2:17" x14ac:dyDescent="0.2">
      <c r="B770" s="1">
        <v>46109</v>
      </c>
      <c r="C770" s="1">
        <v>0</v>
      </c>
      <c r="G770" s="1">
        <v>46109</v>
      </c>
      <c r="H770" s="1">
        <v>0</v>
      </c>
      <c r="L770" s="1">
        <v>46109</v>
      </c>
      <c r="M770" s="1">
        <v>2.094E-9</v>
      </c>
      <c r="P770" s="1">
        <v>46109</v>
      </c>
      <c r="Q770" s="1">
        <v>3.6296E-9</v>
      </c>
    </row>
    <row r="771" spans="2:17" x14ac:dyDescent="0.2">
      <c r="B771" s="1">
        <v>46110</v>
      </c>
      <c r="C771" s="1">
        <v>0</v>
      </c>
      <c r="G771" s="1">
        <v>46110</v>
      </c>
      <c r="H771" s="1">
        <v>0</v>
      </c>
      <c r="L771" s="1">
        <v>46110</v>
      </c>
      <c r="M771" s="1">
        <v>1.6403000000000001E-8</v>
      </c>
      <c r="P771" s="1">
        <v>46110</v>
      </c>
      <c r="Q771" s="1">
        <v>2.8408600000000001E-8</v>
      </c>
    </row>
    <row r="772" spans="2:17" x14ac:dyDescent="0.2">
      <c r="B772" s="1">
        <v>46111</v>
      </c>
      <c r="C772" s="1">
        <v>9.9999999999999995E-8</v>
      </c>
      <c r="G772" s="1">
        <v>46111</v>
      </c>
      <c r="H772" s="1">
        <v>9.9999999999999995E-8</v>
      </c>
      <c r="L772" s="1">
        <v>46111</v>
      </c>
      <c r="M772" s="1">
        <v>4.62774E-8</v>
      </c>
      <c r="P772" s="1">
        <v>46111</v>
      </c>
      <c r="Q772" s="1">
        <v>7.5314200000000006E-8</v>
      </c>
    </row>
    <row r="773" spans="2:17" x14ac:dyDescent="0.2">
      <c r="B773" s="1">
        <v>46112</v>
      </c>
      <c r="C773" s="1">
        <v>2.9999999999999999E-7</v>
      </c>
      <c r="G773" s="1">
        <v>46112</v>
      </c>
      <c r="H773" s="1">
        <v>2.9999999999999999E-7</v>
      </c>
      <c r="L773" s="1">
        <v>46112</v>
      </c>
      <c r="M773" s="1">
        <v>1.7121899999999999E-7</v>
      </c>
      <c r="P773" s="1">
        <v>46112</v>
      </c>
      <c r="Q773" s="1">
        <v>3.0181500000000001E-7</v>
      </c>
    </row>
    <row r="774" spans="2:17" x14ac:dyDescent="0.2">
      <c r="B774" s="1">
        <v>46113</v>
      </c>
      <c r="C774" s="1">
        <v>2.9999999999999999E-7</v>
      </c>
      <c r="G774" s="1">
        <v>46113</v>
      </c>
      <c r="H774" s="1">
        <v>9.9999999999999995E-8</v>
      </c>
      <c r="L774" s="1">
        <v>46113</v>
      </c>
      <c r="M774" s="1">
        <v>3.0083799999999998E-7</v>
      </c>
      <c r="P774" s="1">
        <v>46113</v>
      </c>
      <c r="Q774" s="1">
        <v>4.3967000000000002E-7</v>
      </c>
    </row>
    <row r="775" spans="2:17" x14ac:dyDescent="0.2">
      <c r="B775" s="1">
        <v>46114</v>
      </c>
      <c r="C775" s="1">
        <v>8.9999999999999996E-7</v>
      </c>
      <c r="G775" s="1">
        <v>46114</v>
      </c>
      <c r="H775" s="1">
        <v>9.9999999999999995E-7</v>
      </c>
      <c r="L775" s="1">
        <v>46114</v>
      </c>
      <c r="M775" s="1">
        <v>6.9681299999999998E-7</v>
      </c>
      <c r="P775" s="1">
        <v>46114</v>
      </c>
      <c r="Q775" s="1">
        <v>1.04833E-6</v>
      </c>
    </row>
    <row r="776" spans="2:17" x14ac:dyDescent="0.2">
      <c r="B776" s="1">
        <v>46115</v>
      </c>
      <c r="C776" s="1">
        <v>1.1999999999999999E-6</v>
      </c>
      <c r="G776" s="1">
        <v>46115</v>
      </c>
      <c r="H776" s="1">
        <v>1.5E-6</v>
      </c>
      <c r="L776" s="1">
        <v>46115</v>
      </c>
      <c r="M776" s="1">
        <v>8.6586900000000004E-7</v>
      </c>
      <c r="P776" s="1">
        <v>46115</v>
      </c>
      <c r="Q776" s="1">
        <v>9.4181100000000002E-7</v>
      </c>
    </row>
    <row r="777" spans="2:17" x14ac:dyDescent="0.2">
      <c r="B777" s="1">
        <v>46116</v>
      </c>
      <c r="C777" s="1">
        <v>9.9999999999999995E-7</v>
      </c>
      <c r="G777" s="1">
        <v>46116</v>
      </c>
      <c r="H777" s="1">
        <v>1.5E-6</v>
      </c>
      <c r="L777" s="1">
        <v>46116</v>
      </c>
      <c r="M777" s="1">
        <v>1.26596E-6</v>
      </c>
      <c r="P777" s="1">
        <v>46116</v>
      </c>
      <c r="Q777" s="1">
        <v>1.4684500000000001E-6</v>
      </c>
    </row>
    <row r="778" spans="2:17" x14ac:dyDescent="0.2">
      <c r="B778" s="1">
        <v>46117</v>
      </c>
      <c r="C778" s="1">
        <v>2.9999999999999999E-7</v>
      </c>
      <c r="G778" s="1">
        <v>46117</v>
      </c>
      <c r="H778" s="1">
        <v>1.1999999999999999E-6</v>
      </c>
      <c r="L778" s="1">
        <v>46117</v>
      </c>
      <c r="M778" s="1">
        <v>1.0788299999999999E-6</v>
      </c>
      <c r="P778" s="1">
        <v>46117</v>
      </c>
      <c r="Q778" s="1">
        <v>8.7878199999999999E-7</v>
      </c>
    </row>
    <row r="779" spans="2:17" x14ac:dyDescent="0.2">
      <c r="B779" s="1">
        <v>46118</v>
      </c>
      <c r="C779" s="1">
        <v>6.9999999999999997E-7</v>
      </c>
      <c r="G779" s="1">
        <v>46118</v>
      </c>
      <c r="H779" s="1">
        <v>1.1999999999999999E-6</v>
      </c>
      <c r="L779" s="1">
        <v>46118</v>
      </c>
      <c r="M779" s="1">
        <v>1.07506E-6</v>
      </c>
      <c r="P779" s="1">
        <v>46118</v>
      </c>
      <c r="Q779" s="1">
        <v>1.05203E-6</v>
      </c>
    </row>
    <row r="780" spans="2:17" x14ac:dyDescent="0.2">
      <c r="B780" s="1">
        <v>47096</v>
      </c>
      <c r="C780" s="1">
        <v>4.9999999999999998E-7</v>
      </c>
      <c r="G780" s="1">
        <v>47096</v>
      </c>
      <c r="H780" s="1">
        <v>4.9999999999999998E-7</v>
      </c>
      <c r="L780" s="1">
        <v>47096</v>
      </c>
      <c r="M780" s="1">
        <v>6.9409100000000002E-7</v>
      </c>
      <c r="P780" s="1">
        <v>47096</v>
      </c>
      <c r="Q780" s="1">
        <v>4.92997E-7</v>
      </c>
    </row>
    <row r="781" spans="2:17" x14ac:dyDescent="0.2">
      <c r="B781" s="1">
        <v>47097</v>
      </c>
      <c r="C781" s="1">
        <v>5.9999999999999997E-7</v>
      </c>
      <c r="G781" s="1">
        <v>47097</v>
      </c>
      <c r="H781" s="1">
        <v>7.9999999999999996E-7</v>
      </c>
      <c r="L781" s="1">
        <v>47097</v>
      </c>
      <c r="M781" s="1">
        <v>4.5321099999999999E-7</v>
      </c>
      <c r="P781" s="1">
        <v>47097</v>
      </c>
      <c r="Q781" s="1">
        <v>4.5802799999999998E-7</v>
      </c>
    </row>
    <row r="782" spans="2:17" x14ac:dyDescent="0.2">
      <c r="B782" s="1">
        <v>47098</v>
      </c>
      <c r="C782" s="1">
        <v>0</v>
      </c>
      <c r="G782" s="1">
        <v>47098</v>
      </c>
      <c r="H782" s="1">
        <v>3.9999999999999998E-7</v>
      </c>
      <c r="L782" s="1">
        <v>47098</v>
      </c>
      <c r="M782" s="1">
        <v>1.9509100000000001E-7</v>
      </c>
      <c r="P782" s="1">
        <v>47098</v>
      </c>
      <c r="Q782" s="1">
        <v>1.8629599999999999E-7</v>
      </c>
    </row>
    <row r="783" spans="2:17" x14ac:dyDescent="0.2">
      <c r="B783" s="1">
        <v>47099</v>
      </c>
      <c r="C783" s="1">
        <v>9.9999999999999995E-8</v>
      </c>
      <c r="G783" s="1">
        <v>47099</v>
      </c>
      <c r="H783" s="1">
        <v>9.9999999999999995E-8</v>
      </c>
      <c r="L783" s="1">
        <v>47099</v>
      </c>
      <c r="M783" s="1">
        <v>7.4057800000000003E-8</v>
      </c>
      <c r="P783" s="1">
        <v>47099</v>
      </c>
      <c r="Q783" s="1">
        <v>1.06585E-7</v>
      </c>
    </row>
    <row r="784" spans="2:17" x14ac:dyDescent="0.2">
      <c r="B784" s="1">
        <v>47100</v>
      </c>
      <c r="C784" s="1">
        <v>0</v>
      </c>
      <c r="G784" s="1">
        <v>47100</v>
      </c>
      <c r="H784" s="1">
        <v>9.9999999999999995E-8</v>
      </c>
      <c r="L784" s="1">
        <v>47100</v>
      </c>
      <c r="M784" s="1">
        <v>2.0940000000000001E-8</v>
      </c>
      <c r="P784" s="1">
        <v>47100</v>
      </c>
      <c r="Q784" s="1">
        <v>2.9874400000000002E-8</v>
      </c>
    </row>
    <row r="785" spans="2:17" x14ac:dyDescent="0.2">
      <c r="B785" s="1">
        <v>47101</v>
      </c>
      <c r="C785" s="1">
        <v>0</v>
      </c>
      <c r="G785" s="1">
        <v>47101</v>
      </c>
      <c r="H785" s="1">
        <v>0</v>
      </c>
      <c r="L785" s="1">
        <v>47101</v>
      </c>
      <c r="M785" s="1">
        <v>5.7934000000000003E-9</v>
      </c>
      <c r="P785" s="1">
        <v>47101</v>
      </c>
      <c r="Q785" s="1">
        <v>1.82876E-8</v>
      </c>
    </row>
    <row r="786" spans="2:17" x14ac:dyDescent="0.2">
      <c r="B786" s="1">
        <v>47102</v>
      </c>
      <c r="C786" s="1">
        <v>0</v>
      </c>
      <c r="G786" s="1">
        <v>47102</v>
      </c>
      <c r="H786" s="1">
        <v>0</v>
      </c>
      <c r="L786" s="1">
        <v>47102</v>
      </c>
      <c r="M786" s="1">
        <v>1.1866E-9</v>
      </c>
      <c r="P786" s="1">
        <v>47102</v>
      </c>
      <c r="Q786" s="1">
        <v>4.188E-9</v>
      </c>
    </row>
    <row r="787" spans="2:17" x14ac:dyDescent="0.2">
      <c r="B787" s="1">
        <v>47103</v>
      </c>
      <c r="C787" s="1">
        <v>0</v>
      </c>
      <c r="G787" s="1">
        <v>47103</v>
      </c>
      <c r="H787" s="1">
        <v>0</v>
      </c>
      <c r="L787" s="1">
        <v>47103</v>
      </c>
      <c r="M787" s="1">
        <v>2.7919999999999998E-10</v>
      </c>
      <c r="P787" s="1">
        <v>47103</v>
      </c>
      <c r="Q787" s="1">
        <v>1.8845999999999999E-9</v>
      </c>
    </row>
    <row r="788" spans="2:17" x14ac:dyDescent="0.2">
      <c r="B788" s="1">
        <v>47104</v>
      </c>
      <c r="C788" s="1">
        <v>0</v>
      </c>
      <c r="G788" s="1">
        <v>47104</v>
      </c>
      <c r="H788" s="1">
        <v>0</v>
      </c>
      <c r="L788" s="1">
        <v>47104</v>
      </c>
      <c r="M788" s="1">
        <v>0</v>
      </c>
      <c r="P788" s="1">
        <v>47104</v>
      </c>
      <c r="Q788" s="1">
        <v>4.1879999999999999E-10</v>
      </c>
    </row>
    <row r="789" spans="2:17" x14ac:dyDescent="0.2">
      <c r="B789" s="1">
        <v>47105</v>
      </c>
      <c r="C789" s="1">
        <v>0</v>
      </c>
      <c r="G789" s="1">
        <v>47105</v>
      </c>
      <c r="H789" s="1">
        <v>0</v>
      </c>
      <c r="L789" s="1">
        <v>47105</v>
      </c>
      <c r="M789" s="1">
        <v>0</v>
      </c>
      <c r="P789" s="1">
        <v>47105</v>
      </c>
      <c r="Q789" s="1">
        <v>6.9799999999999994E-11</v>
      </c>
    </row>
    <row r="790" spans="2:17" hidden="1" x14ac:dyDescent="0.2">
      <c r="B790" s="1">
        <v>47106</v>
      </c>
      <c r="C790" s="1">
        <v>0</v>
      </c>
      <c r="G790" s="1">
        <v>47106</v>
      </c>
      <c r="H790" s="1">
        <v>0</v>
      </c>
      <c r="L790" s="1">
        <v>47106</v>
      </c>
      <c r="M790" s="1">
        <v>0</v>
      </c>
      <c r="P790" s="1">
        <v>47106</v>
      </c>
      <c r="Q790" s="1">
        <v>0</v>
      </c>
    </row>
    <row r="791" spans="2:17" hidden="1" x14ac:dyDescent="0.2">
      <c r="B791" s="1">
        <v>47107</v>
      </c>
      <c r="C791" s="1">
        <v>0</v>
      </c>
      <c r="G791" s="1">
        <v>47107</v>
      </c>
      <c r="H791" s="1">
        <v>0</v>
      </c>
      <c r="L791" s="1">
        <v>47107</v>
      </c>
      <c r="M791" s="1">
        <v>0</v>
      </c>
      <c r="P791" s="1">
        <v>47107</v>
      </c>
      <c r="Q791" s="1">
        <v>0</v>
      </c>
    </row>
    <row r="792" spans="2:17" hidden="1" x14ac:dyDescent="0.2">
      <c r="B792" s="1">
        <v>47108</v>
      </c>
      <c r="C792" s="1">
        <v>0</v>
      </c>
      <c r="G792" s="1">
        <v>47108</v>
      </c>
      <c r="H792" s="1">
        <v>0</v>
      </c>
      <c r="L792" s="1">
        <v>47108</v>
      </c>
      <c r="M792" s="1">
        <v>0</v>
      </c>
      <c r="P792" s="1">
        <v>47108</v>
      </c>
      <c r="Q792" s="1">
        <v>0</v>
      </c>
    </row>
    <row r="793" spans="2:17" hidden="1" x14ac:dyDescent="0.2">
      <c r="B793" s="1">
        <v>47109</v>
      </c>
      <c r="C793" s="1">
        <v>0</v>
      </c>
      <c r="G793" s="1">
        <v>47109</v>
      </c>
      <c r="H793" s="1">
        <v>0</v>
      </c>
      <c r="L793" s="1">
        <v>47109</v>
      </c>
      <c r="M793" s="1">
        <v>0</v>
      </c>
      <c r="P793" s="1">
        <v>47109</v>
      </c>
      <c r="Q793" s="1">
        <v>0</v>
      </c>
    </row>
    <row r="794" spans="2:17" x14ac:dyDescent="0.2">
      <c r="B794" s="1">
        <v>47110</v>
      </c>
      <c r="C794" s="1">
        <v>0</v>
      </c>
      <c r="G794" s="1">
        <v>47110</v>
      </c>
      <c r="H794" s="1">
        <v>0</v>
      </c>
      <c r="L794" s="1">
        <v>47110</v>
      </c>
      <c r="M794" s="1">
        <v>0</v>
      </c>
      <c r="P794" s="1">
        <v>47110</v>
      </c>
      <c r="Q794" s="1">
        <v>6.9799999999999994E-11</v>
      </c>
    </row>
    <row r="795" spans="2:17" x14ac:dyDescent="0.2">
      <c r="B795" s="1">
        <v>47111</v>
      </c>
      <c r="C795" s="1">
        <v>0</v>
      </c>
      <c r="G795" s="1">
        <v>47111</v>
      </c>
      <c r="H795" s="1">
        <v>0</v>
      </c>
      <c r="L795" s="1">
        <v>47111</v>
      </c>
      <c r="M795" s="1">
        <v>4.8860000000000005E-10</v>
      </c>
      <c r="P795" s="1">
        <v>47111</v>
      </c>
      <c r="Q795" s="1">
        <v>8.3759999999999998E-10</v>
      </c>
    </row>
    <row r="796" spans="2:17" x14ac:dyDescent="0.2">
      <c r="B796" s="1">
        <v>47112</v>
      </c>
      <c r="C796" s="1">
        <v>0</v>
      </c>
      <c r="G796" s="1">
        <v>47112</v>
      </c>
      <c r="H796" s="1">
        <v>0</v>
      </c>
      <c r="L796" s="1">
        <v>47112</v>
      </c>
      <c r="M796" s="1">
        <v>3.3503999999999999E-9</v>
      </c>
      <c r="P796" s="1">
        <v>47112</v>
      </c>
      <c r="Q796" s="1">
        <v>4.7464000000000001E-9</v>
      </c>
    </row>
    <row r="797" spans="2:17" x14ac:dyDescent="0.2">
      <c r="B797" s="1">
        <v>47113</v>
      </c>
      <c r="C797" s="1">
        <v>0</v>
      </c>
      <c r="G797" s="1">
        <v>47113</v>
      </c>
      <c r="H797" s="1">
        <v>0</v>
      </c>
      <c r="L797" s="1">
        <v>47113</v>
      </c>
      <c r="M797" s="1">
        <v>2.3801799999999999E-8</v>
      </c>
      <c r="P797" s="1">
        <v>47113</v>
      </c>
      <c r="Q797" s="1">
        <v>3.07818E-8</v>
      </c>
    </row>
    <row r="798" spans="2:17" x14ac:dyDescent="0.2">
      <c r="B798" s="1">
        <v>47114</v>
      </c>
      <c r="C798" s="1">
        <v>0</v>
      </c>
      <c r="G798" s="1">
        <v>47114</v>
      </c>
      <c r="H798" s="1">
        <v>0</v>
      </c>
      <c r="L798" s="1">
        <v>47114</v>
      </c>
      <c r="M798" s="1">
        <v>5.8562200000000003E-8</v>
      </c>
      <c r="P798" s="1">
        <v>47114</v>
      </c>
      <c r="Q798" s="1">
        <v>7.8385400000000005E-8</v>
      </c>
    </row>
    <row r="799" spans="2:17" x14ac:dyDescent="0.2">
      <c r="B799" s="1">
        <v>47115</v>
      </c>
      <c r="C799" s="1">
        <v>1.9999999999999999E-7</v>
      </c>
      <c r="G799" s="1">
        <v>47115</v>
      </c>
      <c r="H799" s="1">
        <v>1.9999999999999999E-7</v>
      </c>
      <c r="L799" s="1">
        <v>47115</v>
      </c>
      <c r="M799" s="1">
        <v>2.05421E-7</v>
      </c>
      <c r="P799" s="1">
        <v>47115</v>
      </c>
      <c r="Q799" s="1">
        <v>2.8590100000000001E-7</v>
      </c>
    </row>
    <row r="800" spans="2:17" x14ac:dyDescent="0.2">
      <c r="B800" s="1">
        <v>47116</v>
      </c>
      <c r="C800" s="1">
        <v>1.9999999999999999E-7</v>
      </c>
      <c r="G800" s="1">
        <v>47116</v>
      </c>
      <c r="H800" s="1">
        <v>2.9999999999999999E-7</v>
      </c>
      <c r="L800" s="1">
        <v>47116</v>
      </c>
      <c r="M800" s="1">
        <v>3.3845999999999997E-7</v>
      </c>
      <c r="P800" s="1">
        <v>47116</v>
      </c>
      <c r="Q800" s="1">
        <v>4.50908E-7</v>
      </c>
    </row>
    <row r="801" spans="2:17" x14ac:dyDescent="0.2">
      <c r="B801" s="1">
        <v>47117</v>
      </c>
      <c r="C801" s="1">
        <v>4.9999999999999998E-7</v>
      </c>
      <c r="G801" s="1">
        <v>47117</v>
      </c>
      <c r="H801" s="1">
        <v>6.9999999999999997E-7</v>
      </c>
      <c r="L801" s="1">
        <v>47117</v>
      </c>
      <c r="M801" s="1">
        <v>7.5090799999999999E-7</v>
      </c>
      <c r="P801" s="1">
        <v>47117</v>
      </c>
      <c r="Q801" s="1">
        <v>9.8180700000000005E-7</v>
      </c>
    </row>
    <row r="802" spans="2:17" x14ac:dyDescent="0.2">
      <c r="B802" s="1">
        <v>47118</v>
      </c>
      <c r="C802" s="1">
        <v>6.9999999999999997E-7</v>
      </c>
      <c r="G802" s="1">
        <v>47118</v>
      </c>
      <c r="H802" s="1">
        <v>1.1999999999999999E-6</v>
      </c>
      <c r="L802" s="1">
        <v>47118</v>
      </c>
      <c r="M802" s="1">
        <v>8.1540399999999996E-7</v>
      </c>
      <c r="P802" s="1">
        <v>47118</v>
      </c>
      <c r="Q802" s="1">
        <v>9.9367300000000001E-7</v>
      </c>
    </row>
    <row r="803" spans="2:17" x14ac:dyDescent="0.2">
      <c r="B803" s="1">
        <v>47119</v>
      </c>
      <c r="C803" s="1">
        <v>7.9999999999999996E-7</v>
      </c>
      <c r="G803" s="1">
        <v>47119</v>
      </c>
      <c r="H803" s="1">
        <v>1.3E-6</v>
      </c>
      <c r="L803" s="1">
        <v>47119</v>
      </c>
      <c r="M803" s="1">
        <v>1.1639800000000001E-6</v>
      </c>
      <c r="P803" s="1">
        <v>47119</v>
      </c>
      <c r="Q803" s="1">
        <v>1.52045E-6</v>
      </c>
    </row>
    <row r="804" spans="2:17" x14ac:dyDescent="0.2">
      <c r="B804" s="1">
        <v>47120</v>
      </c>
      <c r="C804" s="1">
        <v>7.9999999999999996E-7</v>
      </c>
      <c r="G804" s="1">
        <v>47120</v>
      </c>
      <c r="H804" s="1">
        <v>1.3E-6</v>
      </c>
      <c r="L804" s="1">
        <v>47120</v>
      </c>
      <c r="M804" s="1">
        <v>8.9993099999999996E-7</v>
      </c>
      <c r="P804" s="1">
        <v>47120</v>
      </c>
      <c r="Q804" s="1">
        <v>1.26903E-6</v>
      </c>
    </row>
    <row r="805" spans="2:17" x14ac:dyDescent="0.2">
      <c r="B805" s="1">
        <v>47121</v>
      </c>
      <c r="C805" s="1">
        <v>5.9999999999999997E-7</v>
      </c>
      <c r="G805" s="1">
        <v>47121</v>
      </c>
      <c r="H805" s="1">
        <v>3.9999999999999998E-7</v>
      </c>
      <c r="L805" s="1">
        <v>47121</v>
      </c>
      <c r="M805" s="1">
        <v>8.7536200000000003E-7</v>
      </c>
      <c r="P805" s="1">
        <v>47121</v>
      </c>
      <c r="Q805" s="1">
        <v>1.5272899999999999E-6</v>
      </c>
    </row>
    <row r="806" spans="2:17" x14ac:dyDescent="0.2">
      <c r="B806" s="1">
        <v>47122</v>
      </c>
      <c r="C806" s="1">
        <v>4.9999999999999998E-7</v>
      </c>
      <c r="G806" s="1">
        <v>47122</v>
      </c>
      <c r="H806" s="1">
        <v>8.9999999999999996E-7</v>
      </c>
      <c r="L806" s="1">
        <v>47122</v>
      </c>
      <c r="M806" s="1">
        <v>4.9013600000000002E-7</v>
      </c>
      <c r="P806" s="1">
        <v>47122</v>
      </c>
      <c r="Q806" s="1">
        <v>7.83435E-7</v>
      </c>
    </row>
    <row r="807" spans="2:17" x14ac:dyDescent="0.2">
      <c r="B807" s="1">
        <v>47123</v>
      </c>
      <c r="C807" s="1">
        <v>1.9999999999999999E-7</v>
      </c>
      <c r="G807" s="1">
        <v>47123</v>
      </c>
      <c r="H807" s="1">
        <v>1.9999999999999999E-7</v>
      </c>
      <c r="L807" s="1">
        <v>47123</v>
      </c>
      <c r="M807" s="1">
        <v>3.1395999999999999E-7</v>
      </c>
      <c r="P807" s="1">
        <v>47123</v>
      </c>
      <c r="Q807" s="1">
        <v>6.77758E-7</v>
      </c>
    </row>
    <row r="808" spans="2:17" x14ac:dyDescent="0.2">
      <c r="B808" s="1">
        <v>48097</v>
      </c>
      <c r="C808" s="1">
        <v>9.9999999999999995E-8</v>
      </c>
      <c r="G808" s="1">
        <v>48097</v>
      </c>
      <c r="H808" s="1">
        <v>9.9999999999999995E-8</v>
      </c>
      <c r="L808" s="1">
        <v>48097</v>
      </c>
      <c r="M808" s="1">
        <v>1.47627E-7</v>
      </c>
      <c r="P808" s="1">
        <v>48097</v>
      </c>
      <c r="Q808" s="1">
        <v>2.81503E-7</v>
      </c>
    </row>
    <row r="809" spans="2:17" x14ac:dyDescent="0.2">
      <c r="B809" s="1">
        <v>48098</v>
      </c>
      <c r="C809" s="1">
        <v>0</v>
      </c>
      <c r="G809" s="1">
        <v>48098</v>
      </c>
      <c r="H809" s="1">
        <v>0</v>
      </c>
      <c r="L809" s="1">
        <v>48098</v>
      </c>
      <c r="M809" s="1">
        <v>8.3550599999999996E-8</v>
      </c>
      <c r="P809" s="1">
        <v>48098</v>
      </c>
      <c r="Q809" s="1">
        <v>1.9460200000000001E-7</v>
      </c>
    </row>
    <row r="810" spans="2:17" x14ac:dyDescent="0.2">
      <c r="B810" s="1">
        <v>48099</v>
      </c>
      <c r="C810" s="1">
        <v>0</v>
      </c>
      <c r="G810" s="1">
        <v>48099</v>
      </c>
      <c r="H810" s="1">
        <v>0</v>
      </c>
      <c r="L810" s="1">
        <v>48099</v>
      </c>
      <c r="M810" s="1">
        <v>2.4220600000000001E-8</v>
      </c>
      <c r="P810" s="1">
        <v>48099</v>
      </c>
      <c r="Q810" s="1">
        <v>5.8911200000000001E-8</v>
      </c>
    </row>
    <row r="811" spans="2:17" x14ac:dyDescent="0.2">
      <c r="B811" s="1">
        <v>48100</v>
      </c>
      <c r="C811" s="1">
        <v>0</v>
      </c>
      <c r="G811" s="1">
        <v>48100</v>
      </c>
      <c r="H811" s="1">
        <v>0</v>
      </c>
      <c r="L811" s="1">
        <v>48100</v>
      </c>
      <c r="M811" s="1">
        <v>1.10982E-8</v>
      </c>
      <c r="P811" s="1">
        <v>48100</v>
      </c>
      <c r="Q811" s="1">
        <v>3.2107999999999999E-8</v>
      </c>
    </row>
    <row r="812" spans="2:17" x14ac:dyDescent="0.2">
      <c r="B812" s="1">
        <v>48101</v>
      </c>
      <c r="C812" s="1">
        <v>0</v>
      </c>
      <c r="G812" s="1">
        <v>48101</v>
      </c>
      <c r="H812" s="1">
        <v>0</v>
      </c>
      <c r="L812" s="1">
        <v>48101</v>
      </c>
      <c r="M812" s="1">
        <v>2.8618000000000002E-9</v>
      </c>
      <c r="P812" s="1">
        <v>48101</v>
      </c>
      <c r="Q812" s="1">
        <v>6.9800000000000003E-9</v>
      </c>
    </row>
    <row r="813" spans="2:17" x14ac:dyDescent="0.2">
      <c r="B813" s="1">
        <v>48102</v>
      </c>
      <c r="C813" s="1">
        <v>0</v>
      </c>
      <c r="G813" s="1">
        <v>48102</v>
      </c>
      <c r="H813" s="1">
        <v>0</v>
      </c>
      <c r="L813" s="1">
        <v>48102</v>
      </c>
      <c r="M813" s="1">
        <v>8.3759999999999998E-10</v>
      </c>
      <c r="P813" s="1">
        <v>48102</v>
      </c>
      <c r="Q813" s="1">
        <v>3.2806E-9</v>
      </c>
    </row>
    <row r="814" spans="2:17" x14ac:dyDescent="0.2">
      <c r="B814" s="1">
        <v>48103</v>
      </c>
      <c r="C814" s="1">
        <v>0</v>
      </c>
      <c r="G814" s="1">
        <v>48103</v>
      </c>
      <c r="H814" s="1">
        <v>0</v>
      </c>
      <c r="L814" s="1">
        <v>48103</v>
      </c>
      <c r="M814" s="1">
        <v>2.094E-10</v>
      </c>
      <c r="P814" s="1">
        <v>48103</v>
      </c>
      <c r="Q814" s="1">
        <v>3.4899999999999998E-10</v>
      </c>
    </row>
    <row r="815" spans="2:17" hidden="1" x14ac:dyDescent="0.2">
      <c r="B815" s="1">
        <v>48104</v>
      </c>
      <c r="C815" s="1">
        <v>0</v>
      </c>
      <c r="G815" s="1">
        <v>48104</v>
      </c>
      <c r="H815" s="1">
        <v>0</v>
      </c>
      <c r="L815" s="1">
        <v>48104</v>
      </c>
      <c r="M815" s="1">
        <v>6.9799999999999994E-11</v>
      </c>
      <c r="P815" s="1">
        <v>48104</v>
      </c>
      <c r="Q815" s="1">
        <v>0</v>
      </c>
    </row>
    <row r="816" spans="2:17" hidden="1" x14ac:dyDescent="0.2">
      <c r="B816" s="1">
        <v>48105</v>
      </c>
      <c r="C816" s="1">
        <v>0</v>
      </c>
      <c r="G816" s="1">
        <v>48105</v>
      </c>
      <c r="H816" s="1">
        <v>0</v>
      </c>
      <c r="L816" s="1">
        <v>48105</v>
      </c>
      <c r="M816" s="1">
        <v>0</v>
      </c>
      <c r="P816" s="1">
        <v>48105</v>
      </c>
      <c r="Q816" s="1">
        <v>0</v>
      </c>
    </row>
    <row r="817" spans="2:17" hidden="1" x14ac:dyDescent="0.2">
      <c r="B817" s="1">
        <v>48106</v>
      </c>
      <c r="C817" s="1">
        <v>0</v>
      </c>
      <c r="G817" s="1">
        <v>48106</v>
      </c>
      <c r="H817" s="1">
        <v>0</v>
      </c>
      <c r="L817" s="1">
        <v>48106</v>
      </c>
      <c r="M817" s="1">
        <v>0</v>
      </c>
      <c r="P817" s="1">
        <v>48106</v>
      </c>
      <c r="Q817" s="1">
        <v>0</v>
      </c>
    </row>
    <row r="818" spans="2:17" hidden="1" x14ac:dyDescent="0.2">
      <c r="B818" s="1">
        <v>48107</v>
      </c>
      <c r="C818" s="1">
        <v>0</v>
      </c>
      <c r="G818" s="1">
        <v>48107</v>
      </c>
      <c r="H818" s="1">
        <v>0</v>
      </c>
      <c r="L818" s="1">
        <v>48107</v>
      </c>
      <c r="M818" s="1">
        <v>0</v>
      </c>
      <c r="P818" s="1">
        <v>48107</v>
      </c>
      <c r="Q818" s="1">
        <v>0</v>
      </c>
    </row>
    <row r="819" spans="2:17" hidden="1" x14ac:dyDescent="0.2">
      <c r="B819" s="1">
        <v>48108</v>
      </c>
      <c r="C819" s="1">
        <v>0</v>
      </c>
      <c r="G819" s="1">
        <v>48108</v>
      </c>
      <c r="H819" s="1">
        <v>0</v>
      </c>
      <c r="L819" s="1">
        <v>48108</v>
      </c>
      <c r="M819" s="1">
        <v>0</v>
      </c>
      <c r="P819" s="1">
        <v>48108</v>
      </c>
      <c r="Q819" s="1">
        <v>0</v>
      </c>
    </row>
    <row r="820" spans="2:17" hidden="1" x14ac:dyDescent="0.2">
      <c r="B820" s="1">
        <v>48109</v>
      </c>
      <c r="C820" s="1">
        <v>0</v>
      </c>
      <c r="G820" s="1">
        <v>48109</v>
      </c>
      <c r="H820" s="1">
        <v>0</v>
      </c>
      <c r="L820" s="1">
        <v>48109</v>
      </c>
      <c r="M820" s="1">
        <v>0</v>
      </c>
      <c r="P820" s="1">
        <v>48109</v>
      </c>
      <c r="Q820" s="1">
        <v>0</v>
      </c>
    </row>
    <row r="821" spans="2:17" hidden="1" x14ac:dyDescent="0.2">
      <c r="B821" s="1">
        <v>48110</v>
      </c>
      <c r="C821" s="1">
        <v>0</v>
      </c>
      <c r="G821" s="1">
        <v>48110</v>
      </c>
      <c r="H821" s="1">
        <v>0</v>
      </c>
      <c r="L821" s="1">
        <v>48110</v>
      </c>
      <c r="M821" s="1">
        <v>0</v>
      </c>
      <c r="P821" s="1">
        <v>48110</v>
      </c>
      <c r="Q821" s="1">
        <v>0</v>
      </c>
    </row>
    <row r="822" spans="2:17" hidden="1" x14ac:dyDescent="0.2">
      <c r="B822" s="1">
        <v>48111</v>
      </c>
      <c r="C822" s="1">
        <v>0</v>
      </c>
      <c r="G822" s="1">
        <v>48111</v>
      </c>
      <c r="H822" s="1">
        <v>0</v>
      </c>
      <c r="L822" s="1">
        <v>48111</v>
      </c>
      <c r="M822" s="1">
        <v>0</v>
      </c>
      <c r="P822" s="1">
        <v>48111</v>
      </c>
      <c r="Q822" s="1">
        <v>0</v>
      </c>
    </row>
    <row r="823" spans="2:17" hidden="1" x14ac:dyDescent="0.2">
      <c r="B823" s="1">
        <v>48112</v>
      </c>
      <c r="C823" s="1">
        <v>0</v>
      </c>
      <c r="G823" s="1">
        <v>48112</v>
      </c>
      <c r="H823" s="1">
        <v>0</v>
      </c>
      <c r="L823" s="1">
        <v>48112</v>
      </c>
      <c r="M823" s="1">
        <v>6.9799999999999994E-11</v>
      </c>
      <c r="P823" s="1">
        <v>48112</v>
      </c>
      <c r="Q823" s="1">
        <v>0</v>
      </c>
    </row>
    <row r="824" spans="2:17" x14ac:dyDescent="0.2">
      <c r="B824" s="1">
        <v>48113</v>
      </c>
      <c r="C824" s="1">
        <v>0</v>
      </c>
      <c r="G824" s="1">
        <v>48113</v>
      </c>
      <c r="H824" s="1">
        <v>0</v>
      </c>
      <c r="L824" s="1">
        <v>48113</v>
      </c>
      <c r="M824" s="1">
        <v>1.3959999999999999E-10</v>
      </c>
      <c r="P824" s="1">
        <v>48113</v>
      </c>
      <c r="Q824" s="1">
        <v>6.9799999999999994E-11</v>
      </c>
    </row>
    <row r="825" spans="2:17" x14ac:dyDescent="0.2">
      <c r="B825" s="1">
        <v>48114</v>
      </c>
      <c r="C825" s="1">
        <v>0</v>
      </c>
      <c r="G825" s="1">
        <v>48114</v>
      </c>
      <c r="H825" s="1">
        <v>0</v>
      </c>
      <c r="L825" s="1">
        <v>48114</v>
      </c>
      <c r="M825" s="1">
        <v>2.3732E-9</v>
      </c>
      <c r="P825" s="1">
        <v>48114</v>
      </c>
      <c r="Q825" s="1">
        <v>2.3034000000000001E-9</v>
      </c>
    </row>
    <row r="826" spans="2:17" x14ac:dyDescent="0.2">
      <c r="B826" s="1">
        <v>48115</v>
      </c>
      <c r="C826" s="1">
        <v>0</v>
      </c>
      <c r="G826" s="1">
        <v>48115</v>
      </c>
      <c r="H826" s="1">
        <v>0</v>
      </c>
      <c r="L826" s="1">
        <v>48115</v>
      </c>
      <c r="M826" s="1">
        <v>8.3061999999999993E-9</v>
      </c>
      <c r="P826" s="1">
        <v>48115</v>
      </c>
      <c r="Q826" s="1">
        <v>1.05398E-8</v>
      </c>
    </row>
    <row r="827" spans="2:17" x14ac:dyDescent="0.2">
      <c r="B827" s="1">
        <v>48116</v>
      </c>
      <c r="C827" s="1">
        <v>1.9999999999999999E-7</v>
      </c>
      <c r="G827" s="1">
        <v>48116</v>
      </c>
      <c r="H827" s="1">
        <v>9.9999999999999995E-8</v>
      </c>
      <c r="L827" s="1">
        <v>48116</v>
      </c>
      <c r="M827" s="1">
        <v>4.6975399999999997E-8</v>
      </c>
      <c r="P827" s="1">
        <v>48116</v>
      </c>
      <c r="Q827" s="1">
        <v>6.1005199999999994E-8</v>
      </c>
    </row>
    <row r="828" spans="2:17" x14ac:dyDescent="0.2">
      <c r="B828" s="1">
        <v>48117</v>
      </c>
      <c r="C828" s="1">
        <v>9.9999999999999995E-8</v>
      </c>
      <c r="G828" s="1">
        <v>48117</v>
      </c>
      <c r="H828" s="1">
        <v>9.9999999999999995E-8</v>
      </c>
      <c r="L828" s="1">
        <v>48117</v>
      </c>
      <c r="M828" s="1">
        <v>1.03513E-7</v>
      </c>
      <c r="P828" s="1">
        <v>48117</v>
      </c>
      <c r="Q828" s="1">
        <v>1.35203E-7</v>
      </c>
    </row>
    <row r="829" spans="2:17" x14ac:dyDescent="0.2">
      <c r="B829" s="1">
        <v>48118</v>
      </c>
      <c r="C829" s="1">
        <v>2.9999999999999999E-7</v>
      </c>
      <c r="G829" s="1">
        <v>48118</v>
      </c>
      <c r="H829" s="1">
        <v>9.9999999999999995E-8</v>
      </c>
      <c r="L829" s="1">
        <v>48118</v>
      </c>
      <c r="M829" s="1">
        <v>3.1500699999999998E-7</v>
      </c>
      <c r="P829" s="1">
        <v>48118</v>
      </c>
      <c r="Q829" s="1">
        <v>4.9048500000000001E-7</v>
      </c>
    </row>
    <row r="830" spans="2:17" x14ac:dyDescent="0.2">
      <c r="B830" s="1">
        <v>48119</v>
      </c>
      <c r="C830" s="1">
        <v>9.9999999999999995E-8</v>
      </c>
      <c r="G830" s="1">
        <v>48119</v>
      </c>
      <c r="H830" s="1">
        <v>7.9999999999999996E-7</v>
      </c>
      <c r="L830" s="1">
        <v>48119</v>
      </c>
      <c r="M830" s="1">
        <v>4.4804599999999999E-7</v>
      </c>
      <c r="P830" s="1">
        <v>48119</v>
      </c>
      <c r="Q830" s="1">
        <v>6.4481199999999996E-7</v>
      </c>
    </row>
    <row r="831" spans="2:17" x14ac:dyDescent="0.2">
      <c r="B831" s="1">
        <v>48120</v>
      </c>
      <c r="C831" s="1">
        <v>1.1999999999999999E-6</v>
      </c>
      <c r="G831" s="1">
        <v>48120</v>
      </c>
      <c r="H831" s="1">
        <v>8.9999999999999996E-7</v>
      </c>
      <c r="L831" s="1">
        <v>48120</v>
      </c>
      <c r="M831" s="1">
        <v>9.0083900000000004E-7</v>
      </c>
      <c r="P831" s="1">
        <v>48120</v>
      </c>
      <c r="Q831" s="1">
        <v>1.5927E-6</v>
      </c>
    </row>
    <row r="832" spans="2:17" x14ac:dyDescent="0.2">
      <c r="B832" s="1">
        <v>48121</v>
      </c>
      <c r="C832" s="1">
        <v>1.1999999999999999E-6</v>
      </c>
      <c r="G832" s="1">
        <v>48121</v>
      </c>
      <c r="H832" s="1">
        <v>7.9999999999999996E-7</v>
      </c>
      <c r="L832" s="1">
        <v>48121</v>
      </c>
      <c r="M832" s="1">
        <v>9.6463599999999998E-7</v>
      </c>
      <c r="P832" s="1">
        <v>48121</v>
      </c>
      <c r="Q832" s="1">
        <v>1.5565400000000001E-6</v>
      </c>
    </row>
    <row r="833" spans="2:17" x14ac:dyDescent="0.2">
      <c r="B833" s="1">
        <v>48122</v>
      </c>
      <c r="C833" s="1">
        <v>1.9999999999999999E-6</v>
      </c>
      <c r="G833" s="1">
        <v>48122</v>
      </c>
      <c r="H833" s="1">
        <v>1.9999999999999999E-6</v>
      </c>
      <c r="L833" s="1">
        <v>48122</v>
      </c>
      <c r="M833" s="1">
        <v>1.2531900000000001E-6</v>
      </c>
      <c r="P833" s="1">
        <v>48122</v>
      </c>
      <c r="Q833" s="1">
        <v>2.84798E-6</v>
      </c>
    </row>
    <row r="834" spans="2:17" x14ac:dyDescent="0.2">
      <c r="B834" s="1">
        <v>48123</v>
      </c>
      <c r="C834" s="1">
        <v>1.1999999999999999E-6</v>
      </c>
      <c r="G834" s="1">
        <v>48123</v>
      </c>
      <c r="H834" s="1">
        <v>1.5E-6</v>
      </c>
      <c r="L834" s="1">
        <v>48123</v>
      </c>
      <c r="M834" s="1">
        <v>1.0122400000000001E-6</v>
      </c>
      <c r="P834" s="1">
        <v>48123</v>
      </c>
      <c r="Q834" s="1">
        <v>2.0535899999999998E-6</v>
      </c>
    </row>
    <row r="835" spans="2:17" x14ac:dyDescent="0.2">
      <c r="B835" s="1">
        <v>48124</v>
      </c>
      <c r="C835" s="1">
        <v>2.2000000000000001E-6</v>
      </c>
      <c r="G835" s="1">
        <v>48124</v>
      </c>
      <c r="H835" s="1">
        <v>1.3E-6</v>
      </c>
      <c r="L835" s="1">
        <v>48124</v>
      </c>
      <c r="M835" s="1">
        <v>9.6309999999999994E-7</v>
      </c>
      <c r="P835" s="1">
        <v>48124</v>
      </c>
      <c r="Q835" s="1">
        <v>2.6906499999999998E-6</v>
      </c>
    </row>
    <row r="836" spans="2:17" x14ac:dyDescent="0.2">
      <c r="B836" s="1">
        <v>48125</v>
      </c>
      <c r="C836" s="1">
        <v>9.9999999999999995E-7</v>
      </c>
      <c r="G836" s="1">
        <v>48125</v>
      </c>
      <c r="H836" s="1">
        <v>6.9999999999999997E-7</v>
      </c>
      <c r="L836" s="1">
        <v>48125</v>
      </c>
      <c r="M836" s="1">
        <v>6.6617100000000002E-7</v>
      </c>
      <c r="P836" s="1">
        <v>48125</v>
      </c>
      <c r="Q836" s="1">
        <v>1.3319900000000001E-6</v>
      </c>
    </row>
    <row r="837" spans="2:17" x14ac:dyDescent="0.2">
      <c r="B837" s="1">
        <v>48126</v>
      </c>
      <c r="C837" s="1">
        <v>3.9999999999999998E-7</v>
      </c>
      <c r="G837" s="1">
        <v>48126</v>
      </c>
      <c r="H837" s="1">
        <v>5.9999999999999997E-7</v>
      </c>
      <c r="L837" s="1">
        <v>48126</v>
      </c>
      <c r="M837" s="1">
        <v>5.5749299999999997E-7</v>
      </c>
      <c r="P837" s="1">
        <v>48126</v>
      </c>
      <c r="Q837" s="1">
        <v>1.1639800000000001E-6</v>
      </c>
    </row>
    <row r="838" spans="2:17" x14ac:dyDescent="0.2">
      <c r="B838" s="1">
        <v>49100</v>
      </c>
      <c r="C838" s="1">
        <v>2.9999999999999999E-7</v>
      </c>
      <c r="G838" s="1">
        <v>49100</v>
      </c>
      <c r="H838" s="1">
        <v>2.9999999999999999E-7</v>
      </c>
      <c r="L838" s="1">
        <v>49100</v>
      </c>
      <c r="M838" s="1">
        <v>3.8620299999999998E-7</v>
      </c>
      <c r="P838" s="1">
        <v>49100</v>
      </c>
      <c r="Q838" s="1">
        <v>4.0358400000000002E-7</v>
      </c>
    </row>
    <row r="839" spans="2:17" x14ac:dyDescent="0.2">
      <c r="B839" s="1">
        <v>49101</v>
      </c>
      <c r="C839" s="1">
        <v>0</v>
      </c>
      <c r="G839" s="1">
        <v>49101</v>
      </c>
      <c r="H839" s="1">
        <v>4.9999999999999998E-7</v>
      </c>
      <c r="L839" s="1">
        <v>49101</v>
      </c>
      <c r="M839" s="1">
        <v>2.7843199999999999E-7</v>
      </c>
      <c r="P839" s="1">
        <v>49101</v>
      </c>
      <c r="Q839" s="1">
        <v>2.4960499999999999E-7</v>
      </c>
    </row>
    <row r="840" spans="2:17" x14ac:dyDescent="0.2">
      <c r="B840" s="1">
        <v>49102</v>
      </c>
      <c r="C840" s="1">
        <v>0</v>
      </c>
      <c r="G840" s="1">
        <v>49102</v>
      </c>
      <c r="H840" s="1">
        <v>0</v>
      </c>
      <c r="L840" s="1">
        <v>49102</v>
      </c>
      <c r="M840" s="1">
        <v>1.26129E-7</v>
      </c>
      <c r="P840" s="1">
        <v>49102</v>
      </c>
      <c r="Q840" s="1">
        <v>4.12518E-8</v>
      </c>
    </row>
    <row r="841" spans="2:17" hidden="1" x14ac:dyDescent="0.2">
      <c r="B841" s="1">
        <v>49103</v>
      </c>
      <c r="C841" s="1">
        <v>0</v>
      </c>
      <c r="G841" s="1">
        <v>49103</v>
      </c>
      <c r="H841" s="1">
        <v>0</v>
      </c>
      <c r="L841" s="1">
        <v>49103</v>
      </c>
      <c r="M841" s="1">
        <v>5.5281600000000003E-8</v>
      </c>
      <c r="P841" s="1">
        <v>49103</v>
      </c>
      <c r="Q841" s="1">
        <v>0</v>
      </c>
    </row>
    <row r="842" spans="2:17" x14ac:dyDescent="0.2">
      <c r="B842" s="1">
        <v>49104</v>
      </c>
      <c r="C842" s="1">
        <v>0</v>
      </c>
      <c r="G842" s="1">
        <v>49104</v>
      </c>
      <c r="H842" s="1">
        <v>0</v>
      </c>
      <c r="L842" s="1">
        <v>49104</v>
      </c>
      <c r="M842" s="1">
        <v>1.3052599999999999E-8</v>
      </c>
      <c r="P842" s="1">
        <v>49104</v>
      </c>
      <c r="Q842" s="1">
        <v>6.3518000000000003E-9</v>
      </c>
    </row>
    <row r="843" spans="2:17" x14ac:dyDescent="0.2">
      <c r="B843" s="1">
        <v>49105</v>
      </c>
      <c r="C843" s="1">
        <v>0</v>
      </c>
      <c r="G843" s="1">
        <v>49105</v>
      </c>
      <c r="H843" s="1">
        <v>0</v>
      </c>
      <c r="L843" s="1">
        <v>49105</v>
      </c>
      <c r="M843" s="1">
        <v>3.4201999999999998E-9</v>
      </c>
      <c r="P843" s="1">
        <v>49105</v>
      </c>
      <c r="Q843" s="1">
        <v>2.4429999999999999E-9</v>
      </c>
    </row>
    <row r="844" spans="2:17" x14ac:dyDescent="0.2">
      <c r="B844" s="1">
        <v>49106</v>
      </c>
      <c r="C844" s="1">
        <v>0</v>
      </c>
      <c r="G844" s="1">
        <v>49106</v>
      </c>
      <c r="H844" s="1">
        <v>0</v>
      </c>
      <c r="L844" s="1">
        <v>49106</v>
      </c>
      <c r="M844" s="1">
        <v>6.2819999999999996E-10</v>
      </c>
      <c r="P844" s="1">
        <v>49106</v>
      </c>
      <c r="Q844" s="1">
        <v>3.4899999999999998E-10</v>
      </c>
    </row>
    <row r="845" spans="2:17" x14ac:dyDescent="0.2">
      <c r="B845" s="1">
        <v>49107</v>
      </c>
      <c r="C845" s="1">
        <v>0</v>
      </c>
      <c r="G845" s="1">
        <v>49107</v>
      </c>
      <c r="H845" s="1">
        <v>0</v>
      </c>
      <c r="L845" s="1">
        <v>49107</v>
      </c>
      <c r="M845" s="1">
        <v>1.3959999999999999E-10</v>
      </c>
      <c r="P845" s="1">
        <v>49107</v>
      </c>
      <c r="Q845" s="1">
        <v>2.094E-10</v>
      </c>
    </row>
    <row r="846" spans="2:17" hidden="1" x14ac:dyDescent="0.2">
      <c r="B846" s="1">
        <v>49108</v>
      </c>
      <c r="C846" s="1">
        <v>0</v>
      </c>
      <c r="G846" s="1">
        <v>49108</v>
      </c>
      <c r="H846" s="1">
        <v>0</v>
      </c>
      <c r="L846" s="1">
        <v>49108</v>
      </c>
      <c r="M846" s="1">
        <v>6.9799999999999994E-11</v>
      </c>
      <c r="P846" s="1">
        <v>49108</v>
      </c>
      <c r="Q846" s="1">
        <v>0</v>
      </c>
    </row>
    <row r="847" spans="2:17" hidden="1" x14ac:dyDescent="0.2">
      <c r="B847" s="1">
        <v>49109</v>
      </c>
      <c r="C847" s="1">
        <v>0</v>
      </c>
      <c r="G847" s="1">
        <v>49109</v>
      </c>
      <c r="H847" s="1">
        <v>0</v>
      </c>
      <c r="L847" s="1">
        <v>49109</v>
      </c>
      <c r="M847" s="1">
        <v>0</v>
      </c>
      <c r="P847" s="1">
        <v>49109</v>
      </c>
      <c r="Q847" s="1">
        <v>0</v>
      </c>
    </row>
    <row r="848" spans="2:17" hidden="1" x14ac:dyDescent="0.2">
      <c r="B848" s="1">
        <v>49110</v>
      </c>
      <c r="C848" s="1">
        <v>0</v>
      </c>
      <c r="G848" s="1">
        <v>49110</v>
      </c>
      <c r="H848" s="1">
        <v>0</v>
      </c>
      <c r="L848" s="1">
        <v>49110</v>
      </c>
      <c r="M848" s="1">
        <v>0</v>
      </c>
      <c r="P848" s="1">
        <v>49110</v>
      </c>
      <c r="Q848" s="1">
        <v>0</v>
      </c>
    </row>
    <row r="849" spans="2:17" hidden="1" x14ac:dyDescent="0.2">
      <c r="B849" s="1">
        <v>49111</v>
      </c>
      <c r="C849" s="1">
        <v>0</v>
      </c>
      <c r="G849" s="1">
        <v>49111</v>
      </c>
      <c r="H849" s="1">
        <v>0</v>
      </c>
      <c r="L849" s="1">
        <v>49111</v>
      </c>
      <c r="M849" s="1">
        <v>0</v>
      </c>
      <c r="P849" s="1">
        <v>49111</v>
      </c>
      <c r="Q849" s="1">
        <v>0</v>
      </c>
    </row>
    <row r="850" spans="2:17" hidden="1" x14ac:dyDescent="0.2">
      <c r="B850" s="1">
        <v>49112</v>
      </c>
      <c r="C850" s="1">
        <v>0</v>
      </c>
      <c r="G850" s="1">
        <v>49112</v>
      </c>
      <c r="H850" s="1">
        <v>0</v>
      </c>
      <c r="L850" s="1">
        <v>49112</v>
      </c>
      <c r="M850" s="1">
        <v>0</v>
      </c>
      <c r="P850" s="1">
        <v>49112</v>
      </c>
      <c r="Q850" s="1">
        <v>0</v>
      </c>
    </row>
    <row r="851" spans="2:17" hidden="1" x14ac:dyDescent="0.2">
      <c r="B851" s="1">
        <v>49113</v>
      </c>
      <c r="C851" s="1">
        <v>0</v>
      </c>
      <c r="G851" s="1">
        <v>49113</v>
      </c>
      <c r="H851" s="1">
        <v>0</v>
      </c>
      <c r="L851" s="1">
        <v>49113</v>
      </c>
      <c r="M851" s="1">
        <v>0</v>
      </c>
      <c r="P851" s="1">
        <v>49113</v>
      </c>
      <c r="Q851" s="1">
        <v>0</v>
      </c>
    </row>
    <row r="852" spans="2:17" hidden="1" x14ac:dyDescent="0.2">
      <c r="B852" s="1">
        <v>49114</v>
      </c>
      <c r="C852" s="1">
        <v>0</v>
      </c>
      <c r="G852" s="1">
        <v>49114</v>
      </c>
      <c r="H852" s="1">
        <v>0</v>
      </c>
      <c r="L852" s="1">
        <v>49114</v>
      </c>
      <c r="M852" s="1">
        <v>0</v>
      </c>
      <c r="P852" s="1">
        <v>49114</v>
      </c>
      <c r="Q852" s="1">
        <v>0</v>
      </c>
    </row>
    <row r="853" spans="2:17" hidden="1" x14ac:dyDescent="0.2">
      <c r="B853" s="1">
        <v>49115</v>
      </c>
      <c r="C853" s="1">
        <v>0</v>
      </c>
      <c r="G853" s="1">
        <v>49115</v>
      </c>
      <c r="H853" s="1">
        <v>0</v>
      </c>
      <c r="L853" s="1">
        <v>49115</v>
      </c>
      <c r="M853" s="1">
        <v>0</v>
      </c>
      <c r="P853" s="1">
        <v>49115</v>
      </c>
      <c r="Q853" s="1">
        <v>0</v>
      </c>
    </row>
    <row r="854" spans="2:17" x14ac:dyDescent="0.2">
      <c r="B854" s="1">
        <v>49116</v>
      </c>
      <c r="C854" s="1">
        <v>0</v>
      </c>
      <c r="G854" s="1">
        <v>49116</v>
      </c>
      <c r="H854" s="1">
        <v>0</v>
      </c>
      <c r="L854" s="1">
        <v>49116</v>
      </c>
      <c r="M854" s="1">
        <v>5.5839999999999995E-10</v>
      </c>
      <c r="P854" s="1">
        <v>49116</v>
      </c>
      <c r="Q854" s="1">
        <v>2.7919999999999998E-10</v>
      </c>
    </row>
    <row r="855" spans="2:17" x14ac:dyDescent="0.2">
      <c r="B855" s="1">
        <v>49117</v>
      </c>
      <c r="C855" s="1">
        <v>0</v>
      </c>
      <c r="G855" s="1">
        <v>49117</v>
      </c>
      <c r="H855" s="1">
        <v>0</v>
      </c>
      <c r="L855" s="1">
        <v>49117</v>
      </c>
      <c r="M855" s="1">
        <v>4.0484000000000002E-9</v>
      </c>
      <c r="P855" s="1">
        <v>49117</v>
      </c>
      <c r="Q855" s="1">
        <v>4.9557999999999998E-9</v>
      </c>
    </row>
    <row r="856" spans="2:17" x14ac:dyDescent="0.2">
      <c r="B856" s="1">
        <v>49118</v>
      </c>
      <c r="C856" s="1">
        <v>0</v>
      </c>
      <c r="G856" s="1">
        <v>49118</v>
      </c>
      <c r="H856" s="1">
        <v>0</v>
      </c>
      <c r="L856" s="1">
        <v>49118</v>
      </c>
      <c r="M856" s="1">
        <v>1.3820400000000001E-8</v>
      </c>
      <c r="P856" s="1">
        <v>49118</v>
      </c>
      <c r="Q856" s="1">
        <v>1.8078199999999999E-8</v>
      </c>
    </row>
    <row r="857" spans="2:17" x14ac:dyDescent="0.2">
      <c r="B857" s="1">
        <v>49119</v>
      </c>
      <c r="C857" s="1">
        <v>0</v>
      </c>
      <c r="G857" s="1">
        <v>49119</v>
      </c>
      <c r="H857" s="1">
        <v>0</v>
      </c>
      <c r="L857" s="1">
        <v>49119</v>
      </c>
      <c r="M857" s="1">
        <v>5.8911200000000001E-8</v>
      </c>
      <c r="P857" s="1">
        <v>49119</v>
      </c>
      <c r="Q857" s="1">
        <v>8.8994999999999997E-8</v>
      </c>
    </row>
    <row r="858" spans="2:17" x14ac:dyDescent="0.2">
      <c r="B858" s="1">
        <v>49120</v>
      </c>
      <c r="C858" s="1">
        <v>9.9999999999999995E-8</v>
      </c>
      <c r="G858" s="1">
        <v>49120</v>
      </c>
      <c r="H858" s="1">
        <v>0</v>
      </c>
      <c r="L858" s="1">
        <v>49120</v>
      </c>
      <c r="M858" s="1">
        <v>1.2466300000000001E-7</v>
      </c>
      <c r="P858" s="1">
        <v>49120</v>
      </c>
      <c r="Q858" s="1">
        <v>2.11983E-7</v>
      </c>
    </row>
    <row r="859" spans="2:17" x14ac:dyDescent="0.2">
      <c r="B859" s="1">
        <v>49121</v>
      </c>
      <c r="C859" s="1">
        <v>4.9999999999999998E-7</v>
      </c>
      <c r="G859" s="1">
        <v>49121</v>
      </c>
      <c r="H859" s="1">
        <v>3.9999999999999998E-7</v>
      </c>
      <c r="L859" s="1">
        <v>49121</v>
      </c>
      <c r="M859" s="1">
        <v>3.4516099999999998E-7</v>
      </c>
      <c r="P859" s="1">
        <v>49121</v>
      </c>
      <c r="Q859" s="1">
        <v>7.48745E-7</v>
      </c>
    </row>
    <row r="860" spans="2:17" x14ac:dyDescent="0.2">
      <c r="B860" s="1">
        <v>49122</v>
      </c>
      <c r="C860" s="1">
        <v>8.9999999999999996E-7</v>
      </c>
      <c r="G860" s="1">
        <v>49122</v>
      </c>
      <c r="H860" s="1">
        <v>1.9999999999999999E-7</v>
      </c>
      <c r="L860" s="1">
        <v>49122</v>
      </c>
      <c r="M860" s="1">
        <v>4.7289499999999997E-7</v>
      </c>
      <c r="P860" s="1">
        <v>49122</v>
      </c>
      <c r="Q860" s="1">
        <v>1.18772E-6</v>
      </c>
    </row>
    <row r="861" spans="2:17" x14ac:dyDescent="0.2">
      <c r="B861" s="1">
        <v>49123</v>
      </c>
      <c r="C861" s="1">
        <v>1.1999999999999999E-6</v>
      </c>
      <c r="G861" s="1">
        <v>49123</v>
      </c>
      <c r="H861" s="1">
        <v>3.9999999999999998E-7</v>
      </c>
      <c r="L861" s="1">
        <v>49123</v>
      </c>
      <c r="M861" s="1">
        <v>9.5437500000000007E-7</v>
      </c>
      <c r="P861" s="1">
        <v>49123</v>
      </c>
      <c r="Q861" s="1">
        <v>2.8019799999999999E-6</v>
      </c>
    </row>
    <row r="862" spans="2:17" x14ac:dyDescent="0.2">
      <c r="B862" s="1">
        <v>49124</v>
      </c>
      <c r="C862" s="1">
        <v>1.7999999999999999E-6</v>
      </c>
      <c r="G862" s="1">
        <v>49124</v>
      </c>
      <c r="H862" s="1">
        <v>9.9999999999999995E-7</v>
      </c>
      <c r="L862" s="1">
        <v>49124</v>
      </c>
      <c r="M862" s="1">
        <v>9.8082999999999998E-7</v>
      </c>
      <c r="P862" s="1">
        <v>49124</v>
      </c>
      <c r="Q862" s="1">
        <v>3.2506599999999998E-6</v>
      </c>
    </row>
    <row r="863" spans="2:17" x14ac:dyDescent="0.2">
      <c r="B863" s="1">
        <v>49125</v>
      </c>
      <c r="C863" s="1">
        <v>3.4999999999999999E-6</v>
      </c>
      <c r="G863" s="1">
        <v>49125</v>
      </c>
      <c r="H863" s="1">
        <v>1.3E-6</v>
      </c>
      <c r="L863" s="1">
        <v>49125</v>
      </c>
      <c r="M863" s="1">
        <v>1.4791299999999999E-6</v>
      </c>
      <c r="P863" s="1">
        <v>49125</v>
      </c>
      <c r="Q863" s="1">
        <v>5.6286699999999996E-6</v>
      </c>
    </row>
    <row r="864" spans="2:17" x14ac:dyDescent="0.2">
      <c r="B864" s="1">
        <v>49126</v>
      </c>
      <c r="C864" s="1">
        <v>2.2000000000000001E-6</v>
      </c>
      <c r="G864" s="1">
        <v>49126</v>
      </c>
      <c r="H864" s="1">
        <v>1.7E-6</v>
      </c>
      <c r="L864" s="1">
        <v>49126</v>
      </c>
      <c r="M864" s="1">
        <v>1.58404E-6</v>
      </c>
      <c r="P864" s="1">
        <v>49126</v>
      </c>
      <c r="Q864" s="1">
        <v>4.4563099999999999E-6</v>
      </c>
    </row>
    <row r="865" spans="2:17" x14ac:dyDescent="0.2">
      <c r="B865" s="1">
        <v>49127</v>
      </c>
      <c r="C865" s="1">
        <v>2.3999999999999999E-6</v>
      </c>
      <c r="G865" s="1">
        <v>49127</v>
      </c>
      <c r="H865" s="1">
        <v>2.0999999999999998E-6</v>
      </c>
      <c r="L865" s="1">
        <v>49127</v>
      </c>
      <c r="M865" s="1">
        <v>2.5987199999999999E-6</v>
      </c>
      <c r="P865" s="1">
        <v>49127</v>
      </c>
      <c r="Q865" s="1">
        <v>4.80734E-6</v>
      </c>
    </row>
    <row r="866" spans="2:17" x14ac:dyDescent="0.2">
      <c r="B866" s="1">
        <v>49128</v>
      </c>
      <c r="C866" s="1">
        <v>1.5999999999999999E-6</v>
      </c>
      <c r="G866" s="1">
        <v>49128</v>
      </c>
      <c r="H866" s="1">
        <v>3.1999999999999999E-6</v>
      </c>
      <c r="L866" s="1">
        <v>49128</v>
      </c>
      <c r="M866" s="1">
        <v>2.9635699999999999E-6</v>
      </c>
      <c r="P866" s="1">
        <v>49128</v>
      </c>
      <c r="Q866" s="1">
        <v>2.69951E-6</v>
      </c>
    </row>
    <row r="867" spans="2:17" x14ac:dyDescent="0.2">
      <c r="B867" s="1">
        <v>49129</v>
      </c>
      <c r="C867" s="1">
        <v>9.9999999999999995E-7</v>
      </c>
      <c r="G867" s="1">
        <v>49129</v>
      </c>
      <c r="H867" s="1">
        <v>3.1E-6</v>
      </c>
      <c r="L867" s="1">
        <v>49129</v>
      </c>
      <c r="M867" s="1">
        <v>3.9897000000000001E-6</v>
      </c>
      <c r="P867" s="1">
        <v>49129</v>
      </c>
      <c r="Q867" s="1">
        <v>1.7629399999999999E-6</v>
      </c>
    </row>
    <row r="868" spans="2:17" x14ac:dyDescent="0.2">
      <c r="B868" s="1">
        <v>49130</v>
      </c>
      <c r="C868" s="1">
        <v>1.9999999999999999E-7</v>
      </c>
      <c r="G868" s="1">
        <v>49130</v>
      </c>
      <c r="H868" s="1">
        <v>3.4000000000000001E-6</v>
      </c>
      <c r="L868" s="1">
        <v>49130</v>
      </c>
      <c r="M868" s="1">
        <v>2.80645E-6</v>
      </c>
      <c r="P868" s="1">
        <v>49130</v>
      </c>
      <c r="Q868" s="1">
        <v>5.3222500000000002E-7</v>
      </c>
    </row>
    <row r="869" spans="2:17" x14ac:dyDescent="0.2">
      <c r="B869" s="1">
        <v>49131</v>
      </c>
      <c r="C869" s="1">
        <v>0</v>
      </c>
      <c r="G869" s="1">
        <v>49131</v>
      </c>
      <c r="H869" s="1">
        <v>1.3E-6</v>
      </c>
      <c r="L869" s="1">
        <v>49131</v>
      </c>
      <c r="M869" s="1">
        <v>1.9545399999999999E-6</v>
      </c>
      <c r="P869" s="1">
        <v>49131</v>
      </c>
      <c r="Q869" s="1">
        <v>8.7459399999999998E-8</v>
      </c>
    </row>
    <row r="870" spans="2:17" hidden="1" x14ac:dyDescent="0.2">
      <c r="B870" s="1">
        <v>49132</v>
      </c>
      <c r="C870" s="1">
        <v>0</v>
      </c>
      <c r="G870" s="1">
        <v>49132</v>
      </c>
      <c r="H870" s="1">
        <v>0</v>
      </c>
      <c r="L870" s="1">
        <v>49132</v>
      </c>
      <c r="M870" s="1">
        <v>5.43114E-7</v>
      </c>
      <c r="P870" s="1">
        <v>49132</v>
      </c>
      <c r="Q870" s="1">
        <v>0</v>
      </c>
    </row>
    <row r="871" spans="2:17" x14ac:dyDescent="0.2">
      <c r="B871" s="1">
        <v>50103</v>
      </c>
      <c r="C871" s="1">
        <v>9.9999999999999995E-8</v>
      </c>
      <c r="G871" s="1">
        <v>50103</v>
      </c>
      <c r="H871" s="1">
        <v>1.9999999999999999E-7</v>
      </c>
      <c r="L871" s="1">
        <v>50103</v>
      </c>
      <c r="M871" s="1">
        <v>1.7791999999999999E-7</v>
      </c>
      <c r="P871" s="1">
        <v>50103</v>
      </c>
      <c r="Q871" s="1">
        <v>4.8092200000000002E-8</v>
      </c>
    </row>
    <row r="872" spans="2:17" x14ac:dyDescent="0.2">
      <c r="B872" s="1">
        <v>50104</v>
      </c>
      <c r="C872" s="1">
        <v>0</v>
      </c>
      <c r="G872" s="1">
        <v>50104</v>
      </c>
      <c r="H872" s="1">
        <v>0</v>
      </c>
      <c r="L872" s="1">
        <v>50104</v>
      </c>
      <c r="M872" s="1">
        <v>3.5458400000000001E-8</v>
      </c>
      <c r="P872" s="1">
        <v>50104</v>
      </c>
      <c r="Q872" s="1">
        <v>7.3987999999999997E-9</v>
      </c>
    </row>
    <row r="873" spans="2:17" x14ac:dyDescent="0.2">
      <c r="B873" s="1">
        <v>50105</v>
      </c>
      <c r="C873" s="1">
        <v>0</v>
      </c>
      <c r="G873" s="1">
        <v>50105</v>
      </c>
      <c r="H873" s="1">
        <v>0</v>
      </c>
      <c r="L873" s="1">
        <v>50105</v>
      </c>
      <c r="M873" s="1">
        <v>5.6537999999999996E-9</v>
      </c>
      <c r="P873" s="1">
        <v>50105</v>
      </c>
      <c r="Q873" s="1">
        <v>3.3503999999999999E-9</v>
      </c>
    </row>
    <row r="874" spans="2:17" x14ac:dyDescent="0.2">
      <c r="B874" s="1">
        <v>50106</v>
      </c>
      <c r="C874" s="1">
        <v>0</v>
      </c>
      <c r="G874" s="1">
        <v>50106</v>
      </c>
      <c r="H874" s="1">
        <v>0</v>
      </c>
      <c r="L874" s="1">
        <v>50106</v>
      </c>
      <c r="M874" s="1">
        <v>6.9799999999999997E-10</v>
      </c>
      <c r="P874" s="1">
        <v>50106</v>
      </c>
      <c r="Q874" s="1">
        <v>2.7919999999999998E-10</v>
      </c>
    </row>
    <row r="875" spans="2:17" x14ac:dyDescent="0.2">
      <c r="B875" s="1">
        <v>50107</v>
      </c>
      <c r="C875" s="1">
        <v>0</v>
      </c>
      <c r="G875" s="1">
        <v>50107</v>
      </c>
      <c r="H875" s="1">
        <v>0</v>
      </c>
      <c r="L875" s="1">
        <v>50107</v>
      </c>
      <c r="M875" s="1">
        <v>0</v>
      </c>
      <c r="P875" s="1">
        <v>50107</v>
      </c>
      <c r="Q875" s="1">
        <v>6.9799999999999994E-11</v>
      </c>
    </row>
    <row r="876" spans="2:17" x14ac:dyDescent="0.2">
      <c r="B876" s="1">
        <v>50108</v>
      </c>
      <c r="C876" s="1">
        <v>0</v>
      </c>
      <c r="G876" s="1">
        <v>50108</v>
      </c>
      <c r="H876" s="1">
        <v>0</v>
      </c>
      <c r="L876" s="1">
        <v>50108</v>
      </c>
      <c r="M876" s="1">
        <v>0</v>
      </c>
      <c r="P876" s="1">
        <v>50108</v>
      </c>
      <c r="Q876" s="1">
        <v>6.9799999999999994E-11</v>
      </c>
    </row>
    <row r="877" spans="2:17" hidden="1" x14ac:dyDescent="0.2">
      <c r="B877" s="1">
        <v>50109</v>
      </c>
      <c r="C877" s="1">
        <v>0</v>
      </c>
      <c r="G877" s="1">
        <v>50109</v>
      </c>
      <c r="H877" s="1">
        <v>0</v>
      </c>
      <c r="L877" s="1">
        <v>50109</v>
      </c>
      <c r="M877" s="1">
        <v>0</v>
      </c>
      <c r="P877" s="1">
        <v>50109</v>
      </c>
      <c r="Q877" s="1">
        <v>0</v>
      </c>
    </row>
    <row r="878" spans="2:17" hidden="1" x14ac:dyDescent="0.2">
      <c r="B878" s="1">
        <v>50110</v>
      </c>
      <c r="C878" s="1">
        <v>0</v>
      </c>
      <c r="G878" s="1">
        <v>50110</v>
      </c>
      <c r="H878" s="1">
        <v>0</v>
      </c>
      <c r="L878" s="1">
        <v>50110</v>
      </c>
      <c r="M878" s="1">
        <v>0</v>
      </c>
      <c r="P878" s="1">
        <v>50110</v>
      </c>
      <c r="Q878" s="1">
        <v>0</v>
      </c>
    </row>
    <row r="879" spans="2:17" hidden="1" x14ac:dyDescent="0.2">
      <c r="B879" s="1">
        <v>50111</v>
      </c>
      <c r="C879" s="1">
        <v>0</v>
      </c>
      <c r="G879" s="1">
        <v>50111</v>
      </c>
      <c r="H879" s="1">
        <v>0</v>
      </c>
      <c r="L879" s="1">
        <v>50111</v>
      </c>
      <c r="M879" s="1">
        <v>0</v>
      </c>
      <c r="P879" s="1">
        <v>50111</v>
      </c>
      <c r="Q879" s="1">
        <v>0</v>
      </c>
    </row>
    <row r="880" spans="2:17" hidden="1" x14ac:dyDescent="0.2">
      <c r="B880" s="1">
        <v>50112</v>
      </c>
      <c r="C880" s="1">
        <v>0</v>
      </c>
      <c r="G880" s="1">
        <v>50112</v>
      </c>
      <c r="H880" s="1">
        <v>0</v>
      </c>
      <c r="L880" s="1">
        <v>50112</v>
      </c>
      <c r="M880" s="1">
        <v>0</v>
      </c>
      <c r="P880" s="1">
        <v>50112</v>
      </c>
      <c r="Q880" s="1">
        <v>0</v>
      </c>
    </row>
    <row r="881" spans="2:17" hidden="1" x14ac:dyDescent="0.2">
      <c r="B881" s="1">
        <v>50113</v>
      </c>
      <c r="C881" s="1">
        <v>0</v>
      </c>
      <c r="G881" s="1">
        <v>50113</v>
      </c>
      <c r="H881" s="1">
        <v>0</v>
      </c>
      <c r="L881" s="1">
        <v>50113</v>
      </c>
      <c r="M881" s="1">
        <v>0</v>
      </c>
      <c r="P881" s="1">
        <v>50113</v>
      </c>
      <c r="Q881" s="1">
        <v>0</v>
      </c>
    </row>
    <row r="882" spans="2:17" hidden="1" x14ac:dyDescent="0.2">
      <c r="B882" s="1">
        <v>50114</v>
      </c>
      <c r="C882" s="1">
        <v>0</v>
      </c>
      <c r="G882" s="1">
        <v>50114</v>
      </c>
      <c r="H882" s="1">
        <v>0</v>
      </c>
      <c r="L882" s="1">
        <v>50114</v>
      </c>
      <c r="M882" s="1">
        <v>0</v>
      </c>
      <c r="P882" s="1">
        <v>50114</v>
      </c>
      <c r="Q882" s="1">
        <v>0</v>
      </c>
    </row>
    <row r="883" spans="2:17" hidden="1" x14ac:dyDescent="0.2">
      <c r="B883" s="1">
        <v>50115</v>
      </c>
      <c r="C883" s="1">
        <v>0</v>
      </c>
      <c r="G883" s="1">
        <v>50115</v>
      </c>
      <c r="H883" s="1">
        <v>0</v>
      </c>
      <c r="L883" s="1">
        <v>50115</v>
      </c>
      <c r="M883" s="1">
        <v>0</v>
      </c>
      <c r="P883" s="1">
        <v>50115</v>
      </c>
      <c r="Q883" s="1">
        <v>0</v>
      </c>
    </row>
    <row r="884" spans="2:17" hidden="1" x14ac:dyDescent="0.2">
      <c r="B884" s="1">
        <v>50116</v>
      </c>
      <c r="C884" s="1">
        <v>0</v>
      </c>
      <c r="G884" s="1">
        <v>50116</v>
      </c>
      <c r="H884" s="1">
        <v>0</v>
      </c>
      <c r="L884" s="1">
        <v>50116</v>
      </c>
      <c r="M884" s="1">
        <v>0</v>
      </c>
      <c r="P884" s="1">
        <v>50116</v>
      </c>
      <c r="Q884" s="1">
        <v>0</v>
      </c>
    </row>
    <row r="885" spans="2:17" hidden="1" x14ac:dyDescent="0.2">
      <c r="B885" s="1">
        <v>50117</v>
      </c>
      <c r="C885" s="1">
        <v>0</v>
      </c>
      <c r="G885" s="1">
        <v>50117</v>
      </c>
      <c r="H885" s="1">
        <v>0</v>
      </c>
      <c r="L885" s="1">
        <v>50117</v>
      </c>
      <c r="M885" s="1">
        <v>0</v>
      </c>
      <c r="P885" s="1">
        <v>50117</v>
      </c>
      <c r="Q885" s="1">
        <v>0</v>
      </c>
    </row>
    <row r="886" spans="2:17" x14ac:dyDescent="0.2">
      <c r="B886" s="1">
        <v>50118</v>
      </c>
      <c r="C886" s="1">
        <v>0</v>
      </c>
      <c r="G886" s="1">
        <v>50118</v>
      </c>
      <c r="H886" s="1">
        <v>0</v>
      </c>
      <c r="L886" s="1">
        <v>50118</v>
      </c>
      <c r="M886" s="1">
        <v>4.1879999999999999E-10</v>
      </c>
      <c r="P886" s="1">
        <v>50118</v>
      </c>
      <c r="Q886" s="1">
        <v>2.094E-10</v>
      </c>
    </row>
    <row r="887" spans="2:17" x14ac:dyDescent="0.2">
      <c r="B887" s="1">
        <v>50119</v>
      </c>
      <c r="C887" s="1">
        <v>0</v>
      </c>
      <c r="G887" s="1">
        <v>50119</v>
      </c>
      <c r="H887" s="1">
        <v>0</v>
      </c>
      <c r="L887" s="1">
        <v>50119</v>
      </c>
      <c r="M887" s="1">
        <v>1.6752E-9</v>
      </c>
      <c r="P887" s="1">
        <v>50119</v>
      </c>
      <c r="Q887" s="1">
        <v>8.3759999999999998E-10</v>
      </c>
    </row>
    <row r="888" spans="2:17" x14ac:dyDescent="0.2">
      <c r="B888" s="1">
        <v>50120</v>
      </c>
      <c r="C888" s="1">
        <v>0</v>
      </c>
      <c r="G888" s="1">
        <v>50120</v>
      </c>
      <c r="H888" s="1">
        <v>0</v>
      </c>
      <c r="L888" s="1">
        <v>50120</v>
      </c>
      <c r="M888" s="1">
        <v>1.0819000000000001E-8</v>
      </c>
      <c r="P888" s="1">
        <v>50120</v>
      </c>
      <c r="Q888" s="1">
        <v>1.47278E-8</v>
      </c>
    </row>
    <row r="889" spans="2:17" x14ac:dyDescent="0.2">
      <c r="B889" s="1">
        <v>50121</v>
      </c>
      <c r="C889" s="1">
        <v>0</v>
      </c>
      <c r="G889" s="1">
        <v>50121</v>
      </c>
      <c r="H889" s="1">
        <v>0</v>
      </c>
      <c r="L889" s="1">
        <v>50121</v>
      </c>
      <c r="M889" s="1">
        <v>3.3364400000000002E-8</v>
      </c>
      <c r="P889" s="1">
        <v>50121</v>
      </c>
      <c r="Q889" s="1">
        <v>4.2647800000000002E-8</v>
      </c>
    </row>
    <row r="890" spans="2:17" x14ac:dyDescent="0.2">
      <c r="B890" s="1">
        <v>50122</v>
      </c>
      <c r="C890" s="1">
        <v>1.9999999999999999E-7</v>
      </c>
      <c r="G890" s="1">
        <v>50122</v>
      </c>
      <c r="H890" s="1">
        <v>2.9999999999999999E-7</v>
      </c>
      <c r="L890" s="1">
        <v>50122</v>
      </c>
      <c r="M890" s="1">
        <v>1.41485E-7</v>
      </c>
      <c r="P890" s="1">
        <v>50122</v>
      </c>
      <c r="Q890" s="1">
        <v>2.5693400000000002E-7</v>
      </c>
    </row>
    <row r="891" spans="2:17" x14ac:dyDescent="0.2">
      <c r="B891" s="1">
        <v>50123</v>
      </c>
      <c r="C891" s="1">
        <v>4.9999999999999998E-7</v>
      </c>
      <c r="G891" s="1">
        <v>50123</v>
      </c>
      <c r="H891" s="1">
        <v>3.9999999999999998E-7</v>
      </c>
      <c r="L891" s="1">
        <v>50123</v>
      </c>
      <c r="M891" s="1">
        <v>2.9993099999999999E-7</v>
      </c>
      <c r="P891" s="1">
        <v>50123</v>
      </c>
      <c r="Q891" s="1">
        <v>5.71034E-7</v>
      </c>
    </row>
    <row r="892" spans="2:17" x14ac:dyDescent="0.2">
      <c r="B892" s="1">
        <v>50124</v>
      </c>
      <c r="C892" s="1">
        <v>9.9999999999999995E-7</v>
      </c>
      <c r="G892" s="1">
        <v>50124</v>
      </c>
      <c r="H892" s="1">
        <v>8.9999999999999996E-7</v>
      </c>
      <c r="L892" s="1">
        <v>50124</v>
      </c>
      <c r="M892" s="1">
        <v>8.3606399999999999E-7</v>
      </c>
      <c r="P892" s="1">
        <v>50124</v>
      </c>
      <c r="Q892" s="1">
        <v>2.1162000000000002E-6</v>
      </c>
    </row>
    <row r="893" spans="2:17" x14ac:dyDescent="0.2">
      <c r="B893" s="1">
        <v>50125</v>
      </c>
      <c r="C893" s="1">
        <v>1.9999999999999999E-6</v>
      </c>
      <c r="G893" s="1">
        <v>50125</v>
      </c>
      <c r="H893" s="1">
        <v>1.1000000000000001E-6</v>
      </c>
      <c r="L893" s="1">
        <v>50125</v>
      </c>
      <c r="M893" s="1">
        <v>1.4695700000000001E-6</v>
      </c>
      <c r="P893" s="1">
        <v>50125</v>
      </c>
      <c r="Q893" s="1">
        <v>3.0897700000000001E-6</v>
      </c>
    </row>
    <row r="894" spans="2:17" x14ac:dyDescent="0.2">
      <c r="B894" s="1">
        <v>50126</v>
      </c>
      <c r="C894" s="1">
        <v>3.8E-6</v>
      </c>
      <c r="G894" s="1">
        <v>50126</v>
      </c>
      <c r="H894" s="1">
        <v>2.7999999999999999E-6</v>
      </c>
      <c r="L894" s="1">
        <v>50126</v>
      </c>
      <c r="M894" s="1">
        <v>3.19907E-6</v>
      </c>
      <c r="P894" s="1">
        <v>50126</v>
      </c>
      <c r="Q894" s="1">
        <v>7.5391000000000004E-6</v>
      </c>
    </row>
    <row r="895" spans="2:17" x14ac:dyDescent="0.2">
      <c r="B895" s="1">
        <v>50127</v>
      </c>
      <c r="C895" s="1">
        <v>4.0999999999999997E-6</v>
      </c>
      <c r="G895" s="1">
        <v>50127</v>
      </c>
      <c r="H895" s="1">
        <v>5.1000000000000003E-6</v>
      </c>
      <c r="L895" s="1">
        <v>50127</v>
      </c>
      <c r="M895" s="1">
        <v>5.3452799999999998E-6</v>
      </c>
      <c r="P895" s="1">
        <v>50127</v>
      </c>
      <c r="Q895" s="1">
        <v>7.5761600000000002E-6</v>
      </c>
    </row>
    <row r="896" spans="2:17" x14ac:dyDescent="0.2">
      <c r="B896" s="1">
        <v>50128</v>
      </c>
      <c r="C896" s="1">
        <v>7.0999999999999998E-6</v>
      </c>
      <c r="G896" s="1">
        <v>50128</v>
      </c>
      <c r="H896" s="1">
        <v>7.7999999999999999E-6</v>
      </c>
      <c r="L896" s="1">
        <v>50128</v>
      </c>
      <c r="M896" s="1">
        <v>1.02392E-5</v>
      </c>
      <c r="P896" s="1">
        <v>50128</v>
      </c>
      <c r="Q896" s="1">
        <v>1.1311000000000001E-5</v>
      </c>
    </row>
    <row r="897" spans="2:17" x14ac:dyDescent="0.2">
      <c r="B897" s="1">
        <v>50129</v>
      </c>
      <c r="C897" s="1">
        <v>4.1999999999999996E-6</v>
      </c>
      <c r="G897" s="1">
        <v>50129</v>
      </c>
      <c r="H897" s="1">
        <v>1.7099999999999999E-5</v>
      </c>
      <c r="L897" s="1">
        <v>50129</v>
      </c>
      <c r="M897" s="1">
        <v>1.5143000000000001E-5</v>
      </c>
      <c r="P897" s="1">
        <v>50129</v>
      </c>
      <c r="Q897" s="1">
        <v>7.2390999999999999E-6</v>
      </c>
    </row>
    <row r="898" spans="2:17" x14ac:dyDescent="0.2">
      <c r="B898" s="1">
        <v>50130</v>
      </c>
      <c r="C898" s="1">
        <v>3.5999999999999998E-6</v>
      </c>
      <c r="G898" s="1">
        <v>50130</v>
      </c>
      <c r="H898" s="1">
        <v>2.51E-5</v>
      </c>
      <c r="L898" s="1">
        <v>50130</v>
      </c>
      <c r="M898" s="1">
        <v>2.2957200000000001E-5</v>
      </c>
      <c r="P898" s="1">
        <v>50130</v>
      </c>
      <c r="Q898" s="1">
        <v>7.3581099999999998E-6</v>
      </c>
    </row>
    <row r="899" spans="2:17" x14ac:dyDescent="0.2">
      <c r="B899" s="1">
        <v>50131</v>
      </c>
      <c r="C899" s="1">
        <v>1.5999999999999999E-6</v>
      </c>
      <c r="G899" s="1">
        <v>50131</v>
      </c>
      <c r="H899" s="1">
        <v>2.51E-5</v>
      </c>
      <c r="L899" s="1">
        <v>50131</v>
      </c>
      <c r="M899" s="1">
        <v>2.2952800000000002E-5</v>
      </c>
      <c r="P899" s="1">
        <v>50131</v>
      </c>
      <c r="Q899" s="1">
        <v>2.7944400000000001E-6</v>
      </c>
    </row>
    <row r="900" spans="2:17" x14ac:dyDescent="0.2">
      <c r="B900" s="1">
        <v>50132</v>
      </c>
      <c r="C900" s="1">
        <v>7.9999999999999996E-7</v>
      </c>
      <c r="G900" s="1">
        <v>50132</v>
      </c>
      <c r="H900" s="1">
        <v>1.7099999999999999E-5</v>
      </c>
      <c r="L900" s="1">
        <v>50132</v>
      </c>
      <c r="M900" s="1">
        <v>2.00485E-5</v>
      </c>
      <c r="P900" s="1">
        <v>50132</v>
      </c>
      <c r="Q900" s="1">
        <v>1.12671E-6</v>
      </c>
    </row>
    <row r="901" spans="2:17" x14ac:dyDescent="0.2">
      <c r="B901" s="1">
        <v>50133</v>
      </c>
      <c r="C901" s="1">
        <v>0</v>
      </c>
      <c r="G901" s="1">
        <v>50133</v>
      </c>
      <c r="H901" s="1">
        <v>7.7999999999999999E-6</v>
      </c>
      <c r="L901" s="1">
        <v>50133</v>
      </c>
      <c r="M901" s="1">
        <v>7.7809599999999994E-6</v>
      </c>
      <c r="P901" s="1">
        <v>50133</v>
      </c>
      <c r="Q901" s="1">
        <v>2.6872999999999999E-8</v>
      </c>
    </row>
    <row r="902" spans="2:17" x14ac:dyDescent="0.2">
      <c r="B902" s="1">
        <v>50134</v>
      </c>
      <c r="C902" s="1">
        <v>0</v>
      </c>
      <c r="G902" s="1">
        <v>50134</v>
      </c>
      <c r="H902" s="1">
        <v>1.1999999999999999E-6</v>
      </c>
      <c r="L902" s="1">
        <v>50134</v>
      </c>
      <c r="M902" s="1">
        <v>2.86354E-6</v>
      </c>
      <c r="P902" s="1">
        <v>50134</v>
      </c>
      <c r="Q902" s="1">
        <v>1.3959999999999999E-10</v>
      </c>
    </row>
    <row r="903" spans="2:17" x14ac:dyDescent="0.2">
      <c r="B903" s="1">
        <v>51108</v>
      </c>
      <c r="C903" s="1">
        <v>9.9999999999999995E-8</v>
      </c>
      <c r="G903" s="1">
        <v>51108</v>
      </c>
      <c r="H903" s="1">
        <v>3.9999999999999998E-7</v>
      </c>
      <c r="L903" s="1">
        <v>51108</v>
      </c>
      <c r="M903" s="1">
        <v>5.9937300000000003E-7</v>
      </c>
      <c r="P903" s="1">
        <v>51108</v>
      </c>
      <c r="Q903" s="1">
        <v>8.0339800000000006E-8</v>
      </c>
    </row>
    <row r="904" spans="2:17" x14ac:dyDescent="0.2">
      <c r="B904" s="1">
        <v>51109</v>
      </c>
      <c r="C904" s="1">
        <v>9.9999999999999995E-8</v>
      </c>
      <c r="G904" s="1">
        <v>51109</v>
      </c>
      <c r="H904" s="1">
        <v>9.9999999999999995E-8</v>
      </c>
      <c r="L904" s="1">
        <v>51109</v>
      </c>
      <c r="M904" s="1">
        <v>1.1126100000000001E-7</v>
      </c>
      <c r="P904" s="1">
        <v>51109</v>
      </c>
      <c r="Q904" s="1">
        <v>3.7063800000000003E-8</v>
      </c>
    </row>
    <row r="905" spans="2:17" x14ac:dyDescent="0.2">
      <c r="B905" s="1">
        <v>51110</v>
      </c>
      <c r="C905" s="1">
        <v>0</v>
      </c>
      <c r="G905" s="1">
        <v>51110</v>
      </c>
      <c r="H905" s="1">
        <v>0</v>
      </c>
      <c r="L905" s="1">
        <v>51110</v>
      </c>
      <c r="M905" s="1">
        <v>1.34016E-8</v>
      </c>
      <c r="P905" s="1">
        <v>51110</v>
      </c>
      <c r="Q905" s="1">
        <v>5.7236000000000004E-9</v>
      </c>
    </row>
    <row r="906" spans="2:17" x14ac:dyDescent="0.2">
      <c r="B906" s="1">
        <v>51111</v>
      </c>
      <c r="C906" s="1">
        <v>0</v>
      </c>
      <c r="G906" s="1">
        <v>51111</v>
      </c>
      <c r="H906" s="1">
        <v>0</v>
      </c>
      <c r="L906" s="1">
        <v>51111</v>
      </c>
      <c r="M906" s="1">
        <v>1.6054000000000001E-9</v>
      </c>
      <c r="P906" s="1">
        <v>51111</v>
      </c>
      <c r="Q906" s="1">
        <v>1.8148E-9</v>
      </c>
    </row>
    <row r="907" spans="2:17" x14ac:dyDescent="0.2">
      <c r="B907" s="1">
        <v>51112</v>
      </c>
      <c r="C907" s="1">
        <v>0</v>
      </c>
      <c r="G907" s="1">
        <v>51112</v>
      </c>
      <c r="H907" s="1">
        <v>0</v>
      </c>
      <c r="L907" s="1">
        <v>51112</v>
      </c>
      <c r="M907" s="1">
        <v>0</v>
      </c>
      <c r="P907" s="1">
        <v>51112</v>
      </c>
      <c r="Q907" s="1">
        <v>6.9799999999999994E-11</v>
      </c>
    </row>
    <row r="908" spans="2:17" hidden="1" x14ac:dyDescent="0.2">
      <c r="B908" s="1">
        <v>51113</v>
      </c>
      <c r="C908" s="1">
        <v>0</v>
      </c>
      <c r="G908" s="1">
        <v>51113</v>
      </c>
      <c r="H908" s="1">
        <v>0</v>
      </c>
      <c r="L908" s="1">
        <v>51113</v>
      </c>
      <c r="M908" s="1">
        <v>0</v>
      </c>
      <c r="P908" s="1">
        <v>51113</v>
      </c>
      <c r="Q908" s="1">
        <v>0</v>
      </c>
    </row>
    <row r="909" spans="2:17" hidden="1" x14ac:dyDescent="0.2">
      <c r="B909" s="1">
        <v>51114</v>
      </c>
      <c r="C909" s="1">
        <v>0</v>
      </c>
      <c r="G909" s="1">
        <v>51114</v>
      </c>
      <c r="H909" s="1">
        <v>0</v>
      </c>
      <c r="L909" s="1">
        <v>51114</v>
      </c>
      <c r="M909" s="1">
        <v>0</v>
      </c>
      <c r="P909" s="1">
        <v>51114</v>
      </c>
      <c r="Q909" s="1">
        <v>0</v>
      </c>
    </row>
    <row r="910" spans="2:17" hidden="1" x14ac:dyDescent="0.2">
      <c r="B910" s="1">
        <v>51115</v>
      </c>
      <c r="C910" s="1">
        <v>0</v>
      </c>
      <c r="G910" s="1">
        <v>51115</v>
      </c>
      <c r="H910" s="1">
        <v>0</v>
      </c>
      <c r="L910" s="1">
        <v>51115</v>
      </c>
      <c r="M910" s="1">
        <v>0</v>
      </c>
      <c r="P910" s="1">
        <v>51115</v>
      </c>
      <c r="Q910" s="1">
        <v>0</v>
      </c>
    </row>
    <row r="911" spans="2:17" hidden="1" x14ac:dyDescent="0.2">
      <c r="B911" s="1">
        <v>51116</v>
      </c>
      <c r="C911" s="1">
        <v>0</v>
      </c>
      <c r="G911" s="1">
        <v>51116</v>
      </c>
      <c r="H911" s="1">
        <v>0</v>
      </c>
      <c r="L911" s="1">
        <v>51116</v>
      </c>
      <c r="M911" s="1">
        <v>0</v>
      </c>
      <c r="P911" s="1">
        <v>51116</v>
      </c>
      <c r="Q911" s="1">
        <v>0</v>
      </c>
    </row>
    <row r="912" spans="2:17" hidden="1" x14ac:dyDescent="0.2">
      <c r="B912" s="1">
        <v>51117</v>
      </c>
      <c r="C912" s="1">
        <v>0</v>
      </c>
      <c r="G912" s="1">
        <v>51117</v>
      </c>
      <c r="H912" s="1">
        <v>0</v>
      </c>
      <c r="L912" s="1">
        <v>51117</v>
      </c>
      <c r="M912" s="1">
        <v>0</v>
      </c>
      <c r="P912" s="1">
        <v>51117</v>
      </c>
      <c r="Q912" s="1">
        <v>0</v>
      </c>
    </row>
    <row r="913" spans="2:17" hidden="1" x14ac:dyDescent="0.2">
      <c r="B913" s="1">
        <v>51118</v>
      </c>
      <c r="C913" s="1">
        <v>0</v>
      </c>
      <c r="G913" s="1">
        <v>51118</v>
      </c>
      <c r="H913" s="1">
        <v>0</v>
      </c>
      <c r="L913" s="1">
        <v>51118</v>
      </c>
      <c r="M913" s="1">
        <v>0</v>
      </c>
      <c r="P913" s="1">
        <v>51118</v>
      </c>
      <c r="Q913" s="1">
        <v>0</v>
      </c>
    </row>
    <row r="914" spans="2:17" hidden="1" x14ac:dyDescent="0.2">
      <c r="B914" s="1">
        <v>51119</v>
      </c>
      <c r="C914" s="1">
        <v>0</v>
      </c>
      <c r="G914" s="1">
        <v>51119</v>
      </c>
      <c r="H914" s="1">
        <v>0</v>
      </c>
      <c r="L914" s="1">
        <v>51119</v>
      </c>
      <c r="M914" s="1">
        <v>1.3959999999999999E-10</v>
      </c>
      <c r="P914" s="1">
        <v>51119</v>
      </c>
      <c r="Q914" s="1">
        <v>0</v>
      </c>
    </row>
    <row r="915" spans="2:17" hidden="1" x14ac:dyDescent="0.2">
      <c r="B915" s="1">
        <v>51120</v>
      </c>
      <c r="C915" s="1">
        <v>0</v>
      </c>
      <c r="G915" s="1">
        <v>51120</v>
      </c>
      <c r="H915" s="1">
        <v>0</v>
      </c>
      <c r="L915" s="1">
        <v>51120</v>
      </c>
      <c r="M915" s="1">
        <v>4.8860000000000005E-10</v>
      </c>
      <c r="P915" s="1">
        <v>51120</v>
      </c>
      <c r="Q915" s="1">
        <v>0</v>
      </c>
    </row>
    <row r="916" spans="2:17" x14ac:dyDescent="0.2">
      <c r="B916" s="1">
        <v>51121</v>
      </c>
      <c r="C916" s="1">
        <v>0</v>
      </c>
      <c r="G916" s="1">
        <v>51121</v>
      </c>
      <c r="H916" s="1">
        <v>0</v>
      </c>
      <c r="L916" s="1">
        <v>51121</v>
      </c>
      <c r="M916" s="1">
        <v>1.2563999999999999E-9</v>
      </c>
      <c r="P916" s="1">
        <v>51121</v>
      </c>
      <c r="Q916" s="1">
        <v>2.7919999999999998E-10</v>
      </c>
    </row>
    <row r="917" spans="2:17" x14ac:dyDescent="0.2">
      <c r="B917" s="1">
        <v>51122</v>
      </c>
      <c r="C917" s="1">
        <v>0</v>
      </c>
      <c r="G917" s="1">
        <v>51122</v>
      </c>
      <c r="H917" s="1">
        <v>0</v>
      </c>
      <c r="L917" s="1">
        <v>51122</v>
      </c>
      <c r="M917" s="1">
        <v>5.3746E-9</v>
      </c>
      <c r="P917" s="1">
        <v>51122</v>
      </c>
      <c r="Q917" s="1">
        <v>2.3034000000000001E-9</v>
      </c>
    </row>
    <row r="918" spans="2:17" x14ac:dyDescent="0.2">
      <c r="B918" s="1">
        <v>51123</v>
      </c>
      <c r="C918" s="1">
        <v>0</v>
      </c>
      <c r="G918" s="1">
        <v>51123</v>
      </c>
      <c r="H918" s="1">
        <v>0</v>
      </c>
      <c r="L918" s="1">
        <v>51123</v>
      </c>
      <c r="M918" s="1">
        <v>2.6314599999999999E-8</v>
      </c>
      <c r="P918" s="1">
        <v>51123</v>
      </c>
      <c r="Q918" s="1">
        <v>2.5197800000000001E-8</v>
      </c>
    </row>
    <row r="919" spans="2:17" x14ac:dyDescent="0.2">
      <c r="B919" s="1">
        <v>51124</v>
      </c>
      <c r="C919" s="1">
        <v>0</v>
      </c>
      <c r="G919" s="1">
        <v>51124</v>
      </c>
      <c r="H919" s="1">
        <v>9.9999999999999995E-8</v>
      </c>
      <c r="L919" s="1">
        <v>51124</v>
      </c>
      <c r="M919" s="1">
        <v>7.28014E-8</v>
      </c>
      <c r="P919" s="1">
        <v>51124</v>
      </c>
      <c r="Q919" s="1">
        <v>9.5207199999999998E-8</v>
      </c>
    </row>
    <row r="920" spans="2:17" x14ac:dyDescent="0.2">
      <c r="B920" s="1">
        <v>51125</v>
      </c>
      <c r="C920" s="1">
        <v>4.9999999999999998E-7</v>
      </c>
      <c r="G920" s="1">
        <v>51125</v>
      </c>
      <c r="H920" s="1">
        <v>1.9999999999999999E-7</v>
      </c>
      <c r="L920" s="1">
        <v>51125</v>
      </c>
      <c r="M920" s="1">
        <v>2.6831100000000003E-7</v>
      </c>
      <c r="P920" s="1">
        <v>51125</v>
      </c>
      <c r="Q920" s="1">
        <v>5.4576600000000004E-7</v>
      </c>
    </row>
    <row r="921" spans="2:17" x14ac:dyDescent="0.2">
      <c r="B921" s="1">
        <v>51126</v>
      </c>
      <c r="C921" s="1">
        <v>3.9999999999999998E-7</v>
      </c>
      <c r="G921" s="1">
        <v>51126</v>
      </c>
      <c r="H921" s="1">
        <v>5.9999999999999997E-7</v>
      </c>
      <c r="L921" s="1">
        <v>51126</v>
      </c>
      <c r="M921" s="1">
        <v>5.6084300000000001E-7</v>
      </c>
      <c r="P921" s="1">
        <v>51126</v>
      </c>
      <c r="Q921" s="1">
        <v>1.3797399999999999E-6</v>
      </c>
    </row>
    <row r="922" spans="2:17" x14ac:dyDescent="0.2">
      <c r="B922" s="1">
        <v>51127</v>
      </c>
      <c r="C922" s="1">
        <v>2.3E-6</v>
      </c>
      <c r="G922" s="1">
        <v>51127</v>
      </c>
      <c r="H922" s="1">
        <v>1.3E-6</v>
      </c>
      <c r="L922" s="1">
        <v>51127</v>
      </c>
      <c r="M922" s="1">
        <v>1.5382500000000001E-6</v>
      </c>
      <c r="P922" s="1">
        <v>51127</v>
      </c>
      <c r="Q922" s="1">
        <v>4.6081300000000004E-6</v>
      </c>
    </row>
    <row r="923" spans="2:17" x14ac:dyDescent="0.2">
      <c r="B923" s="1">
        <v>51128</v>
      </c>
      <c r="C923" s="1">
        <v>3.4000000000000001E-6</v>
      </c>
      <c r="G923" s="1">
        <v>51128</v>
      </c>
      <c r="H923" s="1">
        <v>2.0999999999999998E-6</v>
      </c>
      <c r="L923" s="1">
        <v>51128</v>
      </c>
      <c r="M923" s="1">
        <v>2.82515E-6</v>
      </c>
      <c r="P923" s="1">
        <v>51128</v>
      </c>
      <c r="Q923" s="1">
        <v>6.5655299999999996E-6</v>
      </c>
    </row>
    <row r="924" spans="2:17" x14ac:dyDescent="0.2">
      <c r="B924" s="1">
        <v>51129</v>
      </c>
      <c r="C924" s="1">
        <v>8.6999999999999997E-6</v>
      </c>
      <c r="G924" s="1">
        <v>51129</v>
      </c>
      <c r="H924" s="1">
        <v>5.3000000000000001E-6</v>
      </c>
      <c r="L924" s="1">
        <v>51129</v>
      </c>
      <c r="M924" s="1">
        <v>6.9429400000000003E-6</v>
      </c>
      <c r="P924" s="1">
        <v>51129</v>
      </c>
      <c r="Q924" s="1">
        <v>1.40092E-5</v>
      </c>
    </row>
    <row r="925" spans="2:17" x14ac:dyDescent="0.2">
      <c r="B925" s="1">
        <v>51130</v>
      </c>
      <c r="C925" s="1">
        <v>8.1999999999999994E-6</v>
      </c>
      <c r="G925" s="1">
        <v>51130</v>
      </c>
      <c r="H925" s="1">
        <v>1.0699999999999999E-5</v>
      </c>
      <c r="L925" s="1">
        <v>51130</v>
      </c>
      <c r="M925" s="1">
        <v>1.3030999999999999E-5</v>
      </c>
      <c r="P925" s="1">
        <v>51130</v>
      </c>
      <c r="Q925" s="1">
        <v>1.4266200000000001E-5</v>
      </c>
    </row>
    <row r="926" spans="2:17" x14ac:dyDescent="0.2">
      <c r="B926" s="1">
        <v>51131</v>
      </c>
      <c r="C926" s="1">
        <v>1.2999999999999999E-5</v>
      </c>
      <c r="G926" s="1">
        <v>51131</v>
      </c>
      <c r="H926" s="1">
        <v>3.0300000000000001E-5</v>
      </c>
      <c r="L926" s="1">
        <v>51131</v>
      </c>
      <c r="M926" s="1">
        <v>2.8943100000000001E-5</v>
      </c>
      <c r="P926" s="1">
        <v>51131</v>
      </c>
      <c r="Q926" s="1">
        <v>1.8558100000000001E-5</v>
      </c>
    </row>
    <row r="927" spans="2:17" x14ac:dyDescent="0.2">
      <c r="B927" s="1">
        <v>51132</v>
      </c>
      <c r="C927" s="1">
        <v>7.7000000000000008E-6</v>
      </c>
      <c r="G927" s="1">
        <v>51132</v>
      </c>
      <c r="H927" s="1">
        <v>4.4700000000000002E-5</v>
      </c>
      <c r="L927" s="1">
        <v>51132</v>
      </c>
      <c r="M927" s="1">
        <v>4.0145699999999997E-5</v>
      </c>
      <c r="P927" s="1">
        <v>51132</v>
      </c>
      <c r="Q927" s="1">
        <v>1.19459E-5</v>
      </c>
    </row>
    <row r="928" spans="2:17" x14ac:dyDescent="0.2">
      <c r="B928" s="1">
        <v>51133</v>
      </c>
      <c r="C928" s="1">
        <v>4.5000000000000001E-6</v>
      </c>
      <c r="G928" s="1">
        <v>51133</v>
      </c>
      <c r="H928" s="1">
        <v>5.7399999999999999E-5</v>
      </c>
      <c r="L928" s="1">
        <v>51133</v>
      </c>
      <c r="M928" s="1">
        <v>5.31325E-5</v>
      </c>
      <c r="P928" s="1">
        <v>51133</v>
      </c>
      <c r="Q928" s="1">
        <v>8.0660899999999999E-6</v>
      </c>
    </row>
    <row r="929" spans="2:17" x14ac:dyDescent="0.2">
      <c r="B929" s="1">
        <v>51134</v>
      </c>
      <c r="C929" s="1">
        <v>5.9999999999999997E-7</v>
      </c>
      <c r="G929" s="1">
        <v>51134</v>
      </c>
      <c r="H929" s="1">
        <v>3.1900000000000003E-5</v>
      </c>
      <c r="L929" s="1">
        <v>51134</v>
      </c>
      <c r="M929" s="1">
        <v>2.96874E-5</v>
      </c>
      <c r="P929" s="1">
        <v>51134</v>
      </c>
      <c r="Q929" s="1">
        <v>1.8650600000000001E-6</v>
      </c>
    </row>
    <row r="930" spans="2:17" x14ac:dyDescent="0.2">
      <c r="B930" s="1">
        <v>51135</v>
      </c>
      <c r="C930" s="1">
        <v>6.9999999999999997E-7</v>
      </c>
      <c r="G930" s="1">
        <v>51135</v>
      </c>
      <c r="H930" s="1">
        <v>1.6500000000000001E-5</v>
      </c>
      <c r="L930" s="1">
        <v>51135</v>
      </c>
      <c r="M930" s="1">
        <v>1.80646E-5</v>
      </c>
      <c r="P930" s="1">
        <v>51135</v>
      </c>
      <c r="Q930" s="1">
        <v>1.02096E-6</v>
      </c>
    </row>
    <row r="931" spans="2:17" x14ac:dyDescent="0.2">
      <c r="B931" s="1">
        <v>51136</v>
      </c>
      <c r="C931" s="1">
        <v>9.9999999999999995E-8</v>
      </c>
      <c r="G931" s="1">
        <v>51136</v>
      </c>
      <c r="H931" s="1">
        <v>3.8999999999999999E-6</v>
      </c>
      <c r="L931" s="1">
        <v>51136</v>
      </c>
      <c r="M931" s="1">
        <v>5.6405399999999999E-6</v>
      </c>
      <c r="P931" s="1">
        <v>51136</v>
      </c>
      <c r="Q931" s="1">
        <v>2.5714300000000001E-7</v>
      </c>
    </row>
    <row r="932" spans="2:17" x14ac:dyDescent="0.2">
      <c r="B932" s="1">
        <v>52106</v>
      </c>
      <c r="C932" s="1">
        <v>0</v>
      </c>
      <c r="G932" s="1">
        <v>52106</v>
      </c>
      <c r="H932" s="1">
        <v>1.3999999999999999E-6</v>
      </c>
      <c r="L932" s="1">
        <v>52106</v>
      </c>
      <c r="M932" s="1">
        <v>1.8392300000000001E-6</v>
      </c>
      <c r="P932" s="1">
        <v>52106</v>
      </c>
      <c r="Q932" s="1">
        <v>2.7919999999999998E-10</v>
      </c>
    </row>
    <row r="933" spans="2:17" x14ac:dyDescent="0.2">
      <c r="B933" s="1">
        <v>52107</v>
      </c>
      <c r="C933" s="1">
        <v>0</v>
      </c>
      <c r="G933" s="1">
        <v>52107</v>
      </c>
      <c r="H933" s="1">
        <v>9.9999999999999995E-8</v>
      </c>
      <c r="L933" s="1">
        <v>52107</v>
      </c>
      <c r="M933" s="1">
        <v>3.4209000000000001E-7</v>
      </c>
      <c r="P933" s="1">
        <v>52107</v>
      </c>
      <c r="Q933" s="1">
        <v>8.1875400000000005E-8</v>
      </c>
    </row>
    <row r="934" spans="2:17" x14ac:dyDescent="0.2">
      <c r="B934" s="1">
        <v>52108</v>
      </c>
      <c r="C934" s="1">
        <v>9.9999999999999995E-8</v>
      </c>
      <c r="G934" s="1">
        <v>52108</v>
      </c>
      <c r="H934" s="1">
        <v>0</v>
      </c>
      <c r="L934" s="1">
        <v>52108</v>
      </c>
      <c r="M934" s="1">
        <v>6.2122000000000005E-8</v>
      </c>
      <c r="P934" s="1">
        <v>52108</v>
      </c>
      <c r="Q934" s="1">
        <v>2.9176400000000001E-8</v>
      </c>
    </row>
    <row r="935" spans="2:17" x14ac:dyDescent="0.2">
      <c r="B935" s="1">
        <v>52109</v>
      </c>
      <c r="C935" s="1">
        <v>0</v>
      </c>
      <c r="G935" s="1">
        <v>52109</v>
      </c>
      <c r="H935" s="1">
        <v>0</v>
      </c>
      <c r="L935" s="1">
        <v>52109</v>
      </c>
      <c r="M935" s="1">
        <v>7.1196000000000001E-9</v>
      </c>
      <c r="P935" s="1">
        <v>52109</v>
      </c>
      <c r="Q935" s="1">
        <v>3.9786000000000003E-9</v>
      </c>
    </row>
    <row r="936" spans="2:17" x14ac:dyDescent="0.2">
      <c r="B936" s="1">
        <v>52110</v>
      </c>
      <c r="C936" s="1">
        <v>0</v>
      </c>
      <c r="G936" s="1">
        <v>52110</v>
      </c>
      <c r="H936" s="1">
        <v>0</v>
      </c>
      <c r="L936" s="1">
        <v>52110</v>
      </c>
      <c r="M936" s="1">
        <v>7.6779999999999997E-10</v>
      </c>
      <c r="P936" s="1">
        <v>52110</v>
      </c>
      <c r="Q936" s="1">
        <v>6.9799999999999997E-10</v>
      </c>
    </row>
    <row r="937" spans="2:17" hidden="1" x14ac:dyDescent="0.2">
      <c r="B937" s="1">
        <v>52111</v>
      </c>
      <c r="C937" s="1">
        <v>0</v>
      </c>
      <c r="G937" s="1">
        <v>52111</v>
      </c>
      <c r="H937" s="1">
        <v>0</v>
      </c>
      <c r="L937" s="1">
        <v>52111</v>
      </c>
      <c r="M937" s="1">
        <v>0</v>
      </c>
      <c r="P937" s="1">
        <v>52111</v>
      </c>
      <c r="Q937" s="1">
        <v>0</v>
      </c>
    </row>
    <row r="938" spans="2:17" hidden="1" x14ac:dyDescent="0.2">
      <c r="B938" s="1">
        <v>52112</v>
      </c>
      <c r="C938" s="1">
        <v>0</v>
      </c>
      <c r="G938" s="1">
        <v>52112</v>
      </c>
      <c r="H938" s="1">
        <v>0</v>
      </c>
      <c r="L938" s="1">
        <v>52112</v>
      </c>
      <c r="M938" s="1">
        <v>0</v>
      </c>
      <c r="P938" s="1">
        <v>52112</v>
      </c>
      <c r="Q938" s="1">
        <v>0</v>
      </c>
    </row>
    <row r="939" spans="2:17" hidden="1" x14ac:dyDescent="0.2">
      <c r="B939" s="1">
        <v>52113</v>
      </c>
      <c r="C939" s="1">
        <v>0</v>
      </c>
      <c r="G939" s="1">
        <v>52113</v>
      </c>
      <c r="H939" s="1">
        <v>0</v>
      </c>
      <c r="L939" s="1">
        <v>52113</v>
      </c>
      <c r="M939" s="1">
        <v>0</v>
      </c>
      <c r="P939" s="1">
        <v>52113</v>
      </c>
      <c r="Q939" s="1">
        <v>0</v>
      </c>
    </row>
    <row r="940" spans="2:17" hidden="1" x14ac:dyDescent="0.2">
      <c r="B940" s="1">
        <v>52114</v>
      </c>
      <c r="C940" s="1">
        <v>0</v>
      </c>
      <c r="G940" s="1">
        <v>52114</v>
      </c>
      <c r="H940" s="1">
        <v>0</v>
      </c>
      <c r="L940" s="1">
        <v>52114</v>
      </c>
      <c r="M940" s="1">
        <v>0</v>
      </c>
      <c r="P940" s="1">
        <v>52114</v>
      </c>
      <c r="Q940" s="1">
        <v>0</v>
      </c>
    </row>
    <row r="941" spans="2:17" hidden="1" x14ac:dyDescent="0.2">
      <c r="B941" s="1">
        <v>52115</v>
      </c>
      <c r="C941" s="1">
        <v>0</v>
      </c>
      <c r="G941" s="1">
        <v>52115</v>
      </c>
      <c r="H941" s="1">
        <v>0</v>
      </c>
      <c r="L941" s="1">
        <v>52115</v>
      </c>
      <c r="M941" s="1">
        <v>0</v>
      </c>
      <c r="P941" s="1">
        <v>52115</v>
      </c>
      <c r="Q941" s="1">
        <v>0</v>
      </c>
    </row>
    <row r="942" spans="2:17" hidden="1" x14ac:dyDescent="0.2">
      <c r="B942" s="1">
        <v>52116</v>
      </c>
      <c r="C942" s="1">
        <v>0</v>
      </c>
      <c r="G942" s="1">
        <v>52116</v>
      </c>
      <c r="H942" s="1">
        <v>0</v>
      </c>
      <c r="L942" s="1">
        <v>52116</v>
      </c>
      <c r="M942" s="1">
        <v>0</v>
      </c>
      <c r="P942" s="1">
        <v>52116</v>
      </c>
      <c r="Q942" s="1">
        <v>0</v>
      </c>
    </row>
    <row r="943" spans="2:17" hidden="1" x14ac:dyDescent="0.2">
      <c r="B943" s="1">
        <v>52117</v>
      </c>
      <c r="C943" s="1">
        <v>0</v>
      </c>
      <c r="G943" s="1">
        <v>52117</v>
      </c>
      <c r="H943" s="1">
        <v>0</v>
      </c>
      <c r="L943" s="1">
        <v>52117</v>
      </c>
      <c r="M943" s="1">
        <v>0</v>
      </c>
      <c r="P943" s="1">
        <v>52117</v>
      </c>
      <c r="Q943" s="1">
        <v>0</v>
      </c>
    </row>
    <row r="944" spans="2:17" hidden="1" x14ac:dyDescent="0.2">
      <c r="B944" s="1">
        <v>52118</v>
      </c>
      <c r="C944" s="1">
        <v>0</v>
      </c>
      <c r="G944" s="1">
        <v>52118</v>
      </c>
      <c r="H944" s="1">
        <v>0</v>
      </c>
      <c r="L944" s="1">
        <v>52118</v>
      </c>
      <c r="M944" s="1">
        <v>0</v>
      </c>
      <c r="P944" s="1">
        <v>52118</v>
      </c>
      <c r="Q944" s="1">
        <v>0</v>
      </c>
    </row>
    <row r="945" spans="2:17" hidden="1" x14ac:dyDescent="0.2">
      <c r="B945" s="1">
        <v>52119</v>
      </c>
      <c r="C945" s="1">
        <v>0</v>
      </c>
      <c r="G945" s="1">
        <v>52119</v>
      </c>
      <c r="H945" s="1">
        <v>0</v>
      </c>
      <c r="L945" s="1">
        <v>52119</v>
      </c>
      <c r="M945" s="1">
        <v>0</v>
      </c>
      <c r="P945" s="1">
        <v>52119</v>
      </c>
      <c r="Q945" s="1">
        <v>0</v>
      </c>
    </row>
    <row r="946" spans="2:17" hidden="1" x14ac:dyDescent="0.2">
      <c r="B946" s="1">
        <v>52120</v>
      </c>
      <c r="C946" s="1">
        <v>0</v>
      </c>
      <c r="G946" s="1">
        <v>52120</v>
      </c>
      <c r="H946" s="1">
        <v>0</v>
      </c>
      <c r="L946" s="1">
        <v>52120</v>
      </c>
      <c r="M946" s="1">
        <v>6.9799999999999994E-11</v>
      </c>
      <c r="P946" s="1">
        <v>52120</v>
      </c>
      <c r="Q946" s="1">
        <v>0</v>
      </c>
    </row>
    <row r="947" spans="2:17" hidden="1" x14ac:dyDescent="0.2">
      <c r="B947" s="1">
        <v>52121</v>
      </c>
      <c r="C947" s="1">
        <v>0</v>
      </c>
      <c r="G947" s="1">
        <v>52121</v>
      </c>
      <c r="H947" s="1">
        <v>0</v>
      </c>
      <c r="L947" s="1">
        <v>52121</v>
      </c>
      <c r="M947" s="1">
        <v>1.3959999999999999E-10</v>
      </c>
      <c r="P947" s="1">
        <v>52121</v>
      </c>
      <c r="Q947" s="1">
        <v>0</v>
      </c>
    </row>
    <row r="948" spans="2:17" hidden="1" x14ac:dyDescent="0.2">
      <c r="B948" s="1">
        <v>52122</v>
      </c>
      <c r="C948" s="1">
        <v>0</v>
      </c>
      <c r="G948" s="1">
        <v>52122</v>
      </c>
      <c r="H948" s="1">
        <v>0</v>
      </c>
      <c r="L948" s="1">
        <v>52122</v>
      </c>
      <c r="M948" s="1">
        <v>0</v>
      </c>
      <c r="P948" s="1">
        <v>52122</v>
      </c>
      <c r="Q948" s="1">
        <v>0</v>
      </c>
    </row>
    <row r="949" spans="2:17" x14ac:dyDescent="0.2">
      <c r="B949" s="1">
        <v>52123</v>
      </c>
      <c r="C949" s="1">
        <v>0</v>
      </c>
      <c r="G949" s="1">
        <v>52123</v>
      </c>
      <c r="H949" s="1">
        <v>0</v>
      </c>
      <c r="L949" s="1">
        <v>52123</v>
      </c>
      <c r="M949" s="1">
        <v>3.4899999999999998E-10</v>
      </c>
      <c r="P949" s="1">
        <v>52123</v>
      </c>
      <c r="Q949" s="1">
        <v>2.094E-10</v>
      </c>
    </row>
    <row r="950" spans="2:17" x14ac:dyDescent="0.2">
      <c r="B950" s="1">
        <v>52124</v>
      </c>
      <c r="C950" s="1">
        <v>0</v>
      </c>
      <c r="G950" s="1">
        <v>52124</v>
      </c>
      <c r="H950" s="1">
        <v>0</v>
      </c>
      <c r="L950" s="1">
        <v>52124</v>
      </c>
      <c r="M950" s="1">
        <v>1.7450000000000001E-9</v>
      </c>
      <c r="P950" s="1">
        <v>52124</v>
      </c>
      <c r="Q950" s="1">
        <v>1.5355999999999999E-9</v>
      </c>
    </row>
    <row r="951" spans="2:17" x14ac:dyDescent="0.2">
      <c r="B951" s="1">
        <v>52125</v>
      </c>
      <c r="C951" s="1">
        <v>0</v>
      </c>
      <c r="G951" s="1">
        <v>52125</v>
      </c>
      <c r="H951" s="1">
        <v>0</v>
      </c>
      <c r="L951" s="1">
        <v>52125</v>
      </c>
      <c r="M951" s="1">
        <v>7.2591999999999999E-9</v>
      </c>
      <c r="P951" s="1">
        <v>52125</v>
      </c>
      <c r="Q951" s="1">
        <v>9.6323999999999999E-9</v>
      </c>
    </row>
    <row r="952" spans="2:17" x14ac:dyDescent="0.2">
      <c r="B952" s="1">
        <v>52126</v>
      </c>
      <c r="C952" s="1">
        <v>9.9999999999999995E-8</v>
      </c>
      <c r="G952" s="1">
        <v>52126</v>
      </c>
      <c r="H952" s="1">
        <v>0</v>
      </c>
      <c r="L952" s="1">
        <v>52126</v>
      </c>
      <c r="M952" s="1">
        <v>4.3485399999999997E-8</v>
      </c>
      <c r="P952" s="1">
        <v>52126</v>
      </c>
      <c r="Q952" s="1">
        <v>9.6254199999999994E-8</v>
      </c>
    </row>
    <row r="953" spans="2:17" x14ac:dyDescent="0.2">
      <c r="B953" s="1">
        <v>52127</v>
      </c>
      <c r="C953" s="1">
        <v>2.9999999999999999E-7</v>
      </c>
      <c r="G953" s="1">
        <v>52127</v>
      </c>
      <c r="H953" s="1">
        <v>9.9999999999999995E-8</v>
      </c>
      <c r="L953" s="1">
        <v>52127</v>
      </c>
      <c r="M953" s="1">
        <v>1.2982799999999999E-7</v>
      </c>
      <c r="P953" s="1">
        <v>52127</v>
      </c>
      <c r="Q953" s="1">
        <v>3.3915800000000003E-7</v>
      </c>
    </row>
    <row r="954" spans="2:17" x14ac:dyDescent="0.2">
      <c r="B954" s="1">
        <v>52128</v>
      </c>
      <c r="C954" s="1">
        <v>1.3E-6</v>
      </c>
      <c r="G954" s="1">
        <v>52128</v>
      </c>
      <c r="H954" s="1">
        <v>3.9999999999999998E-7</v>
      </c>
      <c r="L954" s="1">
        <v>52128</v>
      </c>
      <c r="M954" s="1">
        <v>5.3620399999999995E-7</v>
      </c>
      <c r="P954" s="1">
        <v>52128</v>
      </c>
      <c r="Q954" s="1">
        <v>1.87532E-6</v>
      </c>
    </row>
    <row r="955" spans="2:17" x14ac:dyDescent="0.2">
      <c r="B955" s="1">
        <v>52129</v>
      </c>
      <c r="C955" s="1">
        <v>8.9999999999999996E-7</v>
      </c>
      <c r="G955" s="1">
        <v>52129</v>
      </c>
      <c r="H955" s="1">
        <v>4.9999999999999998E-7</v>
      </c>
      <c r="L955" s="1">
        <v>52129</v>
      </c>
      <c r="M955" s="1">
        <v>1.3836500000000001E-6</v>
      </c>
      <c r="P955" s="1">
        <v>52129</v>
      </c>
      <c r="Q955" s="1">
        <v>3.9155699999999998E-6</v>
      </c>
    </row>
    <row r="956" spans="2:17" x14ac:dyDescent="0.2">
      <c r="B956" s="1">
        <v>52130</v>
      </c>
      <c r="C956" s="1">
        <v>7.9999999999999996E-6</v>
      </c>
      <c r="G956" s="1">
        <v>52130</v>
      </c>
      <c r="H956" s="1">
        <v>2.6000000000000001E-6</v>
      </c>
      <c r="L956" s="1">
        <v>52130</v>
      </c>
      <c r="M956" s="1">
        <v>4.09768E-6</v>
      </c>
      <c r="P956" s="1">
        <v>52130</v>
      </c>
      <c r="Q956" s="1">
        <v>1.12652E-5</v>
      </c>
    </row>
    <row r="957" spans="2:17" x14ac:dyDescent="0.2">
      <c r="B957" s="1">
        <v>52131</v>
      </c>
      <c r="C957" s="1">
        <v>7.9000000000000006E-6</v>
      </c>
      <c r="G957" s="1">
        <v>52131</v>
      </c>
      <c r="H957" s="1">
        <v>6.7000000000000002E-6</v>
      </c>
      <c r="L957" s="1">
        <v>52131</v>
      </c>
      <c r="M957" s="1">
        <v>9.6286999999999998E-6</v>
      </c>
      <c r="P957" s="1">
        <v>52131</v>
      </c>
      <c r="Q957" s="1">
        <v>1.4110900000000001E-5</v>
      </c>
    </row>
    <row r="958" spans="2:17" x14ac:dyDescent="0.2">
      <c r="B958" s="1">
        <v>52132</v>
      </c>
      <c r="C958" s="1">
        <v>1.7499999999999998E-5</v>
      </c>
      <c r="G958" s="1">
        <v>52132</v>
      </c>
      <c r="H958" s="1">
        <v>2.1500000000000001E-5</v>
      </c>
      <c r="L958" s="1">
        <v>52132</v>
      </c>
      <c r="M958" s="1">
        <v>2.2436400000000001E-5</v>
      </c>
      <c r="P958" s="1">
        <v>52132</v>
      </c>
      <c r="Q958" s="1">
        <v>2.69122E-5</v>
      </c>
    </row>
    <row r="959" spans="2:17" x14ac:dyDescent="0.2">
      <c r="B959" s="1">
        <v>52133</v>
      </c>
      <c r="C959" s="1">
        <v>1.34E-5</v>
      </c>
      <c r="G959" s="1">
        <v>52133</v>
      </c>
      <c r="H959" s="1">
        <v>5.0000000000000002E-5</v>
      </c>
      <c r="L959" s="1">
        <v>52133</v>
      </c>
      <c r="M959" s="1">
        <v>4.2425999999999997E-5</v>
      </c>
      <c r="P959" s="1">
        <v>52133</v>
      </c>
      <c r="Q959" s="1">
        <v>2.2688999999999999E-5</v>
      </c>
    </row>
    <row r="960" spans="2:17" x14ac:dyDescent="0.2">
      <c r="B960" s="1">
        <v>52134</v>
      </c>
      <c r="C960" s="1">
        <v>1.4800000000000001E-5</v>
      </c>
      <c r="G960" s="1">
        <v>52134</v>
      </c>
      <c r="H960" s="1">
        <v>8.0599999999999994E-5</v>
      </c>
      <c r="L960" s="1">
        <v>52134</v>
      </c>
      <c r="M960" s="1">
        <v>7.2801799999999998E-5</v>
      </c>
      <c r="P960" s="1">
        <v>52134</v>
      </c>
      <c r="Q960" s="1">
        <v>2.2263799999999998E-5</v>
      </c>
    </row>
    <row r="961" spans="2:17" x14ac:dyDescent="0.2">
      <c r="B961" s="1">
        <v>52135</v>
      </c>
      <c r="C961" s="1">
        <v>4.1999999999999996E-6</v>
      </c>
      <c r="G961" s="1">
        <v>52135</v>
      </c>
      <c r="H961" s="1">
        <v>7.7799999999999994E-5</v>
      </c>
      <c r="L961" s="1">
        <v>52135</v>
      </c>
      <c r="M961" s="1">
        <v>6.9629100000000001E-5</v>
      </c>
      <c r="P961" s="1">
        <v>52135</v>
      </c>
      <c r="Q961" s="1">
        <v>7.4746000000000004E-6</v>
      </c>
    </row>
    <row r="962" spans="2:17" x14ac:dyDescent="0.2">
      <c r="B962" s="1">
        <v>52136</v>
      </c>
      <c r="C962" s="1">
        <v>3.4000000000000001E-6</v>
      </c>
      <c r="G962" s="1">
        <v>52136</v>
      </c>
      <c r="H962" s="1">
        <v>5.77E-5</v>
      </c>
      <c r="L962" s="1">
        <v>52136</v>
      </c>
      <c r="M962" s="1">
        <v>5.66803E-5</v>
      </c>
      <c r="P962" s="1">
        <v>52136</v>
      </c>
      <c r="Q962" s="1">
        <v>5.4134800000000002E-6</v>
      </c>
    </row>
    <row r="963" spans="2:17" x14ac:dyDescent="0.2">
      <c r="B963" s="1">
        <v>52137</v>
      </c>
      <c r="C963" s="1">
        <v>7.9999999999999996E-7</v>
      </c>
      <c r="G963" s="1">
        <v>52137</v>
      </c>
      <c r="H963" s="1">
        <v>2.72E-5</v>
      </c>
      <c r="L963" s="1">
        <v>52137</v>
      </c>
      <c r="M963" s="1">
        <v>2.8348200000000001E-5</v>
      </c>
      <c r="P963" s="1">
        <v>52137</v>
      </c>
      <c r="Q963" s="1">
        <v>1.8727300000000001E-6</v>
      </c>
    </row>
    <row r="964" spans="2:17" x14ac:dyDescent="0.2">
      <c r="B964" s="1">
        <v>52138</v>
      </c>
      <c r="C964" s="1">
        <v>4.9999999999999998E-7</v>
      </c>
      <c r="G964" s="1">
        <v>52138</v>
      </c>
      <c r="H964" s="1">
        <v>1.04E-5</v>
      </c>
      <c r="L964" s="1">
        <v>52138</v>
      </c>
      <c r="M964" s="1">
        <v>1.2497099999999999E-5</v>
      </c>
      <c r="P964" s="1">
        <v>52138</v>
      </c>
      <c r="Q964" s="1">
        <v>9.1075000000000003E-7</v>
      </c>
    </row>
    <row r="965" spans="2:17" x14ac:dyDescent="0.2">
      <c r="B965" s="1">
        <v>53110</v>
      </c>
      <c r="C965" s="1">
        <v>0</v>
      </c>
      <c r="G965" s="1">
        <v>53110</v>
      </c>
      <c r="H965" s="1">
        <v>2.3999999999999999E-6</v>
      </c>
      <c r="L965" s="1">
        <v>53110</v>
      </c>
      <c r="M965" s="1">
        <v>2.92804E-6</v>
      </c>
      <c r="P965" s="1">
        <v>53110</v>
      </c>
      <c r="Q965" s="1">
        <v>2.7919999999999998E-10</v>
      </c>
    </row>
    <row r="966" spans="2:17" x14ac:dyDescent="0.2">
      <c r="B966" s="1">
        <v>53111</v>
      </c>
      <c r="C966" s="1">
        <v>0</v>
      </c>
      <c r="G966" s="1">
        <v>53111</v>
      </c>
      <c r="H966" s="1">
        <v>3.9999999999999998E-7</v>
      </c>
      <c r="L966" s="1">
        <v>53111</v>
      </c>
      <c r="M966" s="1">
        <v>7.1195999999999998E-7</v>
      </c>
      <c r="P966" s="1">
        <v>53111</v>
      </c>
      <c r="Q966" s="1">
        <v>2.25733E-7</v>
      </c>
    </row>
    <row r="967" spans="2:17" x14ac:dyDescent="0.2">
      <c r="B967" s="1">
        <v>53112</v>
      </c>
      <c r="C967" s="1">
        <v>0</v>
      </c>
      <c r="G967" s="1">
        <v>53112</v>
      </c>
      <c r="H967" s="1">
        <v>1.9999999999999999E-7</v>
      </c>
      <c r="L967" s="1">
        <v>53112</v>
      </c>
      <c r="M967" s="1">
        <v>9.6742799999999997E-8</v>
      </c>
      <c r="P967" s="1">
        <v>53112</v>
      </c>
      <c r="Q967" s="1">
        <v>3.4551000000000003E-8</v>
      </c>
    </row>
    <row r="968" spans="2:17" x14ac:dyDescent="0.2">
      <c r="B968" s="1">
        <v>53113</v>
      </c>
      <c r="C968" s="1">
        <v>0</v>
      </c>
      <c r="G968" s="1">
        <v>53113</v>
      </c>
      <c r="H968" s="1">
        <v>0</v>
      </c>
      <c r="L968" s="1">
        <v>53113</v>
      </c>
      <c r="M968" s="1">
        <v>1.1167999999999999E-8</v>
      </c>
      <c r="P968" s="1">
        <v>53113</v>
      </c>
      <c r="Q968" s="1">
        <v>1.4937200000000001E-8</v>
      </c>
    </row>
    <row r="969" spans="2:17" x14ac:dyDescent="0.2">
      <c r="B969" s="1">
        <v>53114</v>
      </c>
      <c r="C969" s="1">
        <v>0</v>
      </c>
      <c r="G969" s="1">
        <v>53114</v>
      </c>
      <c r="H969" s="1">
        <v>0</v>
      </c>
      <c r="L969" s="1">
        <v>53114</v>
      </c>
      <c r="M969" s="1">
        <v>5.5839999999999995E-10</v>
      </c>
      <c r="P969" s="1">
        <v>53114</v>
      </c>
      <c r="Q969" s="1">
        <v>7.6779999999999997E-10</v>
      </c>
    </row>
    <row r="970" spans="2:17" x14ac:dyDescent="0.2">
      <c r="B970" s="1">
        <v>53115</v>
      </c>
      <c r="C970" s="1">
        <v>0</v>
      </c>
      <c r="G970" s="1">
        <v>53115</v>
      </c>
      <c r="H970" s="1">
        <v>0</v>
      </c>
      <c r="L970" s="1">
        <v>53115</v>
      </c>
      <c r="M970" s="1">
        <v>0</v>
      </c>
      <c r="P970" s="1">
        <v>53115</v>
      </c>
      <c r="Q970" s="1">
        <v>3.4899999999999998E-10</v>
      </c>
    </row>
    <row r="971" spans="2:17" x14ac:dyDescent="0.2">
      <c r="B971" s="1">
        <v>53116</v>
      </c>
      <c r="C971" s="1">
        <v>0</v>
      </c>
      <c r="G971" s="1">
        <v>53116</v>
      </c>
      <c r="H971" s="1">
        <v>0</v>
      </c>
      <c r="L971" s="1">
        <v>53116</v>
      </c>
      <c r="M971" s="1">
        <v>0</v>
      </c>
      <c r="P971" s="1">
        <v>53116</v>
      </c>
      <c r="Q971" s="1">
        <v>6.9799999999999994E-11</v>
      </c>
    </row>
    <row r="972" spans="2:17" hidden="1" x14ac:dyDescent="0.2">
      <c r="B972" s="1">
        <v>53117</v>
      </c>
      <c r="C972" s="1">
        <v>0</v>
      </c>
      <c r="G972" s="1">
        <v>53117</v>
      </c>
      <c r="H972" s="1">
        <v>0</v>
      </c>
      <c r="L972" s="1">
        <v>53117</v>
      </c>
      <c r="M972" s="1">
        <v>0</v>
      </c>
      <c r="P972" s="1">
        <v>53117</v>
      </c>
      <c r="Q972" s="1">
        <v>0</v>
      </c>
    </row>
    <row r="973" spans="2:17" hidden="1" x14ac:dyDescent="0.2">
      <c r="B973" s="1">
        <v>53118</v>
      </c>
      <c r="C973" s="1">
        <v>0</v>
      </c>
      <c r="G973" s="1">
        <v>53118</v>
      </c>
      <c r="H973" s="1">
        <v>0</v>
      </c>
      <c r="L973" s="1">
        <v>53118</v>
      </c>
      <c r="M973" s="1">
        <v>0</v>
      </c>
      <c r="P973" s="1">
        <v>53118</v>
      </c>
      <c r="Q973" s="1">
        <v>0</v>
      </c>
    </row>
    <row r="974" spans="2:17" hidden="1" x14ac:dyDescent="0.2">
      <c r="B974" s="1">
        <v>53119</v>
      </c>
      <c r="C974" s="1">
        <v>0</v>
      </c>
      <c r="G974" s="1">
        <v>53119</v>
      </c>
      <c r="H974" s="1">
        <v>0</v>
      </c>
      <c r="L974" s="1">
        <v>53119</v>
      </c>
      <c r="M974" s="1">
        <v>0</v>
      </c>
      <c r="P974" s="1">
        <v>53119</v>
      </c>
      <c r="Q974" s="1">
        <v>0</v>
      </c>
    </row>
    <row r="975" spans="2:17" hidden="1" x14ac:dyDescent="0.2">
      <c r="B975" s="1">
        <v>53120</v>
      </c>
      <c r="C975" s="1">
        <v>0</v>
      </c>
      <c r="G975" s="1">
        <v>53120</v>
      </c>
      <c r="H975" s="1">
        <v>0</v>
      </c>
      <c r="L975" s="1">
        <v>53120</v>
      </c>
      <c r="M975" s="1">
        <v>0</v>
      </c>
      <c r="P975" s="1">
        <v>53120</v>
      </c>
      <c r="Q975" s="1">
        <v>0</v>
      </c>
    </row>
    <row r="976" spans="2:17" hidden="1" x14ac:dyDescent="0.2">
      <c r="B976" s="1">
        <v>53121</v>
      </c>
      <c r="C976" s="1">
        <v>0</v>
      </c>
      <c r="G976" s="1">
        <v>53121</v>
      </c>
      <c r="H976" s="1">
        <v>0</v>
      </c>
      <c r="L976" s="1">
        <v>53121</v>
      </c>
      <c r="M976" s="1">
        <v>0</v>
      </c>
      <c r="P976" s="1">
        <v>53121</v>
      </c>
      <c r="Q976" s="1">
        <v>0</v>
      </c>
    </row>
    <row r="977" spans="2:17" hidden="1" x14ac:dyDescent="0.2">
      <c r="B977" s="1">
        <v>53122</v>
      </c>
      <c r="C977" s="1">
        <v>0</v>
      </c>
      <c r="G977" s="1">
        <v>53122</v>
      </c>
      <c r="H977" s="1">
        <v>0</v>
      </c>
      <c r="L977" s="1">
        <v>53122</v>
      </c>
      <c r="M977" s="1">
        <v>0</v>
      </c>
      <c r="P977" s="1">
        <v>53122</v>
      </c>
      <c r="Q977" s="1">
        <v>0</v>
      </c>
    </row>
    <row r="978" spans="2:17" hidden="1" x14ac:dyDescent="0.2">
      <c r="B978" s="1">
        <v>53123</v>
      </c>
      <c r="C978" s="1">
        <v>0</v>
      </c>
      <c r="G978" s="1">
        <v>53123</v>
      </c>
      <c r="H978" s="1">
        <v>0</v>
      </c>
      <c r="L978" s="1">
        <v>53123</v>
      </c>
      <c r="M978" s="1">
        <v>0</v>
      </c>
      <c r="P978" s="1">
        <v>53123</v>
      </c>
      <c r="Q978" s="1">
        <v>0</v>
      </c>
    </row>
    <row r="979" spans="2:17" hidden="1" x14ac:dyDescent="0.2">
      <c r="B979" s="1">
        <v>53124</v>
      </c>
      <c r="C979" s="1">
        <v>0</v>
      </c>
      <c r="G979" s="1">
        <v>53124</v>
      </c>
      <c r="H979" s="1">
        <v>0</v>
      </c>
      <c r="L979" s="1">
        <v>53124</v>
      </c>
      <c r="M979" s="1">
        <v>0</v>
      </c>
      <c r="P979" s="1">
        <v>53124</v>
      </c>
      <c r="Q979" s="1">
        <v>0</v>
      </c>
    </row>
    <row r="980" spans="2:17" x14ac:dyDescent="0.2">
      <c r="B980" s="1">
        <v>53125</v>
      </c>
      <c r="C980" s="1">
        <v>0</v>
      </c>
      <c r="G980" s="1">
        <v>53125</v>
      </c>
      <c r="H980" s="1">
        <v>0</v>
      </c>
      <c r="L980" s="1">
        <v>53125</v>
      </c>
      <c r="M980" s="1">
        <v>0</v>
      </c>
      <c r="P980" s="1">
        <v>53125</v>
      </c>
      <c r="Q980" s="1">
        <v>1.3959999999999999E-10</v>
      </c>
    </row>
    <row r="981" spans="2:17" x14ac:dyDescent="0.2">
      <c r="B981" s="1">
        <v>53126</v>
      </c>
      <c r="C981" s="1">
        <v>0</v>
      </c>
      <c r="G981" s="1">
        <v>53126</v>
      </c>
      <c r="H981" s="1">
        <v>0</v>
      </c>
      <c r="L981" s="1">
        <v>53126</v>
      </c>
      <c r="M981" s="1">
        <v>2.094E-10</v>
      </c>
      <c r="P981" s="1">
        <v>53126</v>
      </c>
      <c r="Q981" s="1">
        <v>2.7919999999999998E-10</v>
      </c>
    </row>
    <row r="982" spans="2:17" x14ac:dyDescent="0.2">
      <c r="B982" s="1">
        <v>53127</v>
      </c>
      <c r="C982" s="1">
        <v>0</v>
      </c>
      <c r="G982" s="1">
        <v>53127</v>
      </c>
      <c r="H982" s="1">
        <v>0</v>
      </c>
      <c r="L982" s="1">
        <v>53127</v>
      </c>
      <c r="M982" s="1">
        <v>2.3034000000000001E-9</v>
      </c>
      <c r="P982" s="1">
        <v>53127</v>
      </c>
      <c r="Q982" s="1">
        <v>4.8859999999999999E-9</v>
      </c>
    </row>
    <row r="983" spans="2:17" x14ac:dyDescent="0.2">
      <c r="B983" s="1">
        <v>53128</v>
      </c>
      <c r="C983" s="1">
        <v>0</v>
      </c>
      <c r="G983" s="1">
        <v>53128</v>
      </c>
      <c r="H983" s="1">
        <v>0</v>
      </c>
      <c r="L983" s="1">
        <v>53128</v>
      </c>
      <c r="M983" s="1">
        <v>1.2424399999999999E-8</v>
      </c>
      <c r="P983" s="1">
        <v>53128</v>
      </c>
      <c r="Q983" s="1">
        <v>2.6105199999999999E-8</v>
      </c>
    </row>
    <row r="984" spans="2:17" x14ac:dyDescent="0.2">
      <c r="B984" s="1">
        <v>53129</v>
      </c>
      <c r="C984" s="1">
        <v>9.9999999999999995E-8</v>
      </c>
      <c r="G984" s="1">
        <v>53129</v>
      </c>
      <c r="H984" s="1">
        <v>0</v>
      </c>
      <c r="L984" s="1">
        <v>53129</v>
      </c>
      <c r="M984" s="1">
        <v>6.9800000000000003E-8</v>
      </c>
      <c r="P984" s="1">
        <v>53129</v>
      </c>
      <c r="Q984" s="1">
        <v>2.12681E-7</v>
      </c>
    </row>
    <row r="985" spans="2:17" x14ac:dyDescent="0.2">
      <c r="B985" s="1">
        <v>53130</v>
      </c>
      <c r="C985" s="1">
        <v>3.9999999999999998E-7</v>
      </c>
      <c r="G985" s="1">
        <v>53130</v>
      </c>
      <c r="H985" s="1">
        <v>3.9999999999999998E-7</v>
      </c>
      <c r="L985" s="1">
        <v>53130</v>
      </c>
      <c r="M985" s="1">
        <v>2.2838599999999999E-7</v>
      </c>
      <c r="P985" s="1">
        <v>53130</v>
      </c>
      <c r="Q985" s="1">
        <v>7.3073599999999999E-7</v>
      </c>
    </row>
    <row r="986" spans="2:17" x14ac:dyDescent="0.2">
      <c r="B986" s="1">
        <v>53131</v>
      </c>
      <c r="C986" s="1">
        <v>2.2000000000000001E-6</v>
      </c>
      <c r="G986" s="1">
        <v>53131</v>
      </c>
      <c r="H986" s="1">
        <v>5.9999999999999997E-7</v>
      </c>
      <c r="L986" s="1">
        <v>53131</v>
      </c>
      <c r="M986" s="1">
        <v>9.0132699999999996E-7</v>
      </c>
      <c r="P986" s="1">
        <v>53131</v>
      </c>
      <c r="Q986" s="1">
        <v>3.51171E-6</v>
      </c>
    </row>
    <row r="987" spans="2:17" x14ac:dyDescent="0.2">
      <c r="B987" s="1">
        <v>53132</v>
      </c>
      <c r="C987" s="1">
        <v>4.5000000000000001E-6</v>
      </c>
      <c r="G987" s="1">
        <v>53132</v>
      </c>
      <c r="H987" s="1">
        <v>5.9999999999999997E-7</v>
      </c>
      <c r="L987" s="1">
        <v>53132</v>
      </c>
      <c r="M987" s="1">
        <v>2.3850699999999998E-6</v>
      </c>
      <c r="P987" s="1">
        <v>53132</v>
      </c>
      <c r="Q987" s="1">
        <v>7.0228599999999999E-6</v>
      </c>
    </row>
    <row r="988" spans="2:17" x14ac:dyDescent="0.2">
      <c r="B988" s="1">
        <v>53133</v>
      </c>
      <c r="C988" s="1">
        <v>1.19E-5</v>
      </c>
      <c r="G988" s="1">
        <v>53133</v>
      </c>
      <c r="H988" s="1">
        <v>8.1999999999999994E-6</v>
      </c>
      <c r="L988" s="1">
        <v>53133</v>
      </c>
      <c r="M988" s="1">
        <v>7.7290899999999996E-6</v>
      </c>
      <c r="P988" s="1">
        <v>53133</v>
      </c>
      <c r="Q988" s="1">
        <v>1.8415099999999999E-5</v>
      </c>
    </row>
    <row r="989" spans="2:17" x14ac:dyDescent="0.2">
      <c r="B989" s="1">
        <v>53134</v>
      </c>
      <c r="C989" s="1">
        <v>1.4800000000000001E-5</v>
      </c>
      <c r="G989" s="1">
        <v>53134</v>
      </c>
      <c r="H989" s="1">
        <v>1.8499999999999999E-5</v>
      </c>
      <c r="L989" s="1">
        <v>53134</v>
      </c>
      <c r="M989" s="1">
        <v>1.9100700000000002E-5</v>
      </c>
      <c r="P989" s="1">
        <v>53134</v>
      </c>
      <c r="Q989" s="1">
        <v>2.4316900000000001E-5</v>
      </c>
    </row>
    <row r="990" spans="2:17" x14ac:dyDescent="0.2">
      <c r="B990" s="1">
        <v>53135</v>
      </c>
      <c r="C990" s="1">
        <v>2.37E-5</v>
      </c>
      <c r="G990" s="1">
        <v>53135</v>
      </c>
      <c r="H990" s="1">
        <v>4.9100000000000001E-5</v>
      </c>
      <c r="L990" s="1">
        <v>53135</v>
      </c>
      <c r="M990" s="1">
        <v>4.9772399999999998E-5</v>
      </c>
      <c r="P990" s="1">
        <v>53135</v>
      </c>
      <c r="Q990" s="1">
        <v>3.85706E-5</v>
      </c>
    </row>
    <row r="991" spans="2:17" x14ac:dyDescent="0.2">
      <c r="B991" s="1">
        <v>53136</v>
      </c>
      <c r="C991" s="1">
        <v>1.1399999999999999E-5</v>
      </c>
      <c r="G991" s="1">
        <v>53136</v>
      </c>
      <c r="H991" s="1">
        <v>6.3999999999999997E-5</v>
      </c>
      <c r="L991" s="1">
        <v>53136</v>
      </c>
      <c r="M991" s="1">
        <v>5.83337E-5</v>
      </c>
      <c r="P991" s="1">
        <v>53136</v>
      </c>
      <c r="Q991" s="1">
        <v>1.92375E-5</v>
      </c>
    </row>
    <row r="992" spans="2:17" x14ac:dyDescent="0.2">
      <c r="B992" s="1">
        <v>53137</v>
      </c>
      <c r="C992" s="1">
        <v>1.19E-5</v>
      </c>
      <c r="G992" s="1">
        <v>53137</v>
      </c>
      <c r="H992" s="1">
        <v>7.7799999999999994E-5</v>
      </c>
      <c r="L992" s="1">
        <v>53137</v>
      </c>
      <c r="M992" s="1">
        <v>7.1020700000000003E-5</v>
      </c>
      <c r="P992" s="1">
        <v>53137</v>
      </c>
      <c r="Q992" s="1">
        <v>1.8481499999999999E-5</v>
      </c>
    </row>
    <row r="993" spans="2:17" x14ac:dyDescent="0.2">
      <c r="B993" s="1">
        <v>53138</v>
      </c>
      <c r="C993" s="1">
        <v>4.0999999999999997E-6</v>
      </c>
      <c r="G993" s="1">
        <v>53138</v>
      </c>
      <c r="H993" s="1">
        <v>5.0099999999999998E-5</v>
      </c>
      <c r="L993" s="1">
        <v>53138</v>
      </c>
      <c r="M993" s="1">
        <v>4.5197200000000002E-5</v>
      </c>
      <c r="P993" s="1">
        <v>53138</v>
      </c>
      <c r="Q993" s="1">
        <v>9.4235599999999996E-6</v>
      </c>
    </row>
    <row r="994" spans="2:17" x14ac:dyDescent="0.2">
      <c r="B994" s="1">
        <v>53139</v>
      </c>
      <c r="C994" s="1">
        <v>2.9000000000000002E-6</v>
      </c>
      <c r="G994" s="1">
        <v>53139</v>
      </c>
      <c r="H994" s="1">
        <v>3.3000000000000003E-5</v>
      </c>
      <c r="L994" s="1">
        <v>53139</v>
      </c>
      <c r="M994" s="1">
        <v>3.6078300000000003E-5</v>
      </c>
      <c r="P994" s="1">
        <v>53139</v>
      </c>
      <c r="Q994" s="1">
        <v>5.6522599999999998E-6</v>
      </c>
    </row>
    <row r="995" spans="2:17" x14ac:dyDescent="0.2">
      <c r="B995" s="1">
        <v>53140</v>
      </c>
      <c r="C995" s="1">
        <v>1.3999999999999999E-6</v>
      </c>
      <c r="G995" s="1">
        <v>53140</v>
      </c>
      <c r="H995" s="1">
        <v>1.06E-5</v>
      </c>
      <c r="L995" s="1">
        <v>53140</v>
      </c>
      <c r="M995" s="1">
        <v>1.4052299999999999E-5</v>
      </c>
      <c r="P995" s="1">
        <v>53140</v>
      </c>
      <c r="Q995" s="1">
        <v>1.6166399999999999E-6</v>
      </c>
    </row>
    <row r="996" spans="2:17" x14ac:dyDescent="0.2">
      <c r="B996" s="1">
        <v>53141</v>
      </c>
      <c r="C996" s="1">
        <v>3.9999999999999998E-7</v>
      </c>
      <c r="G996" s="1">
        <v>53141</v>
      </c>
      <c r="H996" s="1">
        <v>3.4000000000000001E-6</v>
      </c>
      <c r="L996" s="1">
        <v>53141</v>
      </c>
      <c r="M996" s="1">
        <v>5.9477300000000002E-6</v>
      </c>
      <c r="P996" s="1">
        <v>53141</v>
      </c>
      <c r="Q996" s="1">
        <v>7.4895400000000005E-7</v>
      </c>
    </row>
    <row r="997" spans="2:17" x14ac:dyDescent="0.2">
      <c r="B997" s="1">
        <v>53142</v>
      </c>
      <c r="C997" s="1">
        <v>9.9999999999999995E-8</v>
      </c>
      <c r="G997" s="1">
        <v>53142</v>
      </c>
      <c r="H997" s="1">
        <v>8.9999999999999996E-7</v>
      </c>
      <c r="L997" s="1">
        <v>53142</v>
      </c>
      <c r="M997" s="1">
        <v>1.31119E-6</v>
      </c>
      <c r="P997" s="1">
        <v>53142</v>
      </c>
      <c r="Q997" s="1">
        <v>3.6379800000000001E-7</v>
      </c>
    </row>
    <row r="998" spans="2:17" x14ac:dyDescent="0.2">
      <c r="B998" s="1">
        <v>54110</v>
      </c>
      <c r="C998" s="1">
        <v>0</v>
      </c>
      <c r="G998" s="1">
        <v>54110</v>
      </c>
      <c r="H998" s="1">
        <v>2.9999999999999999E-7</v>
      </c>
      <c r="L998" s="1">
        <v>54110</v>
      </c>
      <c r="M998" s="1">
        <v>3.0872500000000001E-7</v>
      </c>
      <c r="P998" s="1">
        <v>54110</v>
      </c>
      <c r="Q998" s="1">
        <v>1.47906E-7</v>
      </c>
    </row>
    <row r="999" spans="2:17" x14ac:dyDescent="0.2">
      <c r="B999" s="1">
        <v>54111</v>
      </c>
      <c r="C999" s="1">
        <v>0</v>
      </c>
      <c r="G999" s="1">
        <v>54111</v>
      </c>
      <c r="H999" s="1">
        <v>0</v>
      </c>
      <c r="L999" s="1">
        <v>54111</v>
      </c>
      <c r="M999" s="1">
        <v>4.2577999999999999E-8</v>
      </c>
      <c r="P999" s="1">
        <v>54111</v>
      </c>
      <c r="Q999" s="1">
        <v>2.3103799999999999E-8</v>
      </c>
    </row>
    <row r="1000" spans="2:17" x14ac:dyDescent="0.2">
      <c r="B1000" s="1">
        <v>54112</v>
      </c>
      <c r="C1000" s="1">
        <v>0</v>
      </c>
      <c r="G1000" s="1">
        <v>54112</v>
      </c>
      <c r="H1000" s="1">
        <v>0</v>
      </c>
      <c r="L1000" s="1">
        <v>54112</v>
      </c>
      <c r="M1000" s="1">
        <v>5.1652000000000003E-9</v>
      </c>
      <c r="P1000" s="1">
        <v>54112</v>
      </c>
      <c r="Q1000" s="1">
        <v>7.9572000000000006E-9</v>
      </c>
    </row>
    <row r="1001" spans="2:17" x14ac:dyDescent="0.2">
      <c r="B1001" s="1">
        <v>54113</v>
      </c>
      <c r="C1001" s="1">
        <v>0</v>
      </c>
      <c r="G1001" s="1">
        <v>54113</v>
      </c>
      <c r="H1001" s="1">
        <v>0</v>
      </c>
      <c r="L1001" s="1">
        <v>54113</v>
      </c>
      <c r="M1001" s="1">
        <v>4.1879999999999999E-10</v>
      </c>
      <c r="P1001" s="1">
        <v>54113</v>
      </c>
      <c r="Q1001" s="1">
        <v>5.5839999999999995E-10</v>
      </c>
    </row>
    <row r="1002" spans="2:17" x14ac:dyDescent="0.2">
      <c r="B1002" s="1">
        <v>54114</v>
      </c>
      <c r="C1002" s="1">
        <v>0</v>
      </c>
      <c r="G1002" s="1">
        <v>54114</v>
      </c>
      <c r="H1002" s="1">
        <v>0</v>
      </c>
      <c r="L1002" s="1">
        <v>54114</v>
      </c>
      <c r="M1002" s="1">
        <v>6.9799999999999994E-11</v>
      </c>
      <c r="P1002" s="1">
        <v>54114</v>
      </c>
      <c r="Q1002" s="1">
        <v>6.9799999999999994E-11</v>
      </c>
    </row>
    <row r="1003" spans="2:17" x14ac:dyDescent="0.2">
      <c r="B1003" s="1">
        <v>54115</v>
      </c>
      <c r="C1003" s="1">
        <v>0</v>
      </c>
      <c r="G1003" s="1">
        <v>54115</v>
      </c>
      <c r="H1003" s="1">
        <v>0</v>
      </c>
      <c r="L1003" s="1">
        <v>54115</v>
      </c>
      <c r="M1003" s="1">
        <v>0</v>
      </c>
      <c r="P1003" s="1">
        <v>54115</v>
      </c>
      <c r="Q1003" s="1">
        <v>1.3959999999999999E-10</v>
      </c>
    </row>
    <row r="1004" spans="2:17" hidden="1" x14ac:dyDescent="0.2">
      <c r="B1004" s="1">
        <v>54116</v>
      </c>
      <c r="C1004" s="1">
        <v>0</v>
      </c>
      <c r="G1004" s="1">
        <v>54116</v>
      </c>
      <c r="H1004" s="1">
        <v>0</v>
      </c>
      <c r="L1004" s="1">
        <v>54116</v>
      </c>
      <c r="M1004" s="1">
        <v>0</v>
      </c>
      <c r="P1004" s="1">
        <v>54116</v>
      </c>
      <c r="Q1004" s="1">
        <v>0</v>
      </c>
    </row>
    <row r="1005" spans="2:17" hidden="1" x14ac:dyDescent="0.2">
      <c r="B1005" s="1">
        <v>54117</v>
      </c>
      <c r="C1005" s="1">
        <v>0</v>
      </c>
      <c r="G1005" s="1">
        <v>54117</v>
      </c>
      <c r="H1005" s="1">
        <v>0</v>
      </c>
      <c r="L1005" s="1">
        <v>54117</v>
      </c>
      <c r="M1005" s="1">
        <v>0</v>
      </c>
      <c r="P1005" s="1">
        <v>54117</v>
      </c>
      <c r="Q1005" s="1">
        <v>0</v>
      </c>
    </row>
    <row r="1006" spans="2:17" hidden="1" x14ac:dyDescent="0.2">
      <c r="B1006" s="1">
        <v>54118</v>
      </c>
      <c r="C1006" s="1">
        <v>0</v>
      </c>
      <c r="G1006" s="1">
        <v>54118</v>
      </c>
      <c r="H1006" s="1">
        <v>0</v>
      </c>
      <c r="L1006" s="1">
        <v>54118</v>
      </c>
      <c r="M1006" s="1">
        <v>0</v>
      </c>
      <c r="P1006" s="1">
        <v>54118</v>
      </c>
      <c r="Q1006" s="1">
        <v>0</v>
      </c>
    </row>
    <row r="1007" spans="2:17" hidden="1" x14ac:dyDescent="0.2">
      <c r="B1007" s="1">
        <v>54119</v>
      </c>
      <c r="C1007" s="1">
        <v>0</v>
      </c>
      <c r="G1007" s="1">
        <v>54119</v>
      </c>
      <c r="H1007" s="1">
        <v>0</v>
      </c>
      <c r="L1007" s="1">
        <v>54119</v>
      </c>
      <c r="M1007" s="1">
        <v>0</v>
      </c>
      <c r="P1007" s="1">
        <v>54119</v>
      </c>
      <c r="Q1007" s="1">
        <v>0</v>
      </c>
    </row>
    <row r="1008" spans="2:17" hidden="1" x14ac:dyDescent="0.2">
      <c r="B1008" s="1">
        <v>54120</v>
      </c>
      <c r="C1008" s="1">
        <v>0</v>
      </c>
      <c r="G1008" s="1">
        <v>54120</v>
      </c>
      <c r="H1008" s="1">
        <v>0</v>
      </c>
      <c r="L1008" s="1">
        <v>54120</v>
      </c>
      <c r="M1008" s="1">
        <v>0</v>
      </c>
      <c r="P1008" s="1">
        <v>54120</v>
      </c>
      <c r="Q1008" s="1">
        <v>0</v>
      </c>
    </row>
    <row r="1009" spans="2:17" hidden="1" x14ac:dyDescent="0.2">
      <c r="B1009" s="1">
        <v>54121</v>
      </c>
      <c r="C1009" s="1">
        <v>0</v>
      </c>
      <c r="G1009" s="1">
        <v>54121</v>
      </c>
      <c r="H1009" s="1">
        <v>0</v>
      </c>
      <c r="L1009" s="1">
        <v>54121</v>
      </c>
      <c r="M1009" s="1">
        <v>0</v>
      </c>
      <c r="P1009" s="1">
        <v>54121</v>
      </c>
      <c r="Q1009" s="1">
        <v>0</v>
      </c>
    </row>
    <row r="1010" spans="2:17" hidden="1" x14ac:dyDescent="0.2">
      <c r="B1010" s="1">
        <v>54122</v>
      </c>
      <c r="C1010" s="1">
        <v>0</v>
      </c>
      <c r="G1010" s="1">
        <v>54122</v>
      </c>
      <c r="H1010" s="1">
        <v>0</v>
      </c>
      <c r="L1010" s="1">
        <v>54122</v>
      </c>
      <c r="M1010" s="1">
        <v>0</v>
      </c>
      <c r="P1010" s="1">
        <v>54122</v>
      </c>
      <c r="Q1010" s="1">
        <v>0</v>
      </c>
    </row>
    <row r="1011" spans="2:17" hidden="1" x14ac:dyDescent="0.2">
      <c r="B1011" s="1">
        <v>54123</v>
      </c>
      <c r="C1011" s="1">
        <v>0</v>
      </c>
      <c r="G1011" s="1">
        <v>54123</v>
      </c>
      <c r="H1011" s="1">
        <v>0</v>
      </c>
      <c r="L1011" s="1">
        <v>54123</v>
      </c>
      <c r="M1011" s="1">
        <v>0</v>
      </c>
      <c r="P1011" s="1">
        <v>54123</v>
      </c>
      <c r="Q1011" s="1">
        <v>0</v>
      </c>
    </row>
    <row r="1012" spans="2:17" hidden="1" x14ac:dyDescent="0.2">
      <c r="B1012" s="1">
        <v>54124</v>
      </c>
      <c r="C1012" s="1">
        <v>0</v>
      </c>
      <c r="G1012" s="1">
        <v>54124</v>
      </c>
      <c r="H1012" s="1">
        <v>0</v>
      </c>
      <c r="L1012" s="1">
        <v>54124</v>
      </c>
      <c r="M1012" s="1">
        <v>0</v>
      </c>
      <c r="P1012" s="1">
        <v>54124</v>
      </c>
      <c r="Q1012" s="1">
        <v>0</v>
      </c>
    </row>
    <row r="1013" spans="2:17" hidden="1" x14ac:dyDescent="0.2">
      <c r="B1013" s="1">
        <v>54125</v>
      </c>
      <c r="C1013" s="1">
        <v>0</v>
      </c>
      <c r="G1013" s="1">
        <v>54125</v>
      </c>
      <c r="H1013" s="1">
        <v>0</v>
      </c>
      <c r="L1013" s="1">
        <v>54125</v>
      </c>
      <c r="M1013" s="1">
        <v>0</v>
      </c>
      <c r="P1013" s="1">
        <v>54125</v>
      </c>
      <c r="Q1013" s="1">
        <v>0</v>
      </c>
    </row>
    <row r="1014" spans="2:17" hidden="1" x14ac:dyDescent="0.2">
      <c r="B1014" s="1">
        <v>54126</v>
      </c>
      <c r="C1014" s="1">
        <v>0</v>
      </c>
      <c r="G1014" s="1">
        <v>54126</v>
      </c>
      <c r="H1014" s="1">
        <v>0</v>
      </c>
      <c r="L1014" s="1">
        <v>54126</v>
      </c>
      <c r="M1014" s="1">
        <v>0</v>
      </c>
      <c r="P1014" s="1">
        <v>54126</v>
      </c>
      <c r="Q1014" s="1">
        <v>0</v>
      </c>
    </row>
    <row r="1015" spans="2:17" hidden="1" x14ac:dyDescent="0.2">
      <c r="B1015" s="1">
        <v>54127</v>
      </c>
      <c r="C1015" s="1">
        <v>0</v>
      </c>
      <c r="G1015" s="1">
        <v>54127</v>
      </c>
      <c r="H1015" s="1">
        <v>0</v>
      </c>
      <c r="L1015" s="1">
        <v>54127</v>
      </c>
      <c r="M1015" s="1">
        <v>0</v>
      </c>
      <c r="P1015" s="1">
        <v>54127</v>
      </c>
      <c r="Q1015" s="1">
        <v>0</v>
      </c>
    </row>
    <row r="1016" spans="2:17" x14ac:dyDescent="0.2">
      <c r="B1016" s="1">
        <v>54128</v>
      </c>
      <c r="C1016" s="1">
        <v>0</v>
      </c>
      <c r="G1016" s="1">
        <v>54128</v>
      </c>
      <c r="H1016" s="1">
        <v>0</v>
      </c>
      <c r="L1016" s="1">
        <v>54128</v>
      </c>
      <c r="M1016" s="1">
        <v>6.9799999999999994E-11</v>
      </c>
      <c r="P1016" s="1">
        <v>54128</v>
      </c>
      <c r="Q1016" s="1">
        <v>6.9799999999999994E-11</v>
      </c>
    </row>
    <row r="1017" spans="2:17" x14ac:dyDescent="0.2">
      <c r="B1017" s="1">
        <v>54129</v>
      </c>
      <c r="C1017" s="1">
        <v>0</v>
      </c>
      <c r="G1017" s="1">
        <v>54129</v>
      </c>
      <c r="H1017" s="1">
        <v>0</v>
      </c>
      <c r="L1017" s="1">
        <v>54129</v>
      </c>
      <c r="M1017" s="1">
        <v>1.3262E-9</v>
      </c>
      <c r="P1017" s="1">
        <v>54129</v>
      </c>
      <c r="Q1017" s="1">
        <v>1.1167999999999999E-9</v>
      </c>
    </row>
    <row r="1018" spans="2:17" x14ac:dyDescent="0.2">
      <c r="B1018" s="1">
        <v>54130</v>
      </c>
      <c r="C1018" s="1">
        <v>9.9999999999999995E-8</v>
      </c>
      <c r="G1018" s="1">
        <v>54130</v>
      </c>
      <c r="H1018" s="1">
        <v>9.9999999999999995E-8</v>
      </c>
      <c r="L1018" s="1">
        <v>54130</v>
      </c>
      <c r="M1018" s="1">
        <v>8.5155999999999998E-9</v>
      </c>
      <c r="P1018" s="1">
        <v>54130</v>
      </c>
      <c r="Q1018" s="1">
        <v>1.7100999999999999E-8</v>
      </c>
    </row>
    <row r="1019" spans="2:17" x14ac:dyDescent="0.2">
      <c r="B1019" s="1">
        <v>54131</v>
      </c>
      <c r="C1019" s="1">
        <v>9.9999999999999995E-8</v>
      </c>
      <c r="G1019" s="1">
        <v>54131</v>
      </c>
      <c r="H1019" s="1">
        <v>0</v>
      </c>
      <c r="L1019" s="1">
        <v>54131</v>
      </c>
      <c r="M1019" s="1">
        <v>4.2089400000000002E-8</v>
      </c>
      <c r="P1019" s="1">
        <v>54131</v>
      </c>
      <c r="Q1019" s="1">
        <v>8.5365400000000006E-8</v>
      </c>
    </row>
    <row r="1020" spans="2:17" x14ac:dyDescent="0.2">
      <c r="B1020" s="1">
        <v>54132</v>
      </c>
      <c r="C1020" s="1">
        <v>1.9999999999999999E-7</v>
      </c>
      <c r="G1020" s="1">
        <v>54132</v>
      </c>
      <c r="H1020" s="1">
        <v>1.9999999999999999E-7</v>
      </c>
      <c r="L1020" s="1">
        <v>54132</v>
      </c>
      <c r="M1020" s="1">
        <v>2.3620299999999999E-7</v>
      </c>
      <c r="P1020" s="1">
        <v>54132</v>
      </c>
      <c r="Q1020" s="1">
        <v>6.4125299999999998E-7</v>
      </c>
    </row>
    <row r="1021" spans="2:17" x14ac:dyDescent="0.2">
      <c r="B1021" s="1">
        <v>54133</v>
      </c>
      <c r="C1021" s="1">
        <v>7.9999999999999996E-7</v>
      </c>
      <c r="G1021" s="1">
        <v>54133</v>
      </c>
      <c r="H1021" s="1">
        <v>9.9999999999999995E-8</v>
      </c>
      <c r="L1021" s="1">
        <v>54133</v>
      </c>
      <c r="M1021" s="1">
        <v>7.68917E-7</v>
      </c>
      <c r="P1021" s="1">
        <v>54133</v>
      </c>
      <c r="Q1021" s="1">
        <v>1.9443499999999999E-6</v>
      </c>
    </row>
    <row r="1022" spans="2:17" x14ac:dyDescent="0.2">
      <c r="B1022" s="1">
        <v>54134</v>
      </c>
      <c r="C1022" s="1">
        <v>4.5000000000000001E-6</v>
      </c>
      <c r="G1022" s="1">
        <v>54134</v>
      </c>
      <c r="H1022" s="1">
        <v>1.3E-6</v>
      </c>
      <c r="L1022" s="1">
        <v>54134</v>
      </c>
      <c r="M1022" s="1">
        <v>2.70922E-6</v>
      </c>
      <c r="P1022" s="1">
        <v>54134</v>
      </c>
      <c r="Q1022" s="1">
        <v>7.86311E-6</v>
      </c>
    </row>
    <row r="1023" spans="2:17" x14ac:dyDescent="0.2">
      <c r="B1023" s="1">
        <v>54135</v>
      </c>
      <c r="C1023" s="1">
        <v>8.1999999999999994E-6</v>
      </c>
      <c r="G1023" s="1">
        <v>54135</v>
      </c>
      <c r="H1023" s="1">
        <v>5.3000000000000001E-6</v>
      </c>
      <c r="L1023" s="1">
        <v>54135</v>
      </c>
      <c r="M1023" s="1">
        <v>7.2907499999999996E-6</v>
      </c>
      <c r="P1023" s="1">
        <v>54135</v>
      </c>
      <c r="Q1023" s="1">
        <v>1.42142E-5</v>
      </c>
    </row>
    <row r="1024" spans="2:17" x14ac:dyDescent="0.2">
      <c r="B1024" s="1">
        <v>54136</v>
      </c>
      <c r="C1024" s="1">
        <v>1.9899999999999999E-5</v>
      </c>
      <c r="G1024" s="1">
        <v>54136</v>
      </c>
      <c r="H1024" s="1">
        <v>2.1299999999999999E-5</v>
      </c>
      <c r="L1024" s="1">
        <v>54136</v>
      </c>
      <c r="M1024" s="1">
        <v>2.0393800000000001E-5</v>
      </c>
      <c r="P1024" s="1">
        <v>54136</v>
      </c>
      <c r="Q1024" s="1">
        <v>3.2630599999999999E-5</v>
      </c>
    </row>
    <row r="1025" spans="2:17" x14ac:dyDescent="0.2">
      <c r="B1025" s="1">
        <v>54137</v>
      </c>
      <c r="C1025" s="1">
        <v>1.3200000000000001E-5</v>
      </c>
      <c r="G1025" s="1">
        <v>54137</v>
      </c>
      <c r="H1025" s="1">
        <v>4.0099999999999999E-5</v>
      </c>
      <c r="L1025" s="1">
        <v>54137</v>
      </c>
      <c r="M1025" s="1">
        <v>3.7379000000000002E-5</v>
      </c>
      <c r="P1025" s="1">
        <v>54137</v>
      </c>
      <c r="Q1025" s="1">
        <v>2.42532E-5</v>
      </c>
    </row>
    <row r="1026" spans="2:17" x14ac:dyDescent="0.2">
      <c r="B1026" s="1">
        <v>54138</v>
      </c>
      <c r="C1026" s="1">
        <v>1.6699999999999999E-5</v>
      </c>
      <c r="G1026" s="1">
        <v>54138</v>
      </c>
      <c r="H1026" s="1">
        <v>7.1899999999999999E-5</v>
      </c>
      <c r="L1026" s="1">
        <v>54138</v>
      </c>
      <c r="M1026" s="1">
        <v>5.9450799999999997E-5</v>
      </c>
      <c r="P1026" s="1">
        <v>54138</v>
      </c>
      <c r="Q1026" s="1">
        <v>3.17471E-5</v>
      </c>
    </row>
    <row r="1027" spans="2:17" x14ac:dyDescent="0.2">
      <c r="B1027" s="1">
        <v>54139</v>
      </c>
      <c r="C1027" s="1">
        <v>9.7999999999999993E-6</v>
      </c>
      <c r="G1027" s="1">
        <v>54139</v>
      </c>
      <c r="H1027" s="1">
        <v>7.9200000000000001E-5</v>
      </c>
      <c r="L1027" s="1">
        <v>54139</v>
      </c>
      <c r="M1027" s="1">
        <v>6.5991100000000006E-5</v>
      </c>
      <c r="P1027" s="1">
        <v>54139</v>
      </c>
      <c r="Q1027" s="1">
        <v>1.7910800000000001E-5</v>
      </c>
    </row>
    <row r="1028" spans="2:17" x14ac:dyDescent="0.2">
      <c r="B1028" s="1">
        <v>54140</v>
      </c>
      <c r="C1028" s="1">
        <v>9.0000000000000002E-6</v>
      </c>
      <c r="G1028" s="1">
        <v>54140</v>
      </c>
      <c r="H1028" s="1">
        <v>7.5099999999999996E-5</v>
      </c>
      <c r="L1028" s="1">
        <v>54140</v>
      </c>
      <c r="M1028" s="1">
        <v>6.6065399999999999E-5</v>
      </c>
      <c r="P1028" s="1">
        <v>54140</v>
      </c>
      <c r="Q1028" s="1">
        <v>1.61934E-5</v>
      </c>
    </row>
    <row r="1029" spans="2:17" x14ac:dyDescent="0.2">
      <c r="B1029" s="1">
        <v>54141</v>
      </c>
      <c r="C1029" s="1">
        <v>3.8E-6</v>
      </c>
      <c r="G1029" s="1">
        <v>54141</v>
      </c>
      <c r="H1029" s="1">
        <v>4.5599999999999997E-5</v>
      </c>
      <c r="L1029" s="1">
        <v>54141</v>
      </c>
      <c r="M1029" s="1">
        <v>4.4573300000000002E-5</v>
      </c>
      <c r="P1029" s="1">
        <v>54141</v>
      </c>
      <c r="Q1029" s="1">
        <v>6.4096600000000004E-6</v>
      </c>
    </row>
    <row r="1030" spans="2:17" x14ac:dyDescent="0.2">
      <c r="B1030" s="1">
        <v>54142</v>
      </c>
      <c r="C1030" s="1">
        <v>2.7E-6</v>
      </c>
      <c r="G1030" s="1">
        <v>54142</v>
      </c>
      <c r="H1030" s="1">
        <v>2.48E-5</v>
      </c>
      <c r="L1030" s="1">
        <v>54142</v>
      </c>
      <c r="M1030" s="1">
        <v>2.5604899999999999E-5</v>
      </c>
      <c r="P1030" s="1">
        <v>54142</v>
      </c>
      <c r="Q1030" s="1">
        <v>4.2274399999999998E-6</v>
      </c>
    </row>
    <row r="1031" spans="2:17" x14ac:dyDescent="0.2">
      <c r="B1031" s="1">
        <v>54143</v>
      </c>
      <c r="C1031" s="1">
        <v>5.9999999999999997E-7</v>
      </c>
      <c r="G1031" s="1">
        <v>54143</v>
      </c>
      <c r="H1031" s="1">
        <v>9.0999999999999993E-6</v>
      </c>
      <c r="L1031" s="1">
        <v>54143</v>
      </c>
      <c r="M1031" s="1">
        <v>8.9868199999999998E-6</v>
      </c>
      <c r="P1031" s="1">
        <v>54143</v>
      </c>
      <c r="Q1031" s="1">
        <v>8.5114099999999996E-7</v>
      </c>
    </row>
    <row r="1032" spans="2:17" x14ac:dyDescent="0.2">
      <c r="B1032" s="1">
        <v>54144</v>
      </c>
      <c r="C1032" s="1">
        <v>6.9999999999999997E-7</v>
      </c>
      <c r="G1032" s="1">
        <v>54144</v>
      </c>
      <c r="H1032" s="1">
        <v>1.9999999999999999E-6</v>
      </c>
      <c r="L1032" s="1">
        <v>54144</v>
      </c>
      <c r="M1032" s="1">
        <v>2.85636E-6</v>
      </c>
      <c r="P1032" s="1">
        <v>54144</v>
      </c>
      <c r="Q1032" s="1">
        <v>7.7261600000000004E-7</v>
      </c>
    </row>
    <row r="1033" spans="2:17" x14ac:dyDescent="0.2">
      <c r="B1033" s="1">
        <v>54145</v>
      </c>
      <c r="C1033" s="1">
        <v>9.9999999999999995E-8</v>
      </c>
      <c r="G1033" s="1">
        <v>54145</v>
      </c>
      <c r="H1033" s="1">
        <v>0</v>
      </c>
      <c r="L1033" s="1">
        <v>54145</v>
      </c>
      <c r="M1033" s="1">
        <v>5.0577100000000004E-7</v>
      </c>
      <c r="P1033" s="1">
        <v>54145</v>
      </c>
      <c r="Q1033" s="1">
        <v>1.56422E-7</v>
      </c>
    </row>
    <row r="1034" spans="2:17" x14ac:dyDescent="0.2">
      <c r="B1034" s="1">
        <v>55114</v>
      </c>
      <c r="C1034" s="1">
        <v>9.9999999999999995E-8</v>
      </c>
      <c r="G1034" s="1">
        <v>55114</v>
      </c>
      <c r="H1034" s="1">
        <v>0</v>
      </c>
      <c r="L1034" s="1">
        <v>55114</v>
      </c>
      <c r="M1034" s="1">
        <v>9.3601799999999996E-8</v>
      </c>
      <c r="P1034" s="1">
        <v>55114</v>
      </c>
      <c r="Q1034" s="1">
        <v>5.8562200000000003E-8</v>
      </c>
    </row>
    <row r="1035" spans="2:17" x14ac:dyDescent="0.2">
      <c r="B1035" s="1">
        <v>55115</v>
      </c>
      <c r="C1035" s="1">
        <v>0</v>
      </c>
      <c r="G1035" s="1">
        <v>55115</v>
      </c>
      <c r="H1035" s="1">
        <v>0</v>
      </c>
      <c r="L1035" s="1">
        <v>55115</v>
      </c>
      <c r="M1035" s="1">
        <v>7.2591999999999999E-9</v>
      </c>
      <c r="P1035" s="1">
        <v>55115</v>
      </c>
      <c r="Q1035" s="1">
        <v>6.631E-9</v>
      </c>
    </row>
    <row r="1036" spans="2:17" x14ac:dyDescent="0.2">
      <c r="B1036" s="1">
        <v>55116</v>
      </c>
      <c r="C1036" s="1">
        <v>0</v>
      </c>
      <c r="G1036" s="1">
        <v>55116</v>
      </c>
      <c r="H1036" s="1">
        <v>0</v>
      </c>
      <c r="L1036" s="1">
        <v>55116</v>
      </c>
      <c r="M1036" s="1">
        <v>7.6779999999999997E-10</v>
      </c>
      <c r="P1036" s="1">
        <v>55116</v>
      </c>
      <c r="Q1036" s="1">
        <v>1.8845999999999999E-9</v>
      </c>
    </row>
    <row r="1037" spans="2:17" x14ac:dyDescent="0.2">
      <c r="B1037" s="1">
        <v>55117</v>
      </c>
      <c r="C1037" s="1">
        <v>0</v>
      </c>
      <c r="G1037" s="1">
        <v>55117</v>
      </c>
      <c r="H1037" s="1">
        <v>0</v>
      </c>
      <c r="L1037" s="1">
        <v>55117</v>
      </c>
      <c r="M1037" s="1">
        <v>0</v>
      </c>
      <c r="P1037" s="1">
        <v>55117</v>
      </c>
      <c r="Q1037" s="1">
        <v>4.1879999999999999E-10</v>
      </c>
    </row>
    <row r="1038" spans="2:17" hidden="1" x14ac:dyDescent="0.2">
      <c r="B1038" s="1">
        <v>55118</v>
      </c>
      <c r="C1038" s="1">
        <v>0</v>
      </c>
      <c r="G1038" s="1">
        <v>55118</v>
      </c>
      <c r="H1038" s="1">
        <v>0</v>
      </c>
      <c r="L1038" s="1">
        <v>55118</v>
      </c>
      <c r="M1038" s="1">
        <v>0</v>
      </c>
      <c r="P1038" s="1">
        <v>55118</v>
      </c>
      <c r="Q1038" s="1">
        <v>0</v>
      </c>
    </row>
    <row r="1039" spans="2:17" hidden="1" x14ac:dyDescent="0.2">
      <c r="B1039" s="1">
        <v>55119</v>
      </c>
      <c r="C1039" s="1">
        <v>0</v>
      </c>
      <c r="G1039" s="1">
        <v>55119</v>
      </c>
      <c r="H1039" s="1">
        <v>0</v>
      </c>
      <c r="L1039" s="1">
        <v>55119</v>
      </c>
      <c r="M1039" s="1">
        <v>0</v>
      </c>
      <c r="P1039" s="1">
        <v>55119</v>
      </c>
      <c r="Q1039" s="1">
        <v>0</v>
      </c>
    </row>
    <row r="1040" spans="2:17" hidden="1" x14ac:dyDescent="0.2">
      <c r="B1040" s="1">
        <v>55120</v>
      </c>
      <c r="C1040" s="1">
        <v>0</v>
      </c>
      <c r="G1040" s="1">
        <v>55120</v>
      </c>
      <c r="H1040" s="1">
        <v>0</v>
      </c>
      <c r="L1040" s="1">
        <v>55120</v>
      </c>
      <c r="M1040" s="1">
        <v>0</v>
      </c>
      <c r="P1040" s="1">
        <v>55120</v>
      </c>
      <c r="Q1040" s="1">
        <v>0</v>
      </c>
    </row>
    <row r="1041" spans="2:17" hidden="1" x14ac:dyDescent="0.2">
      <c r="B1041" s="1">
        <v>55121</v>
      </c>
      <c r="C1041" s="1">
        <v>0</v>
      </c>
      <c r="G1041" s="1">
        <v>55121</v>
      </c>
      <c r="H1041" s="1">
        <v>0</v>
      </c>
      <c r="L1041" s="1">
        <v>55121</v>
      </c>
      <c r="M1041" s="1">
        <v>0</v>
      </c>
      <c r="P1041" s="1">
        <v>55121</v>
      </c>
      <c r="Q1041" s="1">
        <v>0</v>
      </c>
    </row>
    <row r="1042" spans="2:17" hidden="1" x14ac:dyDescent="0.2">
      <c r="B1042" s="1">
        <v>55122</v>
      </c>
      <c r="C1042" s="1">
        <v>0</v>
      </c>
      <c r="G1042" s="1">
        <v>55122</v>
      </c>
      <c r="H1042" s="1">
        <v>0</v>
      </c>
      <c r="L1042" s="1">
        <v>55122</v>
      </c>
      <c r="M1042" s="1">
        <v>0</v>
      </c>
      <c r="P1042" s="1">
        <v>55122</v>
      </c>
      <c r="Q1042" s="1">
        <v>0</v>
      </c>
    </row>
    <row r="1043" spans="2:17" hidden="1" x14ac:dyDescent="0.2">
      <c r="B1043" s="1">
        <v>55123</v>
      </c>
      <c r="C1043" s="1">
        <v>0</v>
      </c>
      <c r="G1043" s="1">
        <v>55123</v>
      </c>
      <c r="H1043" s="1">
        <v>0</v>
      </c>
      <c r="L1043" s="1">
        <v>55123</v>
      </c>
      <c r="M1043" s="1">
        <v>0</v>
      </c>
      <c r="P1043" s="1">
        <v>55123</v>
      </c>
      <c r="Q1043" s="1">
        <v>0</v>
      </c>
    </row>
    <row r="1044" spans="2:17" hidden="1" x14ac:dyDescent="0.2">
      <c r="B1044" s="1">
        <v>55124</v>
      </c>
      <c r="C1044" s="1">
        <v>0</v>
      </c>
      <c r="G1044" s="1">
        <v>55124</v>
      </c>
      <c r="H1044" s="1">
        <v>0</v>
      </c>
      <c r="L1044" s="1">
        <v>55124</v>
      </c>
      <c r="M1044" s="1">
        <v>0</v>
      </c>
      <c r="P1044" s="1">
        <v>55124</v>
      </c>
      <c r="Q1044" s="1">
        <v>0</v>
      </c>
    </row>
    <row r="1045" spans="2:17" hidden="1" x14ac:dyDescent="0.2">
      <c r="B1045" s="1">
        <v>55125</v>
      </c>
      <c r="C1045" s="1">
        <v>0</v>
      </c>
      <c r="G1045" s="1">
        <v>55125</v>
      </c>
      <c r="H1045" s="1">
        <v>0</v>
      </c>
      <c r="L1045" s="1">
        <v>55125</v>
      </c>
      <c r="M1045" s="1">
        <v>0</v>
      </c>
      <c r="P1045" s="1">
        <v>55125</v>
      </c>
      <c r="Q1045" s="1">
        <v>0</v>
      </c>
    </row>
    <row r="1046" spans="2:17" hidden="1" x14ac:dyDescent="0.2">
      <c r="B1046" s="1">
        <v>55126</v>
      </c>
      <c r="C1046" s="1">
        <v>0</v>
      </c>
      <c r="G1046" s="1">
        <v>55126</v>
      </c>
      <c r="H1046" s="1">
        <v>0</v>
      </c>
      <c r="L1046" s="1">
        <v>55126</v>
      </c>
      <c r="M1046" s="1">
        <v>0</v>
      </c>
      <c r="P1046" s="1">
        <v>55126</v>
      </c>
      <c r="Q1046" s="1">
        <v>0</v>
      </c>
    </row>
    <row r="1047" spans="2:17" hidden="1" x14ac:dyDescent="0.2">
      <c r="B1047" s="1">
        <v>55127</v>
      </c>
      <c r="C1047" s="1">
        <v>0</v>
      </c>
      <c r="G1047" s="1">
        <v>55127</v>
      </c>
      <c r="H1047" s="1">
        <v>0</v>
      </c>
      <c r="L1047" s="1">
        <v>55127</v>
      </c>
      <c r="M1047" s="1">
        <v>0</v>
      </c>
      <c r="P1047" s="1">
        <v>55127</v>
      </c>
      <c r="Q1047" s="1">
        <v>0</v>
      </c>
    </row>
    <row r="1048" spans="2:17" hidden="1" x14ac:dyDescent="0.2">
      <c r="B1048" s="1">
        <v>55128</v>
      </c>
      <c r="C1048" s="1">
        <v>0</v>
      </c>
      <c r="G1048" s="1">
        <v>55128</v>
      </c>
      <c r="H1048" s="1">
        <v>0</v>
      </c>
      <c r="L1048" s="1">
        <v>55128</v>
      </c>
      <c r="M1048" s="1">
        <v>0</v>
      </c>
      <c r="P1048" s="1">
        <v>55128</v>
      </c>
      <c r="Q1048" s="1">
        <v>0</v>
      </c>
    </row>
    <row r="1049" spans="2:17" hidden="1" x14ac:dyDescent="0.2">
      <c r="B1049" s="1">
        <v>55129</v>
      </c>
      <c r="C1049" s="1">
        <v>0</v>
      </c>
      <c r="G1049" s="1">
        <v>55129</v>
      </c>
      <c r="H1049" s="1">
        <v>0</v>
      </c>
      <c r="L1049" s="1">
        <v>55129</v>
      </c>
      <c r="M1049" s="1">
        <v>0</v>
      </c>
      <c r="P1049" s="1">
        <v>55129</v>
      </c>
      <c r="Q1049" s="1">
        <v>0</v>
      </c>
    </row>
    <row r="1050" spans="2:17" hidden="1" x14ac:dyDescent="0.2">
      <c r="B1050" s="1">
        <v>55130</v>
      </c>
      <c r="C1050" s="1">
        <v>0</v>
      </c>
      <c r="G1050" s="1">
        <v>55130</v>
      </c>
      <c r="H1050" s="1">
        <v>0</v>
      </c>
      <c r="L1050" s="1">
        <v>55130</v>
      </c>
      <c r="M1050" s="1">
        <v>6.9799999999999994E-11</v>
      </c>
      <c r="P1050" s="1">
        <v>55130</v>
      </c>
      <c r="Q1050" s="1">
        <v>0</v>
      </c>
    </row>
    <row r="1051" spans="2:17" x14ac:dyDescent="0.2">
      <c r="B1051" s="1">
        <v>55131</v>
      </c>
      <c r="C1051" s="1">
        <v>0</v>
      </c>
      <c r="G1051" s="1">
        <v>55131</v>
      </c>
      <c r="H1051" s="1">
        <v>0</v>
      </c>
      <c r="L1051" s="1">
        <v>55131</v>
      </c>
      <c r="M1051" s="1">
        <v>3.4899999999999998E-10</v>
      </c>
      <c r="P1051" s="1">
        <v>55131</v>
      </c>
      <c r="Q1051" s="1">
        <v>2.094E-10</v>
      </c>
    </row>
    <row r="1052" spans="2:17" x14ac:dyDescent="0.2">
      <c r="B1052" s="1">
        <v>55132</v>
      </c>
      <c r="C1052" s="1">
        <v>0</v>
      </c>
      <c r="G1052" s="1">
        <v>55132</v>
      </c>
      <c r="H1052" s="1">
        <v>0</v>
      </c>
      <c r="L1052" s="1">
        <v>55132</v>
      </c>
      <c r="M1052" s="1">
        <v>2.5127999999999998E-9</v>
      </c>
      <c r="P1052" s="1">
        <v>55132</v>
      </c>
      <c r="Q1052" s="1">
        <v>2.5826000000000002E-9</v>
      </c>
    </row>
    <row r="1053" spans="2:17" x14ac:dyDescent="0.2">
      <c r="B1053" s="1">
        <v>55133</v>
      </c>
      <c r="C1053" s="1">
        <v>0</v>
      </c>
      <c r="G1053" s="1">
        <v>55133</v>
      </c>
      <c r="H1053" s="1">
        <v>0</v>
      </c>
      <c r="L1053" s="1">
        <v>55133</v>
      </c>
      <c r="M1053" s="1">
        <v>1.4169399999999999E-8</v>
      </c>
      <c r="P1053" s="1">
        <v>55133</v>
      </c>
      <c r="Q1053" s="1">
        <v>2.8967000000000001E-8</v>
      </c>
    </row>
    <row r="1054" spans="2:17" x14ac:dyDescent="0.2">
      <c r="B1054" s="1">
        <v>55134</v>
      </c>
      <c r="C1054" s="1">
        <v>1.9999999999999999E-7</v>
      </c>
      <c r="G1054" s="1">
        <v>55134</v>
      </c>
      <c r="H1054" s="1">
        <v>9.9999999999999995E-8</v>
      </c>
      <c r="L1054" s="1">
        <v>55134</v>
      </c>
      <c r="M1054" s="1">
        <v>6.6868399999999995E-8</v>
      </c>
      <c r="P1054" s="1">
        <v>55134</v>
      </c>
      <c r="Q1054" s="1">
        <v>1.47767E-7</v>
      </c>
    </row>
    <row r="1055" spans="2:17" x14ac:dyDescent="0.2">
      <c r="B1055" s="1">
        <v>55135</v>
      </c>
      <c r="C1055" s="1">
        <v>5.9999999999999997E-7</v>
      </c>
      <c r="G1055" s="1">
        <v>55135</v>
      </c>
      <c r="H1055" s="1">
        <v>9.9999999999999995E-8</v>
      </c>
      <c r="L1055" s="1">
        <v>55135</v>
      </c>
      <c r="M1055" s="1">
        <v>3.3322499999999999E-7</v>
      </c>
      <c r="P1055" s="1">
        <v>55135</v>
      </c>
      <c r="Q1055" s="1">
        <v>9.9255600000000009E-7</v>
      </c>
    </row>
    <row r="1056" spans="2:17" x14ac:dyDescent="0.2">
      <c r="B1056" s="1">
        <v>55136</v>
      </c>
      <c r="C1056" s="1">
        <v>1.9E-6</v>
      </c>
      <c r="G1056" s="1">
        <v>55136</v>
      </c>
      <c r="H1056" s="1">
        <v>8.9999999999999996E-7</v>
      </c>
      <c r="L1056" s="1">
        <v>55136</v>
      </c>
      <c r="M1056" s="1">
        <v>1.18297E-6</v>
      </c>
      <c r="P1056" s="1">
        <v>55136</v>
      </c>
      <c r="Q1056" s="1">
        <v>3.0998200000000001E-6</v>
      </c>
    </row>
    <row r="1057" spans="2:17" x14ac:dyDescent="0.2">
      <c r="B1057" s="1">
        <v>55137</v>
      </c>
      <c r="C1057" s="1">
        <v>6.9999999999999999E-6</v>
      </c>
      <c r="G1057" s="1">
        <v>55137</v>
      </c>
      <c r="H1057" s="1">
        <v>3.8E-6</v>
      </c>
      <c r="L1057" s="1">
        <v>55137</v>
      </c>
      <c r="M1057" s="1">
        <v>4.9134999999999996E-6</v>
      </c>
      <c r="P1057" s="1">
        <v>55137</v>
      </c>
      <c r="Q1057" s="1">
        <v>1.1737599999999999E-5</v>
      </c>
    </row>
    <row r="1058" spans="2:17" x14ac:dyDescent="0.2">
      <c r="B1058" s="1">
        <v>55138</v>
      </c>
      <c r="C1058" s="1">
        <v>8.4999999999999999E-6</v>
      </c>
      <c r="G1058" s="1">
        <v>55138</v>
      </c>
      <c r="H1058" s="1">
        <v>9.7999999999999993E-6</v>
      </c>
      <c r="L1058" s="1">
        <v>55138</v>
      </c>
      <c r="M1058" s="1">
        <v>1.07027E-5</v>
      </c>
      <c r="P1058" s="1">
        <v>55138</v>
      </c>
      <c r="Q1058" s="1">
        <v>1.4260800000000001E-5</v>
      </c>
    </row>
    <row r="1059" spans="2:17" x14ac:dyDescent="0.2">
      <c r="B1059" s="1">
        <v>55139</v>
      </c>
      <c r="C1059" s="1">
        <v>1.7799999999999999E-5</v>
      </c>
      <c r="G1059" s="1">
        <v>55139</v>
      </c>
      <c r="H1059" s="1">
        <v>2.5199999999999999E-5</v>
      </c>
      <c r="L1059" s="1">
        <v>55139</v>
      </c>
      <c r="M1059" s="1">
        <v>2.4928700000000001E-5</v>
      </c>
      <c r="P1059" s="1">
        <v>55139</v>
      </c>
      <c r="Q1059" s="1">
        <v>2.6011199999999999E-5</v>
      </c>
    </row>
    <row r="1060" spans="2:17" x14ac:dyDescent="0.2">
      <c r="B1060" s="1">
        <v>55140</v>
      </c>
      <c r="C1060" s="1">
        <v>1.4600000000000001E-5</v>
      </c>
      <c r="G1060" s="1">
        <v>55140</v>
      </c>
      <c r="H1060" s="1">
        <v>3.8000000000000002E-5</v>
      </c>
      <c r="L1060" s="1">
        <v>55140</v>
      </c>
      <c r="M1060" s="1">
        <v>3.4020899999999998E-5</v>
      </c>
      <c r="P1060" s="1">
        <v>55140</v>
      </c>
      <c r="Q1060" s="1">
        <v>2.4516799999999999E-5</v>
      </c>
    </row>
    <row r="1061" spans="2:17" x14ac:dyDescent="0.2">
      <c r="B1061" s="1">
        <v>55141</v>
      </c>
      <c r="C1061" s="1">
        <v>1.8E-5</v>
      </c>
      <c r="G1061" s="1">
        <v>55141</v>
      </c>
      <c r="H1061" s="1">
        <v>6.1099999999999994E-5</v>
      </c>
      <c r="L1061" s="1">
        <v>55141</v>
      </c>
      <c r="M1061" s="1">
        <v>5.3979900000000001E-5</v>
      </c>
      <c r="P1061" s="1">
        <v>55141</v>
      </c>
      <c r="Q1061" s="1">
        <v>2.7565200000000002E-5</v>
      </c>
    </row>
    <row r="1062" spans="2:17" x14ac:dyDescent="0.2">
      <c r="B1062" s="1">
        <v>55142</v>
      </c>
      <c r="C1062" s="1">
        <v>1.2E-5</v>
      </c>
      <c r="G1062" s="1">
        <v>55142</v>
      </c>
      <c r="H1062" s="1">
        <v>5.2800000000000003E-5</v>
      </c>
      <c r="L1062" s="1">
        <v>55142</v>
      </c>
      <c r="M1062" s="1">
        <v>4.7759999999999997E-5</v>
      </c>
      <c r="P1062" s="1">
        <v>55142</v>
      </c>
      <c r="Q1062" s="1">
        <v>1.6966400000000001E-5</v>
      </c>
    </row>
    <row r="1063" spans="2:17" x14ac:dyDescent="0.2">
      <c r="B1063" s="1">
        <v>55143</v>
      </c>
      <c r="C1063" s="1">
        <v>8.8999999999999995E-6</v>
      </c>
      <c r="G1063" s="1">
        <v>55143</v>
      </c>
      <c r="H1063" s="1">
        <v>4.5800000000000002E-5</v>
      </c>
      <c r="L1063" s="1">
        <v>55143</v>
      </c>
      <c r="M1063" s="1">
        <v>4.1903899999999997E-5</v>
      </c>
      <c r="P1063" s="1">
        <v>55143</v>
      </c>
      <c r="Q1063" s="1">
        <v>1.31636E-5</v>
      </c>
    </row>
    <row r="1064" spans="2:17" x14ac:dyDescent="0.2">
      <c r="B1064" s="1">
        <v>55144</v>
      </c>
      <c r="C1064" s="1">
        <v>3.1999999999999999E-6</v>
      </c>
      <c r="G1064" s="1">
        <v>55144</v>
      </c>
      <c r="H1064" s="1">
        <v>2.2099999999999998E-5</v>
      </c>
      <c r="L1064" s="1">
        <v>55144</v>
      </c>
      <c r="M1064" s="1">
        <v>2.15569E-5</v>
      </c>
      <c r="P1064" s="1">
        <v>55144</v>
      </c>
      <c r="Q1064" s="1">
        <v>5.37823E-6</v>
      </c>
    </row>
    <row r="1065" spans="2:17" x14ac:dyDescent="0.2">
      <c r="B1065" s="1">
        <v>55145</v>
      </c>
      <c r="C1065" s="1">
        <v>1.7E-6</v>
      </c>
      <c r="G1065" s="1">
        <v>55145</v>
      </c>
      <c r="H1065" s="1">
        <v>8.6999999999999997E-6</v>
      </c>
      <c r="L1065" s="1">
        <v>55145</v>
      </c>
      <c r="M1065" s="1">
        <v>1.1148000000000001E-5</v>
      </c>
      <c r="P1065" s="1">
        <v>55145</v>
      </c>
      <c r="Q1065" s="1">
        <v>3.20947E-6</v>
      </c>
    </row>
    <row r="1066" spans="2:17" x14ac:dyDescent="0.2">
      <c r="B1066" s="1">
        <v>55146</v>
      </c>
      <c r="C1066" s="1">
        <v>8.9999999999999996E-7</v>
      </c>
      <c r="G1066" s="1">
        <v>55146</v>
      </c>
      <c r="H1066" s="1">
        <v>2.3E-6</v>
      </c>
      <c r="L1066" s="1">
        <v>55146</v>
      </c>
      <c r="M1066" s="1">
        <v>3.2069600000000001E-6</v>
      </c>
      <c r="P1066" s="1">
        <v>55146</v>
      </c>
      <c r="Q1066" s="1">
        <v>1.0418299999999999E-6</v>
      </c>
    </row>
    <row r="1067" spans="2:17" x14ac:dyDescent="0.2">
      <c r="B1067" s="1">
        <v>55147</v>
      </c>
      <c r="C1067" s="1">
        <v>4.9999999999999998E-7</v>
      </c>
      <c r="G1067" s="1">
        <v>55147</v>
      </c>
      <c r="H1067" s="1">
        <v>8.9999999999999996E-7</v>
      </c>
      <c r="L1067" s="1">
        <v>55147</v>
      </c>
      <c r="M1067" s="1">
        <v>1.0100799999999999E-6</v>
      </c>
      <c r="P1067" s="1">
        <v>55147</v>
      </c>
      <c r="Q1067" s="1">
        <v>4.52862E-7</v>
      </c>
    </row>
    <row r="1068" spans="2:17" x14ac:dyDescent="0.2">
      <c r="B1068" s="1">
        <v>55148</v>
      </c>
      <c r="C1068" s="1">
        <v>9.9999999999999995E-8</v>
      </c>
      <c r="G1068" s="1">
        <v>55148</v>
      </c>
      <c r="H1068" s="1">
        <v>0</v>
      </c>
      <c r="L1068" s="1">
        <v>55148</v>
      </c>
      <c r="M1068" s="1">
        <v>1.6102900000000001E-7</v>
      </c>
      <c r="P1068" s="1">
        <v>55148</v>
      </c>
      <c r="Q1068" s="1">
        <v>8.5853999999999996E-8</v>
      </c>
    </row>
    <row r="1069" spans="2:17" x14ac:dyDescent="0.2">
      <c r="B1069" s="1">
        <v>56117</v>
      </c>
      <c r="C1069" s="1">
        <v>0</v>
      </c>
      <c r="G1069" s="1">
        <v>56117</v>
      </c>
      <c r="H1069" s="1">
        <v>0</v>
      </c>
      <c r="L1069" s="1">
        <v>56117</v>
      </c>
      <c r="M1069" s="1">
        <v>2.52676E-8</v>
      </c>
      <c r="P1069" s="1">
        <v>56117</v>
      </c>
      <c r="Q1069" s="1">
        <v>2.5895800000000002E-8</v>
      </c>
    </row>
    <row r="1070" spans="2:17" x14ac:dyDescent="0.2">
      <c r="B1070" s="1">
        <v>56118</v>
      </c>
      <c r="C1070" s="1">
        <v>0</v>
      </c>
      <c r="G1070" s="1">
        <v>56118</v>
      </c>
      <c r="H1070" s="1">
        <v>0</v>
      </c>
      <c r="L1070" s="1">
        <v>56118</v>
      </c>
      <c r="M1070" s="1">
        <v>2.4429999999999999E-9</v>
      </c>
      <c r="P1070" s="1">
        <v>56118</v>
      </c>
      <c r="Q1070" s="1">
        <v>4.1182000000000001E-9</v>
      </c>
    </row>
    <row r="1071" spans="2:17" x14ac:dyDescent="0.2">
      <c r="B1071" s="1">
        <v>56119</v>
      </c>
      <c r="C1071" s="1">
        <v>0</v>
      </c>
      <c r="G1071" s="1">
        <v>56119</v>
      </c>
      <c r="H1071" s="1">
        <v>0</v>
      </c>
      <c r="L1071" s="1">
        <v>56119</v>
      </c>
      <c r="M1071" s="1">
        <v>4.1879999999999999E-10</v>
      </c>
      <c r="P1071" s="1">
        <v>56119</v>
      </c>
      <c r="Q1071" s="1">
        <v>1.1167999999999999E-9</v>
      </c>
    </row>
    <row r="1072" spans="2:17" hidden="1" x14ac:dyDescent="0.2">
      <c r="B1072" s="1">
        <v>56120</v>
      </c>
      <c r="C1072" s="1">
        <v>0</v>
      </c>
      <c r="G1072" s="1">
        <v>56120</v>
      </c>
      <c r="H1072" s="1">
        <v>0</v>
      </c>
      <c r="L1072" s="1">
        <v>56120</v>
      </c>
      <c r="M1072" s="1">
        <v>0</v>
      </c>
      <c r="P1072" s="1">
        <v>56120</v>
      </c>
      <c r="Q1072" s="1">
        <v>0</v>
      </c>
    </row>
    <row r="1073" spans="2:17" hidden="1" x14ac:dyDescent="0.2">
      <c r="B1073" s="1">
        <v>56121</v>
      </c>
      <c r="C1073" s="1">
        <v>0</v>
      </c>
      <c r="G1073" s="1">
        <v>56121</v>
      </c>
      <c r="H1073" s="1">
        <v>0</v>
      </c>
      <c r="L1073" s="1">
        <v>56121</v>
      </c>
      <c r="M1073" s="1">
        <v>0</v>
      </c>
      <c r="P1073" s="1">
        <v>56121</v>
      </c>
      <c r="Q1073" s="1">
        <v>0</v>
      </c>
    </row>
    <row r="1074" spans="2:17" hidden="1" x14ac:dyDescent="0.2">
      <c r="B1074" s="1">
        <v>56122</v>
      </c>
      <c r="C1074" s="1">
        <v>0</v>
      </c>
      <c r="G1074" s="1">
        <v>56122</v>
      </c>
      <c r="H1074" s="1">
        <v>0</v>
      </c>
      <c r="L1074" s="1">
        <v>56122</v>
      </c>
      <c r="M1074" s="1">
        <v>0</v>
      </c>
      <c r="P1074" s="1">
        <v>56122</v>
      </c>
      <c r="Q1074" s="1">
        <v>0</v>
      </c>
    </row>
    <row r="1075" spans="2:17" hidden="1" x14ac:dyDescent="0.2">
      <c r="B1075" s="1">
        <v>56123</v>
      </c>
      <c r="C1075" s="1">
        <v>0</v>
      </c>
      <c r="G1075" s="1">
        <v>56123</v>
      </c>
      <c r="H1075" s="1">
        <v>0</v>
      </c>
      <c r="L1075" s="1">
        <v>56123</v>
      </c>
      <c r="M1075" s="1">
        <v>0</v>
      </c>
      <c r="P1075" s="1">
        <v>56123</v>
      </c>
      <c r="Q1075" s="1">
        <v>0</v>
      </c>
    </row>
    <row r="1076" spans="2:17" hidden="1" x14ac:dyDescent="0.2">
      <c r="B1076" s="1">
        <v>56124</v>
      </c>
      <c r="C1076" s="1">
        <v>0</v>
      </c>
      <c r="G1076" s="1">
        <v>56124</v>
      </c>
      <c r="H1076" s="1">
        <v>0</v>
      </c>
      <c r="L1076" s="1">
        <v>56124</v>
      </c>
      <c r="M1076" s="1">
        <v>0</v>
      </c>
      <c r="P1076" s="1">
        <v>56124</v>
      </c>
      <c r="Q1076" s="1">
        <v>0</v>
      </c>
    </row>
    <row r="1077" spans="2:17" hidden="1" x14ac:dyDescent="0.2">
      <c r="B1077" s="1">
        <v>56125</v>
      </c>
      <c r="C1077" s="1">
        <v>0</v>
      </c>
      <c r="G1077" s="1">
        <v>56125</v>
      </c>
      <c r="H1077" s="1">
        <v>0</v>
      </c>
      <c r="L1077" s="1">
        <v>56125</v>
      </c>
      <c r="M1077" s="1">
        <v>0</v>
      </c>
      <c r="P1077" s="1">
        <v>56125</v>
      </c>
      <c r="Q1077" s="1">
        <v>0</v>
      </c>
    </row>
    <row r="1078" spans="2:17" hidden="1" x14ac:dyDescent="0.2">
      <c r="B1078" s="1">
        <v>56126</v>
      </c>
      <c r="C1078" s="1">
        <v>0</v>
      </c>
      <c r="G1078" s="1">
        <v>56126</v>
      </c>
      <c r="H1078" s="1">
        <v>0</v>
      </c>
      <c r="L1078" s="1">
        <v>56126</v>
      </c>
      <c r="M1078" s="1">
        <v>0</v>
      </c>
      <c r="P1078" s="1">
        <v>56126</v>
      </c>
      <c r="Q1078" s="1">
        <v>0</v>
      </c>
    </row>
    <row r="1079" spans="2:17" hidden="1" x14ac:dyDescent="0.2">
      <c r="B1079" s="1">
        <v>56127</v>
      </c>
      <c r="C1079" s="1">
        <v>0</v>
      </c>
      <c r="G1079" s="1">
        <v>56127</v>
      </c>
      <c r="H1079" s="1">
        <v>0</v>
      </c>
      <c r="L1079" s="1">
        <v>56127</v>
      </c>
      <c r="M1079" s="1">
        <v>0</v>
      </c>
      <c r="P1079" s="1">
        <v>56127</v>
      </c>
      <c r="Q1079" s="1">
        <v>0</v>
      </c>
    </row>
    <row r="1080" spans="2:17" hidden="1" x14ac:dyDescent="0.2">
      <c r="B1080" s="1">
        <v>56128</v>
      </c>
      <c r="C1080" s="1">
        <v>0</v>
      </c>
      <c r="G1080" s="1">
        <v>56128</v>
      </c>
      <c r="H1080" s="1">
        <v>0</v>
      </c>
      <c r="L1080" s="1">
        <v>56128</v>
      </c>
      <c r="M1080" s="1">
        <v>0</v>
      </c>
      <c r="P1080" s="1">
        <v>56128</v>
      </c>
      <c r="Q1080" s="1">
        <v>0</v>
      </c>
    </row>
    <row r="1081" spans="2:17" hidden="1" x14ac:dyDescent="0.2">
      <c r="B1081" s="1">
        <v>56129</v>
      </c>
      <c r="C1081" s="1">
        <v>0</v>
      </c>
      <c r="G1081" s="1">
        <v>56129</v>
      </c>
      <c r="H1081" s="1">
        <v>0</v>
      </c>
      <c r="L1081" s="1">
        <v>56129</v>
      </c>
      <c r="M1081" s="1">
        <v>0</v>
      </c>
      <c r="P1081" s="1">
        <v>56129</v>
      </c>
      <c r="Q1081" s="1">
        <v>0</v>
      </c>
    </row>
    <row r="1082" spans="2:17" hidden="1" x14ac:dyDescent="0.2">
      <c r="B1082" s="1">
        <v>56130</v>
      </c>
      <c r="C1082" s="1">
        <v>0</v>
      </c>
      <c r="G1082" s="1">
        <v>56130</v>
      </c>
      <c r="H1082" s="1">
        <v>0</v>
      </c>
      <c r="L1082" s="1">
        <v>56130</v>
      </c>
      <c r="M1082" s="1">
        <v>0</v>
      </c>
      <c r="P1082" s="1">
        <v>56130</v>
      </c>
      <c r="Q1082" s="1">
        <v>0</v>
      </c>
    </row>
    <row r="1083" spans="2:17" hidden="1" x14ac:dyDescent="0.2">
      <c r="B1083" s="1">
        <v>56131</v>
      </c>
      <c r="C1083" s="1">
        <v>0</v>
      </c>
      <c r="G1083" s="1">
        <v>56131</v>
      </c>
      <c r="H1083" s="1">
        <v>0</v>
      </c>
      <c r="L1083" s="1">
        <v>56131</v>
      </c>
      <c r="M1083" s="1">
        <v>0</v>
      </c>
      <c r="P1083" s="1">
        <v>56131</v>
      </c>
      <c r="Q1083" s="1">
        <v>0</v>
      </c>
    </row>
    <row r="1084" spans="2:17" hidden="1" x14ac:dyDescent="0.2">
      <c r="B1084" s="1">
        <v>56132</v>
      </c>
      <c r="C1084" s="1">
        <v>0</v>
      </c>
      <c r="G1084" s="1">
        <v>56132</v>
      </c>
      <c r="H1084" s="1">
        <v>0</v>
      </c>
      <c r="L1084" s="1">
        <v>56132</v>
      </c>
      <c r="M1084" s="1">
        <v>0</v>
      </c>
      <c r="P1084" s="1">
        <v>56132</v>
      </c>
      <c r="Q1084" s="1">
        <v>0</v>
      </c>
    </row>
    <row r="1085" spans="2:17" x14ac:dyDescent="0.2">
      <c r="B1085" s="1">
        <v>56133</v>
      </c>
      <c r="C1085" s="1">
        <v>0</v>
      </c>
      <c r="G1085" s="1">
        <v>56133</v>
      </c>
      <c r="H1085" s="1">
        <v>0</v>
      </c>
      <c r="L1085" s="1">
        <v>56133</v>
      </c>
      <c r="M1085" s="1">
        <v>1.3959999999999999E-10</v>
      </c>
      <c r="P1085" s="1">
        <v>56133</v>
      </c>
      <c r="Q1085" s="1">
        <v>6.9799999999999994E-11</v>
      </c>
    </row>
    <row r="1086" spans="2:17" x14ac:dyDescent="0.2">
      <c r="B1086" s="1">
        <v>56134</v>
      </c>
      <c r="C1086" s="1">
        <v>0</v>
      </c>
      <c r="G1086" s="1">
        <v>56134</v>
      </c>
      <c r="H1086" s="1">
        <v>0</v>
      </c>
      <c r="L1086" s="1">
        <v>56134</v>
      </c>
      <c r="M1086" s="1">
        <v>1.6054000000000001E-9</v>
      </c>
      <c r="P1086" s="1">
        <v>56134</v>
      </c>
      <c r="Q1086" s="1">
        <v>1.8148E-9</v>
      </c>
    </row>
    <row r="1087" spans="2:17" x14ac:dyDescent="0.2">
      <c r="B1087" s="1">
        <v>56135</v>
      </c>
      <c r="C1087" s="1">
        <v>0</v>
      </c>
      <c r="G1087" s="1">
        <v>56135</v>
      </c>
      <c r="H1087" s="1">
        <v>0</v>
      </c>
      <c r="L1087" s="1">
        <v>56135</v>
      </c>
      <c r="M1087" s="1">
        <v>7.3289999999999998E-9</v>
      </c>
      <c r="P1087" s="1">
        <v>56135</v>
      </c>
      <c r="Q1087" s="1">
        <v>9.9115999999999996E-9</v>
      </c>
    </row>
    <row r="1088" spans="2:17" x14ac:dyDescent="0.2">
      <c r="B1088" s="1">
        <v>56136</v>
      </c>
      <c r="C1088" s="1">
        <v>9.9999999999999995E-8</v>
      </c>
      <c r="G1088" s="1">
        <v>56136</v>
      </c>
      <c r="H1088" s="1">
        <v>0</v>
      </c>
      <c r="L1088" s="1">
        <v>56136</v>
      </c>
      <c r="M1088" s="1">
        <v>4.89996E-8</v>
      </c>
      <c r="P1088" s="1">
        <v>56136</v>
      </c>
      <c r="Q1088" s="1">
        <v>1.1454199999999999E-7</v>
      </c>
    </row>
    <row r="1089" spans="2:17" x14ac:dyDescent="0.2">
      <c r="B1089" s="1">
        <v>56137</v>
      </c>
      <c r="C1089" s="1">
        <v>1.9999999999999999E-7</v>
      </c>
      <c r="G1089" s="1">
        <v>56137</v>
      </c>
      <c r="H1089" s="1">
        <v>1.9999999999999999E-7</v>
      </c>
      <c r="L1089" s="1">
        <v>56137</v>
      </c>
      <c r="M1089" s="1">
        <v>2.1568200000000001E-7</v>
      </c>
      <c r="P1089" s="1">
        <v>56137</v>
      </c>
      <c r="Q1089" s="1">
        <v>5.5330499999999999E-7</v>
      </c>
    </row>
    <row r="1090" spans="2:17" x14ac:dyDescent="0.2">
      <c r="B1090" s="1">
        <v>56138</v>
      </c>
      <c r="C1090" s="1">
        <v>1.9E-6</v>
      </c>
      <c r="G1090" s="1">
        <v>56138</v>
      </c>
      <c r="H1090" s="1">
        <v>6.9999999999999997E-7</v>
      </c>
      <c r="L1090" s="1">
        <v>56138</v>
      </c>
      <c r="M1090" s="1">
        <v>9.18777E-7</v>
      </c>
      <c r="P1090" s="1">
        <v>56138</v>
      </c>
      <c r="Q1090" s="1">
        <v>3.2158300000000002E-6</v>
      </c>
    </row>
    <row r="1091" spans="2:17" x14ac:dyDescent="0.2">
      <c r="B1091" s="1">
        <v>56139</v>
      </c>
      <c r="C1091" s="1">
        <v>3.0000000000000001E-6</v>
      </c>
      <c r="G1091" s="1">
        <v>56139</v>
      </c>
      <c r="H1091" s="1">
        <v>1.9E-6</v>
      </c>
      <c r="L1091" s="1">
        <v>56139</v>
      </c>
      <c r="M1091" s="1">
        <v>2.3648199999999999E-6</v>
      </c>
      <c r="P1091" s="1">
        <v>56139</v>
      </c>
      <c r="Q1091" s="1">
        <v>4.9483300000000001E-6</v>
      </c>
    </row>
    <row r="1092" spans="2:17" x14ac:dyDescent="0.2">
      <c r="B1092" s="1">
        <v>56140</v>
      </c>
      <c r="C1092" s="1">
        <v>8.3999999999999992E-6</v>
      </c>
      <c r="G1092" s="1">
        <v>56140</v>
      </c>
      <c r="H1092" s="1">
        <v>5.1000000000000003E-6</v>
      </c>
      <c r="L1092" s="1">
        <v>56140</v>
      </c>
      <c r="M1092" s="1">
        <v>6.5803299999999999E-6</v>
      </c>
      <c r="P1092" s="1">
        <v>56140</v>
      </c>
      <c r="Q1092" s="1">
        <v>1.1966E-5</v>
      </c>
    </row>
    <row r="1093" spans="2:17" x14ac:dyDescent="0.2">
      <c r="B1093" s="1">
        <v>56141</v>
      </c>
      <c r="C1093" s="1">
        <v>8.8000000000000004E-6</v>
      </c>
      <c r="G1093" s="1">
        <v>56141</v>
      </c>
      <c r="H1093" s="1">
        <v>1.2E-5</v>
      </c>
      <c r="L1093" s="1">
        <v>56141</v>
      </c>
      <c r="M1093" s="1">
        <v>1.33224E-5</v>
      </c>
      <c r="P1093" s="1">
        <v>56141</v>
      </c>
      <c r="Q1093" s="1">
        <v>1.4184499999999999E-5</v>
      </c>
    </row>
    <row r="1094" spans="2:17" x14ac:dyDescent="0.2">
      <c r="B1094" s="1">
        <v>56142</v>
      </c>
      <c r="C1094" s="1">
        <v>1.17E-5</v>
      </c>
      <c r="G1094" s="1">
        <v>56142</v>
      </c>
      <c r="H1094" s="1">
        <v>2.8200000000000001E-5</v>
      </c>
      <c r="L1094" s="1">
        <v>56142</v>
      </c>
      <c r="M1094" s="1">
        <v>2.6614600000000001E-5</v>
      </c>
      <c r="P1094" s="1">
        <v>56142</v>
      </c>
      <c r="Q1094" s="1">
        <v>2.3874199999999999E-5</v>
      </c>
    </row>
    <row r="1095" spans="2:17" x14ac:dyDescent="0.2">
      <c r="B1095" s="1">
        <v>56143</v>
      </c>
      <c r="C1095" s="1">
        <v>1.1E-5</v>
      </c>
      <c r="G1095" s="1">
        <v>56143</v>
      </c>
      <c r="H1095" s="1">
        <v>4.46E-5</v>
      </c>
      <c r="L1095" s="1">
        <v>56143</v>
      </c>
      <c r="M1095" s="1">
        <v>3.7416200000000003E-5</v>
      </c>
      <c r="P1095" s="1">
        <v>56143</v>
      </c>
      <c r="Q1095" s="1">
        <v>1.8289999999999999E-5</v>
      </c>
    </row>
    <row r="1096" spans="2:17" x14ac:dyDescent="0.2">
      <c r="B1096" s="1">
        <v>56144</v>
      </c>
      <c r="C1096" s="1">
        <v>1.24E-5</v>
      </c>
      <c r="G1096" s="1">
        <v>56144</v>
      </c>
      <c r="H1096" s="1">
        <v>4.7700000000000001E-5</v>
      </c>
      <c r="L1096" s="1">
        <v>56144</v>
      </c>
      <c r="M1096" s="1">
        <v>4.4557600000000002E-5</v>
      </c>
      <c r="P1096" s="1">
        <v>56144</v>
      </c>
      <c r="Q1096" s="1">
        <v>2.0009399999999999E-5</v>
      </c>
    </row>
    <row r="1097" spans="2:17" x14ac:dyDescent="0.2">
      <c r="B1097" s="1">
        <v>56145</v>
      </c>
      <c r="C1097" s="1">
        <v>6.4999999999999996E-6</v>
      </c>
      <c r="G1097" s="1">
        <v>56145</v>
      </c>
      <c r="H1097" s="1">
        <v>4.1699999999999997E-5</v>
      </c>
      <c r="L1097" s="1">
        <v>56145</v>
      </c>
      <c r="M1097" s="1">
        <v>3.6569200000000002E-5</v>
      </c>
      <c r="P1097" s="1">
        <v>56145</v>
      </c>
      <c r="Q1097" s="1">
        <v>1.04223E-5</v>
      </c>
    </row>
    <row r="1098" spans="2:17" x14ac:dyDescent="0.2">
      <c r="B1098" s="1">
        <v>56146</v>
      </c>
      <c r="C1098" s="1">
        <v>3.9999999999999998E-6</v>
      </c>
      <c r="G1098" s="1">
        <v>56146</v>
      </c>
      <c r="H1098" s="1">
        <v>2.37E-5</v>
      </c>
      <c r="L1098" s="1">
        <v>56146</v>
      </c>
      <c r="M1098" s="1">
        <v>2.5329599999999999E-5</v>
      </c>
      <c r="P1098" s="1">
        <v>56146</v>
      </c>
      <c r="Q1098" s="1">
        <v>6.8142900000000003E-6</v>
      </c>
    </row>
    <row r="1099" spans="2:17" x14ac:dyDescent="0.2">
      <c r="B1099" s="1">
        <v>56147</v>
      </c>
      <c r="C1099" s="1">
        <v>1.1999999999999999E-6</v>
      </c>
      <c r="G1099" s="1">
        <v>56147</v>
      </c>
      <c r="H1099" s="1">
        <v>1.0499999999999999E-5</v>
      </c>
      <c r="L1099" s="1">
        <v>56147</v>
      </c>
      <c r="M1099" s="1">
        <v>1.22515E-5</v>
      </c>
      <c r="P1099" s="1">
        <v>56147</v>
      </c>
      <c r="Q1099" s="1">
        <v>3.00196E-6</v>
      </c>
    </row>
    <row r="1100" spans="2:17" x14ac:dyDescent="0.2">
      <c r="B1100" s="1">
        <v>56148</v>
      </c>
      <c r="C1100" s="1">
        <v>3.9999999999999998E-7</v>
      </c>
      <c r="G1100" s="1">
        <v>56148</v>
      </c>
      <c r="H1100" s="1">
        <v>4.4000000000000002E-6</v>
      </c>
      <c r="L1100" s="1">
        <v>56148</v>
      </c>
      <c r="M1100" s="1">
        <v>4.9977499999999997E-6</v>
      </c>
      <c r="P1100" s="1">
        <v>56148</v>
      </c>
      <c r="Q1100" s="1">
        <v>1.4886199999999999E-6</v>
      </c>
    </row>
    <row r="1101" spans="2:17" x14ac:dyDescent="0.2">
      <c r="B1101" s="1">
        <v>57123</v>
      </c>
      <c r="C1101" s="1">
        <v>1.9999999999999999E-7</v>
      </c>
      <c r="G1101" s="1">
        <v>57123</v>
      </c>
      <c r="H1101" s="1">
        <v>5.9999999999999997E-7</v>
      </c>
      <c r="L1101" s="1">
        <v>57123</v>
      </c>
      <c r="M1101" s="1">
        <v>1.16559E-6</v>
      </c>
      <c r="P1101" s="1">
        <v>57123</v>
      </c>
      <c r="Q1101" s="1">
        <v>3.3413300000000002E-7</v>
      </c>
    </row>
    <row r="1102" spans="2:17" x14ac:dyDescent="0.2">
      <c r="B1102" s="1">
        <v>57124</v>
      </c>
      <c r="C1102" s="1">
        <v>0</v>
      </c>
      <c r="G1102" s="1">
        <v>57124</v>
      </c>
      <c r="H1102" s="1">
        <v>1.9999999999999999E-7</v>
      </c>
      <c r="L1102" s="1">
        <v>57124</v>
      </c>
      <c r="M1102" s="1">
        <v>2.5239699999999998E-7</v>
      </c>
      <c r="P1102" s="1">
        <v>57124</v>
      </c>
      <c r="Q1102" s="1">
        <v>1.5020999999999999E-7</v>
      </c>
    </row>
    <row r="1103" spans="2:17" x14ac:dyDescent="0.2">
      <c r="B1103" s="1">
        <v>57125</v>
      </c>
      <c r="C1103" s="1">
        <v>0</v>
      </c>
      <c r="G1103" s="1">
        <v>57125</v>
      </c>
      <c r="H1103" s="1">
        <v>0</v>
      </c>
      <c r="L1103" s="1">
        <v>57125</v>
      </c>
      <c r="M1103" s="1">
        <v>2.7361599999999999E-8</v>
      </c>
      <c r="P1103" s="1">
        <v>57125</v>
      </c>
      <c r="Q1103" s="1">
        <v>2.4220600000000001E-8</v>
      </c>
    </row>
    <row r="1104" spans="2:17" x14ac:dyDescent="0.2">
      <c r="B1104" s="1">
        <v>57126</v>
      </c>
      <c r="C1104" s="1">
        <v>0</v>
      </c>
      <c r="G1104" s="1">
        <v>57126</v>
      </c>
      <c r="H1104" s="1">
        <v>0</v>
      </c>
      <c r="L1104" s="1">
        <v>57126</v>
      </c>
      <c r="M1104" s="1">
        <v>3.3503999999999999E-9</v>
      </c>
      <c r="P1104" s="1">
        <v>57126</v>
      </c>
      <c r="Q1104" s="1">
        <v>7.6779999999999993E-9</v>
      </c>
    </row>
    <row r="1105" spans="2:17" x14ac:dyDescent="0.2">
      <c r="B1105" s="1">
        <v>57127</v>
      </c>
      <c r="C1105" s="1">
        <v>0</v>
      </c>
      <c r="G1105" s="1">
        <v>57127</v>
      </c>
      <c r="H1105" s="1">
        <v>0</v>
      </c>
      <c r="L1105" s="1">
        <v>57127</v>
      </c>
      <c r="M1105" s="1">
        <v>1.3959999999999999E-10</v>
      </c>
      <c r="P1105" s="1">
        <v>57127</v>
      </c>
      <c r="Q1105" s="1">
        <v>9.0739999999999999E-10</v>
      </c>
    </row>
    <row r="1106" spans="2:17" x14ac:dyDescent="0.2">
      <c r="B1106" s="1">
        <v>57128</v>
      </c>
      <c r="C1106" s="1">
        <v>0</v>
      </c>
      <c r="G1106" s="1">
        <v>57128</v>
      </c>
      <c r="H1106" s="1">
        <v>0</v>
      </c>
      <c r="L1106" s="1">
        <v>57128</v>
      </c>
      <c r="M1106" s="1">
        <v>0</v>
      </c>
      <c r="P1106" s="1">
        <v>57128</v>
      </c>
      <c r="Q1106" s="1">
        <v>1.3959999999999999E-10</v>
      </c>
    </row>
    <row r="1107" spans="2:17" hidden="1" x14ac:dyDescent="0.2">
      <c r="B1107" s="1">
        <v>57129</v>
      </c>
      <c r="C1107" s="1">
        <v>0</v>
      </c>
      <c r="G1107" s="1">
        <v>57129</v>
      </c>
      <c r="H1107" s="1">
        <v>0</v>
      </c>
      <c r="L1107" s="1">
        <v>57129</v>
      </c>
      <c r="M1107" s="1">
        <v>0</v>
      </c>
      <c r="P1107" s="1">
        <v>57129</v>
      </c>
      <c r="Q1107" s="1">
        <v>0</v>
      </c>
    </row>
    <row r="1108" spans="2:17" hidden="1" x14ac:dyDescent="0.2">
      <c r="B1108" s="1">
        <v>57130</v>
      </c>
      <c r="C1108" s="1">
        <v>0</v>
      </c>
      <c r="G1108" s="1">
        <v>57130</v>
      </c>
      <c r="H1108" s="1">
        <v>0</v>
      </c>
      <c r="L1108" s="1">
        <v>57130</v>
      </c>
      <c r="M1108" s="1">
        <v>0</v>
      </c>
      <c r="P1108" s="1">
        <v>57130</v>
      </c>
      <c r="Q1108" s="1">
        <v>0</v>
      </c>
    </row>
    <row r="1109" spans="2:17" hidden="1" x14ac:dyDescent="0.2">
      <c r="B1109" s="1">
        <v>57131</v>
      </c>
      <c r="C1109" s="1">
        <v>0</v>
      </c>
      <c r="G1109" s="1">
        <v>57131</v>
      </c>
      <c r="H1109" s="1">
        <v>0</v>
      </c>
      <c r="L1109" s="1">
        <v>57131</v>
      </c>
      <c r="M1109" s="1">
        <v>0</v>
      </c>
      <c r="P1109" s="1">
        <v>57131</v>
      </c>
      <c r="Q1109" s="1">
        <v>0</v>
      </c>
    </row>
    <row r="1110" spans="2:17" hidden="1" x14ac:dyDescent="0.2">
      <c r="B1110" s="1">
        <v>57132</v>
      </c>
      <c r="C1110" s="1">
        <v>0</v>
      </c>
      <c r="G1110" s="1">
        <v>57132</v>
      </c>
      <c r="H1110" s="1">
        <v>0</v>
      </c>
      <c r="L1110" s="1">
        <v>57132</v>
      </c>
      <c r="M1110" s="1">
        <v>0</v>
      </c>
      <c r="P1110" s="1">
        <v>57132</v>
      </c>
      <c r="Q1110" s="1">
        <v>0</v>
      </c>
    </row>
    <row r="1111" spans="2:17" hidden="1" x14ac:dyDescent="0.2">
      <c r="B1111" s="1">
        <v>57133</v>
      </c>
      <c r="C1111" s="1">
        <v>0</v>
      </c>
      <c r="G1111" s="1">
        <v>57133</v>
      </c>
      <c r="H1111" s="1">
        <v>0</v>
      </c>
      <c r="L1111" s="1">
        <v>57133</v>
      </c>
      <c r="M1111" s="1">
        <v>0</v>
      </c>
      <c r="P1111" s="1">
        <v>57133</v>
      </c>
      <c r="Q1111" s="1">
        <v>0</v>
      </c>
    </row>
    <row r="1112" spans="2:17" hidden="1" x14ac:dyDescent="0.2">
      <c r="B1112" s="1">
        <v>57134</v>
      </c>
      <c r="C1112" s="1">
        <v>0</v>
      </c>
      <c r="G1112" s="1">
        <v>57134</v>
      </c>
      <c r="H1112" s="1">
        <v>0</v>
      </c>
      <c r="L1112" s="1">
        <v>57134</v>
      </c>
      <c r="M1112" s="1">
        <v>0</v>
      </c>
      <c r="P1112" s="1">
        <v>57134</v>
      </c>
      <c r="Q1112" s="1">
        <v>0</v>
      </c>
    </row>
    <row r="1113" spans="2:17" hidden="1" x14ac:dyDescent="0.2">
      <c r="B1113" s="1">
        <v>57135</v>
      </c>
      <c r="C1113" s="1">
        <v>0</v>
      </c>
      <c r="G1113" s="1">
        <v>57135</v>
      </c>
      <c r="H1113" s="1">
        <v>0</v>
      </c>
      <c r="L1113" s="1">
        <v>57135</v>
      </c>
      <c r="M1113" s="1">
        <v>0</v>
      </c>
      <c r="P1113" s="1">
        <v>57135</v>
      </c>
      <c r="Q1113" s="1">
        <v>0</v>
      </c>
    </row>
    <row r="1114" spans="2:17" x14ac:dyDescent="0.2">
      <c r="B1114" s="1">
        <v>57136</v>
      </c>
      <c r="C1114" s="1">
        <v>0</v>
      </c>
      <c r="G1114" s="1">
        <v>57136</v>
      </c>
      <c r="H1114" s="1">
        <v>0</v>
      </c>
      <c r="L1114" s="1">
        <v>57136</v>
      </c>
      <c r="M1114" s="1">
        <v>2.7919999999999998E-10</v>
      </c>
      <c r="P1114" s="1">
        <v>57136</v>
      </c>
      <c r="Q1114" s="1">
        <v>4.1879999999999999E-10</v>
      </c>
    </row>
    <row r="1115" spans="2:17" x14ac:dyDescent="0.2">
      <c r="B1115" s="1">
        <v>57137</v>
      </c>
      <c r="C1115" s="1">
        <v>0</v>
      </c>
      <c r="G1115" s="1">
        <v>57137</v>
      </c>
      <c r="H1115" s="1">
        <v>0</v>
      </c>
      <c r="L1115" s="1">
        <v>57137</v>
      </c>
      <c r="M1115" s="1">
        <v>1.5355999999999999E-9</v>
      </c>
      <c r="P1115" s="1">
        <v>57137</v>
      </c>
      <c r="Q1115" s="1">
        <v>3.2108000000000001E-9</v>
      </c>
    </row>
    <row r="1116" spans="2:17" x14ac:dyDescent="0.2">
      <c r="B1116" s="1">
        <v>57138</v>
      </c>
      <c r="C1116" s="1">
        <v>0</v>
      </c>
      <c r="G1116" s="1">
        <v>57138</v>
      </c>
      <c r="H1116" s="1">
        <v>0</v>
      </c>
      <c r="L1116" s="1">
        <v>57138</v>
      </c>
      <c r="M1116" s="1">
        <v>9.9814000000000003E-9</v>
      </c>
      <c r="P1116" s="1">
        <v>57138</v>
      </c>
      <c r="Q1116" s="1">
        <v>2.1428600000000001E-8</v>
      </c>
    </row>
    <row r="1117" spans="2:17" x14ac:dyDescent="0.2">
      <c r="B1117" s="1">
        <v>57139</v>
      </c>
      <c r="C1117" s="1">
        <v>1.9999999999999999E-7</v>
      </c>
      <c r="G1117" s="1">
        <v>57139</v>
      </c>
      <c r="H1117" s="1">
        <v>9.9999999999999995E-8</v>
      </c>
      <c r="L1117" s="1">
        <v>57139</v>
      </c>
      <c r="M1117" s="1">
        <v>6.8892599999999998E-8</v>
      </c>
      <c r="P1117" s="1">
        <v>57139</v>
      </c>
      <c r="Q1117" s="1">
        <v>2.0912100000000001E-7</v>
      </c>
    </row>
    <row r="1118" spans="2:17" x14ac:dyDescent="0.2">
      <c r="B1118" s="1">
        <v>57140</v>
      </c>
      <c r="C1118" s="1">
        <v>4.9999999999999998E-7</v>
      </c>
      <c r="G1118" s="1">
        <v>57140</v>
      </c>
      <c r="H1118" s="1">
        <v>9.9999999999999995E-8</v>
      </c>
      <c r="L1118" s="1">
        <v>57140</v>
      </c>
      <c r="M1118" s="1">
        <v>2.2007899999999999E-7</v>
      </c>
      <c r="P1118" s="1">
        <v>57140</v>
      </c>
      <c r="Q1118" s="1">
        <v>5.8625E-7</v>
      </c>
    </row>
    <row r="1119" spans="2:17" x14ac:dyDescent="0.2">
      <c r="B1119" s="1">
        <v>57141</v>
      </c>
      <c r="C1119" s="1">
        <v>1.1999999999999999E-6</v>
      </c>
      <c r="G1119" s="1">
        <v>57141</v>
      </c>
      <c r="H1119" s="1">
        <v>4.9999999999999998E-7</v>
      </c>
      <c r="L1119" s="1">
        <v>57141</v>
      </c>
      <c r="M1119" s="1">
        <v>8.3725100000000004E-7</v>
      </c>
      <c r="P1119" s="1">
        <v>57141</v>
      </c>
      <c r="Q1119" s="1">
        <v>2.1732900000000002E-6</v>
      </c>
    </row>
    <row r="1120" spans="2:17" x14ac:dyDescent="0.2">
      <c r="B1120" s="1">
        <v>57142</v>
      </c>
      <c r="C1120" s="1">
        <v>2.7999999999999999E-6</v>
      </c>
      <c r="G1120" s="1">
        <v>57142</v>
      </c>
      <c r="H1120" s="1">
        <v>1.5999999999999999E-6</v>
      </c>
      <c r="L1120" s="1">
        <v>57142</v>
      </c>
      <c r="M1120" s="1">
        <v>2.1142399999999999E-6</v>
      </c>
      <c r="P1120" s="1">
        <v>57142</v>
      </c>
      <c r="Q1120" s="1">
        <v>4.0859500000000002E-6</v>
      </c>
    </row>
    <row r="1121" spans="2:17" x14ac:dyDescent="0.2">
      <c r="B1121" s="1">
        <v>57143</v>
      </c>
      <c r="C1121" s="1">
        <v>5.0000000000000004E-6</v>
      </c>
      <c r="G1121" s="1">
        <v>57143</v>
      </c>
      <c r="H1121" s="1">
        <v>5.5999999999999997E-6</v>
      </c>
      <c r="L1121" s="1">
        <v>57143</v>
      </c>
      <c r="M1121" s="1">
        <v>6.0190600000000003E-6</v>
      </c>
      <c r="P1121" s="1">
        <v>57143</v>
      </c>
      <c r="Q1121" s="1">
        <v>9.0913099999999995E-6</v>
      </c>
    </row>
    <row r="1122" spans="2:17" x14ac:dyDescent="0.2">
      <c r="B1122" s="1">
        <v>57144</v>
      </c>
      <c r="C1122" s="1">
        <v>7.9999999999999996E-6</v>
      </c>
      <c r="G1122" s="1">
        <v>57144</v>
      </c>
      <c r="H1122" s="1">
        <v>9.0000000000000002E-6</v>
      </c>
      <c r="L1122" s="1">
        <v>57144</v>
      </c>
      <c r="M1122" s="1">
        <v>1.06554E-5</v>
      </c>
      <c r="P1122" s="1">
        <v>57144</v>
      </c>
      <c r="Q1122" s="1">
        <v>1.13531E-5</v>
      </c>
    </row>
    <row r="1123" spans="2:17" x14ac:dyDescent="0.2">
      <c r="B1123" s="1">
        <v>57145</v>
      </c>
      <c r="C1123" s="1">
        <v>1.24E-5</v>
      </c>
      <c r="G1123" s="1">
        <v>57145</v>
      </c>
      <c r="H1123" s="1">
        <v>2.02E-5</v>
      </c>
      <c r="L1123" s="1">
        <v>57145</v>
      </c>
      <c r="M1123" s="1">
        <v>1.9298899999999999E-5</v>
      </c>
      <c r="P1123" s="1">
        <v>57145</v>
      </c>
      <c r="Q1123" s="1">
        <v>1.72596E-5</v>
      </c>
    </row>
    <row r="1124" spans="2:17" x14ac:dyDescent="0.2">
      <c r="B1124" s="1">
        <v>57146</v>
      </c>
      <c r="C1124" s="1">
        <v>8.1999999999999994E-6</v>
      </c>
      <c r="G1124" s="1">
        <v>57146</v>
      </c>
      <c r="H1124" s="1">
        <v>1.9400000000000001E-5</v>
      </c>
      <c r="L1124" s="1">
        <v>57146</v>
      </c>
      <c r="M1124" s="1">
        <v>1.9771599999999999E-5</v>
      </c>
      <c r="P1124" s="1">
        <v>57146</v>
      </c>
      <c r="Q1124" s="1">
        <v>1.2153200000000001E-5</v>
      </c>
    </row>
    <row r="1125" spans="2:17" x14ac:dyDescent="0.2">
      <c r="B1125" s="1">
        <v>57147</v>
      </c>
      <c r="C1125" s="1">
        <v>8.3000000000000002E-6</v>
      </c>
      <c r="G1125" s="1">
        <v>57147</v>
      </c>
      <c r="H1125" s="1">
        <v>2.23E-5</v>
      </c>
      <c r="L1125" s="1">
        <v>57147</v>
      </c>
      <c r="M1125" s="1">
        <v>2.1732299999999999E-5</v>
      </c>
      <c r="P1125" s="1">
        <v>57147</v>
      </c>
      <c r="Q1125" s="1">
        <v>1.2774E-5</v>
      </c>
    </row>
    <row r="1126" spans="2:17" x14ac:dyDescent="0.2">
      <c r="B1126" s="1">
        <v>57148</v>
      </c>
      <c r="C1126" s="1">
        <v>3.4000000000000001E-6</v>
      </c>
      <c r="G1126" s="1">
        <v>57148</v>
      </c>
      <c r="H1126" s="1">
        <v>1.5699999999999999E-5</v>
      </c>
      <c r="L1126" s="1">
        <v>57148</v>
      </c>
      <c r="M1126" s="1">
        <v>1.40988E-5</v>
      </c>
      <c r="P1126" s="1">
        <v>57148</v>
      </c>
      <c r="Q1126" s="1">
        <v>5.8163599999999997E-6</v>
      </c>
    </row>
    <row r="1127" spans="2:17" x14ac:dyDescent="0.2">
      <c r="B1127" s="1">
        <v>57149</v>
      </c>
      <c r="C1127" s="1">
        <v>3.8999999999999999E-6</v>
      </c>
      <c r="G1127" s="1">
        <v>57149</v>
      </c>
      <c r="H1127" s="1">
        <v>7.9000000000000006E-6</v>
      </c>
      <c r="L1127" s="1">
        <v>57149</v>
      </c>
      <c r="M1127" s="1">
        <v>8.7177400000000007E-6</v>
      </c>
      <c r="P1127" s="1">
        <v>57149</v>
      </c>
      <c r="Q1127" s="1">
        <v>4.5715500000000003E-6</v>
      </c>
    </row>
    <row r="1128" spans="2:17" x14ac:dyDescent="0.2">
      <c r="B1128" s="1">
        <v>58124</v>
      </c>
      <c r="C1128" s="1">
        <v>1.3E-6</v>
      </c>
      <c r="G1128" s="1">
        <v>58124</v>
      </c>
      <c r="H1128" s="1">
        <v>3.3000000000000002E-6</v>
      </c>
      <c r="L1128" s="1">
        <v>58124</v>
      </c>
      <c r="M1128" s="1">
        <v>3.02562E-6</v>
      </c>
      <c r="P1128" s="1">
        <v>58124</v>
      </c>
      <c r="Q1128" s="1">
        <v>1.6613099999999999E-6</v>
      </c>
    </row>
    <row r="1129" spans="2:17" x14ac:dyDescent="0.2">
      <c r="B1129" s="1">
        <v>58125</v>
      </c>
      <c r="C1129" s="1">
        <v>5.9999999999999997E-7</v>
      </c>
      <c r="G1129" s="1">
        <v>58125</v>
      </c>
      <c r="H1129" s="1">
        <v>5.9999999999999997E-7</v>
      </c>
      <c r="L1129" s="1">
        <v>58125</v>
      </c>
      <c r="M1129" s="1">
        <v>1.04623E-6</v>
      </c>
      <c r="P1129" s="1">
        <v>58125</v>
      </c>
      <c r="Q1129" s="1">
        <v>7.0728300000000005E-7</v>
      </c>
    </row>
    <row r="1130" spans="2:17" x14ac:dyDescent="0.2">
      <c r="B1130" s="1">
        <v>58126</v>
      </c>
      <c r="C1130" s="1">
        <v>1.9999999999999999E-7</v>
      </c>
      <c r="G1130" s="1">
        <v>58126</v>
      </c>
      <c r="H1130" s="1">
        <v>0</v>
      </c>
      <c r="L1130" s="1">
        <v>58126</v>
      </c>
      <c r="M1130" s="1">
        <v>1.83155E-7</v>
      </c>
      <c r="P1130" s="1">
        <v>58126</v>
      </c>
      <c r="Q1130" s="1">
        <v>1.54467E-7</v>
      </c>
    </row>
    <row r="1131" spans="2:17" x14ac:dyDescent="0.2">
      <c r="B1131" s="1">
        <v>58127</v>
      </c>
      <c r="C1131" s="1">
        <v>0</v>
      </c>
      <c r="G1131" s="1">
        <v>58127</v>
      </c>
      <c r="H1131" s="1">
        <v>0</v>
      </c>
      <c r="L1131" s="1">
        <v>58127</v>
      </c>
      <c r="M1131" s="1">
        <v>3.1689199999999998E-8</v>
      </c>
      <c r="P1131" s="1">
        <v>58127</v>
      </c>
      <c r="Q1131" s="1">
        <v>6.0865600000000002E-8</v>
      </c>
    </row>
    <row r="1132" spans="2:17" x14ac:dyDescent="0.2">
      <c r="B1132" s="1">
        <v>58128</v>
      </c>
      <c r="C1132" s="1">
        <v>0</v>
      </c>
      <c r="G1132" s="1">
        <v>58128</v>
      </c>
      <c r="H1132" s="1">
        <v>0</v>
      </c>
      <c r="L1132" s="1">
        <v>58128</v>
      </c>
      <c r="M1132" s="1">
        <v>2.8618000000000002E-9</v>
      </c>
      <c r="P1132" s="1">
        <v>58128</v>
      </c>
      <c r="Q1132" s="1">
        <v>8.8646000000000002E-9</v>
      </c>
    </row>
    <row r="1133" spans="2:17" x14ac:dyDescent="0.2">
      <c r="B1133" s="1">
        <v>58129</v>
      </c>
      <c r="C1133" s="1">
        <v>0</v>
      </c>
      <c r="G1133" s="1">
        <v>58129</v>
      </c>
      <c r="H1133" s="1">
        <v>0</v>
      </c>
      <c r="L1133" s="1">
        <v>58129</v>
      </c>
      <c r="M1133" s="1">
        <v>1.3959999999999999E-10</v>
      </c>
      <c r="P1133" s="1">
        <v>58129</v>
      </c>
      <c r="Q1133" s="1">
        <v>2.7222E-9</v>
      </c>
    </row>
    <row r="1134" spans="2:17" x14ac:dyDescent="0.2">
      <c r="B1134" s="1">
        <v>58130</v>
      </c>
      <c r="C1134" s="1">
        <v>0</v>
      </c>
      <c r="G1134" s="1">
        <v>58130</v>
      </c>
      <c r="H1134" s="1">
        <v>0</v>
      </c>
      <c r="L1134" s="1">
        <v>58130</v>
      </c>
      <c r="M1134" s="1">
        <v>0</v>
      </c>
      <c r="P1134" s="1">
        <v>58130</v>
      </c>
      <c r="Q1134" s="1">
        <v>6.9799999999999994E-11</v>
      </c>
    </row>
    <row r="1135" spans="2:17" hidden="1" x14ac:dyDescent="0.2">
      <c r="B1135" s="1">
        <v>58131</v>
      </c>
      <c r="C1135" s="1">
        <v>0</v>
      </c>
      <c r="G1135" s="1">
        <v>58131</v>
      </c>
      <c r="H1135" s="1">
        <v>0</v>
      </c>
      <c r="L1135" s="1">
        <v>58131</v>
      </c>
      <c r="M1135" s="1">
        <v>0</v>
      </c>
      <c r="P1135" s="1">
        <v>58131</v>
      </c>
      <c r="Q1135" s="1">
        <v>0</v>
      </c>
    </row>
    <row r="1136" spans="2:17" hidden="1" x14ac:dyDescent="0.2">
      <c r="B1136" s="1">
        <v>58132</v>
      </c>
      <c r="C1136" s="1">
        <v>0</v>
      </c>
      <c r="G1136" s="1">
        <v>58132</v>
      </c>
      <c r="H1136" s="1">
        <v>0</v>
      </c>
      <c r="L1136" s="1">
        <v>58132</v>
      </c>
      <c r="M1136" s="1">
        <v>0</v>
      </c>
      <c r="P1136" s="1">
        <v>58132</v>
      </c>
      <c r="Q1136" s="1">
        <v>0</v>
      </c>
    </row>
    <row r="1137" spans="2:17" hidden="1" x14ac:dyDescent="0.2">
      <c r="B1137" s="1">
        <v>58133</v>
      </c>
      <c r="C1137" s="1">
        <v>0</v>
      </c>
      <c r="G1137" s="1">
        <v>58133</v>
      </c>
      <c r="H1137" s="1">
        <v>0</v>
      </c>
      <c r="L1137" s="1">
        <v>58133</v>
      </c>
      <c r="M1137" s="1">
        <v>0</v>
      </c>
      <c r="P1137" s="1">
        <v>58133</v>
      </c>
      <c r="Q1137" s="1">
        <v>0</v>
      </c>
    </row>
    <row r="1138" spans="2:17" hidden="1" x14ac:dyDescent="0.2">
      <c r="B1138" s="1">
        <v>58134</v>
      </c>
      <c r="C1138" s="1">
        <v>0</v>
      </c>
      <c r="G1138" s="1">
        <v>58134</v>
      </c>
      <c r="H1138" s="1">
        <v>0</v>
      </c>
      <c r="L1138" s="1">
        <v>58134</v>
      </c>
      <c r="M1138" s="1">
        <v>0</v>
      </c>
      <c r="P1138" s="1">
        <v>58134</v>
      </c>
      <c r="Q1138" s="1">
        <v>0</v>
      </c>
    </row>
    <row r="1139" spans="2:17" hidden="1" x14ac:dyDescent="0.2">
      <c r="B1139" s="1">
        <v>58135</v>
      </c>
      <c r="C1139" s="1">
        <v>0</v>
      </c>
      <c r="G1139" s="1">
        <v>58135</v>
      </c>
      <c r="H1139" s="1">
        <v>0</v>
      </c>
      <c r="L1139" s="1">
        <v>58135</v>
      </c>
      <c r="M1139" s="1">
        <v>0</v>
      </c>
      <c r="P1139" s="1">
        <v>58135</v>
      </c>
      <c r="Q1139" s="1">
        <v>0</v>
      </c>
    </row>
    <row r="1140" spans="2:17" hidden="1" x14ac:dyDescent="0.2">
      <c r="B1140" s="1">
        <v>58136</v>
      </c>
      <c r="C1140" s="1">
        <v>0</v>
      </c>
      <c r="G1140" s="1">
        <v>58136</v>
      </c>
      <c r="H1140" s="1">
        <v>0</v>
      </c>
      <c r="L1140" s="1">
        <v>58136</v>
      </c>
      <c r="M1140" s="1">
        <v>0</v>
      </c>
      <c r="P1140" s="1">
        <v>58136</v>
      </c>
      <c r="Q1140" s="1">
        <v>0</v>
      </c>
    </row>
    <row r="1141" spans="2:17" hidden="1" x14ac:dyDescent="0.2">
      <c r="B1141" s="1">
        <v>58137</v>
      </c>
      <c r="C1141" s="1">
        <v>0</v>
      </c>
      <c r="G1141" s="1">
        <v>58137</v>
      </c>
      <c r="H1141" s="1">
        <v>0</v>
      </c>
      <c r="L1141" s="1">
        <v>58137</v>
      </c>
      <c r="M1141" s="1">
        <v>0</v>
      </c>
      <c r="P1141" s="1">
        <v>58137</v>
      </c>
      <c r="Q1141" s="1">
        <v>0</v>
      </c>
    </row>
    <row r="1142" spans="2:17" hidden="1" x14ac:dyDescent="0.2">
      <c r="B1142" s="1">
        <v>58138</v>
      </c>
      <c r="C1142" s="1">
        <v>0</v>
      </c>
      <c r="G1142" s="1">
        <v>58138</v>
      </c>
      <c r="H1142" s="1">
        <v>0</v>
      </c>
      <c r="L1142" s="1">
        <v>58138</v>
      </c>
      <c r="M1142" s="1">
        <v>6.9799999999999994E-11</v>
      </c>
      <c r="P1142" s="1">
        <v>58138</v>
      </c>
      <c r="Q1142" s="1">
        <v>0</v>
      </c>
    </row>
    <row r="1143" spans="2:17" x14ac:dyDescent="0.2">
      <c r="B1143" s="1">
        <v>58139</v>
      </c>
      <c r="C1143" s="1">
        <v>0</v>
      </c>
      <c r="G1143" s="1">
        <v>58139</v>
      </c>
      <c r="H1143" s="1">
        <v>0</v>
      </c>
      <c r="L1143" s="1">
        <v>58139</v>
      </c>
      <c r="M1143" s="1">
        <v>6.9799999999999997E-10</v>
      </c>
      <c r="P1143" s="1">
        <v>58139</v>
      </c>
      <c r="Q1143" s="1">
        <v>4.8860000000000005E-10</v>
      </c>
    </row>
    <row r="1144" spans="2:17" x14ac:dyDescent="0.2">
      <c r="B1144" s="1">
        <v>58140</v>
      </c>
      <c r="C1144" s="1">
        <v>0</v>
      </c>
      <c r="G1144" s="1">
        <v>58140</v>
      </c>
      <c r="H1144" s="1">
        <v>0</v>
      </c>
      <c r="L1144" s="1">
        <v>58140</v>
      </c>
      <c r="M1144" s="1">
        <v>5.0255999999999997E-9</v>
      </c>
      <c r="P1144" s="1">
        <v>58140</v>
      </c>
      <c r="Q1144" s="1">
        <v>1.3052599999999999E-8</v>
      </c>
    </row>
    <row r="1145" spans="2:17" x14ac:dyDescent="0.2">
      <c r="B1145" s="1">
        <v>58141</v>
      </c>
      <c r="C1145" s="1">
        <v>0</v>
      </c>
      <c r="G1145" s="1">
        <v>58141</v>
      </c>
      <c r="H1145" s="1">
        <v>0</v>
      </c>
      <c r="L1145" s="1">
        <v>58141</v>
      </c>
      <c r="M1145" s="1">
        <v>2.3313199999999999E-8</v>
      </c>
      <c r="P1145" s="1">
        <v>58141</v>
      </c>
      <c r="Q1145" s="1">
        <v>4.7464000000000001E-8</v>
      </c>
    </row>
    <row r="1146" spans="2:17" x14ac:dyDescent="0.2">
      <c r="B1146" s="1">
        <v>58142</v>
      </c>
      <c r="C1146" s="1">
        <v>6.9999999999999997E-7</v>
      </c>
      <c r="G1146" s="1">
        <v>58142</v>
      </c>
      <c r="H1146" s="1">
        <v>9.9999999999999995E-8</v>
      </c>
      <c r="L1146" s="1">
        <v>58142</v>
      </c>
      <c r="M1146" s="1">
        <v>1.0742199999999999E-7</v>
      </c>
      <c r="P1146" s="1">
        <v>58142</v>
      </c>
      <c r="Q1146" s="1">
        <v>2.8422599999999999E-7</v>
      </c>
    </row>
    <row r="1147" spans="2:17" x14ac:dyDescent="0.2">
      <c r="B1147" s="1">
        <v>58143</v>
      </c>
      <c r="C1147" s="1">
        <v>2.9999999999999999E-7</v>
      </c>
      <c r="G1147" s="1">
        <v>58143</v>
      </c>
      <c r="H1147" s="1">
        <v>0</v>
      </c>
      <c r="L1147" s="1">
        <v>58143</v>
      </c>
      <c r="M1147" s="1">
        <v>3.0963299999999998E-7</v>
      </c>
      <c r="P1147" s="1">
        <v>58143</v>
      </c>
      <c r="Q1147" s="1">
        <v>6.9953599999999997E-7</v>
      </c>
    </row>
    <row r="1148" spans="2:17" x14ac:dyDescent="0.2">
      <c r="B1148" s="1">
        <v>58144</v>
      </c>
      <c r="C1148" s="1">
        <v>1.3999999999999999E-6</v>
      </c>
      <c r="G1148" s="1">
        <v>58144</v>
      </c>
      <c r="H1148" s="1">
        <v>3.9999999999999998E-7</v>
      </c>
      <c r="L1148" s="1">
        <v>58144</v>
      </c>
      <c r="M1148" s="1">
        <v>1.01657E-6</v>
      </c>
      <c r="P1148" s="1">
        <v>58144</v>
      </c>
      <c r="Q1148" s="1">
        <v>2.4042600000000002E-6</v>
      </c>
    </row>
    <row r="1149" spans="2:17" x14ac:dyDescent="0.2">
      <c r="B1149" s="1">
        <v>58145</v>
      </c>
      <c r="C1149" s="1">
        <v>2.7E-6</v>
      </c>
      <c r="G1149" s="1">
        <v>58145</v>
      </c>
      <c r="H1149" s="1">
        <v>1.9E-6</v>
      </c>
      <c r="L1149" s="1">
        <v>58145</v>
      </c>
      <c r="M1149" s="1">
        <v>2.3251800000000001E-6</v>
      </c>
      <c r="P1149" s="1">
        <v>58145</v>
      </c>
      <c r="Q1149" s="1">
        <v>3.5895999999999999E-6</v>
      </c>
    </row>
    <row r="1150" spans="2:17" x14ac:dyDescent="0.2">
      <c r="B1150" s="1">
        <v>58146</v>
      </c>
      <c r="C1150" s="1">
        <v>5.0000000000000004E-6</v>
      </c>
      <c r="G1150" s="1">
        <v>58146</v>
      </c>
      <c r="H1150" s="1">
        <v>6.0000000000000002E-6</v>
      </c>
      <c r="L1150" s="1">
        <v>58146</v>
      </c>
      <c r="M1150" s="1">
        <v>5.2133599999999997E-6</v>
      </c>
      <c r="P1150" s="1">
        <v>58146</v>
      </c>
      <c r="Q1150" s="1">
        <v>7.8511000000000001E-6</v>
      </c>
    </row>
    <row r="1151" spans="2:17" x14ac:dyDescent="0.2">
      <c r="B1151" s="1">
        <v>58147</v>
      </c>
      <c r="C1151" s="1">
        <v>5.0000000000000004E-6</v>
      </c>
      <c r="G1151" s="1">
        <v>58147</v>
      </c>
      <c r="H1151" s="1">
        <v>8.1000000000000004E-6</v>
      </c>
      <c r="L1151" s="1">
        <v>58147</v>
      </c>
      <c r="M1151" s="1">
        <v>8.1946600000000002E-6</v>
      </c>
      <c r="P1151" s="1">
        <v>58147</v>
      </c>
      <c r="Q1151" s="1">
        <v>7.1020799999999996E-6</v>
      </c>
    </row>
    <row r="1152" spans="2:17" x14ac:dyDescent="0.2">
      <c r="B1152" s="1">
        <v>58148</v>
      </c>
      <c r="C1152" s="1">
        <v>6.0000000000000002E-6</v>
      </c>
      <c r="G1152" s="1">
        <v>58148</v>
      </c>
      <c r="H1152" s="1">
        <v>1.2500000000000001E-5</v>
      </c>
      <c r="L1152" s="1">
        <v>58148</v>
      </c>
      <c r="M1152" s="1">
        <v>1.21451E-5</v>
      </c>
      <c r="P1152" s="1">
        <v>58148</v>
      </c>
      <c r="Q1152" s="1">
        <v>9.7765399999999997E-6</v>
      </c>
    </row>
    <row r="1153" spans="2:17" x14ac:dyDescent="0.2">
      <c r="B1153" s="1">
        <v>58149</v>
      </c>
      <c r="C1153" s="1">
        <v>3.4000000000000001E-6</v>
      </c>
      <c r="G1153" s="1">
        <v>58149</v>
      </c>
      <c r="H1153" s="1">
        <v>1.5E-5</v>
      </c>
      <c r="L1153" s="1">
        <v>58149</v>
      </c>
      <c r="M1153" s="1">
        <v>1.27654E-5</v>
      </c>
      <c r="P1153" s="1">
        <v>58149</v>
      </c>
      <c r="Q1153" s="1">
        <v>6.3781799999999996E-6</v>
      </c>
    </row>
    <row r="1154" spans="2:17" x14ac:dyDescent="0.2">
      <c r="B1154" s="1">
        <v>58150</v>
      </c>
      <c r="C1154" s="1">
        <v>3.1999999999999999E-6</v>
      </c>
      <c r="G1154" s="1">
        <v>58150</v>
      </c>
      <c r="H1154" s="1">
        <v>1.0900000000000001E-5</v>
      </c>
      <c r="L1154" s="1">
        <v>58150</v>
      </c>
      <c r="M1154" s="1">
        <v>1.07713E-5</v>
      </c>
      <c r="P1154" s="1">
        <v>58150</v>
      </c>
      <c r="Q1154" s="1">
        <v>6.0666700000000003E-6</v>
      </c>
    </row>
    <row r="1155" spans="2:17" x14ac:dyDescent="0.2">
      <c r="B1155" s="1">
        <v>58151</v>
      </c>
      <c r="C1155" s="1">
        <v>1.3E-6</v>
      </c>
      <c r="G1155" s="1">
        <v>58151</v>
      </c>
      <c r="H1155" s="1">
        <v>6.2999999999999998E-6</v>
      </c>
      <c r="L1155" s="1">
        <v>58151</v>
      </c>
      <c r="M1155" s="1">
        <v>6.23279E-6</v>
      </c>
      <c r="P1155" s="1">
        <v>58151</v>
      </c>
      <c r="Q1155" s="1">
        <v>3.00566E-6</v>
      </c>
    </row>
    <row r="1156" spans="2:17" x14ac:dyDescent="0.2">
      <c r="B1156" s="1">
        <v>59129</v>
      </c>
      <c r="C1156" s="1">
        <v>1.1999999999999999E-6</v>
      </c>
      <c r="G1156" s="1">
        <v>59129</v>
      </c>
      <c r="H1156" s="1">
        <v>1.9E-6</v>
      </c>
      <c r="L1156" s="1">
        <v>59129</v>
      </c>
      <c r="M1156" s="1">
        <v>2.8427400000000002E-6</v>
      </c>
      <c r="P1156" s="1">
        <v>59129</v>
      </c>
      <c r="Q1156" s="1">
        <v>1.5113799999999999E-6</v>
      </c>
    </row>
    <row r="1157" spans="2:17" x14ac:dyDescent="0.2">
      <c r="B1157" s="1">
        <v>59130</v>
      </c>
      <c r="C1157" s="1">
        <v>2.9999999999999999E-7</v>
      </c>
      <c r="G1157" s="1">
        <v>59130</v>
      </c>
      <c r="H1157" s="1">
        <v>6.9999999999999997E-7</v>
      </c>
      <c r="L1157" s="1">
        <v>59130</v>
      </c>
      <c r="M1157" s="1">
        <v>8.9099700000000005E-7</v>
      </c>
      <c r="P1157" s="1">
        <v>59130</v>
      </c>
      <c r="Q1157" s="1">
        <v>4.7470999999999999E-7</v>
      </c>
    </row>
    <row r="1158" spans="2:17" x14ac:dyDescent="0.2">
      <c r="B1158" s="1">
        <v>59131</v>
      </c>
      <c r="C1158" s="1">
        <v>1.9999999999999999E-7</v>
      </c>
      <c r="G1158" s="1">
        <v>59131</v>
      </c>
      <c r="H1158" s="1">
        <v>9.9999999999999995E-8</v>
      </c>
      <c r="L1158" s="1">
        <v>59131</v>
      </c>
      <c r="M1158" s="1">
        <v>2.4409099999999999E-7</v>
      </c>
      <c r="P1158" s="1">
        <v>59131</v>
      </c>
      <c r="Q1158" s="1">
        <v>2.1009800000000001E-7</v>
      </c>
    </row>
    <row r="1159" spans="2:17" x14ac:dyDescent="0.2">
      <c r="B1159" s="1">
        <v>59132</v>
      </c>
      <c r="C1159" s="1">
        <v>0</v>
      </c>
      <c r="G1159" s="1">
        <v>59132</v>
      </c>
      <c r="H1159" s="1">
        <v>0</v>
      </c>
      <c r="L1159" s="1">
        <v>59132</v>
      </c>
      <c r="M1159" s="1">
        <v>3.3783200000000003E-8</v>
      </c>
      <c r="P1159" s="1">
        <v>59132</v>
      </c>
      <c r="Q1159" s="1">
        <v>4.0972599999999997E-8</v>
      </c>
    </row>
    <row r="1160" spans="2:17" x14ac:dyDescent="0.2">
      <c r="B1160" s="1">
        <v>59133</v>
      </c>
      <c r="C1160" s="1">
        <v>0</v>
      </c>
      <c r="G1160" s="1">
        <v>59133</v>
      </c>
      <c r="H1160" s="1">
        <v>0</v>
      </c>
      <c r="L1160" s="1">
        <v>59133</v>
      </c>
      <c r="M1160" s="1">
        <v>6.4216000000000002E-9</v>
      </c>
      <c r="P1160" s="1">
        <v>59133</v>
      </c>
      <c r="Q1160" s="1">
        <v>1.5146600000000001E-8</v>
      </c>
    </row>
    <row r="1161" spans="2:17" x14ac:dyDescent="0.2">
      <c r="B1161" s="1">
        <v>59134</v>
      </c>
      <c r="C1161" s="1">
        <v>0</v>
      </c>
      <c r="G1161" s="1">
        <v>59134</v>
      </c>
      <c r="H1161" s="1">
        <v>0</v>
      </c>
      <c r="L1161" s="1">
        <v>59134</v>
      </c>
      <c r="M1161" s="1">
        <v>4.8860000000000005E-10</v>
      </c>
      <c r="P1161" s="1">
        <v>59134</v>
      </c>
      <c r="Q1161" s="1">
        <v>2.094E-9</v>
      </c>
    </row>
    <row r="1162" spans="2:17" x14ac:dyDescent="0.2">
      <c r="B1162" s="1">
        <v>59135</v>
      </c>
      <c r="C1162" s="1">
        <v>0</v>
      </c>
      <c r="G1162" s="1">
        <v>59135</v>
      </c>
      <c r="H1162" s="1">
        <v>0</v>
      </c>
      <c r="L1162" s="1">
        <v>59135</v>
      </c>
      <c r="M1162" s="1">
        <v>0</v>
      </c>
      <c r="P1162" s="1">
        <v>59135</v>
      </c>
      <c r="Q1162" s="1">
        <v>3.4899999999999998E-10</v>
      </c>
    </row>
    <row r="1163" spans="2:17" x14ac:dyDescent="0.2">
      <c r="B1163" s="1">
        <v>59136</v>
      </c>
      <c r="C1163" s="1">
        <v>0</v>
      </c>
      <c r="G1163" s="1">
        <v>59136</v>
      </c>
      <c r="H1163" s="1">
        <v>0</v>
      </c>
      <c r="L1163" s="1">
        <v>59136</v>
      </c>
      <c r="M1163" s="1">
        <v>0</v>
      </c>
      <c r="P1163" s="1">
        <v>59136</v>
      </c>
      <c r="Q1163" s="1">
        <v>1.3959999999999999E-10</v>
      </c>
    </row>
    <row r="1164" spans="2:17" hidden="1" x14ac:dyDescent="0.2">
      <c r="B1164" s="1">
        <v>59137</v>
      </c>
      <c r="C1164" s="1">
        <v>0</v>
      </c>
      <c r="G1164" s="1">
        <v>59137</v>
      </c>
      <c r="H1164" s="1">
        <v>0</v>
      </c>
      <c r="L1164" s="1">
        <v>59137</v>
      </c>
      <c r="M1164" s="1">
        <v>0</v>
      </c>
      <c r="P1164" s="1">
        <v>59137</v>
      </c>
      <c r="Q1164" s="1">
        <v>0</v>
      </c>
    </row>
    <row r="1165" spans="2:17" hidden="1" x14ac:dyDescent="0.2">
      <c r="B1165" s="1">
        <v>59138</v>
      </c>
      <c r="C1165" s="1">
        <v>0</v>
      </c>
      <c r="G1165" s="1">
        <v>59138</v>
      </c>
      <c r="H1165" s="1">
        <v>0</v>
      </c>
      <c r="L1165" s="1">
        <v>59138</v>
      </c>
      <c r="M1165" s="1">
        <v>0</v>
      </c>
      <c r="P1165" s="1">
        <v>59138</v>
      </c>
      <c r="Q1165" s="1">
        <v>0</v>
      </c>
    </row>
    <row r="1166" spans="2:17" hidden="1" x14ac:dyDescent="0.2">
      <c r="B1166" s="1">
        <v>59139</v>
      </c>
      <c r="C1166" s="1">
        <v>0</v>
      </c>
      <c r="G1166" s="1">
        <v>59139</v>
      </c>
      <c r="H1166" s="1">
        <v>0</v>
      </c>
      <c r="L1166" s="1">
        <v>59139</v>
      </c>
      <c r="M1166" s="1">
        <v>0</v>
      </c>
      <c r="P1166" s="1">
        <v>59139</v>
      </c>
      <c r="Q1166" s="1">
        <v>0</v>
      </c>
    </row>
    <row r="1167" spans="2:17" hidden="1" x14ac:dyDescent="0.2">
      <c r="B1167" s="1">
        <v>59140</v>
      </c>
      <c r="C1167" s="1">
        <v>0</v>
      </c>
      <c r="G1167" s="1">
        <v>59140</v>
      </c>
      <c r="H1167" s="1">
        <v>0</v>
      </c>
      <c r="L1167" s="1">
        <v>59140</v>
      </c>
      <c r="M1167" s="1">
        <v>0</v>
      </c>
      <c r="P1167" s="1">
        <v>59140</v>
      </c>
      <c r="Q1167" s="1">
        <v>0</v>
      </c>
    </row>
    <row r="1168" spans="2:17" x14ac:dyDescent="0.2">
      <c r="B1168" s="1">
        <v>59141</v>
      </c>
      <c r="C1168" s="1">
        <v>0</v>
      </c>
      <c r="G1168" s="1">
        <v>59141</v>
      </c>
      <c r="H1168" s="1">
        <v>0</v>
      </c>
      <c r="L1168" s="1">
        <v>59141</v>
      </c>
      <c r="M1168" s="1">
        <v>0</v>
      </c>
      <c r="P1168" s="1">
        <v>59141</v>
      </c>
      <c r="Q1168" s="1">
        <v>6.9799999999999994E-11</v>
      </c>
    </row>
    <row r="1169" spans="2:17" x14ac:dyDescent="0.2">
      <c r="B1169" s="1">
        <v>59142</v>
      </c>
      <c r="C1169" s="1">
        <v>0</v>
      </c>
      <c r="G1169" s="1">
        <v>59142</v>
      </c>
      <c r="H1169" s="1">
        <v>0</v>
      </c>
      <c r="L1169" s="1">
        <v>59142</v>
      </c>
      <c r="M1169" s="1">
        <v>5.5839999999999995E-10</v>
      </c>
      <c r="P1169" s="1">
        <v>59142</v>
      </c>
      <c r="Q1169" s="1">
        <v>1.1866E-9</v>
      </c>
    </row>
    <row r="1170" spans="2:17" x14ac:dyDescent="0.2">
      <c r="B1170" s="1">
        <v>59143</v>
      </c>
      <c r="C1170" s="1">
        <v>0</v>
      </c>
      <c r="G1170" s="1">
        <v>59143</v>
      </c>
      <c r="H1170" s="1">
        <v>0</v>
      </c>
      <c r="L1170" s="1">
        <v>59143</v>
      </c>
      <c r="M1170" s="1">
        <v>4.0484000000000002E-9</v>
      </c>
      <c r="P1170" s="1">
        <v>59143</v>
      </c>
      <c r="Q1170" s="1">
        <v>8.0968000000000004E-9</v>
      </c>
    </row>
    <row r="1171" spans="2:17" x14ac:dyDescent="0.2">
      <c r="B1171" s="1">
        <v>59144</v>
      </c>
      <c r="C1171" s="1">
        <v>9.9999999999999995E-8</v>
      </c>
      <c r="G1171" s="1">
        <v>59144</v>
      </c>
      <c r="H1171" s="1">
        <v>0</v>
      </c>
      <c r="L1171" s="1">
        <v>59144</v>
      </c>
      <c r="M1171" s="1">
        <v>1.26338E-8</v>
      </c>
      <c r="P1171" s="1">
        <v>59144</v>
      </c>
      <c r="Q1171" s="1">
        <v>3.2806000000000003E-8</v>
      </c>
    </row>
    <row r="1172" spans="2:17" x14ac:dyDescent="0.2">
      <c r="B1172" s="1">
        <v>59145</v>
      </c>
      <c r="C1172" s="1">
        <v>2.9999999999999999E-7</v>
      </c>
      <c r="G1172" s="1">
        <v>59145</v>
      </c>
      <c r="H1172" s="1">
        <v>9.9999999999999995E-8</v>
      </c>
      <c r="L1172" s="1">
        <v>59145</v>
      </c>
      <c r="M1172" s="1">
        <v>6.8473799999999997E-8</v>
      </c>
      <c r="P1172" s="1">
        <v>59145</v>
      </c>
      <c r="Q1172" s="1">
        <v>1.84063E-7</v>
      </c>
    </row>
    <row r="1173" spans="2:17" x14ac:dyDescent="0.2">
      <c r="B1173" s="1">
        <v>59146</v>
      </c>
      <c r="C1173" s="1">
        <v>0</v>
      </c>
      <c r="G1173" s="1">
        <v>59146</v>
      </c>
      <c r="H1173" s="1">
        <v>9.9999999999999995E-8</v>
      </c>
      <c r="L1173" s="1">
        <v>59146</v>
      </c>
      <c r="M1173" s="1">
        <v>1.8811100000000001E-7</v>
      </c>
      <c r="P1173" s="1">
        <v>59146</v>
      </c>
      <c r="Q1173" s="1">
        <v>4.3290000000000002E-7</v>
      </c>
    </row>
    <row r="1174" spans="2:17" x14ac:dyDescent="0.2">
      <c r="B1174" s="1">
        <v>59147</v>
      </c>
      <c r="C1174" s="1">
        <v>9.9999999999999995E-7</v>
      </c>
      <c r="G1174" s="1">
        <v>59147</v>
      </c>
      <c r="H1174" s="1">
        <v>3.9999999999999998E-7</v>
      </c>
      <c r="L1174" s="1">
        <v>59147</v>
      </c>
      <c r="M1174" s="1">
        <v>5.9671999999999996E-7</v>
      </c>
      <c r="P1174" s="1">
        <v>59147</v>
      </c>
      <c r="Q1174" s="1">
        <v>1.40528E-6</v>
      </c>
    </row>
    <row r="1175" spans="2:17" x14ac:dyDescent="0.2">
      <c r="B1175" s="1">
        <v>59148</v>
      </c>
      <c r="C1175" s="1">
        <v>8.9999999999999996E-7</v>
      </c>
      <c r="G1175" s="1">
        <v>59148</v>
      </c>
      <c r="H1175" s="1">
        <v>7.9999999999999996E-7</v>
      </c>
      <c r="L1175" s="1">
        <v>59148</v>
      </c>
      <c r="M1175" s="1">
        <v>1.20726E-6</v>
      </c>
      <c r="P1175" s="1">
        <v>59148</v>
      </c>
      <c r="Q1175" s="1">
        <v>2.0761299999999999E-6</v>
      </c>
    </row>
    <row r="1176" spans="2:17" x14ac:dyDescent="0.2">
      <c r="B1176" s="1">
        <v>59149</v>
      </c>
      <c r="C1176" s="1">
        <v>1.9E-6</v>
      </c>
      <c r="G1176" s="1">
        <v>59149</v>
      </c>
      <c r="H1176" s="1">
        <v>2.9000000000000002E-6</v>
      </c>
      <c r="L1176" s="1">
        <v>59149</v>
      </c>
      <c r="M1176" s="1">
        <v>2.6309000000000001E-6</v>
      </c>
      <c r="P1176" s="1">
        <v>59149</v>
      </c>
      <c r="Q1176" s="1">
        <v>3.99235E-6</v>
      </c>
    </row>
    <row r="1177" spans="2:17" x14ac:dyDescent="0.2">
      <c r="B1177" s="1">
        <v>59150</v>
      </c>
      <c r="C1177" s="1">
        <v>1.5999999999999999E-6</v>
      </c>
      <c r="G1177" s="1">
        <v>59150</v>
      </c>
      <c r="H1177" s="1">
        <v>3.0000000000000001E-6</v>
      </c>
      <c r="L1177" s="1">
        <v>59150</v>
      </c>
      <c r="M1177" s="1">
        <v>3.4937000000000001E-6</v>
      </c>
      <c r="P1177" s="1">
        <v>59150</v>
      </c>
      <c r="Q1177" s="1">
        <v>3.9568199999999997E-6</v>
      </c>
    </row>
    <row r="1178" spans="2:17" x14ac:dyDescent="0.2">
      <c r="B1178" s="1">
        <v>59151</v>
      </c>
      <c r="C1178" s="1">
        <v>3.4000000000000001E-6</v>
      </c>
      <c r="G1178" s="1">
        <v>59151</v>
      </c>
      <c r="H1178" s="1">
        <v>5.3000000000000001E-6</v>
      </c>
      <c r="L1178" s="1">
        <v>59151</v>
      </c>
      <c r="M1178" s="1">
        <v>4.5314899999999999E-6</v>
      </c>
      <c r="P1178" s="1">
        <v>59151</v>
      </c>
      <c r="Q1178" s="1">
        <v>5.3140799999999999E-6</v>
      </c>
    </row>
    <row r="1179" spans="2:17" x14ac:dyDescent="0.2">
      <c r="B1179" s="1">
        <v>59152</v>
      </c>
      <c r="C1179" s="1">
        <v>2.0999999999999998E-6</v>
      </c>
      <c r="G1179" s="1">
        <v>59152</v>
      </c>
      <c r="H1179" s="1">
        <v>3.7000000000000002E-6</v>
      </c>
      <c r="L1179" s="1">
        <v>59152</v>
      </c>
      <c r="M1179" s="1">
        <v>3.4899299999999998E-6</v>
      </c>
      <c r="P1179" s="1">
        <v>59152</v>
      </c>
      <c r="Q1179" s="1">
        <v>3.8441000000000002E-6</v>
      </c>
    </row>
    <row r="1180" spans="2:17" x14ac:dyDescent="0.2">
      <c r="B1180" s="1">
        <v>60129</v>
      </c>
      <c r="C1180" s="1">
        <v>1.3E-6</v>
      </c>
      <c r="G1180" s="1">
        <v>60129</v>
      </c>
      <c r="H1180" s="1">
        <v>1.5E-6</v>
      </c>
      <c r="L1180" s="1">
        <v>60129</v>
      </c>
      <c r="M1180" s="1">
        <v>2.4384600000000002E-6</v>
      </c>
      <c r="P1180" s="1">
        <v>60129</v>
      </c>
      <c r="Q1180" s="1">
        <v>2.47615E-6</v>
      </c>
    </row>
    <row r="1181" spans="2:17" x14ac:dyDescent="0.2">
      <c r="B1181" s="1">
        <v>60130</v>
      </c>
      <c r="C1181" s="1">
        <v>5.9999999999999997E-7</v>
      </c>
      <c r="G1181" s="1">
        <v>60130</v>
      </c>
      <c r="H1181" s="1">
        <v>8.9999999999999996E-7</v>
      </c>
      <c r="L1181" s="1">
        <v>60130</v>
      </c>
      <c r="M1181" s="1">
        <v>1.0072099999999999E-6</v>
      </c>
      <c r="P1181" s="1">
        <v>60130</v>
      </c>
      <c r="Q1181" s="1">
        <v>1.0235499999999999E-6</v>
      </c>
    </row>
    <row r="1182" spans="2:17" x14ac:dyDescent="0.2">
      <c r="B1182" s="1">
        <v>60131</v>
      </c>
      <c r="C1182" s="1">
        <v>1.9999999999999999E-7</v>
      </c>
      <c r="G1182" s="1">
        <v>60131</v>
      </c>
      <c r="H1182" s="1">
        <v>0</v>
      </c>
      <c r="L1182" s="1">
        <v>60131</v>
      </c>
      <c r="M1182" s="1">
        <v>4.1349500000000001E-7</v>
      </c>
      <c r="P1182" s="1">
        <v>60131</v>
      </c>
      <c r="Q1182" s="1">
        <v>5.8799499999999999E-7</v>
      </c>
    </row>
    <row r="1183" spans="2:17" x14ac:dyDescent="0.2">
      <c r="B1183" s="1">
        <v>60132</v>
      </c>
      <c r="C1183" s="1">
        <v>0</v>
      </c>
      <c r="G1183" s="1">
        <v>60132</v>
      </c>
      <c r="H1183" s="1">
        <v>0</v>
      </c>
      <c r="L1183" s="1">
        <v>60132</v>
      </c>
      <c r="M1183" s="1">
        <v>9.2694400000000004E-8</v>
      </c>
      <c r="P1183" s="1">
        <v>60132</v>
      </c>
      <c r="Q1183" s="1">
        <v>1.61517E-7</v>
      </c>
    </row>
    <row r="1184" spans="2:17" x14ac:dyDescent="0.2">
      <c r="B1184" s="1">
        <v>60133</v>
      </c>
      <c r="C1184" s="1">
        <v>9.9999999999999995E-8</v>
      </c>
      <c r="G1184" s="1">
        <v>60133</v>
      </c>
      <c r="H1184" s="1">
        <v>9.9999999999999995E-8</v>
      </c>
      <c r="L1184" s="1">
        <v>60133</v>
      </c>
      <c r="M1184" s="1">
        <v>2.35226E-8</v>
      </c>
      <c r="P1184" s="1">
        <v>60133</v>
      </c>
      <c r="Q1184" s="1">
        <v>7.0707399999999994E-8</v>
      </c>
    </row>
    <row r="1185" spans="2:17" x14ac:dyDescent="0.2">
      <c r="B1185" s="1">
        <v>60134</v>
      </c>
      <c r="C1185" s="1">
        <v>0</v>
      </c>
      <c r="G1185" s="1">
        <v>60134</v>
      </c>
      <c r="H1185" s="1">
        <v>0</v>
      </c>
      <c r="L1185" s="1">
        <v>60134</v>
      </c>
      <c r="M1185" s="1">
        <v>2.3732E-9</v>
      </c>
      <c r="P1185" s="1">
        <v>60134</v>
      </c>
      <c r="Q1185" s="1">
        <v>1.42392E-8</v>
      </c>
    </row>
    <row r="1186" spans="2:17" x14ac:dyDescent="0.2">
      <c r="B1186" s="1">
        <v>60135</v>
      </c>
      <c r="C1186" s="1">
        <v>0</v>
      </c>
      <c r="G1186" s="1">
        <v>60135</v>
      </c>
      <c r="H1186" s="1">
        <v>0</v>
      </c>
      <c r="L1186" s="1">
        <v>60135</v>
      </c>
      <c r="M1186" s="1">
        <v>5.5839999999999995E-10</v>
      </c>
      <c r="P1186" s="1">
        <v>60135</v>
      </c>
      <c r="Q1186" s="1">
        <v>3.8389999999999997E-9</v>
      </c>
    </row>
    <row r="1187" spans="2:17" x14ac:dyDescent="0.2">
      <c r="B1187" s="1">
        <v>60136</v>
      </c>
      <c r="C1187" s="1">
        <v>0</v>
      </c>
      <c r="G1187" s="1">
        <v>60136</v>
      </c>
      <c r="H1187" s="1">
        <v>0</v>
      </c>
      <c r="L1187" s="1">
        <v>60136</v>
      </c>
      <c r="M1187" s="1">
        <v>0</v>
      </c>
      <c r="P1187" s="1">
        <v>60136</v>
      </c>
      <c r="Q1187" s="1">
        <v>4.1879999999999999E-10</v>
      </c>
    </row>
    <row r="1188" spans="2:17" x14ac:dyDescent="0.2">
      <c r="B1188" s="1">
        <v>60137</v>
      </c>
      <c r="C1188" s="1">
        <v>0</v>
      </c>
      <c r="G1188" s="1">
        <v>60137</v>
      </c>
      <c r="H1188" s="1">
        <v>0</v>
      </c>
      <c r="L1188" s="1">
        <v>60137</v>
      </c>
      <c r="M1188" s="1">
        <v>0</v>
      </c>
      <c r="P1188" s="1">
        <v>60137</v>
      </c>
      <c r="Q1188" s="1">
        <v>1.3959999999999999E-10</v>
      </c>
    </row>
    <row r="1189" spans="2:17" hidden="1" x14ac:dyDescent="0.2">
      <c r="B1189" s="1">
        <v>60138</v>
      </c>
      <c r="C1189" s="1">
        <v>0</v>
      </c>
      <c r="G1189" s="1">
        <v>60138</v>
      </c>
      <c r="H1189" s="1">
        <v>0</v>
      </c>
      <c r="L1189" s="1">
        <v>60138</v>
      </c>
      <c r="M1189" s="1">
        <v>0</v>
      </c>
      <c r="P1189" s="1">
        <v>60138</v>
      </c>
      <c r="Q1189" s="1">
        <v>0</v>
      </c>
    </row>
    <row r="1190" spans="2:17" hidden="1" x14ac:dyDescent="0.2">
      <c r="B1190" s="1">
        <v>60139</v>
      </c>
      <c r="C1190" s="1">
        <v>0</v>
      </c>
      <c r="G1190" s="1">
        <v>60139</v>
      </c>
      <c r="H1190" s="1">
        <v>0</v>
      </c>
      <c r="L1190" s="1">
        <v>60139</v>
      </c>
      <c r="M1190" s="1">
        <v>0</v>
      </c>
      <c r="P1190" s="1">
        <v>60139</v>
      </c>
      <c r="Q1190" s="1">
        <v>0</v>
      </c>
    </row>
    <row r="1191" spans="2:17" hidden="1" x14ac:dyDescent="0.2">
      <c r="B1191" s="1">
        <v>60140</v>
      </c>
      <c r="C1191" s="1">
        <v>0</v>
      </c>
      <c r="G1191" s="1">
        <v>60140</v>
      </c>
      <c r="H1191" s="1">
        <v>0</v>
      </c>
      <c r="L1191" s="1">
        <v>60140</v>
      </c>
      <c r="M1191" s="1">
        <v>0</v>
      </c>
      <c r="P1191" s="1">
        <v>60140</v>
      </c>
      <c r="Q1191" s="1">
        <v>0</v>
      </c>
    </row>
    <row r="1192" spans="2:17" hidden="1" x14ac:dyDescent="0.2">
      <c r="B1192" s="1">
        <v>60141</v>
      </c>
      <c r="C1192" s="1">
        <v>0</v>
      </c>
      <c r="G1192" s="1">
        <v>60141</v>
      </c>
      <c r="H1192" s="1">
        <v>0</v>
      </c>
      <c r="L1192" s="1">
        <v>60141</v>
      </c>
      <c r="M1192" s="1">
        <v>0</v>
      </c>
      <c r="P1192" s="1">
        <v>60141</v>
      </c>
      <c r="Q1192" s="1">
        <v>0</v>
      </c>
    </row>
    <row r="1193" spans="2:17" hidden="1" x14ac:dyDescent="0.2">
      <c r="B1193" s="1">
        <v>60142</v>
      </c>
      <c r="C1193" s="1">
        <v>0</v>
      </c>
      <c r="G1193" s="1">
        <v>60142</v>
      </c>
      <c r="H1193" s="1">
        <v>0</v>
      </c>
      <c r="L1193" s="1">
        <v>60142</v>
      </c>
      <c r="M1193" s="1">
        <v>0</v>
      </c>
      <c r="P1193" s="1">
        <v>60142</v>
      </c>
      <c r="Q1193" s="1">
        <v>0</v>
      </c>
    </row>
    <row r="1194" spans="2:17" hidden="1" x14ac:dyDescent="0.2">
      <c r="B1194" s="1">
        <v>60143</v>
      </c>
      <c r="C1194" s="1">
        <v>0</v>
      </c>
      <c r="G1194" s="1">
        <v>60143</v>
      </c>
      <c r="H1194" s="1">
        <v>0</v>
      </c>
      <c r="L1194" s="1">
        <v>60143</v>
      </c>
      <c r="M1194" s="1">
        <v>0</v>
      </c>
      <c r="P1194" s="1">
        <v>60143</v>
      </c>
      <c r="Q1194" s="1">
        <v>0</v>
      </c>
    </row>
    <row r="1195" spans="2:17" x14ac:dyDescent="0.2">
      <c r="B1195" s="1">
        <v>60144</v>
      </c>
      <c r="C1195" s="1">
        <v>0</v>
      </c>
      <c r="G1195" s="1">
        <v>60144</v>
      </c>
      <c r="H1195" s="1">
        <v>0</v>
      </c>
      <c r="L1195" s="1">
        <v>60144</v>
      </c>
      <c r="M1195" s="1">
        <v>2.7919999999999998E-10</v>
      </c>
      <c r="P1195" s="1">
        <v>60144</v>
      </c>
      <c r="Q1195" s="1">
        <v>6.9799999999999994E-11</v>
      </c>
    </row>
    <row r="1196" spans="2:17" x14ac:dyDescent="0.2">
      <c r="B1196" s="1">
        <v>60145</v>
      </c>
      <c r="C1196" s="1">
        <v>0</v>
      </c>
      <c r="G1196" s="1">
        <v>60145</v>
      </c>
      <c r="H1196" s="1">
        <v>0</v>
      </c>
      <c r="L1196" s="1">
        <v>60145</v>
      </c>
      <c r="M1196" s="1">
        <v>3.4899999999999998E-10</v>
      </c>
      <c r="P1196" s="1">
        <v>60145</v>
      </c>
      <c r="Q1196" s="1">
        <v>1.3262E-9</v>
      </c>
    </row>
    <row r="1197" spans="2:17" x14ac:dyDescent="0.2">
      <c r="B1197" s="1">
        <v>60146</v>
      </c>
      <c r="C1197" s="1">
        <v>0</v>
      </c>
      <c r="G1197" s="1">
        <v>60146</v>
      </c>
      <c r="H1197" s="1">
        <v>0</v>
      </c>
      <c r="L1197" s="1">
        <v>60146</v>
      </c>
      <c r="M1197" s="1">
        <v>4.4671999999999996E-9</v>
      </c>
      <c r="P1197" s="1">
        <v>60146</v>
      </c>
      <c r="Q1197" s="1">
        <v>8.9343999999999993E-9</v>
      </c>
    </row>
    <row r="1198" spans="2:17" x14ac:dyDescent="0.2">
      <c r="B1198" s="1">
        <v>60147</v>
      </c>
      <c r="C1198" s="1">
        <v>0</v>
      </c>
      <c r="G1198" s="1">
        <v>60147</v>
      </c>
      <c r="H1198" s="1">
        <v>0</v>
      </c>
      <c r="L1198" s="1">
        <v>60147</v>
      </c>
      <c r="M1198" s="1">
        <v>1.72406E-8</v>
      </c>
      <c r="P1198" s="1">
        <v>60147</v>
      </c>
      <c r="Q1198" s="1">
        <v>3.1689199999999998E-8</v>
      </c>
    </row>
    <row r="1199" spans="2:17" x14ac:dyDescent="0.2">
      <c r="B1199" s="1">
        <v>60148</v>
      </c>
      <c r="C1199" s="1">
        <v>0</v>
      </c>
      <c r="G1199" s="1">
        <v>60148</v>
      </c>
      <c r="H1199" s="1">
        <v>0</v>
      </c>
      <c r="L1199" s="1">
        <v>60148</v>
      </c>
      <c r="M1199" s="1">
        <v>6.5542200000000003E-8</v>
      </c>
      <c r="P1199" s="1">
        <v>60148</v>
      </c>
      <c r="Q1199" s="1">
        <v>1.54607E-7</v>
      </c>
    </row>
    <row r="1200" spans="2:17" x14ac:dyDescent="0.2">
      <c r="B1200" s="1">
        <v>60149</v>
      </c>
      <c r="C1200" s="1">
        <v>9.9999999999999995E-8</v>
      </c>
      <c r="G1200" s="1">
        <v>60149</v>
      </c>
      <c r="H1200" s="1">
        <v>9.9999999999999995E-8</v>
      </c>
      <c r="L1200" s="1">
        <v>60149</v>
      </c>
      <c r="M1200" s="1">
        <v>1.6458799999999999E-7</v>
      </c>
      <c r="P1200" s="1">
        <v>60149</v>
      </c>
      <c r="Q1200" s="1">
        <v>2.9378799999999998E-7</v>
      </c>
    </row>
    <row r="1201" spans="2:17" x14ac:dyDescent="0.2">
      <c r="B1201" s="1">
        <v>60150</v>
      </c>
      <c r="C1201" s="1">
        <v>2.9999999999999999E-7</v>
      </c>
      <c r="G1201" s="1">
        <v>60150</v>
      </c>
      <c r="H1201" s="1">
        <v>2.9999999999999999E-7</v>
      </c>
      <c r="L1201" s="1">
        <v>60150</v>
      </c>
      <c r="M1201" s="1">
        <v>4.5593399999999998E-7</v>
      </c>
      <c r="P1201" s="1">
        <v>60150</v>
      </c>
      <c r="Q1201" s="1">
        <v>9.2966599999999998E-7</v>
      </c>
    </row>
    <row r="1202" spans="2:17" x14ac:dyDescent="0.2">
      <c r="B1202" s="1">
        <v>60151</v>
      </c>
      <c r="C1202" s="1">
        <v>2.9999999999999999E-7</v>
      </c>
      <c r="G1202" s="1">
        <v>60151</v>
      </c>
      <c r="H1202" s="1">
        <v>3.9999999999999998E-7</v>
      </c>
      <c r="L1202" s="1">
        <v>60151</v>
      </c>
      <c r="M1202" s="1">
        <v>8.6831200000000003E-7</v>
      </c>
      <c r="P1202" s="1">
        <v>60151</v>
      </c>
      <c r="Q1202" s="1">
        <v>1.2463499999999999E-6</v>
      </c>
    </row>
    <row r="1203" spans="2:17" x14ac:dyDescent="0.2">
      <c r="B1203" s="1">
        <v>60152</v>
      </c>
      <c r="C1203" s="1">
        <v>1.1999999999999999E-6</v>
      </c>
      <c r="G1203" s="1">
        <v>60152</v>
      </c>
      <c r="H1203" s="1">
        <v>1.3E-6</v>
      </c>
      <c r="L1203" s="1">
        <v>60152</v>
      </c>
      <c r="M1203" s="1">
        <v>1.5264600000000001E-6</v>
      </c>
      <c r="P1203" s="1">
        <v>60152</v>
      </c>
      <c r="Q1203" s="1">
        <v>2.3340399999999998E-6</v>
      </c>
    </row>
    <row r="1204" spans="2:17" x14ac:dyDescent="0.2">
      <c r="B1204" s="1">
        <v>60153</v>
      </c>
      <c r="C1204" s="1">
        <v>1.7E-6</v>
      </c>
      <c r="G1204" s="1">
        <v>60153</v>
      </c>
      <c r="H1204" s="1">
        <v>1.5999999999999999E-6</v>
      </c>
      <c r="L1204" s="1">
        <v>60153</v>
      </c>
      <c r="M1204" s="1">
        <v>1.8548E-6</v>
      </c>
      <c r="P1204" s="1">
        <v>60153</v>
      </c>
      <c r="Q1204" s="1">
        <v>1.9652900000000002E-6</v>
      </c>
    </row>
    <row r="1205" spans="2:17" x14ac:dyDescent="0.2">
      <c r="B1205" s="1">
        <v>60154</v>
      </c>
      <c r="C1205" s="1">
        <v>7.9999999999999996E-7</v>
      </c>
      <c r="G1205" s="1">
        <v>60154</v>
      </c>
      <c r="H1205" s="1">
        <v>1.7E-6</v>
      </c>
      <c r="L1205" s="1">
        <v>60154</v>
      </c>
      <c r="M1205" s="1">
        <v>1.9192900000000001E-6</v>
      </c>
      <c r="P1205" s="1">
        <v>60154</v>
      </c>
      <c r="Q1205" s="1">
        <v>1.9971899999999998E-6</v>
      </c>
    </row>
    <row r="1206" spans="2:17" x14ac:dyDescent="0.2">
      <c r="B1206" s="1">
        <v>61132</v>
      </c>
      <c r="C1206" s="1">
        <v>7.9999999999999996E-7</v>
      </c>
      <c r="G1206" s="1">
        <v>61132</v>
      </c>
      <c r="H1206" s="1">
        <v>1.5999999999999999E-6</v>
      </c>
      <c r="L1206" s="1">
        <v>61132</v>
      </c>
      <c r="M1206" s="1">
        <v>1.3462999999999999E-6</v>
      </c>
      <c r="P1206" s="1">
        <v>61132</v>
      </c>
      <c r="Q1206" s="1">
        <v>1.1575600000000001E-6</v>
      </c>
    </row>
    <row r="1207" spans="2:17" x14ac:dyDescent="0.2">
      <c r="B1207" s="1">
        <v>61133</v>
      </c>
      <c r="C1207" s="1">
        <v>6.9999999999999997E-7</v>
      </c>
      <c r="G1207" s="1">
        <v>61133</v>
      </c>
      <c r="H1207" s="1">
        <v>5.9999999999999997E-7</v>
      </c>
      <c r="L1207" s="1">
        <v>61133</v>
      </c>
      <c r="M1207" s="1">
        <v>7.9571999999999998E-7</v>
      </c>
      <c r="P1207" s="1">
        <v>61133</v>
      </c>
      <c r="Q1207" s="1">
        <v>7.98582E-7</v>
      </c>
    </row>
    <row r="1208" spans="2:17" x14ac:dyDescent="0.2">
      <c r="B1208" s="1">
        <v>61134</v>
      </c>
      <c r="C1208" s="1">
        <v>2.9999999999999999E-7</v>
      </c>
      <c r="G1208" s="1">
        <v>61134</v>
      </c>
      <c r="H1208" s="1">
        <v>3.9999999999999998E-7</v>
      </c>
      <c r="L1208" s="1">
        <v>61134</v>
      </c>
      <c r="M1208" s="1">
        <v>3.2261600000000001E-7</v>
      </c>
      <c r="P1208" s="1">
        <v>61134</v>
      </c>
      <c r="Q1208" s="1">
        <v>2.7054500000000002E-7</v>
      </c>
    </row>
    <row r="1209" spans="2:17" x14ac:dyDescent="0.2">
      <c r="B1209" s="1">
        <v>61135</v>
      </c>
      <c r="C1209" s="1">
        <v>0</v>
      </c>
      <c r="G1209" s="1">
        <v>61135</v>
      </c>
      <c r="H1209" s="1">
        <v>0</v>
      </c>
      <c r="L1209" s="1">
        <v>61135</v>
      </c>
      <c r="M1209" s="1">
        <v>1.02815E-7</v>
      </c>
      <c r="P1209" s="1">
        <v>61135</v>
      </c>
      <c r="Q1209" s="1">
        <v>1.5670099999999999E-7</v>
      </c>
    </row>
    <row r="1210" spans="2:17" x14ac:dyDescent="0.2">
      <c r="B1210" s="1">
        <v>61136</v>
      </c>
      <c r="C1210" s="1">
        <v>0</v>
      </c>
      <c r="G1210" s="1">
        <v>61136</v>
      </c>
      <c r="H1210" s="1">
        <v>9.9999999999999995E-8</v>
      </c>
      <c r="L1210" s="1">
        <v>61136</v>
      </c>
      <c r="M1210" s="1">
        <v>2.42904E-8</v>
      </c>
      <c r="P1210" s="1">
        <v>61136</v>
      </c>
      <c r="Q1210" s="1">
        <v>3.7203400000000001E-8</v>
      </c>
    </row>
    <row r="1211" spans="2:17" x14ac:dyDescent="0.2">
      <c r="B1211" s="1">
        <v>61137</v>
      </c>
      <c r="C1211" s="1">
        <v>0</v>
      </c>
      <c r="G1211" s="1">
        <v>61137</v>
      </c>
      <c r="H1211" s="1">
        <v>0</v>
      </c>
      <c r="L1211" s="1">
        <v>61137</v>
      </c>
      <c r="M1211" s="1">
        <v>5.0255999999999997E-9</v>
      </c>
      <c r="P1211" s="1">
        <v>61137</v>
      </c>
      <c r="Q1211" s="1">
        <v>1.4588200000000001E-8</v>
      </c>
    </row>
    <row r="1212" spans="2:17" x14ac:dyDescent="0.2">
      <c r="B1212" s="1">
        <v>61138</v>
      </c>
      <c r="C1212" s="1">
        <v>0</v>
      </c>
      <c r="G1212" s="1">
        <v>61138</v>
      </c>
      <c r="H1212" s="1">
        <v>0</v>
      </c>
      <c r="L1212" s="1">
        <v>61138</v>
      </c>
      <c r="M1212" s="1">
        <v>6.2819999999999996E-10</v>
      </c>
      <c r="P1212" s="1">
        <v>61138</v>
      </c>
      <c r="Q1212" s="1">
        <v>2.6524000000000001E-9</v>
      </c>
    </row>
    <row r="1213" spans="2:17" x14ac:dyDescent="0.2">
      <c r="B1213" s="1">
        <v>61139</v>
      </c>
      <c r="C1213" s="1">
        <v>0</v>
      </c>
      <c r="G1213" s="1">
        <v>61139</v>
      </c>
      <c r="H1213" s="1">
        <v>0</v>
      </c>
      <c r="L1213" s="1">
        <v>61139</v>
      </c>
      <c r="M1213" s="1">
        <v>1.3959999999999999E-10</v>
      </c>
      <c r="P1213" s="1">
        <v>61139</v>
      </c>
      <c r="Q1213" s="1">
        <v>4.1879999999999999E-10</v>
      </c>
    </row>
    <row r="1214" spans="2:17" hidden="1" x14ac:dyDescent="0.2">
      <c r="B1214" s="1">
        <v>61140</v>
      </c>
      <c r="C1214" s="1">
        <v>0</v>
      </c>
      <c r="G1214" s="1">
        <v>61140</v>
      </c>
      <c r="H1214" s="1">
        <v>0</v>
      </c>
      <c r="L1214" s="1">
        <v>61140</v>
      </c>
      <c r="M1214" s="1">
        <v>0</v>
      </c>
      <c r="P1214" s="1">
        <v>61140</v>
      </c>
      <c r="Q1214" s="1">
        <v>0</v>
      </c>
    </row>
    <row r="1215" spans="2:17" hidden="1" x14ac:dyDescent="0.2">
      <c r="B1215" s="1">
        <v>61141</v>
      </c>
      <c r="C1215" s="1">
        <v>0</v>
      </c>
      <c r="G1215" s="1">
        <v>61141</v>
      </c>
      <c r="H1215" s="1">
        <v>0</v>
      </c>
      <c r="L1215" s="1">
        <v>61141</v>
      </c>
      <c r="M1215" s="1">
        <v>0</v>
      </c>
      <c r="P1215" s="1">
        <v>61141</v>
      </c>
      <c r="Q1215" s="1">
        <v>0</v>
      </c>
    </row>
    <row r="1216" spans="2:17" hidden="1" x14ac:dyDescent="0.2">
      <c r="B1216" s="1">
        <v>61142</v>
      </c>
      <c r="C1216" s="1">
        <v>0</v>
      </c>
      <c r="G1216" s="1">
        <v>61142</v>
      </c>
      <c r="H1216" s="1">
        <v>0</v>
      </c>
      <c r="L1216" s="1">
        <v>61142</v>
      </c>
      <c r="M1216" s="1">
        <v>0</v>
      </c>
      <c r="P1216" s="1">
        <v>61142</v>
      </c>
      <c r="Q1216" s="1">
        <v>0</v>
      </c>
    </row>
    <row r="1217" spans="2:17" hidden="1" x14ac:dyDescent="0.2">
      <c r="B1217" s="1">
        <v>61143</v>
      </c>
      <c r="C1217" s="1">
        <v>0</v>
      </c>
      <c r="G1217" s="1">
        <v>61143</v>
      </c>
      <c r="H1217" s="1">
        <v>0</v>
      </c>
      <c r="L1217" s="1">
        <v>61143</v>
      </c>
      <c r="M1217" s="1">
        <v>0</v>
      </c>
      <c r="P1217" s="1">
        <v>61143</v>
      </c>
      <c r="Q1217" s="1">
        <v>0</v>
      </c>
    </row>
    <row r="1218" spans="2:17" hidden="1" x14ac:dyDescent="0.2">
      <c r="B1218" s="1">
        <v>61144</v>
      </c>
      <c r="C1218" s="1">
        <v>0</v>
      </c>
      <c r="G1218" s="1">
        <v>61144</v>
      </c>
      <c r="H1218" s="1">
        <v>0</v>
      </c>
      <c r="L1218" s="1">
        <v>61144</v>
      </c>
      <c r="M1218" s="1">
        <v>0</v>
      </c>
      <c r="P1218" s="1">
        <v>61144</v>
      </c>
      <c r="Q1218" s="1">
        <v>0</v>
      </c>
    </row>
    <row r="1219" spans="2:17" hidden="1" x14ac:dyDescent="0.2">
      <c r="B1219" s="1">
        <v>61145</v>
      </c>
      <c r="C1219" s="1">
        <v>0</v>
      </c>
      <c r="G1219" s="1">
        <v>61145</v>
      </c>
      <c r="H1219" s="1">
        <v>0</v>
      </c>
      <c r="L1219" s="1">
        <v>61145</v>
      </c>
      <c r="M1219" s="1">
        <v>0</v>
      </c>
      <c r="P1219" s="1">
        <v>61145</v>
      </c>
      <c r="Q1219" s="1">
        <v>0</v>
      </c>
    </row>
    <row r="1220" spans="2:17" hidden="1" x14ac:dyDescent="0.2">
      <c r="B1220" s="1">
        <v>61146</v>
      </c>
      <c r="C1220" s="1">
        <v>0</v>
      </c>
      <c r="G1220" s="1">
        <v>61146</v>
      </c>
      <c r="H1220" s="1">
        <v>0</v>
      </c>
      <c r="L1220" s="1">
        <v>61146</v>
      </c>
      <c r="M1220" s="1">
        <v>0</v>
      </c>
      <c r="P1220" s="1">
        <v>61146</v>
      </c>
      <c r="Q1220" s="1">
        <v>0</v>
      </c>
    </row>
    <row r="1221" spans="2:17" x14ac:dyDescent="0.2">
      <c r="B1221" s="1">
        <v>61147</v>
      </c>
      <c r="C1221" s="1">
        <v>0</v>
      </c>
      <c r="G1221" s="1">
        <v>61147</v>
      </c>
      <c r="H1221" s="1">
        <v>0</v>
      </c>
      <c r="L1221" s="1">
        <v>61147</v>
      </c>
      <c r="M1221" s="1">
        <v>2.7919999999999998E-10</v>
      </c>
      <c r="P1221" s="1">
        <v>61147</v>
      </c>
      <c r="Q1221" s="1">
        <v>6.9799999999999994E-11</v>
      </c>
    </row>
    <row r="1222" spans="2:17" x14ac:dyDescent="0.2">
      <c r="B1222" s="1">
        <v>61148</v>
      </c>
      <c r="C1222" s="1">
        <v>0</v>
      </c>
      <c r="G1222" s="1">
        <v>61148</v>
      </c>
      <c r="H1222" s="1">
        <v>0</v>
      </c>
      <c r="L1222" s="1">
        <v>61148</v>
      </c>
      <c r="M1222" s="1">
        <v>4.8860000000000005E-10</v>
      </c>
      <c r="P1222" s="1">
        <v>61148</v>
      </c>
      <c r="Q1222" s="1">
        <v>4.8860000000000005E-10</v>
      </c>
    </row>
    <row r="1223" spans="2:17" x14ac:dyDescent="0.2">
      <c r="B1223" s="1">
        <v>61149</v>
      </c>
      <c r="C1223" s="1">
        <v>0</v>
      </c>
      <c r="G1223" s="1">
        <v>61149</v>
      </c>
      <c r="H1223" s="1">
        <v>0</v>
      </c>
      <c r="L1223" s="1">
        <v>61149</v>
      </c>
      <c r="M1223" s="1">
        <v>2.0242000000000001E-9</v>
      </c>
      <c r="P1223" s="1">
        <v>61149</v>
      </c>
      <c r="Q1223" s="1">
        <v>4.4671999999999996E-9</v>
      </c>
    </row>
    <row r="1224" spans="2:17" x14ac:dyDescent="0.2">
      <c r="B1224" s="1">
        <v>61150</v>
      </c>
      <c r="C1224" s="1">
        <v>0</v>
      </c>
      <c r="G1224" s="1">
        <v>61150</v>
      </c>
      <c r="H1224" s="1">
        <v>0</v>
      </c>
      <c r="L1224" s="1">
        <v>61150</v>
      </c>
      <c r="M1224" s="1">
        <v>7.2591999999999999E-9</v>
      </c>
      <c r="P1224" s="1">
        <v>61150</v>
      </c>
      <c r="Q1224" s="1">
        <v>1.5216400000000001E-8</v>
      </c>
    </row>
    <row r="1225" spans="2:17" x14ac:dyDescent="0.2">
      <c r="B1225" s="1">
        <v>61151</v>
      </c>
      <c r="C1225" s="1">
        <v>0</v>
      </c>
      <c r="G1225" s="1">
        <v>61151</v>
      </c>
      <c r="H1225" s="1">
        <v>0</v>
      </c>
      <c r="L1225" s="1">
        <v>61151</v>
      </c>
      <c r="M1225" s="1">
        <v>2.8967000000000001E-8</v>
      </c>
      <c r="P1225" s="1">
        <v>61151</v>
      </c>
      <c r="Q1225" s="1">
        <v>7.5034999999999997E-8</v>
      </c>
    </row>
    <row r="1226" spans="2:17" x14ac:dyDescent="0.2">
      <c r="B1226" s="1">
        <v>61152</v>
      </c>
      <c r="C1226" s="1">
        <v>9.9999999999999995E-8</v>
      </c>
      <c r="G1226" s="1">
        <v>61152</v>
      </c>
      <c r="H1226" s="1">
        <v>0</v>
      </c>
      <c r="L1226" s="1">
        <v>61152</v>
      </c>
      <c r="M1226" s="1">
        <v>6.9660399999999998E-8</v>
      </c>
      <c r="P1226" s="1">
        <v>61152</v>
      </c>
      <c r="Q1226" s="1">
        <v>1.7149899999999999E-7</v>
      </c>
    </row>
    <row r="1227" spans="2:17" x14ac:dyDescent="0.2">
      <c r="B1227" s="1">
        <v>61153</v>
      </c>
      <c r="C1227" s="1">
        <v>2.9999999999999999E-7</v>
      </c>
      <c r="G1227" s="1">
        <v>61153</v>
      </c>
      <c r="H1227" s="1">
        <v>0</v>
      </c>
      <c r="L1227" s="1">
        <v>61153</v>
      </c>
      <c r="M1227" s="1">
        <v>1.68986E-7</v>
      </c>
      <c r="P1227" s="1">
        <v>61153</v>
      </c>
      <c r="Q1227" s="1">
        <v>4.65008E-7</v>
      </c>
    </row>
    <row r="1228" spans="2:17" x14ac:dyDescent="0.2">
      <c r="B1228" s="1">
        <v>61154</v>
      </c>
      <c r="C1228" s="1">
        <v>3.9999999999999998E-7</v>
      </c>
      <c r="G1228" s="1">
        <v>61154</v>
      </c>
      <c r="H1228" s="1">
        <v>2.9999999999999999E-7</v>
      </c>
      <c r="L1228" s="1">
        <v>61154</v>
      </c>
      <c r="M1228" s="1">
        <v>2.7431399999999998E-7</v>
      </c>
      <c r="P1228" s="1">
        <v>61154</v>
      </c>
      <c r="Q1228" s="1">
        <v>6.4229999999999997E-7</v>
      </c>
    </row>
    <row r="1229" spans="2:17" x14ac:dyDescent="0.2">
      <c r="B1229" s="1">
        <v>61155</v>
      </c>
      <c r="C1229" s="1">
        <v>5.9999999999999997E-7</v>
      </c>
      <c r="G1229" s="1">
        <v>61155</v>
      </c>
      <c r="H1229" s="1">
        <v>1.9999999999999999E-7</v>
      </c>
      <c r="L1229" s="1">
        <v>61155</v>
      </c>
      <c r="M1229" s="1">
        <v>4.0218799999999997E-7</v>
      </c>
      <c r="P1229" s="1">
        <v>61155</v>
      </c>
      <c r="Q1229" s="1">
        <v>8.9148599999999999E-7</v>
      </c>
    </row>
    <row r="1230" spans="2:17" x14ac:dyDescent="0.2">
      <c r="B1230" s="1">
        <v>62133</v>
      </c>
      <c r="C1230" s="1">
        <v>1.9999999999999999E-7</v>
      </c>
      <c r="G1230" s="1">
        <v>62133</v>
      </c>
      <c r="H1230" s="1">
        <v>3.9999999999999998E-7</v>
      </c>
      <c r="L1230" s="1">
        <v>62133</v>
      </c>
      <c r="M1230" s="1">
        <v>3.6854399999999999E-7</v>
      </c>
      <c r="P1230" s="1">
        <v>62133</v>
      </c>
      <c r="Q1230" s="1">
        <v>7.1607800000000004E-7</v>
      </c>
    </row>
    <row r="1231" spans="2:17" x14ac:dyDescent="0.2">
      <c r="B1231" s="1">
        <v>62134</v>
      </c>
      <c r="C1231" s="1">
        <v>5.9999999999999997E-7</v>
      </c>
      <c r="G1231" s="1">
        <v>62134</v>
      </c>
      <c r="H1231" s="1">
        <v>1.9999999999999999E-7</v>
      </c>
      <c r="L1231" s="1">
        <v>62134</v>
      </c>
      <c r="M1231" s="1">
        <v>3.3566799999999999E-7</v>
      </c>
      <c r="P1231" s="1">
        <v>62134</v>
      </c>
      <c r="Q1231" s="1">
        <v>7.1712500000000004E-7</v>
      </c>
    </row>
    <row r="1232" spans="2:17" x14ac:dyDescent="0.2">
      <c r="B1232" s="1">
        <v>62135</v>
      </c>
      <c r="C1232" s="1">
        <v>3.9999999999999998E-7</v>
      </c>
      <c r="G1232" s="1">
        <v>62135</v>
      </c>
      <c r="H1232" s="1">
        <v>9.9999999999999995E-8</v>
      </c>
      <c r="L1232" s="1">
        <v>62135</v>
      </c>
      <c r="M1232" s="1">
        <v>1.76664E-7</v>
      </c>
      <c r="P1232" s="1">
        <v>62135</v>
      </c>
      <c r="Q1232" s="1">
        <v>3.5514199999999999E-7</v>
      </c>
    </row>
    <row r="1233" spans="2:17" x14ac:dyDescent="0.2">
      <c r="B1233" s="1">
        <v>62136</v>
      </c>
      <c r="C1233" s="1">
        <v>9.9999999999999995E-8</v>
      </c>
      <c r="G1233" s="1">
        <v>62136</v>
      </c>
      <c r="H1233" s="1">
        <v>0</v>
      </c>
      <c r="L1233" s="1">
        <v>62136</v>
      </c>
      <c r="M1233" s="1">
        <v>9.3531999999999993E-8</v>
      </c>
      <c r="P1233" s="1">
        <v>62136</v>
      </c>
      <c r="Q1233" s="1">
        <v>2.3054900000000001E-7</v>
      </c>
    </row>
    <row r="1234" spans="2:17" x14ac:dyDescent="0.2">
      <c r="B1234" s="1">
        <v>62137</v>
      </c>
      <c r="C1234" s="1">
        <v>9.9999999999999995E-8</v>
      </c>
      <c r="G1234" s="1">
        <v>62137</v>
      </c>
      <c r="H1234" s="1">
        <v>9.9999999999999995E-8</v>
      </c>
      <c r="L1234" s="1">
        <v>62137</v>
      </c>
      <c r="M1234" s="1">
        <v>2.5895800000000002E-8</v>
      </c>
      <c r="P1234" s="1">
        <v>62137</v>
      </c>
      <c r="Q1234" s="1">
        <v>8.1665999999999998E-8</v>
      </c>
    </row>
    <row r="1235" spans="2:17" x14ac:dyDescent="0.2">
      <c r="B1235" s="1">
        <v>62138</v>
      </c>
      <c r="C1235" s="1">
        <v>0</v>
      </c>
      <c r="G1235" s="1">
        <v>62138</v>
      </c>
      <c r="H1235" s="1">
        <v>0</v>
      </c>
      <c r="L1235" s="1">
        <v>62138</v>
      </c>
      <c r="M1235" s="1">
        <v>8.3061999999999993E-9</v>
      </c>
      <c r="P1235" s="1">
        <v>62138</v>
      </c>
      <c r="Q1235" s="1">
        <v>3.8041000000000003E-8</v>
      </c>
    </row>
    <row r="1236" spans="2:17" x14ac:dyDescent="0.2">
      <c r="B1236" s="1">
        <v>62139</v>
      </c>
      <c r="C1236" s="1">
        <v>0</v>
      </c>
      <c r="G1236" s="1">
        <v>62139</v>
      </c>
      <c r="H1236" s="1">
        <v>0</v>
      </c>
      <c r="L1236" s="1">
        <v>62139</v>
      </c>
      <c r="M1236" s="1">
        <v>1.7450000000000001E-9</v>
      </c>
      <c r="P1236" s="1">
        <v>62139</v>
      </c>
      <c r="Q1236" s="1">
        <v>9.3532000000000003E-9</v>
      </c>
    </row>
    <row r="1237" spans="2:17" x14ac:dyDescent="0.2">
      <c r="B1237" s="1">
        <v>62140</v>
      </c>
      <c r="C1237" s="1">
        <v>0</v>
      </c>
      <c r="G1237" s="1">
        <v>62140</v>
      </c>
      <c r="H1237" s="1">
        <v>0</v>
      </c>
      <c r="L1237" s="1">
        <v>62140</v>
      </c>
      <c r="M1237" s="1">
        <v>1.3959999999999999E-10</v>
      </c>
      <c r="P1237" s="1">
        <v>62140</v>
      </c>
      <c r="Q1237" s="1">
        <v>2.0242000000000001E-9</v>
      </c>
    </row>
    <row r="1238" spans="2:17" x14ac:dyDescent="0.2">
      <c r="B1238" s="1">
        <v>62141</v>
      </c>
      <c r="C1238" s="1">
        <v>0</v>
      </c>
      <c r="G1238" s="1">
        <v>62141</v>
      </c>
      <c r="H1238" s="1">
        <v>0</v>
      </c>
      <c r="L1238" s="1">
        <v>62141</v>
      </c>
      <c r="M1238" s="1">
        <v>0</v>
      </c>
      <c r="P1238" s="1">
        <v>62141</v>
      </c>
      <c r="Q1238" s="1">
        <v>2.7919999999999998E-10</v>
      </c>
    </row>
    <row r="1239" spans="2:17" hidden="1" x14ac:dyDescent="0.2">
      <c r="B1239" s="1">
        <v>62142</v>
      </c>
      <c r="C1239" s="1">
        <v>0</v>
      </c>
      <c r="G1239" s="1">
        <v>62142</v>
      </c>
      <c r="H1239" s="1">
        <v>0</v>
      </c>
      <c r="L1239" s="1">
        <v>62142</v>
      </c>
      <c r="M1239" s="1">
        <v>0</v>
      </c>
      <c r="P1239" s="1">
        <v>62142</v>
      </c>
      <c r="Q1239" s="1">
        <v>0</v>
      </c>
    </row>
    <row r="1240" spans="2:17" hidden="1" x14ac:dyDescent="0.2">
      <c r="B1240" s="1">
        <v>62143</v>
      </c>
      <c r="C1240" s="1">
        <v>0</v>
      </c>
      <c r="G1240" s="1">
        <v>62143</v>
      </c>
      <c r="H1240" s="1">
        <v>0</v>
      </c>
      <c r="L1240" s="1">
        <v>62143</v>
      </c>
      <c r="M1240" s="1">
        <v>0</v>
      </c>
      <c r="P1240" s="1">
        <v>62143</v>
      </c>
      <c r="Q1240" s="1">
        <v>0</v>
      </c>
    </row>
    <row r="1241" spans="2:17" hidden="1" x14ac:dyDescent="0.2">
      <c r="B1241" s="1">
        <v>62144</v>
      </c>
      <c r="C1241" s="1">
        <v>0</v>
      </c>
      <c r="G1241" s="1">
        <v>62144</v>
      </c>
      <c r="H1241" s="1">
        <v>0</v>
      </c>
      <c r="L1241" s="1">
        <v>62144</v>
      </c>
      <c r="M1241" s="1">
        <v>0</v>
      </c>
      <c r="P1241" s="1">
        <v>62144</v>
      </c>
      <c r="Q1241" s="1">
        <v>0</v>
      </c>
    </row>
    <row r="1242" spans="2:17" hidden="1" x14ac:dyDescent="0.2">
      <c r="B1242" s="1">
        <v>62145</v>
      </c>
      <c r="C1242" s="1">
        <v>0</v>
      </c>
      <c r="G1242" s="1">
        <v>62145</v>
      </c>
      <c r="H1242" s="1">
        <v>0</v>
      </c>
      <c r="L1242" s="1">
        <v>62145</v>
      </c>
      <c r="M1242" s="1">
        <v>0</v>
      </c>
      <c r="P1242" s="1">
        <v>62145</v>
      </c>
      <c r="Q1242" s="1">
        <v>0</v>
      </c>
    </row>
    <row r="1243" spans="2:17" hidden="1" x14ac:dyDescent="0.2">
      <c r="B1243" s="1">
        <v>62146</v>
      </c>
      <c r="C1243" s="1">
        <v>0</v>
      </c>
      <c r="G1243" s="1">
        <v>62146</v>
      </c>
      <c r="H1243" s="1">
        <v>0</v>
      </c>
      <c r="L1243" s="1">
        <v>62146</v>
      </c>
      <c r="M1243" s="1">
        <v>0</v>
      </c>
      <c r="P1243" s="1">
        <v>62146</v>
      </c>
      <c r="Q1243" s="1">
        <v>0</v>
      </c>
    </row>
    <row r="1244" spans="2:17" hidden="1" x14ac:dyDescent="0.2">
      <c r="B1244" s="1">
        <v>62147</v>
      </c>
      <c r="C1244" s="1">
        <v>0</v>
      </c>
      <c r="G1244" s="1">
        <v>62147</v>
      </c>
      <c r="H1244" s="1">
        <v>0</v>
      </c>
      <c r="L1244" s="1">
        <v>62147</v>
      </c>
      <c r="M1244" s="1">
        <v>0</v>
      </c>
      <c r="P1244" s="1">
        <v>62147</v>
      </c>
      <c r="Q1244" s="1">
        <v>0</v>
      </c>
    </row>
    <row r="1245" spans="2:17" hidden="1" x14ac:dyDescent="0.2">
      <c r="B1245" s="1">
        <v>62148</v>
      </c>
      <c r="C1245" s="1">
        <v>0</v>
      </c>
      <c r="G1245" s="1">
        <v>62148</v>
      </c>
      <c r="H1245" s="1">
        <v>0</v>
      </c>
      <c r="L1245" s="1">
        <v>62148</v>
      </c>
      <c r="M1245" s="1">
        <v>0</v>
      </c>
      <c r="P1245" s="1">
        <v>62148</v>
      </c>
      <c r="Q1245" s="1">
        <v>0</v>
      </c>
    </row>
    <row r="1246" spans="2:17" hidden="1" x14ac:dyDescent="0.2">
      <c r="B1246" s="1">
        <v>62149</v>
      </c>
      <c r="C1246" s="1">
        <v>0</v>
      </c>
      <c r="G1246" s="1">
        <v>62149</v>
      </c>
      <c r="H1246" s="1">
        <v>0</v>
      </c>
      <c r="L1246" s="1">
        <v>62149</v>
      </c>
      <c r="M1246" s="1">
        <v>0</v>
      </c>
      <c r="P1246" s="1">
        <v>62149</v>
      </c>
      <c r="Q1246" s="1">
        <v>0</v>
      </c>
    </row>
    <row r="1247" spans="2:17" x14ac:dyDescent="0.2">
      <c r="B1247" s="1">
        <v>62150</v>
      </c>
      <c r="C1247" s="1">
        <v>0</v>
      </c>
      <c r="G1247" s="1">
        <v>62150</v>
      </c>
      <c r="H1247" s="1">
        <v>0</v>
      </c>
      <c r="L1247" s="1">
        <v>62150</v>
      </c>
      <c r="M1247" s="1">
        <v>1.3959999999999999E-10</v>
      </c>
      <c r="P1247" s="1">
        <v>62150</v>
      </c>
      <c r="Q1247" s="1">
        <v>6.9799999999999994E-11</v>
      </c>
    </row>
    <row r="1248" spans="2:17" x14ac:dyDescent="0.2">
      <c r="B1248" s="1">
        <v>62151</v>
      </c>
      <c r="C1248" s="1">
        <v>0</v>
      </c>
      <c r="G1248" s="1">
        <v>62151</v>
      </c>
      <c r="H1248" s="1">
        <v>0</v>
      </c>
      <c r="L1248" s="1">
        <v>62151</v>
      </c>
      <c r="M1248" s="1">
        <v>5.5839999999999995E-10</v>
      </c>
      <c r="P1248" s="1">
        <v>62151</v>
      </c>
      <c r="Q1248" s="1">
        <v>4.8860000000000005E-10</v>
      </c>
    </row>
    <row r="1249" spans="2:17" x14ac:dyDescent="0.2">
      <c r="B1249" s="1">
        <v>62152</v>
      </c>
      <c r="C1249" s="1">
        <v>0</v>
      </c>
      <c r="G1249" s="1">
        <v>62152</v>
      </c>
      <c r="H1249" s="1">
        <v>0</v>
      </c>
      <c r="L1249" s="1">
        <v>62152</v>
      </c>
      <c r="M1249" s="1">
        <v>2.4429999999999999E-9</v>
      </c>
      <c r="P1249" s="1">
        <v>62152</v>
      </c>
      <c r="Q1249" s="1">
        <v>4.5370000000000004E-9</v>
      </c>
    </row>
    <row r="1250" spans="2:17" x14ac:dyDescent="0.2">
      <c r="B1250" s="1">
        <v>62153</v>
      </c>
      <c r="C1250" s="1">
        <v>0</v>
      </c>
      <c r="G1250" s="1">
        <v>62153</v>
      </c>
      <c r="H1250" s="1">
        <v>0</v>
      </c>
      <c r="L1250" s="1">
        <v>62153</v>
      </c>
      <c r="M1250" s="1">
        <v>5.3048000000000001E-9</v>
      </c>
      <c r="P1250" s="1">
        <v>62153</v>
      </c>
      <c r="Q1250" s="1">
        <v>1.1866E-8</v>
      </c>
    </row>
    <row r="1251" spans="2:17" x14ac:dyDescent="0.2">
      <c r="B1251" s="1">
        <v>62154</v>
      </c>
      <c r="C1251" s="1">
        <v>0</v>
      </c>
      <c r="G1251" s="1">
        <v>62154</v>
      </c>
      <c r="H1251" s="1">
        <v>0</v>
      </c>
      <c r="L1251" s="1">
        <v>62154</v>
      </c>
      <c r="M1251" s="1">
        <v>1.94742E-8</v>
      </c>
      <c r="P1251" s="1">
        <v>62154</v>
      </c>
      <c r="Q1251" s="1">
        <v>5.0395600000000002E-8</v>
      </c>
    </row>
    <row r="1252" spans="2:17" x14ac:dyDescent="0.2">
      <c r="B1252" s="1">
        <v>62155</v>
      </c>
      <c r="C1252" s="1">
        <v>0</v>
      </c>
      <c r="G1252" s="1">
        <v>62155</v>
      </c>
      <c r="H1252" s="1">
        <v>9.9999999999999995E-8</v>
      </c>
      <c r="L1252" s="1">
        <v>62155</v>
      </c>
      <c r="M1252" s="1">
        <v>4.4113599999999999E-8</v>
      </c>
      <c r="P1252" s="1">
        <v>62155</v>
      </c>
      <c r="Q1252" s="1">
        <v>9.0391000000000005E-8</v>
      </c>
    </row>
    <row r="1253" spans="2:17" x14ac:dyDescent="0.2">
      <c r="B1253" s="1">
        <v>62156</v>
      </c>
      <c r="C1253" s="1">
        <v>0</v>
      </c>
      <c r="G1253" s="1">
        <v>62156</v>
      </c>
      <c r="H1253" s="1">
        <v>0</v>
      </c>
      <c r="L1253" s="1">
        <v>62156</v>
      </c>
      <c r="M1253" s="1">
        <v>9.0460799999999994E-8</v>
      </c>
      <c r="P1253" s="1">
        <v>62156</v>
      </c>
      <c r="Q1253" s="1">
        <v>2.11983E-7</v>
      </c>
    </row>
    <row r="1254" spans="2:17" x14ac:dyDescent="0.2">
      <c r="B1254" s="1">
        <v>62157</v>
      </c>
      <c r="C1254" s="1">
        <v>2.9999999999999999E-7</v>
      </c>
      <c r="G1254" s="1">
        <v>62157</v>
      </c>
      <c r="H1254" s="1">
        <v>1.9999999999999999E-7</v>
      </c>
      <c r="L1254" s="1">
        <v>62157</v>
      </c>
      <c r="M1254" s="1">
        <v>1.3206200000000001E-7</v>
      </c>
      <c r="P1254" s="1">
        <v>62157</v>
      </c>
      <c r="Q1254" s="1">
        <v>2.26222E-7</v>
      </c>
    </row>
    <row r="1255" spans="2:17" x14ac:dyDescent="0.2">
      <c r="B1255" s="1">
        <v>62158</v>
      </c>
      <c r="C1255" s="1">
        <v>1.9999999999999999E-7</v>
      </c>
      <c r="G1255" s="1">
        <v>62158</v>
      </c>
      <c r="H1255" s="1">
        <v>1.9999999999999999E-7</v>
      </c>
      <c r="L1255" s="1">
        <v>62158</v>
      </c>
      <c r="M1255" s="1">
        <v>1.7142899999999999E-7</v>
      </c>
      <c r="P1255" s="1">
        <v>62158</v>
      </c>
      <c r="Q1255" s="1">
        <v>2.90298E-7</v>
      </c>
    </row>
    <row r="1256" spans="2:17" x14ac:dyDescent="0.2">
      <c r="B1256" s="1">
        <v>63138</v>
      </c>
      <c r="C1256" s="1">
        <v>9.9999999999999995E-8</v>
      </c>
      <c r="G1256" s="1">
        <v>63138</v>
      </c>
      <c r="H1256" s="1">
        <v>0</v>
      </c>
      <c r="L1256" s="1">
        <v>63138</v>
      </c>
      <c r="M1256" s="1">
        <v>1.62215E-7</v>
      </c>
      <c r="P1256" s="1">
        <v>63138</v>
      </c>
      <c r="Q1256" s="1">
        <v>2.3850700000000001E-7</v>
      </c>
    </row>
    <row r="1257" spans="2:17" x14ac:dyDescent="0.2">
      <c r="B1257" s="1">
        <v>63139</v>
      </c>
      <c r="C1257" s="1">
        <v>0</v>
      </c>
      <c r="G1257" s="1">
        <v>63139</v>
      </c>
      <c r="H1257" s="1">
        <v>2.9999999999999999E-7</v>
      </c>
      <c r="L1257" s="1">
        <v>63139</v>
      </c>
      <c r="M1257" s="1">
        <v>1.2152199999999999E-7</v>
      </c>
      <c r="P1257" s="1">
        <v>63139</v>
      </c>
      <c r="Q1257" s="1">
        <v>1.89926E-7</v>
      </c>
    </row>
    <row r="1258" spans="2:17" x14ac:dyDescent="0.2">
      <c r="B1258" s="1">
        <v>63140</v>
      </c>
      <c r="C1258" s="1">
        <v>0</v>
      </c>
      <c r="G1258" s="1">
        <v>63140</v>
      </c>
      <c r="H1258" s="1">
        <v>9.9999999999999995E-8</v>
      </c>
      <c r="L1258" s="1">
        <v>63140</v>
      </c>
      <c r="M1258" s="1">
        <v>6.3029399999999997E-8</v>
      </c>
      <c r="P1258" s="1">
        <v>63140</v>
      </c>
      <c r="Q1258" s="1">
        <v>8.4248599999999994E-8</v>
      </c>
    </row>
    <row r="1259" spans="2:17" x14ac:dyDescent="0.2">
      <c r="B1259" s="1">
        <v>63141</v>
      </c>
      <c r="C1259" s="1">
        <v>0</v>
      </c>
      <c r="G1259" s="1">
        <v>63141</v>
      </c>
      <c r="H1259" s="1">
        <v>0</v>
      </c>
      <c r="L1259" s="1">
        <v>63141</v>
      </c>
      <c r="M1259" s="1">
        <v>3.1340199999999999E-8</v>
      </c>
      <c r="P1259" s="1">
        <v>63141</v>
      </c>
      <c r="Q1259" s="1">
        <v>5.3606399999999999E-8</v>
      </c>
    </row>
    <row r="1260" spans="2:17" x14ac:dyDescent="0.2">
      <c r="B1260" s="1">
        <v>63142</v>
      </c>
      <c r="C1260" s="1">
        <v>9.9999999999999995E-8</v>
      </c>
      <c r="G1260" s="1">
        <v>63142</v>
      </c>
      <c r="H1260" s="1">
        <v>9.9999999999999995E-8</v>
      </c>
      <c r="L1260" s="1">
        <v>63142</v>
      </c>
      <c r="M1260" s="1">
        <v>8.3061999999999993E-9</v>
      </c>
      <c r="P1260" s="1">
        <v>63142</v>
      </c>
      <c r="Q1260" s="1">
        <v>1.3960000000000001E-8</v>
      </c>
    </row>
    <row r="1261" spans="2:17" x14ac:dyDescent="0.2">
      <c r="B1261" s="1">
        <v>63143</v>
      </c>
      <c r="C1261" s="1">
        <v>0</v>
      </c>
      <c r="G1261" s="1">
        <v>63143</v>
      </c>
      <c r="H1261" s="1">
        <v>0</v>
      </c>
      <c r="L1261" s="1">
        <v>63143</v>
      </c>
      <c r="M1261" s="1">
        <v>2.0242000000000001E-9</v>
      </c>
      <c r="P1261" s="1">
        <v>63143</v>
      </c>
      <c r="Q1261" s="1">
        <v>7.0498000000000002E-9</v>
      </c>
    </row>
    <row r="1262" spans="2:17" x14ac:dyDescent="0.2">
      <c r="B1262" s="1">
        <v>63144</v>
      </c>
      <c r="C1262" s="1">
        <v>9.9999999999999995E-8</v>
      </c>
      <c r="G1262" s="1">
        <v>63144</v>
      </c>
      <c r="H1262" s="1">
        <v>0</v>
      </c>
      <c r="L1262" s="1">
        <v>63144</v>
      </c>
      <c r="M1262" s="1">
        <v>2.094E-10</v>
      </c>
      <c r="P1262" s="1">
        <v>63144</v>
      </c>
      <c r="Q1262" s="1">
        <v>9.0739999999999999E-10</v>
      </c>
    </row>
    <row r="1263" spans="2:17" x14ac:dyDescent="0.2">
      <c r="B1263" s="1">
        <v>63145</v>
      </c>
      <c r="C1263" s="1">
        <v>0</v>
      </c>
      <c r="G1263" s="1">
        <v>63145</v>
      </c>
      <c r="H1263" s="1">
        <v>0</v>
      </c>
      <c r="L1263" s="1">
        <v>63145</v>
      </c>
      <c r="M1263" s="1">
        <v>0</v>
      </c>
      <c r="P1263" s="1">
        <v>63145</v>
      </c>
      <c r="Q1263" s="1">
        <v>4.1879999999999999E-10</v>
      </c>
    </row>
    <row r="1264" spans="2:17" x14ac:dyDescent="0.2">
      <c r="B1264" s="1">
        <v>63146</v>
      </c>
      <c r="C1264" s="1">
        <v>0</v>
      </c>
      <c r="G1264" s="1">
        <v>63146</v>
      </c>
      <c r="H1264" s="1">
        <v>0</v>
      </c>
      <c r="L1264" s="1">
        <v>63146</v>
      </c>
      <c r="M1264" s="1">
        <v>0</v>
      </c>
      <c r="P1264" s="1">
        <v>63146</v>
      </c>
      <c r="Q1264" s="1">
        <v>6.9799999999999994E-11</v>
      </c>
    </row>
    <row r="1265" spans="2:17" x14ac:dyDescent="0.2">
      <c r="B1265" s="1">
        <v>63147</v>
      </c>
      <c r="C1265" s="1">
        <v>0</v>
      </c>
      <c r="G1265" s="1">
        <v>63147</v>
      </c>
      <c r="H1265" s="1">
        <v>0</v>
      </c>
      <c r="L1265" s="1">
        <v>63147</v>
      </c>
      <c r="M1265" s="1">
        <v>0</v>
      </c>
      <c r="P1265" s="1">
        <v>63147</v>
      </c>
      <c r="Q1265" s="1">
        <v>6.9799999999999994E-11</v>
      </c>
    </row>
    <row r="1266" spans="2:17" hidden="1" x14ac:dyDescent="0.2">
      <c r="B1266" s="1">
        <v>63148</v>
      </c>
      <c r="C1266" s="1">
        <v>0</v>
      </c>
      <c r="G1266" s="1">
        <v>63148</v>
      </c>
      <c r="H1266" s="1">
        <v>0</v>
      </c>
      <c r="L1266" s="1">
        <v>63148</v>
      </c>
      <c r="M1266" s="1">
        <v>0</v>
      </c>
      <c r="P1266" s="1">
        <v>63148</v>
      </c>
      <c r="Q1266" s="1">
        <v>0</v>
      </c>
    </row>
    <row r="1267" spans="2:17" hidden="1" x14ac:dyDescent="0.2">
      <c r="B1267" s="1">
        <v>63149</v>
      </c>
      <c r="C1267" s="1">
        <v>0</v>
      </c>
      <c r="G1267" s="1">
        <v>63149</v>
      </c>
      <c r="H1267" s="1">
        <v>0</v>
      </c>
      <c r="L1267" s="1">
        <v>63149</v>
      </c>
      <c r="M1267" s="1">
        <v>0</v>
      </c>
      <c r="P1267" s="1">
        <v>63149</v>
      </c>
      <c r="Q1267" s="1">
        <v>0</v>
      </c>
    </row>
    <row r="1268" spans="2:17" hidden="1" x14ac:dyDescent="0.2">
      <c r="B1268" s="1">
        <v>63150</v>
      </c>
      <c r="C1268" s="1">
        <v>0</v>
      </c>
      <c r="G1268" s="1">
        <v>63150</v>
      </c>
      <c r="H1268" s="1">
        <v>0</v>
      </c>
      <c r="L1268" s="1">
        <v>63150</v>
      </c>
      <c r="M1268" s="1">
        <v>0</v>
      </c>
      <c r="P1268" s="1">
        <v>63150</v>
      </c>
      <c r="Q1268" s="1">
        <v>0</v>
      </c>
    </row>
    <row r="1269" spans="2:17" hidden="1" x14ac:dyDescent="0.2">
      <c r="B1269" s="1">
        <v>63151</v>
      </c>
      <c r="C1269" s="1">
        <v>0</v>
      </c>
      <c r="G1269" s="1">
        <v>63151</v>
      </c>
      <c r="H1269" s="1">
        <v>0</v>
      </c>
      <c r="L1269" s="1">
        <v>63151</v>
      </c>
      <c r="M1269" s="1">
        <v>0</v>
      </c>
      <c r="P1269" s="1">
        <v>63151</v>
      </c>
      <c r="Q1269" s="1">
        <v>0</v>
      </c>
    </row>
    <row r="1270" spans="2:17" hidden="1" x14ac:dyDescent="0.2">
      <c r="B1270" s="1">
        <v>63152</v>
      </c>
      <c r="C1270" s="1">
        <v>0</v>
      </c>
      <c r="G1270" s="1">
        <v>63152</v>
      </c>
      <c r="H1270" s="1">
        <v>0</v>
      </c>
      <c r="L1270" s="1">
        <v>63152</v>
      </c>
      <c r="M1270" s="1">
        <v>0</v>
      </c>
      <c r="P1270" s="1">
        <v>63152</v>
      </c>
      <c r="Q1270" s="1">
        <v>0</v>
      </c>
    </row>
    <row r="1271" spans="2:17" hidden="1" x14ac:dyDescent="0.2">
      <c r="B1271" s="1">
        <v>63153</v>
      </c>
      <c r="C1271" s="1">
        <v>0</v>
      </c>
      <c r="G1271" s="1">
        <v>63153</v>
      </c>
      <c r="H1271" s="1">
        <v>0</v>
      </c>
      <c r="L1271" s="1">
        <v>63153</v>
      </c>
      <c r="M1271" s="1">
        <v>0</v>
      </c>
      <c r="P1271" s="1">
        <v>63153</v>
      </c>
      <c r="Q1271" s="1">
        <v>0</v>
      </c>
    </row>
    <row r="1272" spans="2:17" x14ac:dyDescent="0.2">
      <c r="B1272" s="1">
        <v>63154</v>
      </c>
      <c r="C1272" s="1">
        <v>0</v>
      </c>
      <c r="G1272" s="1">
        <v>63154</v>
      </c>
      <c r="H1272" s="1">
        <v>0</v>
      </c>
      <c r="L1272" s="1">
        <v>63154</v>
      </c>
      <c r="M1272" s="1">
        <v>6.9799999999999994E-11</v>
      </c>
      <c r="P1272" s="1">
        <v>63154</v>
      </c>
      <c r="Q1272" s="1">
        <v>3.4899999999999998E-10</v>
      </c>
    </row>
    <row r="1273" spans="2:17" x14ac:dyDescent="0.2">
      <c r="B1273" s="1">
        <v>63155</v>
      </c>
      <c r="C1273" s="1">
        <v>0</v>
      </c>
      <c r="G1273" s="1">
        <v>63155</v>
      </c>
      <c r="H1273" s="1">
        <v>0</v>
      </c>
      <c r="L1273" s="1">
        <v>63155</v>
      </c>
      <c r="M1273" s="1">
        <v>6.9799999999999997E-10</v>
      </c>
      <c r="P1273" s="1">
        <v>63155</v>
      </c>
      <c r="Q1273" s="1">
        <v>1.7450000000000001E-9</v>
      </c>
    </row>
    <row r="1274" spans="2:17" x14ac:dyDescent="0.2">
      <c r="B1274" s="1">
        <v>63156</v>
      </c>
      <c r="C1274" s="1">
        <v>0</v>
      </c>
      <c r="G1274" s="1">
        <v>63156</v>
      </c>
      <c r="H1274" s="1">
        <v>0</v>
      </c>
      <c r="L1274" s="1">
        <v>63156</v>
      </c>
      <c r="M1274" s="1">
        <v>1.9544000000000002E-9</v>
      </c>
      <c r="P1274" s="1">
        <v>63156</v>
      </c>
      <c r="Q1274" s="1">
        <v>4.8859999999999999E-9</v>
      </c>
    </row>
    <row r="1275" spans="2:17" x14ac:dyDescent="0.2">
      <c r="B1275" s="1">
        <v>63157</v>
      </c>
      <c r="C1275" s="1">
        <v>0</v>
      </c>
      <c r="G1275" s="1">
        <v>63157</v>
      </c>
      <c r="H1275" s="1">
        <v>0</v>
      </c>
      <c r="L1275" s="1">
        <v>63157</v>
      </c>
      <c r="M1275" s="1">
        <v>5.1652000000000003E-9</v>
      </c>
      <c r="P1275" s="1">
        <v>63157</v>
      </c>
      <c r="Q1275" s="1">
        <v>1.9683600000000001E-8</v>
      </c>
    </row>
    <row r="1276" spans="2:17" x14ac:dyDescent="0.2">
      <c r="B1276" s="1">
        <v>63158</v>
      </c>
      <c r="C1276" s="1">
        <v>0</v>
      </c>
      <c r="G1276" s="1">
        <v>63158</v>
      </c>
      <c r="H1276" s="1">
        <v>0</v>
      </c>
      <c r="L1276" s="1">
        <v>63158</v>
      </c>
      <c r="M1276" s="1">
        <v>8.7250000000000004E-9</v>
      </c>
      <c r="P1276" s="1">
        <v>63158</v>
      </c>
      <c r="Q1276" s="1">
        <v>3.3364400000000002E-8</v>
      </c>
    </row>
    <row r="1277" spans="2:17" x14ac:dyDescent="0.2">
      <c r="B1277" s="1">
        <v>63159</v>
      </c>
      <c r="C1277" s="1">
        <v>0</v>
      </c>
      <c r="G1277" s="1">
        <v>63159</v>
      </c>
      <c r="H1277" s="1">
        <v>0</v>
      </c>
      <c r="L1277" s="1">
        <v>63159</v>
      </c>
      <c r="M1277" s="1">
        <v>1.89856E-8</v>
      </c>
      <c r="P1277" s="1">
        <v>63159</v>
      </c>
      <c r="Q1277" s="1">
        <v>6.6938199999999998E-8</v>
      </c>
    </row>
    <row r="1278" spans="2:17" x14ac:dyDescent="0.2">
      <c r="B1278" s="1">
        <v>63160</v>
      </c>
      <c r="C1278" s="1">
        <v>0</v>
      </c>
      <c r="G1278" s="1">
        <v>63160</v>
      </c>
      <c r="H1278" s="1">
        <v>0</v>
      </c>
      <c r="L1278" s="1">
        <v>63160</v>
      </c>
      <c r="M1278" s="1">
        <v>2.25454E-8</v>
      </c>
      <c r="P1278" s="1">
        <v>63160</v>
      </c>
      <c r="Q1278" s="1">
        <v>7.8385400000000005E-8</v>
      </c>
    </row>
    <row r="1279" spans="2:17" x14ac:dyDescent="0.2">
      <c r="B1279" s="1">
        <v>64142</v>
      </c>
      <c r="C1279" s="1">
        <v>9.9999999999999995E-8</v>
      </c>
      <c r="G1279" s="1">
        <v>64142</v>
      </c>
      <c r="H1279" s="1">
        <v>0</v>
      </c>
      <c r="L1279" s="1">
        <v>64142</v>
      </c>
      <c r="M1279" s="1">
        <v>2.84784E-8</v>
      </c>
      <c r="P1279" s="1">
        <v>64142</v>
      </c>
      <c r="Q1279" s="1">
        <v>8.7668800000000005E-8</v>
      </c>
    </row>
    <row r="1280" spans="2:17" x14ac:dyDescent="0.2">
      <c r="B1280" s="1">
        <v>64143</v>
      </c>
      <c r="C1280" s="1">
        <v>0</v>
      </c>
      <c r="G1280" s="1">
        <v>64143</v>
      </c>
      <c r="H1280" s="1">
        <v>0</v>
      </c>
      <c r="L1280" s="1">
        <v>64143</v>
      </c>
      <c r="M1280" s="1">
        <v>1.92648E-8</v>
      </c>
      <c r="P1280" s="1">
        <v>64143</v>
      </c>
      <c r="Q1280" s="1">
        <v>6.0935400000000004E-8</v>
      </c>
    </row>
    <row r="1281" spans="2:17" x14ac:dyDescent="0.2">
      <c r="B1281" s="1">
        <v>64144</v>
      </c>
      <c r="C1281" s="1">
        <v>0</v>
      </c>
      <c r="G1281" s="1">
        <v>64144</v>
      </c>
      <c r="H1281" s="1">
        <v>0</v>
      </c>
      <c r="L1281" s="1">
        <v>64144</v>
      </c>
      <c r="M1281" s="1">
        <v>1.3331800000000001E-8</v>
      </c>
      <c r="P1281" s="1">
        <v>64144</v>
      </c>
      <c r="Q1281" s="1">
        <v>4.4951200000000001E-8</v>
      </c>
    </row>
    <row r="1282" spans="2:17" x14ac:dyDescent="0.2">
      <c r="B1282" s="1">
        <v>64145</v>
      </c>
      <c r="C1282" s="1">
        <v>9.9999999999999995E-8</v>
      </c>
      <c r="G1282" s="1">
        <v>64145</v>
      </c>
      <c r="H1282" s="1">
        <v>0</v>
      </c>
      <c r="L1282" s="1">
        <v>64145</v>
      </c>
      <c r="M1282" s="1">
        <v>4.6766000000000002E-9</v>
      </c>
      <c r="P1282" s="1">
        <v>64145</v>
      </c>
      <c r="Q1282" s="1">
        <v>1.8845999999999999E-8</v>
      </c>
    </row>
    <row r="1283" spans="2:17" x14ac:dyDescent="0.2">
      <c r="B1283" s="1">
        <v>64146</v>
      </c>
      <c r="C1283" s="1">
        <v>0</v>
      </c>
      <c r="G1283" s="1">
        <v>64146</v>
      </c>
      <c r="H1283" s="1">
        <v>0</v>
      </c>
      <c r="L1283" s="1">
        <v>64146</v>
      </c>
      <c r="M1283" s="1">
        <v>1.7450000000000001E-9</v>
      </c>
      <c r="P1283" s="1">
        <v>64146</v>
      </c>
      <c r="Q1283" s="1">
        <v>9.7719999999999998E-9</v>
      </c>
    </row>
    <row r="1284" spans="2:17" x14ac:dyDescent="0.2">
      <c r="B1284" s="1">
        <v>64147</v>
      </c>
      <c r="C1284" s="1">
        <v>0</v>
      </c>
      <c r="G1284" s="1">
        <v>64147</v>
      </c>
      <c r="H1284" s="1">
        <v>0</v>
      </c>
      <c r="L1284" s="1">
        <v>64147</v>
      </c>
      <c r="M1284" s="1">
        <v>3.4899999999999998E-10</v>
      </c>
      <c r="P1284" s="1">
        <v>64147</v>
      </c>
      <c r="Q1284" s="1">
        <v>2.8618000000000002E-9</v>
      </c>
    </row>
    <row r="1285" spans="2:17" x14ac:dyDescent="0.2">
      <c r="B1285" s="1">
        <v>64148</v>
      </c>
      <c r="C1285" s="1">
        <v>0</v>
      </c>
      <c r="G1285" s="1">
        <v>64148</v>
      </c>
      <c r="H1285" s="1">
        <v>0</v>
      </c>
      <c r="L1285" s="1">
        <v>64148</v>
      </c>
      <c r="M1285" s="1">
        <v>0</v>
      </c>
      <c r="P1285" s="1">
        <v>64148</v>
      </c>
      <c r="Q1285" s="1">
        <v>1.1167999999999999E-9</v>
      </c>
    </row>
    <row r="1286" spans="2:17" x14ac:dyDescent="0.2">
      <c r="B1286" s="1">
        <v>64149</v>
      </c>
      <c r="C1286" s="1">
        <v>0</v>
      </c>
      <c r="G1286" s="1">
        <v>64149</v>
      </c>
      <c r="H1286" s="1">
        <v>0</v>
      </c>
      <c r="L1286" s="1">
        <v>64149</v>
      </c>
      <c r="M1286" s="1">
        <v>0</v>
      </c>
      <c r="P1286" s="1">
        <v>64149</v>
      </c>
      <c r="Q1286" s="1">
        <v>4.8860000000000005E-10</v>
      </c>
    </row>
    <row r="1287" spans="2:17" hidden="1" x14ac:dyDescent="0.2">
      <c r="B1287" s="1">
        <v>64150</v>
      </c>
      <c r="C1287" s="1">
        <v>0</v>
      </c>
      <c r="G1287" s="1">
        <v>64150</v>
      </c>
      <c r="H1287" s="1">
        <v>0</v>
      </c>
      <c r="L1287" s="1">
        <v>64150</v>
      </c>
      <c r="M1287" s="1">
        <v>6.9799999999999994E-11</v>
      </c>
      <c r="P1287" s="1">
        <v>64150</v>
      </c>
      <c r="Q1287" s="1">
        <v>0</v>
      </c>
    </row>
    <row r="1288" spans="2:17" hidden="1" x14ac:dyDescent="0.2">
      <c r="B1288" s="1">
        <v>64151</v>
      </c>
      <c r="C1288" s="1">
        <v>0</v>
      </c>
      <c r="G1288" s="1">
        <v>64151</v>
      </c>
      <c r="H1288" s="1">
        <v>0</v>
      </c>
      <c r="L1288" s="1">
        <v>64151</v>
      </c>
      <c r="M1288" s="1">
        <v>0</v>
      </c>
      <c r="P1288" s="1">
        <v>64151</v>
      </c>
      <c r="Q1288" s="1">
        <v>0</v>
      </c>
    </row>
    <row r="1289" spans="2:17" hidden="1" x14ac:dyDescent="0.2">
      <c r="B1289" s="1">
        <v>64152</v>
      </c>
      <c r="C1289" s="1">
        <v>0</v>
      </c>
      <c r="G1289" s="1">
        <v>64152</v>
      </c>
      <c r="H1289" s="1">
        <v>0</v>
      </c>
      <c r="L1289" s="1">
        <v>64152</v>
      </c>
      <c r="M1289" s="1">
        <v>0</v>
      </c>
      <c r="P1289" s="1">
        <v>64152</v>
      </c>
      <c r="Q1289" s="1">
        <v>0</v>
      </c>
    </row>
    <row r="1290" spans="2:17" hidden="1" x14ac:dyDescent="0.2">
      <c r="B1290" s="1">
        <v>64153</v>
      </c>
      <c r="C1290" s="1">
        <v>0</v>
      </c>
      <c r="G1290" s="1">
        <v>64153</v>
      </c>
      <c r="H1290" s="1">
        <v>0</v>
      </c>
      <c r="L1290" s="1">
        <v>64153</v>
      </c>
      <c r="M1290" s="1">
        <v>0</v>
      </c>
      <c r="P1290" s="1">
        <v>64153</v>
      </c>
      <c r="Q1290" s="1">
        <v>0</v>
      </c>
    </row>
    <row r="1291" spans="2:17" hidden="1" x14ac:dyDescent="0.2">
      <c r="B1291" s="1">
        <v>64154</v>
      </c>
      <c r="C1291" s="1">
        <v>0</v>
      </c>
      <c r="G1291" s="1">
        <v>64154</v>
      </c>
      <c r="H1291" s="1">
        <v>0</v>
      </c>
      <c r="L1291" s="1">
        <v>64154</v>
      </c>
      <c r="M1291" s="1">
        <v>0</v>
      </c>
      <c r="P1291" s="1">
        <v>64154</v>
      </c>
      <c r="Q1291" s="1">
        <v>0</v>
      </c>
    </row>
    <row r="1292" spans="2:17" hidden="1" x14ac:dyDescent="0.2">
      <c r="B1292" s="1">
        <v>64155</v>
      </c>
      <c r="C1292" s="1">
        <v>0</v>
      </c>
      <c r="G1292" s="1">
        <v>64155</v>
      </c>
      <c r="H1292" s="1">
        <v>0</v>
      </c>
      <c r="L1292" s="1">
        <v>64155</v>
      </c>
      <c r="M1292" s="1">
        <v>0</v>
      </c>
      <c r="P1292" s="1">
        <v>64155</v>
      </c>
      <c r="Q1292" s="1">
        <v>0</v>
      </c>
    </row>
    <row r="1293" spans="2:17" x14ac:dyDescent="0.2">
      <c r="B1293" s="1">
        <v>64156</v>
      </c>
      <c r="C1293" s="1">
        <v>0</v>
      </c>
      <c r="G1293" s="1">
        <v>64156</v>
      </c>
      <c r="H1293" s="1">
        <v>0</v>
      </c>
      <c r="L1293" s="1">
        <v>64156</v>
      </c>
      <c r="M1293" s="1">
        <v>6.9799999999999994E-11</v>
      </c>
      <c r="P1293" s="1">
        <v>64156</v>
      </c>
      <c r="Q1293" s="1">
        <v>6.9799999999999994E-11</v>
      </c>
    </row>
    <row r="1294" spans="2:17" x14ac:dyDescent="0.2">
      <c r="B1294" s="1">
        <v>64157</v>
      </c>
      <c r="C1294" s="1">
        <v>0</v>
      </c>
      <c r="G1294" s="1">
        <v>64157</v>
      </c>
      <c r="H1294" s="1">
        <v>0</v>
      </c>
      <c r="L1294" s="1">
        <v>64157</v>
      </c>
      <c r="M1294" s="1">
        <v>0</v>
      </c>
      <c r="P1294" s="1">
        <v>64157</v>
      </c>
      <c r="Q1294" s="1">
        <v>3.4899999999999998E-10</v>
      </c>
    </row>
    <row r="1295" spans="2:17" x14ac:dyDescent="0.2">
      <c r="B1295" s="1">
        <v>64158</v>
      </c>
      <c r="C1295" s="1">
        <v>0</v>
      </c>
      <c r="G1295" s="1">
        <v>64158</v>
      </c>
      <c r="H1295" s="1">
        <v>0</v>
      </c>
      <c r="L1295" s="1">
        <v>64158</v>
      </c>
      <c r="M1295" s="1">
        <v>1.3959999999999999E-10</v>
      </c>
      <c r="P1295" s="1">
        <v>64158</v>
      </c>
      <c r="Q1295" s="1">
        <v>1.3959999999999999E-9</v>
      </c>
    </row>
    <row r="1296" spans="2:17" x14ac:dyDescent="0.2">
      <c r="B1296" s="1">
        <v>64159</v>
      </c>
      <c r="C1296" s="1">
        <v>0</v>
      </c>
      <c r="G1296" s="1">
        <v>64159</v>
      </c>
      <c r="H1296" s="1">
        <v>0</v>
      </c>
      <c r="L1296" s="1">
        <v>64159</v>
      </c>
      <c r="M1296" s="1">
        <v>5.5839999999999995E-10</v>
      </c>
      <c r="P1296" s="1">
        <v>64159</v>
      </c>
      <c r="Q1296" s="1">
        <v>1.6054000000000001E-9</v>
      </c>
    </row>
    <row r="1297" spans="2:17" x14ac:dyDescent="0.2">
      <c r="B1297" s="1">
        <v>64160</v>
      </c>
      <c r="C1297" s="1">
        <v>0</v>
      </c>
      <c r="G1297" s="1">
        <v>64160</v>
      </c>
      <c r="H1297" s="1">
        <v>0</v>
      </c>
      <c r="L1297" s="1">
        <v>64160</v>
      </c>
      <c r="M1297" s="1">
        <v>3.2806E-9</v>
      </c>
      <c r="P1297" s="1">
        <v>64160</v>
      </c>
      <c r="Q1297" s="1">
        <v>7.3289999999999998E-9</v>
      </c>
    </row>
    <row r="1298" spans="2:17" x14ac:dyDescent="0.2">
      <c r="B1298" s="1">
        <v>64161</v>
      </c>
      <c r="C1298" s="1">
        <v>0</v>
      </c>
      <c r="G1298" s="1">
        <v>64161</v>
      </c>
      <c r="H1298" s="1">
        <v>0</v>
      </c>
      <c r="L1298" s="1">
        <v>64161</v>
      </c>
      <c r="M1298" s="1">
        <v>4.8162E-9</v>
      </c>
      <c r="P1298" s="1">
        <v>64161</v>
      </c>
      <c r="Q1298" s="1">
        <v>1.1307599999999999E-8</v>
      </c>
    </row>
    <row r="1299" spans="2:17" x14ac:dyDescent="0.2">
      <c r="B1299" s="1">
        <v>64162</v>
      </c>
      <c r="C1299" s="1">
        <v>9.9999999999999995E-8</v>
      </c>
      <c r="G1299" s="1">
        <v>64162</v>
      </c>
      <c r="H1299" s="1">
        <v>0</v>
      </c>
      <c r="L1299" s="1">
        <v>64162</v>
      </c>
      <c r="M1299" s="1">
        <v>8.0968000000000004E-9</v>
      </c>
      <c r="P1299" s="1">
        <v>64162</v>
      </c>
      <c r="Q1299" s="1">
        <v>1.77292E-8</v>
      </c>
    </row>
    <row r="1300" spans="2:17" x14ac:dyDescent="0.2">
      <c r="B1300" s="1">
        <v>64163</v>
      </c>
      <c r="C1300" s="1">
        <v>0</v>
      </c>
      <c r="G1300" s="1">
        <v>64163</v>
      </c>
      <c r="H1300" s="1">
        <v>0</v>
      </c>
      <c r="L1300" s="1">
        <v>64163</v>
      </c>
      <c r="M1300" s="1">
        <v>1.29828E-8</v>
      </c>
      <c r="P1300" s="1">
        <v>64163</v>
      </c>
      <c r="Q1300" s="1">
        <v>2.0660800000000001E-8</v>
      </c>
    </row>
    <row r="1301" spans="2:17" x14ac:dyDescent="0.2">
      <c r="B1301" s="1">
        <v>65144</v>
      </c>
      <c r="C1301" s="1">
        <v>0</v>
      </c>
      <c r="G1301" s="1">
        <v>65144</v>
      </c>
      <c r="H1301" s="1">
        <v>0</v>
      </c>
      <c r="L1301" s="1">
        <v>65144</v>
      </c>
      <c r="M1301" s="1">
        <v>1.0679399999999999E-8</v>
      </c>
      <c r="P1301" s="1">
        <v>65144</v>
      </c>
      <c r="Q1301" s="1">
        <v>1.8497E-8</v>
      </c>
    </row>
    <row r="1302" spans="2:17" x14ac:dyDescent="0.2">
      <c r="B1302" s="1">
        <v>65145</v>
      </c>
      <c r="C1302" s="1">
        <v>0</v>
      </c>
      <c r="G1302" s="1">
        <v>65145</v>
      </c>
      <c r="H1302" s="1">
        <v>0</v>
      </c>
      <c r="L1302" s="1">
        <v>65145</v>
      </c>
      <c r="M1302" s="1">
        <v>7.0498000000000002E-9</v>
      </c>
      <c r="P1302" s="1">
        <v>65145</v>
      </c>
      <c r="Q1302" s="1">
        <v>1.1447200000000001E-8</v>
      </c>
    </row>
    <row r="1303" spans="2:17" x14ac:dyDescent="0.2">
      <c r="B1303" s="1">
        <v>65146</v>
      </c>
      <c r="C1303" s="1">
        <v>0</v>
      </c>
      <c r="G1303" s="1">
        <v>65146</v>
      </c>
      <c r="H1303" s="1">
        <v>0</v>
      </c>
      <c r="L1303" s="1">
        <v>65146</v>
      </c>
      <c r="M1303" s="1">
        <v>5.0953999999999996E-9</v>
      </c>
      <c r="P1303" s="1">
        <v>65146</v>
      </c>
      <c r="Q1303" s="1">
        <v>8.376E-9</v>
      </c>
    </row>
    <row r="1304" spans="2:17" x14ac:dyDescent="0.2">
      <c r="B1304" s="1">
        <v>65147</v>
      </c>
      <c r="C1304" s="1">
        <v>0</v>
      </c>
      <c r="G1304" s="1">
        <v>65147</v>
      </c>
      <c r="H1304" s="1">
        <v>0</v>
      </c>
      <c r="L1304" s="1">
        <v>65147</v>
      </c>
      <c r="M1304" s="1">
        <v>9.0739999999999999E-10</v>
      </c>
      <c r="P1304" s="1">
        <v>65147</v>
      </c>
      <c r="Q1304" s="1">
        <v>3.0014E-9</v>
      </c>
    </row>
    <row r="1305" spans="2:17" x14ac:dyDescent="0.2">
      <c r="B1305" s="1">
        <v>65148</v>
      </c>
      <c r="C1305" s="1">
        <v>0</v>
      </c>
      <c r="G1305" s="1">
        <v>65148</v>
      </c>
      <c r="H1305" s="1">
        <v>0</v>
      </c>
      <c r="L1305" s="1">
        <v>65148</v>
      </c>
      <c r="M1305" s="1">
        <v>2.094E-10</v>
      </c>
      <c r="P1305" s="1">
        <v>65148</v>
      </c>
      <c r="Q1305" s="1">
        <v>1.2563999999999999E-9</v>
      </c>
    </row>
    <row r="1306" spans="2:17" x14ac:dyDescent="0.2">
      <c r="B1306" s="1">
        <v>65149</v>
      </c>
      <c r="C1306" s="1">
        <v>0</v>
      </c>
      <c r="G1306" s="1">
        <v>65149</v>
      </c>
      <c r="H1306" s="1">
        <v>0</v>
      </c>
      <c r="L1306" s="1">
        <v>65149</v>
      </c>
      <c r="M1306" s="1">
        <v>1.3959999999999999E-10</v>
      </c>
      <c r="P1306" s="1">
        <v>65149</v>
      </c>
      <c r="Q1306" s="1">
        <v>3.4899999999999998E-10</v>
      </c>
    </row>
    <row r="1307" spans="2:17" x14ac:dyDescent="0.2">
      <c r="B1307" s="1">
        <v>65150</v>
      </c>
      <c r="C1307" s="1">
        <v>0</v>
      </c>
      <c r="G1307" s="1">
        <v>65150</v>
      </c>
      <c r="H1307" s="1">
        <v>0</v>
      </c>
      <c r="L1307" s="1">
        <v>65150</v>
      </c>
      <c r="M1307" s="1">
        <v>0</v>
      </c>
      <c r="P1307" s="1">
        <v>65150</v>
      </c>
      <c r="Q1307" s="1">
        <v>6.9799999999999994E-11</v>
      </c>
    </row>
    <row r="1308" spans="2:17" hidden="1" x14ac:dyDescent="0.2">
      <c r="B1308" s="1">
        <v>65151</v>
      </c>
      <c r="C1308" s="1">
        <v>0</v>
      </c>
      <c r="G1308" s="1">
        <v>65151</v>
      </c>
      <c r="H1308" s="1">
        <v>0</v>
      </c>
      <c r="L1308" s="1">
        <v>65151</v>
      </c>
      <c r="M1308" s="1">
        <v>0</v>
      </c>
      <c r="P1308" s="1">
        <v>65151</v>
      </c>
      <c r="Q1308" s="1">
        <v>0</v>
      </c>
    </row>
    <row r="1309" spans="2:17" hidden="1" x14ac:dyDescent="0.2">
      <c r="B1309" s="1">
        <v>65152</v>
      </c>
      <c r="C1309" s="1">
        <v>0</v>
      </c>
      <c r="G1309" s="1">
        <v>65152</v>
      </c>
      <c r="H1309" s="1">
        <v>0</v>
      </c>
      <c r="L1309" s="1">
        <v>65152</v>
      </c>
      <c r="M1309" s="1">
        <v>0</v>
      </c>
      <c r="P1309" s="1">
        <v>65152</v>
      </c>
      <c r="Q1309" s="1">
        <v>0</v>
      </c>
    </row>
    <row r="1310" spans="2:17" hidden="1" x14ac:dyDescent="0.2">
      <c r="B1310" s="1">
        <v>65153</v>
      </c>
      <c r="C1310" s="1">
        <v>0</v>
      </c>
      <c r="G1310" s="1">
        <v>65153</v>
      </c>
      <c r="H1310" s="1">
        <v>0</v>
      </c>
      <c r="L1310" s="1">
        <v>65153</v>
      </c>
      <c r="M1310" s="1">
        <v>0</v>
      </c>
      <c r="P1310" s="1">
        <v>65153</v>
      </c>
      <c r="Q1310" s="1">
        <v>0</v>
      </c>
    </row>
    <row r="1311" spans="2:17" hidden="1" x14ac:dyDescent="0.2">
      <c r="B1311" s="1">
        <v>65154</v>
      </c>
      <c r="C1311" s="1">
        <v>0</v>
      </c>
      <c r="G1311" s="1">
        <v>65154</v>
      </c>
      <c r="H1311" s="1">
        <v>0</v>
      </c>
      <c r="L1311" s="1">
        <v>65154</v>
      </c>
      <c r="M1311" s="1">
        <v>0</v>
      </c>
      <c r="P1311" s="1">
        <v>65154</v>
      </c>
      <c r="Q1311" s="1">
        <v>0</v>
      </c>
    </row>
    <row r="1312" spans="2:17" hidden="1" x14ac:dyDescent="0.2">
      <c r="B1312" s="1">
        <v>65155</v>
      </c>
      <c r="C1312" s="1">
        <v>0</v>
      </c>
      <c r="G1312" s="1">
        <v>65155</v>
      </c>
      <c r="H1312" s="1">
        <v>0</v>
      </c>
      <c r="L1312" s="1">
        <v>65155</v>
      </c>
      <c r="M1312" s="1">
        <v>0</v>
      </c>
      <c r="P1312" s="1">
        <v>65155</v>
      </c>
      <c r="Q1312" s="1">
        <v>0</v>
      </c>
    </row>
    <row r="1313" spans="2:17" hidden="1" x14ac:dyDescent="0.2">
      <c r="B1313" s="1">
        <v>65156</v>
      </c>
      <c r="C1313" s="1">
        <v>0</v>
      </c>
      <c r="G1313" s="1">
        <v>65156</v>
      </c>
      <c r="H1313" s="1">
        <v>0</v>
      </c>
      <c r="L1313" s="1">
        <v>65156</v>
      </c>
      <c r="M1313" s="1">
        <v>0</v>
      </c>
      <c r="P1313" s="1">
        <v>65156</v>
      </c>
      <c r="Q1313" s="1">
        <v>0</v>
      </c>
    </row>
    <row r="1314" spans="2:17" hidden="1" x14ac:dyDescent="0.2">
      <c r="B1314" s="1">
        <v>65157</v>
      </c>
      <c r="C1314" s="1">
        <v>0</v>
      </c>
      <c r="G1314" s="1">
        <v>65157</v>
      </c>
      <c r="H1314" s="1">
        <v>0</v>
      </c>
      <c r="L1314" s="1">
        <v>65157</v>
      </c>
      <c r="M1314" s="1">
        <v>0</v>
      </c>
      <c r="P1314" s="1">
        <v>65157</v>
      </c>
      <c r="Q1314" s="1">
        <v>0</v>
      </c>
    </row>
    <row r="1315" spans="2:17" hidden="1" x14ac:dyDescent="0.2">
      <c r="B1315" s="1">
        <v>65158</v>
      </c>
      <c r="C1315" s="1">
        <v>0</v>
      </c>
      <c r="G1315" s="1">
        <v>65158</v>
      </c>
      <c r="H1315" s="1">
        <v>0</v>
      </c>
      <c r="L1315" s="1">
        <v>65158</v>
      </c>
      <c r="M1315" s="1">
        <v>0</v>
      </c>
      <c r="P1315" s="1">
        <v>65158</v>
      </c>
      <c r="Q1315" s="1">
        <v>0</v>
      </c>
    </row>
    <row r="1316" spans="2:17" hidden="1" x14ac:dyDescent="0.2">
      <c r="B1316" s="1">
        <v>65159</v>
      </c>
      <c r="C1316" s="1">
        <v>0</v>
      </c>
      <c r="G1316" s="1">
        <v>65159</v>
      </c>
      <c r="H1316" s="1">
        <v>0</v>
      </c>
      <c r="L1316" s="1">
        <v>65159</v>
      </c>
      <c r="M1316" s="1">
        <v>0</v>
      </c>
      <c r="P1316" s="1">
        <v>65159</v>
      </c>
      <c r="Q1316" s="1">
        <v>0</v>
      </c>
    </row>
    <row r="1317" spans="2:17" x14ac:dyDescent="0.2">
      <c r="B1317" s="1">
        <v>65160</v>
      </c>
      <c r="C1317" s="1">
        <v>0</v>
      </c>
      <c r="G1317" s="1">
        <v>65160</v>
      </c>
      <c r="H1317" s="1">
        <v>0</v>
      </c>
      <c r="L1317" s="1">
        <v>65160</v>
      </c>
      <c r="M1317" s="1">
        <v>0</v>
      </c>
      <c r="P1317" s="1">
        <v>65160</v>
      </c>
      <c r="Q1317" s="1">
        <v>6.9799999999999994E-11</v>
      </c>
    </row>
    <row r="1318" spans="2:17" x14ac:dyDescent="0.2">
      <c r="B1318" s="1">
        <v>65161</v>
      </c>
      <c r="C1318" s="1">
        <v>0</v>
      </c>
      <c r="G1318" s="1">
        <v>65161</v>
      </c>
      <c r="H1318" s="1">
        <v>0</v>
      </c>
      <c r="L1318" s="1">
        <v>65161</v>
      </c>
      <c r="M1318" s="1">
        <v>1.3959999999999999E-10</v>
      </c>
      <c r="P1318" s="1">
        <v>65161</v>
      </c>
      <c r="Q1318" s="1">
        <v>2.094E-10</v>
      </c>
    </row>
    <row r="1319" spans="2:17" x14ac:dyDescent="0.2">
      <c r="B1319" s="1">
        <v>65162</v>
      </c>
      <c r="C1319" s="1">
        <v>0</v>
      </c>
      <c r="G1319" s="1">
        <v>65162</v>
      </c>
      <c r="H1319" s="1">
        <v>0</v>
      </c>
      <c r="L1319" s="1">
        <v>65162</v>
      </c>
      <c r="M1319" s="1">
        <v>2.094E-10</v>
      </c>
      <c r="P1319" s="1">
        <v>65162</v>
      </c>
      <c r="Q1319" s="1">
        <v>8.3759999999999998E-10</v>
      </c>
    </row>
    <row r="1320" spans="2:17" x14ac:dyDescent="0.2">
      <c r="B1320" s="1">
        <v>65163</v>
      </c>
      <c r="C1320" s="1">
        <v>0</v>
      </c>
      <c r="G1320" s="1">
        <v>65163</v>
      </c>
      <c r="H1320" s="1">
        <v>0</v>
      </c>
      <c r="L1320" s="1">
        <v>65163</v>
      </c>
      <c r="M1320" s="1">
        <v>5.5839999999999995E-10</v>
      </c>
      <c r="P1320" s="1">
        <v>65163</v>
      </c>
      <c r="Q1320" s="1">
        <v>1.6054000000000001E-9</v>
      </c>
    </row>
    <row r="1321" spans="2:17" x14ac:dyDescent="0.2">
      <c r="B1321" s="1">
        <v>65164</v>
      </c>
      <c r="C1321" s="1">
        <v>0</v>
      </c>
      <c r="G1321" s="1">
        <v>65164</v>
      </c>
      <c r="H1321" s="1">
        <v>0</v>
      </c>
      <c r="L1321" s="1">
        <v>65164</v>
      </c>
      <c r="M1321" s="1">
        <v>7.6779999999999997E-10</v>
      </c>
      <c r="P1321" s="1">
        <v>65164</v>
      </c>
      <c r="Q1321" s="1">
        <v>2.5127999999999998E-9</v>
      </c>
    </row>
    <row r="1322" spans="2:17" x14ac:dyDescent="0.2">
      <c r="B1322" s="1">
        <v>65165</v>
      </c>
      <c r="C1322" s="1">
        <v>0</v>
      </c>
      <c r="G1322" s="1">
        <v>65165</v>
      </c>
      <c r="H1322" s="1">
        <v>0</v>
      </c>
      <c r="L1322" s="1">
        <v>65165</v>
      </c>
      <c r="M1322" s="1">
        <v>1.1167999999999999E-9</v>
      </c>
      <c r="P1322" s="1">
        <v>65165</v>
      </c>
      <c r="Q1322" s="1">
        <v>5.0953999999999996E-9</v>
      </c>
    </row>
    <row r="1323" spans="2:17" x14ac:dyDescent="0.2">
      <c r="B1323" s="1">
        <v>66145</v>
      </c>
      <c r="C1323" s="1">
        <v>0</v>
      </c>
      <c r="G1323" s="1">
        <v>66145</v>
      </c>
      <c r="H1323" s="1">
        <v>0</v>
      </c>
      <c r="L1323" s="1">
        <v>66145</v>
      </c>
      <c r="M1323" s="1">
        <v>6.2819999999999996E-10</v>
      </c>
      <c r="P1323" s="1">
        <v>66145</v>
      </c>
      <c r="Q1323" s="1">
        <v>4.4671999999999996E-9</v>
      </c>
    </row>
    <row r="1324" spans="2:17" x14ac:dyDescent="0.2">
      <c r="B1324" s="1">
        <v>66146</v>
      </c>
      <c r="C1324" s="1">
        <v>0</v>
      </c>
      <c r="G1324" s="1">
        <v>66146</v>
      </c>
      <c r="H1324" s="1">
        <v>0</v>
      </c>
      <c r="L1324" s="1">
        <v>66146</v>
      </c>
      <c r="M1324" s="1">
        <v>4.8860000000000005E-10</v>
      </c>
      <c r="P1324" s="1">
        <v>66146</v>
      </c>
      <c r="Q1324" s="1">
        <v>3.4201999999999998E-9</v>
      </c>
    </row>
    <row r="1325" spans="2:17" x14ac:dyDescent="0.2">
      <c r="B1325" s="1">
        <v>66147</v>
      </c>
      <c r="C1325" s="1">
        <v>0</v>
      </c>
      <c r="G1325" s="1">
        <v>66147</v>
      </c>
      <c r="H1325" s="1">
        <v>0</v>
      </c>
      <c r="L1325" s="1">
        <v>66147</v>
      </c>
      <c r="M1325" s="1">
        <v>4.1879999999999999E-10</v>
      </c>
      <c r="P1325" s="1">
        <v>66147</v>
      </c>
      <c r="Q1325" s="1">
        <v>2.3732E-9</v>
      </c>
    </row>
    <row r="1326" spans="2:17" x14ac:dyDescent="0.2">
      <c r="B1326" s="1">
        <v>66148</v>
      </c>
      <c r="C1326" s="1">
        <v>0</v>
      </c>
      <c r="G1326" s="1">
        <v>66148</v>
      </c>
      <c r="H1326" s="1">
        <v>0</v>
      </c>
      <c r="L1326" s="1">
        <v>66148</v>
      </c>
      <c r="M1326" s="1">
        <v>2.7919999999999998E-10</v>
      </c>
      <c r="P1326" s="1">
        <v>66148</v>
      </c>
      <c r="Q1326" s="1">
        <v>1.7450000000000001E-9</v>
      </c>
    </row>
    <row r="1327" spans="2:17" x14ac:dyDescent="0.2">
      <c r="B1327" s="1">
        <v>66149</v>
      </c>
      <c r="C1327" s="1">
        <v>0</v>
      </c>
      <c r="G1327" s="1">
        <v>66149</v>
      </c>
      <c r="H1327" s="1">
        <v>0</v>
      </c>
      <c r="L1327" s="1">
        <v>66149</v>
      </c>
      <c r="M1327" s="1">
        <v>6.9799999999999994E-11</v>
      </c>
      <c r="P1327" s="1">
        <v>66149</v>
      </c>
      <c r="Q1327" s="1">
        <v>4.8860000000000005E-10</v>
      </c>
    </row>
    <row r="1328" spans="2:17" x14ac:dyDescent="0.2">
      <c r="B1328" s="1">
        <v>66150</v>
      </c>
      <c r="C1328" s="1">
        <v>0</v>
      </c>
      <c r="G1328" s="1">
        <v>66150</v>
      </c>
      <c r="H1328" s="1">
        <v>0</v>
      </c>
      <c r="L1328" s="1">
        <v>66150</v>
      </c>
      <c r="M1328" s="1">
        <v>0</v>
      </c>
      <c r="P1328" s="1">
        <v>66150</v>
      </c>
      <c r="Q1328" s="1">
        <v>2.7919999999999998E-10</v>
      </c>
    </row>
    <row r="1329" spans="2:17" hidden="1" x14ac:dyDescent="0.2">
      <c r="B1329" s="1">
        <v>66151</v>
      </c>
      <c r="C1329" s="1">
        <v>0</v>
      </c>
      <c r="G1329" s="1">
        <v>66151</v>
      </c>
      <c r="H1329" s="1">
        <v>0</v>
      </c>
      <c r="L1329" s="1">
        <v>66151</v>
      </c>
      <c r="M1329" s="1">
        <v>0</v>
      </c>
      <c r="P1329" s="1">
        <v>66151</v>
      </c>
      <c r="Q1329" s="1">
        <v>0</v>
      </c>
    </row>
    <row r="1330" spans="2:17" hidden="1" x14ac:dyDescent="0.2">
      <c r="B1330" s="1">
        <v>66152</v>
      </c>
      <c r="C1330" s="1">
        <v>0</v>
      </c>
      <c r="G1330" s="1">
        <v>66152</v>
      </c>
      <c r="H1330" s="1">
        <v>0</v>
      </c>
      <c r="L1330" s="1">
        <v>66152</v>
      </c>
      <c r="M1330" s="1">
        <v>0</v>
      </c>
      <c r="P1330" s="1">
        <v>66152</v>
      </c>
      <c r="Q1330" s="1">
        <v>0</v>
      </c>
    </row>
    <row r="1331" spans="2:17" x14ac:dyDescent="0.2">
      <c r="B1331" s="1">
        <v>66153</v>
      </c>
      <c r="C1331" s="1">
        <v>0</v>
      </c>
      <c r="G1331" s="1">
        <v>66153</v>
      </c>
      <c r="H1331" s="1">
        <v>0</v>
      </c>
      <c r="L1331" s="1">
        <v>66153</v>
      </c>
      <c r="M1331" s="1">
        <v>0</v>
      </c>
      <c r="P1331" s="1">
        <v>66153</v>
      </c>
      <c r="Q1331" s="1">
        <v>6.9799999999999994E-11</v>
      </c>
    </row>
    <row r="1332" spans="2:17" hidden="1" x14ac:dyDescent="0.2">
      <c r="B1332" s="1">
        <v>66154</v>
      </c>
      <c r="C1332" s="1">
        <v>0</v>
      </c>
      <c r="G1332" s="1">
        <v>66154</v>
      </c>
      <c r="H1332" s="1">
        <v>0</v>
      </c>
      <c r="L1332" s="1">
        <v>66154</v>
      </c>
      <c r="M1332" s="1">
        <v>0</v>
      </c>
      <c r="P1332" s="1">
        <v>66154</v>
      </c>
      <c r="Q1332" s="1">
        <v>0</v>
      </c>
    </row>
    <row r="1333" spans="2:17" hidden="1" x14ac:dyDescent="0.2">
      <c r="B1333" s="1">
        <v>66155</v>
      </c>
      <c r="C1333" s="1">
        <v>0</v>
      </c>
      <c r="G1333" s="1">
        <v>66155</v>
      </c>
      <c r="H1333" s="1">
        <v>0</v>
      </c>
      <c r="L1333" s="1">
        <v>66155</v>
      </c>
      <c r="M1333" s="1">
        <v>0</v>
      </c>
      <c r="P1333" s="1">
        <v>66155</v>
      </c>
      <c r="Q1333" s="1">
        <v>0</v>
      </c>
    </row>
    <row r="1334" spans="2:17" hidden="1" x14ac:dyDescent="0.2">
      <c r="B1334" s="1">
        <v>66156</v>
      </c>
      <c r="C1334" s="1">
        <v>0</v>
      </c>
      <c r="G1334" s="1">
        <v>66156</v>
      </c>
      <c r="H1334" s="1">
        <v>0</v>
      </c>
      <c r="L1334" s="1">
        <v>66156</v>
      </c>
      <c r="M1334" s="1">
        <v>0</v>
      </c>
      <c r="P1334" s="1">
        <v>66156</v>
      </c>
      <c r="Q1334" s="1">
        <v>0</v>
      </c>
    </row>
    <row r="1335" spans="2:17" hidden="1" x14ac:dyDescent="0.2">
      <c r="B1335" s="1">
        <v>66157</v>
      </c>
      <c r="C1335" s="1">
        <v>0</v>
      </c>
      <c r="G1335" s="1">
        <v>66157</v>
      </c>
      <c r="H1335" s="1">
        <v>0</v>
      </c>
      <c r="L1335" s="1">
        <v>66157</v>
      </c>
      <c r="M1335" s="1">
        <v>0</v>
      </c>
      <c r="P1335" s="1">
        <v>66157</v>
      </c>
      <c r="Q1335" s="1">
        <v>0</v>
      </c>
    </row>
    <row r="1336" spans="2:17" hidden="1" x14ac:dyDescent="0.2">
      <c r="B1336" s="1">
        <v>66158</v>
      </c>
      <c r="C1336" s="1">
        <v>0</v>
      </c>
      <c r="G1336" s="1">
        <v>66158</v>
      </c>
      <c r="H1336" s="1">
        <v>0</v>
      </c>
      <c r="L1336" s="1">
        <v>66158</v>
      </c>
      <c r="M1336" s="1">
        <v>0</v>
      </c>
      <c r="P1336" s="1">
        <v>66158</v>
      </c>
      <c r="Q1336" s="1">
        <v>0</v>
      </c>
    </row>
    <row r="1337" spans="2:17" hidden="1" x14ac:dyDescent="0.2">
      <c r="B1337" s="1">
        <v>66159</v>
      </c>
      <c r="C1337" s="1">
        <v>0</v>
      </c>
      <c r="G1337" s="1">
        <v>66159</v>
      </c>
      <c r="H1337" s="1">
        <v>0</v>
      </c>
      <c r="L1337" s="1">
        <v>66159</v>
      </c>
      <c r="M1337" s="1">
        <v>0</v>
      </c>
      <c r="P1337" s="1">
        <v>66159</v>
      </c>
      <c r="Q1337" s="1">
        <v>0</v>
      </c>
    </row>
    <row r="1338" spans="2:17" hidden="1" x14ac:dyDescent="0.2">
      <c r="B1338" s="1">
        <v>66160</v>
      </c>
      <c r="C1338" s="1">
        <v>0</v>
      </c>
      <c r="G1338" s="1">
        <v>66160</v>
      </c>
      <c r="H1338" s="1">
        <v>0</v>
      </c>
      <c r="L1338" s="1">
        <v>66160</v>
      </c>
      <c r="M1338" s="1">
        <v>0</v>
      </c>
      <c r="P1338" s="1">
        <v>66160</v>
      </c>
      <c r="Q1338" s="1">
        <v>0</v>
      </c>
    </row>
    <row r="1339" spans="2:17" hidden="1" x14ac:dyDescent="0.2">
      <c r="B1339" s="1">
        <v>66161</v>
      </c>
      <c r="C1339" s="1">
        <v>0</v>
      </c>
      <c r="G1339" s="1">
        <v>66161</v>
      </c>
      <c r="H1339" s="1">
        <v>0</v>
      </c>
      <c r="L1339" s="1">
        <v>66161</v>
      </c>
      <c r="M1339" s="1">
        <v>0</v>
      </c>
      <c r="P1339" s="1">
        <v>66161</v>
      </c>
      <c r="Q1339" s="1">
        <v>0</v>
      </c>
    </row>
    <row r="1340" spans="2:17" x14ac:dyDescent="0.2">
      <c r="B1340" s="1">
        <v>66162</v>
      </c>
      <c r="C1340" s="1">
        <v>0</v>
      </c>
      <c r="G1340" s="1">
        <v>66162</v>
      </c>
      <c r="H1340" s="1">
        <v>0</v>
      </c>
      <c r="L1340" s="1">
        <v>66162</v>
      </c>
      <c r="M1340" s="1">
        <v>0</v>
      </c>
      <c r="P1340" s="1">
        <v>66162</v>
      </c>
      <c r="Q1340" s="1">
        <v>6.9799999999999994E-11</v>
      </c>
    </row>
    <row r="1341" spans="2:17" hidden="1" x14ac:dyDescent="0.2">
      <c r="B1341" s="1">
        <v>66163</v>
      </c>
      <c r="C1341" s="1">
        <v>0</v>
      </c>
      <c r="G1341" s="1">
        <v>66163</v>
      </c>
      <c r="H1341" s="1">
        <v>0</v>
      </c>
      <c r="L1341" s="1">
        <v>66163</v>
      </c>
      <c r="M1341" s="1">
        <v>0</v>
      </c>
      <c r="P1341" s="1">
        <v>66163</v>
      </c>
      <c r="Q1341" s="1">
        <v>0</v>
      </c>
    </row>
    <row r="1342" spans="2:17" x14ac:dyDescent="0.2">
      <c r="B1342" s="1">
        <v>66164</v>
      </c>
      <c r="C1342" s="1">
        <v>0</v>
      </c>
      <c r="G1342" s="1">
        <v>66164</v>
      </c>
      <c r="H1342" s="1">
        <v>0</v>
      </c>
      <c r="L1342" s="1">
        <v>66164</v>
      </c>
      <c r="M1342" s="1">
        <v>6.9799999999999994E-11</v>
      </c>
      <c r="P1342" s="1">
        <v>66164</v>
      </c>
      <c r="Q1342" s="1">
        <v>6.9799999999999994E-11</v>
      </c>
    </row>
    <row r="1343" spans="2:17" hidden="1" x14ac:dyDescent="0.2">
      <c r="B1343" s="1">
        <v>66165</v>
      </c>
      <c r="C1343" s="1">
        <v>0</v>
      </c>
      <c r="G1343" s="1">
        <v>66165</v>
      </c>
      <c r="H1343" s="1">
        <v>0</v>
      </c>
      <c r="L1343" s="1">
        <v>66165</v>
      </c>
      <c r="M1343" s="1">
        <v>0</v>
      </c>
      <c r="P1343" s="1">
        <v>66165</v>
      </c>
      <c r="Q1343" s="1">
        <v>0</v>
      </c>
    </row>
    <row r="1344" spans="2:17" x14ac:dyDescent="0.2">
      <c r="B1344" s="1">
        <v>66166</v>
      </c>
      <c r="C1344" s="1">
        <v>0</v>
      </c>
      <c r="G1344" s="1">
        <v>66166</v>
      </c>
      <c r="H1344" s="1">
        <v>0</v>
      </c>
      <c r="L1344" s="1">
        <v>66166</v>
      </c>
      <c r="M1344" s="1">
        <v>6.9799999999999994E-11</v>
      </c>
      <c r="P1344" s="1">
        <v>66166</v>
      </c>
      <c r="Q1344" s="1">
        <v>2.7919999999999998E-10</v>
      </c>
    </row>
    <row r="1345" spans="2:17" x14ac:dyDescent="0.2">
      <c r="B1345" s="1">
        <v>66167</v>
      </c>
      <c r="C1345" s="1">
        <v>0</v>
      </c>
      <c r="G1345" s="1">
        <v>66167</v>
      </c>
      <c r="H1345" s="1">
        <v>0</v>
      </c>
      <c r="L1345" s="1">
        <v>66167</v>
      </c>
      <c r="M1345" s="1">
        <v>2.7919999999999998E-10</v>
      </c>
      <c r="P1345" s="1">
        <v>66167</v>
      </c>
      <c r="Q1345" s="1">
        <v>1.047E-9</v>
      </c>
    </row>
    <row r="1346" spans="2:17" x14ac:dyDescent="0.2">
      <c r="B1346" s="1">
        <v>66168</v>
      </c>
      <c r="C1346" s="1">
        <v>0</v>
      </c>
      <c r="G1346" s="1">
        <v>66168</v>
      </c>
      <c r="H1346" s="1">
        <v>0</v>
      </c>
      <c r="L1346" s="1">
        <v>66168</v>
      </c>
      <c r="M1346" s="1">
        <v>2.7919999999999998E-10</v>
      </c>
      <c r="P1346" s="1">
        <v>66168</v>
      </c>
      <c r="Q1346" s="1">
        <v>1.4658E-9</v>
      </c>
    </row>
    <row r="1347" spans="2:17" x14ac:dyDescent="0.2">
      <c r="B1347" s="1">
        <v>67147</v>
      </c>
      <c r="C1347" s="1">
        <v>0</v>
      </c>
      <c r="G1347" s="1">
        <v>67147</v>
      </c>
      <c r="H1347" s="1">
        <v>0</v>
      </c>
      <c r="L1347" s="1">
        <v>67147</v>
      </c>
      <c r="M1347" s="1">
        <v>6.9799999999999994E-11</v>
      </c>
      <c r="P1347" s="1">
        <v>67147</v>
      </c>
      <c r="Q1347" s="1">
        <v>4.8860000000000005E-10</v>
      </c>
    </row>
    <row r="1348" spans="2:17" x14ac:dyDescent="0.2">
      <c r="B1348" s="1">
        <v>67148</v>
      </c>
      <c r="C1348" s="1">
        <v>0</v>
      </c>
      <c r="G1348" s="1">
        <v>67148</v>
      </c>
      <c r="H1348" s="1">
        <v>0</v>
      </c>
      <c r="L1348" s="1">
        <v>67148</v>
      </c>
      <c r="M1348" s="1">
        <v>6.9799999999999994E-11</v>
      </c>
      <c r="P1348" s="1">
        <v>67148</v>
      </c>
      <c r="Q1348" s="1">
        <v>1.047E-9</v>
      </c>
    </row>
    <row r="1349" spans="2:17" x14ac:dyDescent="0.2">
      <c r="B1349" s="1">
        <v>67149</v>
      </c>
      <c r="C1349" s="1">
        <v>0</v>
      </c>
      <c r="G1349" s="1">
        <v>67149</v>
      </c>
      <c r="H1349" s="1">
        <v>0</v>
      </c>
      <c r="L1349" s="1">
        <v>67149</v>
      </c>
      <c r="M1349" s="1">
        <v>6.9799999999999994E-11</v>
      </c>
      <c r="P1349" s="1">
        <v>67149</v>
      </c>
      <c r="Q1349" s="1">
        <v>4.8860000000000005E-10</v>
      </c>
    </row>
    <row r="1350" spans="2:17" x14ac:dyDescent="0.2">
      <c r="B1350" s="1">
        <v>67150</v>
      </c>
      <c r="C1350" s="1">
        <v>0</v>
      </c>
      <c r="G1350" s="1">
        <v>67150</v>
      </c>
      <c r="H1350" s="1">
        <v>0</v>
      </c>
      <c r="L1350" s="1">
        <v>67150</v>
      </c>
      <c r="M1350" s="1">
        <v>2.094E-10</v>
      </c>
      <c r="P1350" s="1">
        <v>67150</v>
      </c>
      <c r="Q1350" s="1">
        <v>2.7919999999999998E-10</v>
      </c>
    </row>
    <row r="1351" spans="2:17" hidden="1" x14ac:dyDescent="0.2">
      <c r="B1351" s="1">
        <v>67151</v>
      </c>
      <c r="C1351" s="1">
        <v>0</v>
      </c>
      <c r="G1351" s="1">
        <v>67151</v>
      </c>
      <c r="H1351" s="1">
        <v>0</v>
      </c>
      <c r="L1351" s="1">
        <v>67151</v>
      </c>
      <c r="M1351" s="1">
        <v>6.9799999999999994E-11</v>
      </c>
      <c r="P1351" s="1">
        <v>67151</v>
      </c>
      <c r="Q1351" s="1">
        <v>0</v>
      </c>
    </row>
    <row r="1352" spans="2:17" hidden="1" x14ac:dyDescent="0.2">
      <c r="B1352" s="1">
        <v>67152</v>
      </c>
      <c r="C1352" s="1">
        <v>0</v>
      </c>
      <c r="G1352" s="1">
        <v>67152</v>
      </c>
      <c r="H1352" s="1">
        <v>0</v>
      </c>
      <c r="L1352" s="1">
        <v>67152</v>
      </c>
      <c r="M1352" s="1">
        <v>0</v>
      </c>
      <c r="P1352" s="1">
        <v>67152</v>
      </c>
      <c r="Q1352" s="1">
        <v>0</v>
      </c>
    </row>
    <row r="1353" spans="2:17" x14ac:dyDescent="0.2">
      <c r="B1353" s="1">
        <v>67153</v>
      </c>
      <c r="C1353" s="1">
        <v>0</v>
      </c>
      <c r="G1353" s="1">
        <v>67153</v>
      </c>
      <c r="H1353" s="1">
        <v>0</v>
      </c>
      <c r="L1353" s="1">
        <v>67153</v>
      </c>
      <c r="M1353" s="1">
        <v>0</v>
      </c>
      <c r="P1353" s="1">
        <v>67153</v>
      </c>
      <c r="Q1353" s="1">
        <v>6.9799999999999994E-11</v>
      </c>
    </row>
    <row r="1354" spans="2:17" hidden="1" x14ac:dyDescent="0.2">
      <c r="B1354" s="1">
        <v>67154</v>
      </c>
      <c r="C1354" s="1">
        <v>0</v>
      </c>
      <c r="G1354" s="1">
        <v>67154</v>
      </c>
      <c r="H1354" s="1">
        <v>0</v>
      </c>
      <c r="L1354" s="1">
        <v>67154</v>
      </c>
      <c r="M1354" s="1">
        <v>0</v>
      </c>
      <c r="P1354" s="1">
        <v>67154</v>
      </c>
      <c r="Q1354" s="1">
        <v>0</v>
      </c>
    </row>
    <row r="1355" spans="2:17" hidden="1" x14ac:dyDescent="0.2">
      <c r="B1355" s="1">
        <v>67155</v>
      </c>
      <c r="C1355" s="1">
        <v>0</v>
      </c>
      <c r="G1355" s="1">
        <v>67155</v>
      </c>
      <c r="H1355" s="1">
        <v>0</v>
      </c>
      <c r="L1355" s="1">
        <v>67155</v>
      </c>
      <c r="M1355" s="1">
        <v>0</v>
      </c>
      <c r="P1355" s="1">
        <v>67155</v>
      </c>
      <c r="Q1355" s="1">
        <v>0</v>
      </c>
    </row>
    <row r="1356" spans="2:17" hidden="1" x14ac:dyDescent="0.2">
      <c r="B1356" s="1">
        <v>67156</v>
      </c>
      <c r="C1356" s="1">
        <v>0</v>
      </c>
      <c r="G1356" s="1">
        <v>67156</v>
      </c>
      <c r="H1356" s="1">
        <v>0</v>
      </c>
      <c r="L1356" s="1">
        <v>67156</v>
      </c>
      <c r="M1356" s="1">
        <v>0</v>
      </c>
      <c r="P1356" s="1">
        <v>67156</v>
      </c>
      <c r="Q1356" s="1">
        <v>0</v>
      </c>
    </row>
    <row r="1357" spans="2:17" hidden="1" x14ac:dyDescent="0.2">
      <c r="B1357" s="1">
        <v>67157</v>
      </c>
      <c r="C1357" s="1">
        <v>0</v>
      </c>
      <c r="G1357" s="1">
        <v>67157</v>
      </c>
      <c r="H1357" s="1">
        <v>0</v>
      </c>
      <c r="L1357" s="1">
        <v>67157</v>
      </c>
      <c r="M1357" s="1">
        <v>0</v>
      </c>
      <c r="P1357" s="1">
        <v>67157</v>
      </c>
      <c r="Q1357" s="1">
        <v>0</v>
      </c>
    </row>
    <row r="1358" spans="2:17" hidden="1" x14ac:dyDescent="0.2">
      <c r="B1358" s="1">
        <v>67158</v>
      </c>
      <c r="C1358" s="1">
        <v>0</v>
      </c>
      <c r="G1358" s="1">
        <v>67158</v>
      </c>
      <c r="H1358" s="1">
        <v>0</v>
      </c>
      <c r="L1358" s="1">
        <v>67158</v>
      </c>
      <c r="M1358" s="1">
        <v>0</v>
      </c>
      <c r="P1358" s="1">
        <v>67158</v>
      </c>
      <c r="Q1358" s="1">
        <v>0</v>
      </c>
    </row>
    <row r="1359" spans="2:17" hidden="1" x14ac:dyDescent="0.2">
      <c r="B1359" s="1">
        <v>67159</v>
      </c>
      <c r="C1359" s="1">
        <v>0</v>
      </c>
      <c r="G1359" s="1">
        <v>67159</v>
      </c>
      <c r="H1359" s="1">
        <v>0</v>
      </c>
      <c r="L1359" s="1">
        <v>67159</v>
      </c>
      <c r="M1359" s="1">
        <v>0</v>
      </c>
      <c r="P1359" s="1">
        <v>67159</v>
      </c>
      <c r="Q1359" s="1">
        <v>0</v>
      </c>
    </row>
    <row r="1360" spans="2:17" hidden="1" x14ac:dyDescent="0.2">
      <c r="B1360" s="1">
        <v>67160</v>
      </c>
      <c r="C1360" s="1">
        <v>0</v>
      </c>
      <c r="G1360" s="1">
        <v>67160</v>
      </c>
      <c r="H1360" s="1">
        <v>0</v>
      </c>
      <c r="L1360" s="1">
        <v>67160</v>
      </c>
      <c r="M1360" s="1">
        <v>0</v>
      </c>
      <c r="P1360" s="1">
        <v>67160</v>
      </c>
      <c r="Q1360" s="1">
        <v>0</v>
      </c>
    </row>
    <row r="1361" spans="2:17" hidden="1" x14ac:dyDescent="0.2">
      <c r="B1361" s="1">
        <v>67161</v>
      </c>
      <c r="C1361" s="1">
        <v>0</v>
      </c>
      <c r="G1361" s="1">
        <v>67161</v>
      </c>
      <c r="H1361" s="1">
        <v>0</v>
      </c>
      <c r="L1361" s="1">
        <v>67161</v>
      </c>
      <c r="M1361" s="1">
        <v>0</v>
      </c>
      <c r="P1361" s="1">
        <v>67161</v>
      </c>
      <c r="Q1361" s="1">
        <v>0</v>
      </c>
    </row>
    <row r="1362" spans="2:17" hidden="1" x14ac:dyDescent="0.2">
      <c r="B1362" s="1">
        <v>67162</v>
      </c>
      <c r="C1362" s="1">
        <v>0</v>
      </c>
      <c r="G1362" s="1">
        <v>67162</v>
      </c>
      <c r="H1362" s="1">
        <v>0</v>
      </c>
      <c r="L1362" s="1">
        <v>67162</v>
      </c>
      <c r="M1362" s="1">
        <v>0</v>
      </c>
      <c r="P1362" s="1">
        <v>67162</v>
      </c>
      <c r="Q1362" s="1">
        <v>0</v>
      </c>
    </row>
    <row r="1363" spans="2:17" hidden="1" x14ac:dyDescent="0.2">
      <c r="B1363" s="1">
        <v>67163</v>
      </c>
      <c r="C1363" s="1">
        <v>0</v>
      </c>
      <c r="G1363" s="1">
        <v>67163</v>
      </c>
      <c r="H1363" s="1">
        <v>0</v>
      </c>
      <c r="L1363" s="1">
        <v>67163</v>
      </c>
      <c r="M1363" s="1">
        <v>0</v>
      </c>
      <c r="P1363" s="1">
        <v>67163</v>
      </c>
      <c r="Q1363" s="1">
        <v>0</v>
      </c>
    </row>
    <row r="1364" spans="2:17" hidden="1" x14ac:dyDescent="0.2">
      <c r="B1364" s="1">
        <v>67164</v>
      </c>
      <c r="C1364" s="1">
        <v>0</v>
      </c>
      <c r="G1364" s="1">
        <v>67164</v>
      </c>
      <c r="H1364" s="1">
        <v>0</v>
      </c>
      <c r="L1364" s="1">
        <v>67164</v>
      </c>
      <c r="M1364" s="1">
        <v>0</v>
      </c>
      <c r="P1364" s="1">
        <v>67164</v>
      </c>
      <c r="Q1364" s="1">
        <v>0</v>
      </c>
    </row>
    <row r="1365" spans="2:17" hidden="1" x14ac:dyDescent="0.2">
      <c r="B1365" s="1">
        <v>67165</v>
      </c>
      <c r="C1365" s="1">
        <v>0</v>
      </c>
      <c r="G1365" s="1">
        <v>67165</v>
      </c>
      <c r="H1365" s="1">
        <v>0</v>
      </c>
      <c r="L1365" s="1">
        <v>67165</v>
      </c>
      <c r="M1365" s="1">
        <v>0</v>
      </c>
      <c r="P1365" s="1">
        <v>67165</v>
      </c>
      <c r="Q1365" s="1">
        <v>0</v>
      </c>
    </row>
    <row r="1366" spans="2:17" hidden="1" x14ac:dyDescent="0.2">
      <c r="B1366" s="1">
        <v>67166</v>
      </c>
      <c r="C1366" s="1">
        <v>0</v>
      </c>
      <c r="G1366" s="1">
        <v>67166</v>
      </c>
      <c r="H1366" s="1">
        <v>0</v>
      </c>
      <c r="L1366" s="1">
        <v>67166</v>
      </c>
      <c r="M1366" s="1">
        <v>0</v>
      </c>
      <c r="P1366" s="1">
        <v>67166</v>
      </c>
      <c r="Q1366" s="1">
        <v>0</v>
      </c>
    </row>
    <row r="1367" spans="2:17" hidden="1" x14ac:dyDescent="0.2">
      <c r="B1367" s="1">
        <v>67167</v>
      </c>
      <c r="C1367" s="1">
        <v>0</v>
      </c>
      <c r="G1367" s="1">
        <v>67167</v>
      </c>
      <c r="H1367" s="1">
        <v>0</v>
      </c>
      <c r="L1367" s="1">
        <v>67167</v>
      </c>
      <c r="M1367" s="1">
        <v>0</v>
      </c>
      <c r="P1367" s="1">
        <v>67167</v>
      </c>
      <c r="Q1367" s="1">
        <v>0</v>
      </c>
    </row>
    <row r="1368" spans="2:17" x14ac:dyDescent="0.2">
      <c r="B1368" s="1">
        <v>67168</v>
      </c>
      <c r="C1368" s="1">
        <v>0</v>
      </c>
      <c r="G1368" s="1">
        <v>67168</v>
      </c>
      <c r="H1368" s="1">
        <v>0</v>
      </c>
      <c r="L1368" s="1">
        <v>67168</v>
      </c>
      <c r="M1368" s="1">
        <v>0</v>
      </c>
      <c r="P1368" s="1">
        <v>67168</v>
      </c>
      <c r="Q1368" s="1">
        <v>1.3959999999999999E-10</v>
      </c>
    </row>
    <row r="1369" spans="2:17" x14ac:dyDescent="0.2">
      <c r="B1369" s="1">
        <v>67169</v>
      </c>
      <c r="C1369" s="1">
        <v>0</v>
      </c>
      <c r="G1369" s="1">
        <v>67169</v>
      </c>
      <c r="H1369" s="1">
        <v>0</v>
      </c>
      <c r="L1369" s="1">
        <v>67169</v>
      </c>
      <c r="M1369" s="1">
        <v>6.9799999999999994E-11</v>
      </c>
      <c r="P1369" s="1">
        <v>67169</v>
      </c>
      <c r="Q1369" s="1">
        <v>2.094E-10</v>
      </c>
    </row>
    <row r="1370" spans="2:17" x14ac:dyDescent="0.2">
      <c r="B1370" s="1">
        <v>67170</v>
      </c>
      <c r="C1370" s="1">
        <v>0</v>
      </c>
      <c r="G1370" s="1">
        <v>67170</v>
      </c>
      <c r="H1370" s="1">
        <v>0</v>
      </c>
      <c r="L1370" s="1">
        <v>67170</v>
      </c>
      <c r="M1370" s="1">
        <v>0</v>
      </c>
      <c r="P1370" s="1">
        <v>67170</v>
      </c>
      <c r="Q1370" s="1">
        <v>6.9799999999999994E-11</v>
      </c>
    </row>
    <row r="1371" spans="2:17" x14ac:dyDescent="0.2">
      <c r="B1371" s="1">
        <v>68147</v>
      </c>
      <c r="C1371" s="1">
        <v>0</v>
      </c>
      <c r="G1371" s="1">
        <v>68147</v>
      </c>
      <c r="H1371" s="1">
        <v>0</v>
      </c>
      <c r="L1371" s="1">
        <v>68147</v>
      </c>
      <c r="M1371" s="1">
        <v>1.3959999999999999E-10</v>
      </c>
      <c r="P1371" s="1">
        <v>68147</v>
      </c>
      <c r="Q1371" s="1">
        <v>6.9799999999999994E-11</v>
      </c>
    </row>
    <row r="1372" spans="2:17" x14ac:dyDescent="0.2">
      <c r="B1372" s="1">
        <v>68148</v>
      </c>
      <c r="C1372" s="1">
        <v>0</v>
      </c>
      <c r="G1372" s="1">
        <v>68148</v>
      </c>
      <c r="H1372" s="1">
        <v>0</v>
      </c>
      <c r="L1372" s="1">
        <v>68148</v>
      </c>
      <c r="M1372" s="1">
        <v>6.9799999999999994E-11</v>
      </c>
      <c r="P1372" s="1">
        <v>68148</v>
      </c>
      <c r="Q1372" s="1">
        <v>6.9799999999999994E-11</v>
      </c>
    </row>
    <row r="1373" spans="2:17" x14ac:dyDescent="0.2">
      <c r="B1373" s="1">
        <v>68149</v>
      </c>
      <c r="C1373" s="1">
        <v>0</v>
      </c>
      <c r="G1373" s="1">
        <v>68149</v>
      </c>
      <c r="H1373" s="1">
        <v>0</v>
      </c>
      <c r="L1373" s="1">
        <v>68149</v>
      </c>
      <c r="M1373" s="1">
        <v>0</v>
      </c>
      <c r="P1373" s="1">
        <v>68149</v>
      </c>
      <c r="Q1373" s="1">
        <v>1.3959999999999999E-10</v>
      </c>
    </row>
    <row r="1374" spans="2:17" x14ac:dyDescent="0.2">
      <c r="B1374" s="1">
        <v>68150</v>
      </c>
      <c r="C1374" s="1">
        <v>0</v>
      </c>
      <c r="G1374" s="1">
        <v>68150</v>
      </c>
      <c r="H1374" s="1">
        <v>0</v>
      </c>
      <c r="L1374" s="1">
        <v>68150</v>
      </c>
      <c r="M1374" s="1">
        <v>0</v>
      </c>
      <c r="P1374" s="1">
        <v>68150</v>
      </c>
      <c r="Q1374" s="1">
        <v>6.9799999999999994E-11</v>
      </c>
    </row>
    <row r="1375" spans="2:17" hidden="1" x14ac:dyDescent="0.2">
      <c r="B1375" s="1">
        <v>68151</v>
      </c>
      <c r="C1375" s="1">
        <v>0</v>
      </c>
      <c r="G1375" s="1">
        <v>68151</v>
      </c>
      <c r="H1375" s="1">
        <v>0</v>
      </c>
      <c r="L1375" s="1">
        <v>68151</v>
      </c>
      <c r="M1375" s="1">
        <v>0</v>
      </c>
      <c r="P1375" s="1">
        <v>68151</v>
      </c>
      <c r="Q1375" s="1">
        <v>0</v>
      </c>
    </row>
    <row r="1376" spans="2:17" hidden="1" x14ac:dyDescent="0.2">
      <c r="B1376" s="1">
        <v>68152</v>
      </c>
      <c r="C1376" s="1">
        <v>0</v>
      </c>
      <c r="G1376" s="1">
        <v>68152</v>
      </c>
      <c r="H1376" s="1">
        <v>0</v>
      </c>
      <c r="L1376" s="1">
        <v>68152</v>
      </c>
      <c r="M1376" s="1">
        <v>0</v>
      </c>
      <c r="P1376" s="1">
        <v>68152</v>
      </c>
      <c r="Q1376" s="1">
        <v>0</v>
      </c>
    </row>
    <row r="1377" spans="2:17" hidden="1" x14ac:dyDescent="0.2">
      <c r="B1377" s="1">
        <v>68153</v>
      </c>
      <c r="C1377" s="1">
        <v>0</v>
      </c>
      <c r="G1377" s="1">
        <v>68153</v>
      </c>
      <c r="H1377" s="1">
        <v>0</v>
      </c>
      <c r="L1377" s="1">
        <v>68153</v>
      </c>
      <c r="M1377" s="1">
        <v>0</v>
      </c>
      <c r="P1377" s="1">
        <v>68153</v>
      </c>
      <c r="Q1377" s="1">
        <v>0</v>
      </c>
    </row>
    <row r="1378" spans="2:17" hidden="1" x14ac:dyDescent="0.2">
      <c r="B1378" s="1">
        <v>68154</v>
      </c>
      <c r="C1378" s="1">
        <v>0</v>
      </c>
      <c r="G1378" s="1">
        <v>68154</v>
      </c>
      <c r="H1378" s="1">
        <v>0</v>
      </c>
      <c r="L1378" s="1">
        <v>68154</v>
      </c>
      <c r="M1378" s="1">
        <v>0</v>
      </c>
      <c r="P1378" s="1">
        <v>68154</v>
      </c>
      <c r="Q1378" s="1">
        <v>0</v>
      </c>
    </row>
    <row r="1379" spans="2:17" hidden="1" x14ac:dyDescent="0.2">
      <c r="B1379" s="1">
        <v>68155</v>
      </c>
      <c r="C1379" s="1">
        <v>0</v>
      </c>
      <c r="G1379" s="1">
        <v>68155</v>
      </c>
      <c r="H1379" s="1">
        <v>0</v>
      </c>
      <c r="L1379" s="1">
        <v>68155</v>
      </c>
      <c r="M1379" s="1">
        <v>0</v>
      </c>
      <c r="P1379" s="1">
        <v>68155</v>
      </c>
      <c r="Q1379" s="1">
        <v>0</v>
      </c>
    </row>
    <row r="1380" spans="2:17" hidden="1" x14ac:dyDescent="0.2">
      <c r="B1380" s="1">
        <v>68156</v>
      </c>
      <c r="C1380" s="1">
        <v>0</v>
      </c>
      <c r="G1380" s="1">
        <v>68156</v>
      </c>
      <c r="H1380" s="1">
        <v>0</v>
      </c>
      <c r="L1380" s="1">
        <v>68156</v>
      </c>
      <c r="M1380" s="1">
        <v>0</v>
      </c>
      <c r="P1380" s="1">
        <v>68156</v>
      </c>
      <c r="Q1380" s="1">
        <v>0</v>
      </c>
    </row>
    <row r="1381" spans="2:17" hidden="1" x14ac:dyDescent="0.2">
      <c r="B1381" s="1">
        <v>68157</v>
      </c>
      <c r="C1381" s="1">
        <v>0</v>
      </c>
      <c r="G1381" s="1">
        <v>68157</v>
      </c>
      <c r="H1381" s="1">
        <v>0</v>
      </c>
      <c r="L1381" s="1">
        <v>68157</v>
      </c>
      <c r="M1381" s="1">
        <v>0</v>
      </c>
      <c r="P1381" s="1">
        <v>68157</v>
      </c>
      <c r="Q1381" s="1">
        <v>0</v>
      </c>
    </row>
    <row r="1382" spans="2:17" hidden="1" x14ac:dyDescent="0.2">
      <c r="B1382" s="1">
        <v>68158</v>
      </c>
      <c r="C1382" s="1">
        <v>0</v>
      </c>
      <c r="G1382" s="1">
        <v>68158</v>
      </c>
      <c r="H1382" s="1">
        <v>0</v>
      </c>
      <c r="L1382" s="1">
        <v>68158</v>
      </c>
      <c r="M1382" s="1">
        <v>0</v>
      </c>
      <c r="P1382" s="1">
        <v>68158</v>
      </c>
      <c r="Q1382" s="1">
        <v>0</v>
      </c>
    </row>
    <row r="1383" spans="2:17" hidden="1" x14ac:dyDescent="0.2">
      <c r="B1383" s="1">
        <v>68159</v>
      </c>
      <c r="C1383" s="1">
        <v>0</v>
      </c>
      <c r="G1383" s="1">
        <v>68159</v>
      </c>
      <c r="H1383" s="1">
        <v>0</v>
      </c>
      <c r="L1383" s="1">
        <v>68159</v>
      </c>
      <c r="M1383" s="1">
        <v>0</v>
      </c>
      <c r="P1383" s="1">
        <v>68159</v>
      </c>
      <c r="Q1383" s="1">
        <v>0</v>
      </c>
    </row>
    <row r="1384" spans="2:17" hidden="1" x14ac:dyDescent="0.2">
      <c r="B1384" s="1">
        <v>68160</v>
      </c>
      <c r="C1384" s="1">
        <v>0</v>
      </c>
      <c r="G1384" s="1">
        <v>68160</v>
      </c>
      <c r="H1384" s="1">
        <v>0</v>
      </c>
      <c r="L1384" s="1">
        <v>68160</v>
      </c>
      <c r="M1384" s="1">
        <v>0</v>
      </c>
      <c r="P1384" s="1">
        <v>68160</v>
      </c>
      <c r="Q1384" s="1">
        <v>0</v>
      </c>
    </row>
    <row r="1385" spans="2:17" hidden="1" x14ac:dyDescent="0.2">
      <c r="B1385" s="1">
        <v>68161</v>
      </c>
      <c r="C1385" s="1">
        <v>0</v>
      </c>
      <c r="G1385" s="1">
        <v>68161</v>
      </c>
      <c r="H1385" s="1">
        <v>0</v>
      </c>
      <c r="L1385" s="1">
        <v>68161</v>
      </c>
      <c r="M1385" s="1">
        <v>0</v>
      </c>
      <c r="P1385" s="1">
        <v>68161</v>
      </c>
      <c r="Q1385" s="1">
        <v>0</v>
      </c>
    </row>
    <row r="1386" spans="2:17" hidden="1" x14ac:dyDescent="0.2">
      <c r="B1386" s="1">
        <v>68162</v>
      </c>
      <c r="C1386" s="1">
        <v>0</v>
      </c>
      <c r="G1386" s="1">
        <v>68162</v>
      </c>
      <c r="H1386" s="1">
        <v>0</v>
      </c>
      <c r="L1386" s="1">
        <v>68162</v>
      </c>
      <c r="M1386" s="1">
        <v>0</v>
      </c>
      <c r="P1386" s="1">
        <v>68162</v>
      </c>
      <c r="Q1386" s="1">
        <v>0</v>
      </c>
    </row>
    <row r="1387" spans="2:17" hidden="1" x14ac:dyDescent="0.2">
      <c r="B1387" s="1">
        <v>68163</v>
      </c>
      <c r="C1387" s="1">
        <v>0</v>
      </c>
      <c r="G1387" s="1">
        <v>68163</v>
      </c>
      <c r="H1387" s="1">
        <v>0</v>
      </c>
      <c r="L1387" s="1">
        <v>68163</v>
      </c>
      <c r="M1387" s="1">
        <v>0</v>
      </c>
      <c r="P1387" s="1">
        <v>68163</v>
      </c>
      <c r="Q1387" s="1">
        <v>0</v>
      </c>
    </row>
    <row r="1388" spans="2:17" hidden="1" x14ac:dyDescent="0.2">
      <c r="B1388" s="1">
        <v>68164</v>
      </c>
      <c r="C1388" s="1">
        <v>0</v>
      </c>
      <c r="G1388" s="1">
        <v>68164</v>
      </c>
      <c r="H1388" s="1">
        <v>0</v>
      </c>
      <c r="L1388" s="1">
        <v>68164</v>
      </c>
      <c r="M1388" s="1">
        <v>0</v>
      </c>
      <c r="P1388" s="1">
        <v>68164</v>
      </c>
      <c r="Q1388" s="1">
        <v>0</v>
      </c>
    </row>
    <row r="1389" spans="2:17" hidden="1" x14ac:dyDescent="0.2">
      <c r="B1389" s="1">
        <v>68165</v>
      </c>
      <c r="C1389" s="1">
        <v>0</v>
      </c>
      <c r="G1389" s="1">
        <v>68165</v>
      </c>
      <c r="H1389" s="1">
        <v>0</v>
      </c>
      <c r="L1389" s="1">
        <v>68165</v>
      </c>
      <c r="M1389" s="1">
        <v>0</v>
      </c>
      <c r="P1389" s="1">
        <v>68165</v>
      </c>
      <c r="Q1389" s="1">
        <v>0</v>
      </c>
    </row>
    <row r="1390" spans="2:17" hidden="1" x14ac:dyDescent="0.2">
      <c r="B1390" s="1">
        <v>68166</v>
      </c>
      <c r="C1390" s="1">
        <v>0</v>
      </c>
      <c r="G1390" s="1">
        <v>68166</v>
      </c>
      <c r="H1390" s="1">
        <v>0</v>
      </c>
      <c r="L1390" s="1">
        <v>68166</v>
      </c>
      <c r="M1390" s="1">
        <v>0</v>
      </c>
      <c r="P1390" s="1">
        <v>68166</v>
      </c>
      <c r="Q1390" s="1">
        <v>0</v>
      </c>
    </row>
    <row r="1391" spans="2:17" hidden="1" x14ac:dyDescent="0.2">
      <c r="B1391" s="1">
        <v>68167</v>
      </c>
      <c r="C1391" s="1">
        <v>0</v>
      </c>
      <c r="G1391" s="1">
        <v>68167</v>
      </c>
      <c r="H1391" s="1">
        <v>0</v>
      </c>
      <c r="L1391" s="1">
        <v>68167</v>
      </c>
      <c r="M1391" s="1">
        <v>0</v>
      </c>
      <c r="P1391" s="1">
        <v>68167</v>
      </c>
      <c r="Q1391" s="1">
        <v>0</v>
      </c>
    </row>
    <row r="1392" spans="2:17" hidden="1" x14ac:dyDescent="0.2">
      <c r="B1392" s="1">
        <v>68168</v>
      </c>
      <c r="C1392" s="1">
        <v>0</v>
      </c>
      <c r="G1392" s="1">
        <v>68168</v>
      </c>
      <c r="H1392" s="1">
        <v>0</v>
      </c>
      <c r="L1392" s="1">
        <v>68168</v>
      </c>
      <c r="M1392" s="1">
        <v>0</v>
      </c>
      <c r="P1392" s="1">
        <v>68168</v>
      </c>
      <c r="Q1392" s="1">
        <v>0</v>
      </c>
    </row>
    <row r="1393" spans="2:17" hidden="1" x14ac:dyDescent="0.2">
      <c r="B1393" s="1">
        <v>68169</v>
      </c>
      <c r="C1393" s="1">
        <v>0</v>
      </c>
      <c r="G1393" s="1">
        <v>68169</v>
      </c>
      <c r="H1393" s="1">
        <v>0</v>
      </c>
      <c r="L1393" s="1">
        <v>68169</v>
      </c>
      <c r="M1393" s="1">
        <v>0</v>
      </c>
      <c r="P1393" s="1">
        <v>68169</v>
      </c>
      <c r="Q1393" s="1">
        <v>0</v>
      </c>
    </row>
    <row r="1394" spans="2:17" hidden="1" x14ac:dyDescent="0.2">
      <c r="B1394" s="1">
        <v>68170</v>
      </c>
      <c r="C1394" s="1">
        <v>0</v>
      </c>
      <c r="G1394" s="1">
        <v>68170</v>
      </c>
      <c r="H1394" s="1">
        <v>0</v>
      </c>
      <c r="L1394" s="1">
        <v>68170</v>
      </c>
      <c r="M1394" s="1">
        <v>0</v>
      </c>
      <c r="P1394" s="1">
        <v>68170</v>
      </c>
      <c r="Q1394" s="1">
        <v>0</v>
      </c>
    </row>
    <row r="1395" spans="2:17" hidden="1" x14ac:dyDescent="0.2">
      <c r="B1395" s="1">
        <v>68171</v>
      </c>
      <c r="C1395" s="1">
        <v>0</v>
      </c>
      <c r="G1395" s="1">
        <v>68171</v>
      </c>
      <c r="H1395" s="1">
        <v>0</v>
      </c>
      <c r="L1395" s="1">
        <v>68171</v>
      </c>
      <c r="M1395" s="1">
        <v>0</v>
      </c>
      <c r="P1395" s="1">
        <v>68171</v>
      </c>
      <c r="Q1395" s="1">
        <v>0</v>
      </c>
    </row>
    <row r="1396" spans="2:17" hidden="1" x14ac:dyDescent="0.2">
      <c r="B1396" s="1">
        <v>68172</v>
      </c>
      <c r="C1396" s="1">
        <v>0</v>
      </c>
      <c r="G1396" s="1">
        <v>68172</v>
      </c>
      <c r="H1396" s="1">
        <v>0</v>
      </c>
      <c r="L1396" s="1">
        <v>68172</v>
      </c>
      <c r="M1396" s="1">
        <v>0</v>
      </c>
      <c r="P1396" s="1">
        <v>68172</v>
      </c>
      <c r="Q1396" s="1">
        <v>0</v>
      </c>
    </row>
    <row r="1397" spans="2:17" x14ac:dyDescent="0.2">
      <c r="B1397" s="1">
        <v>68173</v>
      </c>
      <c r="C1397" s="1">
        <v>0</v>
      </c>
      <c r="G1397" s="1">
        <v>68173</v>
      </c>
      <c r="H1397" s="1">
        <v>0</v>
      </c>
      <c r="L1397" s="1">
        <v>68173</v>
      </c>
      <c r="M1397" s="1">
        <v>6.9799999999999994E-11</v>
      </c>
      <c r="P1397" s="1">
        <v>68173</v>
      </c>
      <c r="Q1397" s="1">
        <v>6.9799999999999994E-11</v>
      </c>
    </row>
    <row r="1398" spans="2:17" x14ac:dyDescent="0.2">
      <c r="B1398" s="1">
        <v>69151</v>
      </c>
      <c r="C1398" s="1">
        <v>0</v>
      </c>
      <c r="G1398" s="1">
        <v>69151</v>
      </c>
      <c r="H1398" s="1">
        <v>0</v>
      </c>
      <c r="L1398" s="1">
        <v>69151</v>
      </c>
      <c r="M1398" s="1">
        <v>6.9799999999999994E-11</v>
      </c>
      <c r="P1398" s="1">
        <v>69151</v>
      </c>
      <c r="Q1398" s="1">
        <v>1.3959999999999999E-10</v>
      </c>
    </row>
    <row r="1399" spans="2:17" hidden="1" x14ac:dyDescent="0.2">
      <c r="B1399" s="1">
        <v>69152</v>
      </c>
      <c r="C1399" s="1">
        <v>0</v>
      </c>
      <c r="G1399" s="1">
        <v>69152</v>
      </c>
      <c r="H1399" s="1">
        <v>0</v>
      </c>
      <c r="L1399" s="1">
        <v>69152</v>
      </c>
      <c r="M1399" s="1">
        <v>0</v>
      </c>
      <c r="P1399" s="1">
        <v>69152</v>
      </c>
      <c r="Q1399" s="1">
        <v>0</v>
      </c>
    </row>
    <row r="1400" spans="2:17" hidden="1" x14ac:dyDescent="0.2">
      <c r="B1400" s="1">
        <v>69153</v>
      </c>
      <c r="C1400" s="1">
        <v>0</v>
      </c>
      <c r="G1400" s="1">
        <v>69153</v>
      </c>
      <c r="H1400" s="1">
        <v>0</v>
      </c>
      <c r="L1400" s="1">
        <v>69153</v>
      </c>
      <c r="M1400" s="1">
        <v>0</v>
      </c>
      <c r="P1400" s="1">
        <v>69153</v>
      </c>
      <c r="Q1400" s="1">
        <v>0</v>
      </c>
    </row>
    <row r="1401" spans="2:17" hidden="1" x14ac:dyDescent="0.2">
      <c r="B1401" s="1">
        <v>69154</v>
      </c>
      <c r="C1401" s="1">
        <v>0</v>
      </c>
      <c r="G1401" s="1">
        <v>69154</v>
      </c>
      <c r="H1401" s="1">
        <v>0</v>
      </c>
      <c r="L1401" s="1">
        <v>69154</v>
      </c>
      <c r="M1401" s="1">
        <v>0</v>
      </c>
      <c r="P1401" s="1">
        <v>69154</v>
      </c>
      <c r="Q1401" s="1">
        <v>0</v>
      </c>
    </row>
    <row r="1402" spans="2:17" hidden="1" x14ac:dyDescent="0.2">
      <c r="B1402" s="1">
        <v>69155</v>
      </c>
      <c r="C1402" s="1">
        <v>0</v>
      </c>
      <c r="G1402" s="1">
        <v>69155</v>
      </c>
      <c r="H1402" s="1">
        <v>0</v>
      </c>
      <c r="L1402" s="1">
        <v>69155</v>
      </c>
      <c r="M1402" s="1">
        <v>0</v>
      </c>
      <c r="P1402" s="1">
        <v>69155</v>
      </c>
      <c r="Q1402" s="1">
        <v>0</v>
      </c>
    </row>
    <row r="1403" spans="2:17" hidden="1" x14ac:dyDescent="0.2">
      <c r="B1403" s="1">
        <v>69156</v>
      </c>
      <c r="C1403" s="1">
        <v>0</v>
      </c>
      <c r="G1403" s="1">
        <v>69156</v>
      </c>
      <c r="H1403" s="1">
        <v>0</v>
      </c>
      <c r="L1403" s="1">
        <v>69156</v>
      </c>
      <c r="M1403" s="1">
        <v>0</v>
      </c>
      <c r="P1403" s="1">
        <v>69156</v>
      </c>
      <c r="Q1403" s="1">
        <v>0</v>
      </c>
    </row>
    <row r="1404" spans="2:17" hidden="1" x14ac:dyDescent="0.2">
      <c r="B1404" s="1">
        <v>69157</v>
      </c>
      <c r="C1404" s="1">
        <v>0</v>
      </c>
      <c r="G1404" s="1">
        <v>69157</v>
      </c>
      <c r="H1404" s="1">
        <v>0</v>
      </c>
      <c r="L1404" s="1">
        <v>69157</v>
      </c>
      <c r="M1404" s="1">
        <v>0</v>
      </c>
      <c r="P1404" s="1">
        <v>69157</v>
      </c>
      <c r="Q1404" s="1">
        <v>0</v>
      </c>
    </row>
    <row r="1405" spans="2:17" hidden="1" x14ac:dyDescent="0.2">
      <c r="B1405" s="1">
        <v>69158</v>
      </c>
      <c r="C1405" s="1">
        <v>0</v>
      </c>
      <c r="G1405" s="1">
        <v>69158</v>
      </c>
      <c r="H1405" s="1">
        <v>0</v>
      </c>
      <c r="L1405" s="1">
        <v>69158</v>
      </c>
      <c r="M1405" s="1">
        <v>0</v>
      </c>
      <c r="P1405" s="1">
        <v>69158</v>
      </c>
      <c r="Q1405" s="1">
        <v>0</v>
      </c>
    </row>
    <row r="1406" spans="2:17" hidden="1" x14ac:dyDescent="0.2">
      <c r="B1406" s="1">
        <v>69159</v>
      </c>
      <c r="C1406" s="1">
        <v>0</v>
      </c>
      <c r="G1406" s="1">
        <v>69159</v>
      </c>
      <c r="H1406" s="1">
        <v>0</v>
      </c>
      <c r="L1406" s="1">
        <v>69159</v>
      </c>
      <c r="M1406" s="1">
        <v>0</v>
      </c>
      <c r="P1406" s="1">
        <v>69159</v>
      </c>
      <c r="Q1406" s="1">
        <v>0</v>
      </c>
    </row>
    <row r="1407" spans="2:17" hidden="1" x14ac:dyDescent="0.2">
      <c r="B1407" s="1">
        <v>69160</v>
      </c>
      <c r="C1407" s="1">
        <v>0</v>
      </c>
      <c r="G1407" s="1">
        <v>69160</v>
      </c>
      <c r="H1407" s="1">
        <v>0</v>
      </c>
      <c r="L1407" s="1">
        <v>69160</v>
      </c>
      <c r="M1407" s="1">
        <v>0</v>
      </c>
      <c r="P1407" s="1">
        <v>69160</v>
      </c>
      <c r="Q1407" s="1">
        <v>0</v>
      </c>
    </row>
    <row r="1408" spans="2:17" hidden="1" x14ac:dyDescent="0.2">
      <c r="B1408" s="1">
        <v>69161</v>
      </c>
      <c r="C1408" s="1">
        <v>0</v>
      </c>
      <c r="G1408" s="1">
        <v>69161</v>
      </c>
      <c r="H1408" s="1">
        <v>0</v>
      </c>
      <c r="L1408" s="1">
        <v>69161</v>
      </c>
      <c r="M1408" s="1">
        <v>0</v>
      </c>
      <c r="P1408" s="1">
        <v>69161</v>
      </c>
      <c r="Q1408" s="1">
        <v>0</v>
      </c>
    </row>
    <row r="1409" spans="2:17" hidden="1" x14ac:dyDescent="0.2">
      <c r="B1409" s="1">
        <v>69162</v>
      </c>
      <c r="C1409" s="1">
        <v>0</v>
      </c>
      <c r="G1409" s="1">
        <v>69162</v>
      </c>
      <c r="H1409" s="1">
        <v>0</v>
      </c>
      <c r="L1409" s="1">
        <v>69162</v>
      </c>
      <c r="M1409" s="1">
        <v>0</v>
      </c>
      <c r="P1409" s="1">
        <v>69162</v>
      </c>
      <c r="Q1409" s="1">
        <v>0</v>
      </c>
    </row>
    <row r="1410" spans="2:17" hidden="1" x14ac:dyDescent="0.2">
      <c r="B1410" s="1">
        <v>69163</v>
      </c>
      <c r="C1410" s="1">
        <v>0</v>
      </c>
      <c r="G1410" s="1">
        <v>69163</v>
      </c>
      <c r="H1410" s="1">
        <v>0</v>
      </c>
      <c r="L1410" s="1">
        <v>69163</v>
      </c>
      <c r="M1410" s="1">
        <v>0</v>
      </c>
      <c r="P1410" s="1">
        <v>69163</v>
      </c>
      <c r="Q1410" s="1">
        <v>0</v>
      </c>
    </row>
    <row r="1411" spans="2:17" hidden="1" x14ac:dyDescent="0.2">
      <c r="B1411" s="1">
        <v>69164</v>
      </c>
      <c r="C1411" s="1">
        <v>0</v>
      </c>
      <c r="G1411" s="1">
        <v>69164</v>
      </c>
      <c r="H1411" s="1">
        <v>0</v>
      </c>
      <c r="L1411" s="1">
        <v>69164</v>
      </c>
      <c r="M1411" s="1">
        <v>0</v>
      </c>
      <c r="P1411" s="1">
        <v>69164</v>
      </c>
      <c r="Q1411" s="1">
        <v>0</v>
      </c>
    </row>
    <row r="1412" spans="2:17" hidden="1" x14ac:dyDescent="0.2">
      <c r="B1412" s="1">
        <v>69165</v>
      </c>
      <c r="C1412" s="1">
        <v>0</v>
      </c>
      <c r="G1412" s="1">
        <v>69165</v>
      </c>
      <c r="H1412" s="1">
        <v>0</v>
      </c>
      <c r="L1412" s="1">
        <v>69165</v>
      </c>
      <c r="M1412" s="1">
        <v>0</v>
      </c>
      <c r="P1412" s="1">
        <v>69165</v>
      </c>
      <c r="Q1412" s="1">
        <v>0</v>
      </c>
    </row>
    <row r="1413" spans="2:17" hidden="1" x14ac:dyDescent="0.2">
      <c r="B1413" s="1">
        <v>69166</v>
      </c>
      <c r="C1413" s="1">
        <v>0</v>
      </c>
      <c r="G1413" s="1">
        <v>69166</v>
      </c>
      <c r="H1413" s="1">
        <v>0</v>
      </c>
      <c r="L1413" s="1">
        <v>69166</v>
      </c>
      <c r="M1413" s="1">
        <v>0</v>
      </c>
      <c r="P1413" s="1">
        <v>69166</v>
      </c>
      <c r="Q1413" s="1">
        <v>0</v>
      </c>
    </row>
    <row r="1414" spans="2:17" hidden="1" x14ac:dyDescent="0.2">
      <c r="B1414" s="1">
        <v>69167</v>
      </c>
      <c r="C1414" s="1">
        <v>0</v>
      </c>
      <c r="G1414" s="1">
        <v>69167</v>
      </c>
      <c r="H1414" s="1">
        <v>0</v>
      </c>
      <c r="L1414" s="1">
        <v>69167</v>
      </c>
      <c r="M1414" s="1">
        <v>0</v>
      </c>
      <c r="P1414" s="1">
        <v>69167</v>
      </c>
      <c r="Q1414" s="1">
        <v>0</v>
      </c>
    </row>
    <row r="1415" spans="2:17" hidden="1" x14ac:dyDescent="0.2">
      <c r="B1415" s="1">
        <v>69168</v>
      </c>
      <c r="C1415" s="1">
        <v>0</v>
      </c>
      <c r="G1415" s="1">
        <v>69168</v>
      </c>
      <c r="H1415" s="1">
        <v>0</v>
      </c>
      <c r="L1415" s="1">
        <v>69168</v>
      </c>
      <c r="M1415" s="1">
        <v>0</v>
      </c>
      <c r="P1415" s="1">
        <v>69168</v>
      </c>
      <c r="Q1415" s="1">
        <v>0</v>
      </c>
    </row>
    <row r="1416" spans="2:17" hidden="1" x14ac:dyDescent="0.2">
      <c r="B1416" s="1">
        <v>69169</v>
      </c>
      <c r="C1416" s="1">
        <v>0</v>
      </c>
      <c r="G1416" s="1">
        <v>69169</v>
      </c>
      <c r="H1416" s="1">
        <v>0</v>
      </c>
      <c r="L1416" s="1">
        <v>69169</v>
      </c>
      <c r="M1416" s="1">
        <v>0</v>
      </c>
      <c r="P1416" s="1">
        <v>69169</v>
      </c>
      <c r="Q1416" s="1">
        <v>0</v>
      </c>
    </row>
    <row r="1417" spans="2:17" hidden="1" x14ac:dyDescent="0.2">
      <c r="B1417" s="1">
        <v>69170</v>
      </c>
      <c r="C1417" s="1">
        <v>0</v>
      </c>
      <c r="G1417" s="1">
        <v>69170</v>
      </c>
      <c r="H1417" s="1">
        <v>0</v>
      </c>
      <c r="L1417" s="1">
        <v>69170</v>
      </c>
      <c r="M1417" s="1">
        <v>0</v>
      </c>
      <c r="P1417" s="1">
        <v>69170</v>
      </c>
      <c r="Q1417" s="1">
        <v>0</v>
      </c>
    </row>
    <row r="1418" spans="2:17" hidden="1" x14ac:dyDescent="0.2">
      <c r="B1418" s="1">
        <v>69171</v>
      </c>
      <c r="C1418" s="1">
        <v>0</v>
      </c>
      <c r="G1418" s="1">
        <v>69171</v>
      </c>
      <c r="H1418" s="1">
        <v>0</v>
      </c>
      <c r="L1418" s="1">
        <v>69171</v>
      </c>
      <c r="M1418" s="1">
        <v>0</v>
      </c>
      <c r="P1418" s="1">
        <v>69171</v>
      </c>
      <c r="Q1418" s="1">
        <v>0</v>
      </c>
    </row>
    <row r="1419" spans="2:17" hidden="1" x14ac:dyDescent="0.2">
      <c r="B1419" s="1">
        <v>69172</v>
      </c>
      <c r="C1419" s="1">
        <v>0</v>
      </c>
      <c r="G1419" s="1">
        <v>69172</v>
      </c>
      <c r="H1419" s="1">
        <v>0</v>
      </c>
      <c r="L1419" s="1">
        <v>69172</v>
      </c>
      <c r="M1419" s="1">
        <v>0</v>
      </c>
      <c r="P1419" s="1">
        <v>69172</v>
      </c>
      <c r="Q1419" s="1">
        <v>0</v>
      </c>
    </row>
    <row r="1420" spans="2:17" hidden="1" x14ac:dyDescent="0.2">
      <c r="B1420" s="1">
        <v>69173</v>
      </c>
      <c r="C1420" s="1">
        <v>0</v>
      </c>
      <c r="G1420" s="1">
        <v>69173</v>
      </c>
      <c r="H1420" s="1">
        <v>0</v>
      </c>
      <c r="L1420" s="1">
        <v>69173</v>
      </c>
      <c r="M1420" s="1">
        <v>0</v>
      </c>
      <c r="P1420" s="1">
        <v>69173</v>
      </c>
      <c r="Q1420" s="1">
        <v>0</v>
      </c>
    </row>
    <row r="1421" spans="2:17" hidden="1" x14ac:dyDescent="0.2">
      <c r="B1421" s="1">
        <v>69174</v>
      </c>
      <c r="C1421" s="1">
        <v>0</v>
      </c>
      <c r="G1421" s="1">
        <v>69174</v>
      </c>
      <c r="H1421" s="1">
        <v>0</v>
      </c>
      <c r="L1421" s="1">
        <v>69174</v>
      </c>
      <c r="M1421" s="1">
        <v>0</v>
      </c>
      <c r="P1421" s="1">
        <v>69174</v>
      </c>
      <c r="Q1421" s="1">
        <v>0</v>
      </c>
    </row>
    <row r="1422" spans="2:17" x14ac:dyDescent="0.2">
      <c r="B1422" s="1">
        <v>69175</v>
      </c>
      <c r="C1422" s="1">
        <v>0</v>
      </c>
      <c r="G1422" s="1">
        <v>69175</v>
      </c>
      <c r="H1422" s="1">
        <v>0</v>
      </c>
      <c r="L1422" s="1">
        <v>69175</v>
      </c>
      <c r="M1422" s="1">
        <v>6.9799999999999994E-11</v>
      </c>
      <c r="P1422" s="1">
        <v>69175</v>
      </c>
      <c r="Q1422" s="1">
        <v>1.3959999999999999E-10</v>
      </c>
    </row>
    <row r="1423" spans="2:17" hidden="1" x14ac:dyDescent="0.2">
      <c r="B1423" s="1">
        <v>69176</v>
      </c>
      <c r="C1423" s="1">
        <v>0</v>
      </c>
      <c r="G1423" s="1">
        <v>69176</v>
      </c>
      <c r="H1423" s="1">
        <v>0</v>
      </c>
      <c r="L1423" s="1">
        <v>69176</v>
      </c>
      <c r="M1423" s="1">
        <v>0</v>
      </c>
      <c r="P1423" s="1">
        <v>69176</v>
      </c>
      <c r="Q1423" s="1">
        <v>0</v>
      </c>
    </row>
    <row r="1424" spans="2:17" hidden="1" x14ac:dyDescent="0.2">
      <c r="B1424" s="1">
        <v>70153</v>
      </c>
      <c r="C1424" s="1">
        <v>0</v>
      </c>
      <c r="G1424" s="1">
        <v>70153</v>
      </c>
      <c r="H1424" s="1">
        <v>0</v>
      </c>
      <c r="L1424" s="1">
        <v>70153</v>
      </c>
      <c r="M1424" s="1">
        <v>0</v>
      </c>
      <c r="P1424" s="1">
        <v>70153</v>
      </c>
      <c r="Q1424" s="1">
        <v>0</v>
      </c>
    </row>
    <row r="1425" spans="2:17" hidden="1" x14ac:dyDescent="0.2">
      <c r="B1425" s="1">
        <v>70154</v>
      </c>
      <c r="C1425" s="1">
        <v>0</v>
      </c>
      <c r="G1425" s="1">
        <v>70154</v>
      </c>
      <c r="H1425" s="1">
        <v>0</v>
      </c>
      <c r="L1425" s="1">
        <v>70154</v>
      </c>
      <c r="M1425" s="1">
        <v>0</v>
      </c>
      <c r="P1425" s="1">
        <v>70154</v>
      </c>
      <c r="Q1425" s="1">
        <v>0</v>
      </c>
    </row>
    <row r="1426" spans="2:17" hidden="1" x14ac:dyDescent="0.2">
      <c r="B1426" s="1">
        <v>70155</v>
      </c>
      <c r="C1426" s="1">
        <v>0</v>
      </c>
      <c r="G1426" s="1">
        <v>70155</v>
      </c>
      <c r="H1426" s="1">
        <v>0</v>
      </c>
      <c r="L1426" s="1">
        <v>70155</v>
      </c>
      <c r="M1426" s="1">
        <v>0</v>
      </c>
      <c r="P1426" s="1">
        <v>70155</v>
      </c>
      <c r="Q1426" s="1">
        <v>0</v>
      </c>
    </row>
    <row r="1427" spans="2:17" hidden="1" x14ac:dyDescent="0.2">
      <c r="B1427" s="1">
        <v>70156</v>
      </c>
      <c r="C1427" s="1">
        <v>0</v>
      </c>
      <c r="G1427" s="1">
        <v>70156</v>
      </c>
      <c r="H1427" s="1">
        <v>0</v>
      </c>
      <c r="L1427" s="1">
        <v>70156</v>
      </c>
      <c r="M1427" s="1">
        <v>0</v>
      </c>
      <c r="P1427" s="1">
        <v>70156</v>
      </c>
      <c r="Q1427" s="1">
        <v>0</v>
      </c>
    </row>
    <row r="1428" spans="2:17" hidden="1" x14ac:dyDescent="0.2">
      <c r="B1428" s="1">
        <v>70157</v>
      </c>
      <c r="C1428" s="1">
        <v>0</v>
      </c>
      <c r="G1428" s="1">
        <v>70157</v>
      </c>
      <c r="H1428" s="1">
        <v>0</v>
      </c>
      <c r="L1428" s="1">
        <v>70157</v>
      </c>
      <c r="M1428" s="1">
        <v>0</v>
      </c>
      <c r="P1428" s="1">
        <v>70157</v>
      </c>
      <c r="Q1428" s="1">
        <v>0</v>
      </c>
    </row>
    <row r="1429" spans="2:17" hidden="1" x14ac:dyDescent="0.2">
      <c r="B1429" s="1">
        <v>70158</v>
      </c>
      <c r="C1429" s="1">
        <v>0</v>
      </c>
      <c r="G1429" s="1">
        <v>70158</v>
      </c>
      <c r="H1429" s="1">
        <v>0</v>
      </c>
      <c r="L1429" s="1">
        <v>70158</v>
      </c>
      <c r="M1429" s="1">
        <v>0</v>
      </c>
      <c r="P1429" s="1">
        <v>70158</v>
      </c>
      <c r="Q1429" s="1">
        <v>0</v>
      </c>
    </row>
    <row r="1430" spans="2:17" hidden="1" x14ac:dyDescent="0.2">
      <c r="B1430" s="1">
        <v>70159</v>
      </c>
      <c r="C1430" s="1">
        <v>0</v>
      </c>
      <c r="G1430" s="1">
        <v>70159</v>
      </c>
      <c r="H1430" s="1">
        <v>0</v>
      </c>
      <c r="L1430" s="1">
        <v>70159</v>
      </c>
      <c r="M1430" s="1">
        <v>0</v>
      </c>
      <c r="P1430" s="1">
        <v>70159</v>
      </c>
      <c r="Q1430" s="1">
        <v>0</v>
      </c>
    </row>
    <row r="1431" spans="2:17" hidden="1" x14ac:dyDescent="0.2">
      <c r="B1431" s="1">
        <v>70160</v>
      </c>
      <c r="C1431" s="1">
        <v>0</v>
      </c>
      <c r="G1431" s="1">
        <v>70160</v>
      </c>
      <c r="H1431" s="1">
        <v>0</v>
      </c>
      <c r="L1431" s="1">
        <v>70160</v>
      </c>
      <c r="M1431" s="1">
        <v>0</v>
      </c>
      <c r="P1431" s="1">
        <v>70160</v>
      </c>
      <c r="Q1431" s="1">
        <v>0</v>
      </c>
    </row>
    <row r="1432" spans="2:17" hidden="1" x14ac:dyDescent="0.2">
      <c r="B1432" s="1">
        <v>70161</v>
      </c>
      <c r="C1432" s="1">
        <v>0</v>
      </c>
      <c r="G1432" s="1">
        <v>70161</v>
      </c>
      <c r="H1432" s="1">
        <v>0</v>
      </c>
      <c r="L1432" s="1">
        <v>70161</v>
      </c>
      <c r="M1432" s="1">
        <v>0</v>
      </c>
      <c r="P1432" s="1">
        <v>70161</v>
      </c>
      <c r="Q1432" s="1">
        <v>0</v>
      </c>
    </row>
    <row r="1433" spans="2:17" hidden="1" x14ac:dyDescent="0.2">
      <c r="B1433" s="1">
        <v>70162</v>
      </c>
      <c r="C1433" s="1">
        <v>0</v>
      </c>
      <c r="G1433" s="1">
        <v>70162</v>
      </c>
      <c r="H1433" s="1">
        <v>0</v>
      </c>
      <c r="L1433" s="1">
        <v>70162</v>
      </c>
      <c r="M1433" s="1">
        <v>0</v>
      </c>
      <c r="P1433" s="1">
        <v>70162</v>
      </c>
      <c r="Q1433" s="1">
        <v>0</v>
      </c>
    </row>
    <row r="1434" spans="2:17" hidden="1" x14ac:dyDescent="0.2">
      <c r="B1434" s="1">
        <v>70163</v>
      </c>
      <c r="C1434" s="1">
        <v>0</v>
      </c>
      <c r="G1434" s="1">
        <v>70163</v>
      </c>
      <c r="H1434" s="1">
        <v>0</v>
      </c>
      <c r="L1434" s="1">
        <v>70163</v>
      </c>
      <c r="M1434" s="1">
        <v>0</v>
      </c>
      <c r="P1434" s="1">
        <v>70163</v>
      </c>
      <c r="Q1434" s="1">
        <v>0</v>
      </c>
    </row>
    <row r="1435" spans="2:17" hidden="1" x14ac:dyDescent="0.2">
      <c r="B1435" s="1">
        <v>70164</v>
      </c>
      <c r="C1435" s="1">
        <v>0</v>
      </c>
      <c r="G1435" s="1">
        <v>70164</v>
      </c>
      <c r="H1435" s="1">
        <v>0</v>
      </c>
      <c r="L1435" s="1">
        <v>70164</v>
      </c>
      <c r="M1435" s="1">
        <v>0</v>
      </c>
      <c r="P1435" s="1">
        <v>70164</v>
      </c>
      <c r="Q1435" s="1">
        <v>0</v>
      </c>
    </row>
    <row r="1436" spans="2:17" hidden="1" x14ac:dyDescent="0.2">
      <c r="B1436" s="1">
        <v>70165</v>
      </c>
      <c r="C1436" s="1">
        <v>0</v>
      </c>
      <c r="G1436" s="1">
        <v>70165</v>
      </c>
      <c r="H1436" s="1">
        <v>0</v>
      </c>
      <c r="L1436" s="1">
        <v>70165</v>
      </c>
      <c r="M1436" s="1">
        <v>0</v>
      </c>
      <c r="P1436" s="1">
        <v>70165</v>
      </c>
      <c r="Q1436" s="1">
        <v>0</v>
      </c>
    </row>
    <row r="1437" spans="2:17" hidden="1" x14ac:dyDescent="0.2">
      <c r="B1437" s="1">
        <v>70166</v>
      </c>
      <c r="C1437" s="1">
        <v>0</v>
      </c>
      <c r="G1437" s="1">
        <v>70166</v>
      </c>
      <c r="H1437" s="1">
        <v>0</v>
      </c>
      <c r="L1437" s="1">
        <v>70166</v>
      </c>
      <c r="M1437" s="1">
        <v>0</v>
      </c>
      <c r="P1437" s="1">
        <v>70166</v>
      </c>
      <c r="Q1437" s="1">
        <v>0</v>
      </c>
    </row>
    <row r="1438" spans="2:17" hidden="1" x14ac:dyDescent="0.2">
      <c r="B1438" s="1">
        <v>70167</v>
      </c>
      <c r="C1438" s="1">
        <v>0</v>
      </c>
      <c r="G1438" s="1">
        <v>70167</v>
      </c>
      <c r="H1438" s="1">
        <v>0</v>
      </c>
      <c r="L1438" s="1">
        <v>70167</v>
      </c>
      <c r="M1438" s="1">
        <v>0</v>
      </c>
      <c r="P1438" s="1">
        <v>70167</v>
      </c>
      <c r="Q1438" s="1">
        <v>0</v>
      </c>
    </row>
    <row r="1439" spans="2:17" hidden="1" x14ac:dyDescent="0.2">
      <c r="B1439" s="1">
        <v>70168</v>
      </c>
      <c r="C1439" s="1">
        <v>0</v>
      </c>
      <c r="G1439" s="1">
        <v>70168</v>
      </c>
      <c r="H1439" s="1">
        <v>0</v>
      </c>
      <c r="L1439" s="1">
        <v>70168</v>
      </c>
      <c r="M1439" s="1">
        <v>0</v>
      </c>
      <c r="P1439" s="1">
        <v>70168</v>
      </c>
      <c r="Q1439" s="1">
        <v>0</v>
      </c>
    </row>
    <row r="1440" spans="2:17" hidden="1" x14ac:dyDescent="0.2">
      <c r="B1440" s="1">
        <v>70169</v>
      </c>
      <c r="C1440" s="1">
        <v>0</v>
      </c>
      <c r="G1440" s="1">
        <v>70169</v>
      </c>
      <c r="H1440" s="1">
        <v>0</v>
      </c>
      <c r="L1440" s="1">
        <v>70169</v>
      </c>
      <c r="M1440" s="1">
        <v>0</v>
      </c>
      <c r="P1440" s="1">
        <v>70169</v>
      </c>
      <c r="Q1440" s="1">
        <v>0</v>
      </c>
    </row>
    <row r="1441" spans="2:17" hidden="1" x14ac:dyDescent="0.2">
      <c r="B1441" s="1">
        <v>70170</v>
      </c>
      <c r="C1441" s="1">
        <v>0</v>
      </c>
      <c r="G1441" s="1">
        <v>70170</v>
      </c>
      <c r="H1441" s="1">
        <v>0</v>
      </c>
      <c r="L1441" s="1">
        <v>70170</v>
      </c>
      <c r="M1441" s="1">
        <v>0</v>
      </c>
      <c r="P1441" s="1">
        <v>70170</v>
      </c>
      <c r="Q1441" s="1">
        <v>0</v>
      </c>
    </row>
    <row r="1442" spans="2:17" hidden="1" x14ac:dyDescent="0.2">
      <c r="B1442" s="1">
        <v>70171</v>
      </c>
      <c r="C1442" s="1">
        <v>0</v>
      </c>
      <c r="G1442" s="1">
        <v>70171</v>
      </c>
      <c r="H1442" s="1">
        <v>0</v>
      </c>
      <c r="L1442" s="1">
        <v>70171</v>
      </c>
      <c r="M1442" s="1">
        <v>0</v>
      </c>
      <c r="P1442" s="1">
        <v>70171</v>
      </c>
      <c r="Q1442" s="1">
        <v>0</v>
      </c>
    </row>
    <row r="1443" spans="2:17" hidden="1" x14ac:dyDescent="0.2">
      <c r="B1443" s="1">
        <v>70172</v>
      </c>
      <c r="C1443" s="1">
        <v>0</v>
      </c>
      <c r="G1443" s="1">
        <v>70172</v>
      </c>
      <c r="H1443" s="1">
        <v>0</v>
      </c>
      <c r="L1443" s="1">
        <v>70172</v>
      </c>
      <c r="M1443" s="1">
        <v>0</v>
      </c>
      <c r="P1443" s="1">
        <v>70172</v>
      </c>
      <c r="Q1443" s="1">
        <v>0</v>
      </c>
    </row>
    <row r="1444" spans="2:17" hidden="1" x14ac:dyDescent="0.2">
      <c r="B1444" s="1">
        <v>70173</v>
      </c>
      <c r="C1444" s="1">
        <v>0</v>
      </c>
      <c r="G1444" s="1">
        <v>70173</v>
      </c>
      <c r="H1444" s="1">
        <v>0</v>
      </c>
      <c r="L1444" s="1">
        <v>70173</v>
      </c>
      <c r="M1444" s="1">
        <v>0</v>
      </c>
      <c r="P1444" s="1">
        <v>70173</v>
      </c>
      <c r="Q1444" s="1">
        <v>0</v>
      </c>
    </row>
    <row r="1445" spans="2:17" hidden="1" x14ac:dyDescent="0.2">
      <c r="B1445" s="1">
        <v>70174</v>
      </c>
      <c r="C1445" s="1">
        <v>0</v>
      </c>
      <c r="G1445" s="1">
        <v>70174</v>
      </c>
      <c r="H1445" s="1">
        <v>0</v>
      </c>
      <c r="L1445" s="1">
        <v>70174</v>
      </c>
      <c r="M1445" s="1">
        <v>0</v>
      </c>
      <c r="P1445" s="1">
        <v>70174</v>
      </c>
      <c r="Q1445" s="1">
        <v>0</v>
      </c>
    </row>
    <row r="1446" spans="2:17" hidden="1" x14ac:dyDescent="0.2">
      <c r="B1446" s="1">
        <v>70175</v>
      </c>
      <c r="C1446" s="1">
        <v>0</v>
      </c>
      <c r="G1446" s="1">
        <v>70175</v>
      </c>
      <c r="H1446" s="1">
        <v>0</v>
      </c>
      <c r="L1446" s="1">
        <v>70175</v>
      </c>
      <c r="M1446" s="1">
        <v>0</v>
      </c>
      <c r="P1446" s="1">
        <v>70175</v>
      </c>
      <c r="Q1446" s="1">
        <v>0</v>
      </c>
    </row>
    <row r="1447" spans="2:17" hidden="1" x14ac:dyDescent="0.2">
      <c r="B1447" s="1">
        <v>70176</v>
      </c>
      <c r="C1447" s="1">
        <v>0</v>
      </c>
      <c r="G1447" s="1">
        <v>70176</v>
      </c>
      <c r="H1447" s="1">
        <v>0</v>
      </c>
      <c r="L1447" s="1">
        <v>70176</v>
      </c>
      <c r="M1447" s="1">
        <v>0</v>
      </c>
      <c r="P1447" s="1">
        <v>70176</v>
      </c>
      <c r="Q1447" s="1">
        <v>0</v>
      </c>
    </row>
    <row r="1448" spans="2:17" hidden="1" x14ac:dyDescent="0.2">
      <c r="B1448" s="1">
        <v>70177</v>
      </c>
      <c r="C1448" s="1">
        <v>0</v>
      </c>
      <c r="G1448" s="1">
        <v>70177</v>
      </c>
      <c r="H1448" s="1">
        <v>0</v>
      </c>
      <c r="L1448" s="1">
        <v>70177</v>
      </c>
      <c r="M1448" s="1">
        <v>0</v>
      </c>
      <c r="P1448" s="1">
        <v>70177</v>
      </c>
      <c r="Q1448" s="1">
        <v>0</v>
      </c>
    </row>
    <row r="1449" spans="2:17" hidden="1" x14ac:dyDescent="0.2">
      <c r="B1449" s="1">
        <v>70178</v>
      </c>
      <c r="C1449" s="1">
        <v>0</v>
      </c>
      <c r="G1449" s="1">
        <v>70178</v>
      </c>
      <c r="H1449" s="1">
        <v>0</v>
      </c>
      <c r="L1449" s="1">
        <v>70178</v>
      </c>
      <c r="M1449" s="1">
        <v>0</v>
      </c>
      <c r="P1449" s="1">
        <v>70178</v>
      </c>
      <c r="Q1449" s="1">
        <v>0</v>
      </c>
    </row>
    <row r="1450" spans="2:17" hidden="1" x14ac:dyDescent="0.2">
      <c r="B1450" s="1">
        <v>70179</v>
      </c>
      <c r="C1450" s="1">
        <v>0</v>
      </c>
      <c r="G1450" s="1">
        <v>70179</v>
      </c>
      <c r="H1450" s="1">
        <v>0</v>
      </c>
      <c r="L1450" s="1">
        <v>70179</v>
      </c>
      <c r="M1450" s="1">
        <v>0</v>
      </c>
      <c r="P1450" s="1">
        <v>70179</v>
      </c>
      <c r="Q1450" s="1">
        <v>0</v>
      </c>
    </row>
    <row r="1451" spans="2:17" hidden="1" x14ac:dyDescent="0.2">
      <c r="B1451" s="1">
        <v>71151</v>
      </c>
      <c r="C1451" s="1">
        <v>0</v>
      </c>
      <c r="G1451" s="1">
        <v>71151</v>
      </c>
      <c r="H1451" s="1">
        <v>0</v>
      </c>
      <c r="L1451" s="1">
        <v>71151</v>
      </c>
      <c r="M1451" s="1">
        <v>0</v>
      </c>
      <c r="P1451" s="1">
        <v>71151</v>
      </c>
      <c r="Q1451" s="1">
        <v>0</v>
      </c>
    </row>
    <row r="1452" spans="2:17" hidden="1" x14ac:dyDescent="0.2">
      <c r="B1452" s="1">
        <v>71152</v>
      </c>
      <c r="C1452" s="1">
        <v>0</v>
      </c>
      <c r="G1452" s="1">
        <v>71152</v>
      </c>
      <c r="H1452" s="1">
        <v>0</v>
      </c>
      <c r="L1452" s="1">
        <v>71152</v>
      </c>
      <c r="M1452" s="1">
        <v>0</v>
      </c>
      <c r="P1452" s="1">
        <v>71152</v>
      </c>
      <c r="Q1452" s="1">
        <v>0</v>
      </c>
    </row>
    <row r="1453" spans="2:17" hidden="1" x14ac:dyDescent="0.2">
      <c r="B1453" s="1">
        <v>71153</v>
      </c>
      <c r="C1453" s="1">
        <v>0</v>
      </c>
      <c r="G1453" s="1">
        <v>71153</v>
      </c>
      <c r="H1453" s="1">
        <v>0</v>
      </c>
      <c r="L1453" s="1">
        <v>71153</v>
      </c>
      <c r="M1453" s="1">
        <v>0</v>
      </c>
      <c r="P1453" s="1">
        <v>71153</v>
      </c>
      <c r="Q1453" s="1">
        <v>0</v>
      </c>
    </row>
    <row r="1454" spans="2:17" hidden="1" x14ac:dyDescent="0.2">
      <c r="B1454" s="1">
        <v>71154</v>
      </c>
      <c r="C1454" s="1">
        <v>0</v>
      </c>
      <c r="G1454" s="1">
        <v>71154</v>
      </c>
      <c r="H1454" s="1">
        <v>0</v>
      </c>
      <c r="L1454" s="1">
        <v>71154</v>
      </c>
      <c r="M1454" s="1">
        <v>0</v>
      </c>
      <c r="P1454" s="1">
        <v>71154</v>
      </c>
      <c r="Q1454" s="1">
        <v>0</v>
      </c>
    </row>
    <row r="1455" spans="2:17" hidden="1" x14ac:dyDescent="0.2">
      <c r="B1455" s="1">
        <v>71155</v>
      </c>
      <c r="C1455" s="1">
        <v>0</v>
      </c>
      <c r="G1455" s="1">
        <v>71155</v>
      </c>
      <c r="H1455" s="1">
        <v>0</v>
      </c>
      <c r="L1455" s="1">
        <v>71155</v>
      </c>
      <c r="M1455" s="1">
        <v>0</v>
      </c>
      <c r="P1455" s="1">
        <v>71155</v>
      </c>
      <c r="Q1455" s="1">
        <v>0</v>
      </c>
    </row>
    <row r="1456" spans="2:17" hidden="1" x14ac:dyDescent="0.2">
      <c r="B1456" s="1">
        <v>71156</v>
      </c>
      <c r="C1456" s="1">
        <v>0</v>
      </c>
      <c r="G1456" s="1">
        <v>71156</v>
      </c>
      <c r="H1456" s="1">
        <v>0</v>
      </c>
      <c r="L1456" s="1">
        <v>71156</v>
      </c>
      <c r="M1456" s="1">
        <v>0</v>
      </c>
      <c r="P1456" s="1">
        <v>71156</v>
      </c>
      <c r="Q1456" s="1">
        <v>0</v>
      </c>
    </row>
    <row r="1457" spans="2:17" hidden="1" x14ac:dyDescent="0.2">
      <c r="B1457" s="1">
        <v>71157</v>
      </c>
      <c r="C1457" s="1">
        <v>0</v>
      </c>
      <c r="G1457" s="1">
        <v>71157</v>
      </c>
      <c r="H1457" s="1">
        <v>0</v>
      </c>
      <c r="L1457" s="1">
        <v>71157</v>
      </c>
      <c r="M1457" s="1">
        <v>0</v>
      </c>
      <c r="P1457" s="1">
        <v>71157</v>
      </c>
      <c r="Q1457" s="1">
        <v>0</v>
      </c>
    </row>
    <row r="1458" spans="2:17" hidden="1" x14ac:dyDescent="0.2">
      <c r="B1458" s="1">
        <v>71158</v>
      </c>
      <c r="C1458" s="1">
        <v>0</v>
      </c>
      <c r="G1458" s="1">
        <v>71158</v>
      </c>
      <c r="H1458" s="1">
        <v>0</v>
      </c>
      <c r="L1458" s="1">
        <v>71158</v>
      </c>
      <c r="M1458" s="1">
        <v>0</v>
      </c>
      <c r="P1458" s="1">
        <v>71158</v>
      </c>
      <c r="Q1458" s="1">
        <v>0</v>
      </c>
    </row>
    <row r="1459" spans="2:17" hidden="1" x14ac:dyDescent="0.2">
      <c r="B1459" s="1">
        <v>71159</v>
      </c>
      <c r="C1459" s="1">
        <v>0</v>
      </c>
      <c r="G1459" s="1">
        <v>71159</v>
      </c>
      <c r="H1459" s="1">
        <v>0</v>
      </c>
      <c r="L1459" s="1">
        <v>71159</v>
      </c>
      <c r="M1459" s="1">
        <v>0</v>
      </c>
      <c r="P1459" s="1">
        <v>71159</v>
      </c>
      <c r="Q1459" s="1">
        <v>0</v>
      </c>
    </row>
    <row r="1460" spans="2:17" hidden="1" x14ac:dyDescent="0.2">
      <c r="B1460" s="1">
        <v>71160</v>
      </c>
      <c r="C1460" s="1">
        <v>0</v>
      </c>
      <c r="G1460" s="1">
        <v>71160</v>
      </c>
      <c r="H1460" s="1">
        <v>0</v>
      </c>
      <c r="L1460" s="1">
        <v>71160</v>
      </c>
      <c r="M1460" s="1">
        <v>0</v>
      </c>
      <c r="P1460" s="1">
        <v>71160</v>
      </c>
      <c r="Q1460" s="1">
        <v>0</v>
      </c>
    </row>
    <row r="1461" spans="2:17" hidden="1" x14ac:dyDescent="0.2">
      <c r="B1461" s="1">
        <v>71161</v>
      </c>
      <c r="C1461" s="1">
        <v>0</v>
      </c>
      <c r="G1461" s="1">
        <v>71161</v>
      </c>
      <c r="H1461" s="1">
        <v>0</v>
      </c>
      <c r="L1461" s="1">
        <v>71161</v>
      </c>
      <c r="M1461" s="1">
        <v>0</v>
      </c>
      <c r="P1461" s="1">
        <v>71161</v>
      </c>
      <c r="Q1461" s="1">
        <v>0</v>
      </c>
    </row>
    <row r="1462" spans="2:17" hidden="1" x14ac:dyDescent="0.2">
      <c r="B1462" s="1">
        <v>71162</v>
      </c>
      <c r="C1462" s="1">
        <v>0</v>
      </c>
      <c r="G1462" s="1">
        <v>71162</v>
      </c>
      <c r="H1462" s="1">
        <v>0</v>
      </c>
      <c r="L1462" s="1">
        <v>71162</v>
      </c>
      <c r="M1462" s="1">
        <v>0</v>
      </c>
      <c r="P1462" s="1">
        <v>71162</v>
      </c>
      <c r="Q1462" s="1">
        <v>0</v>
      </c>
    </row>
    <row r="1463" spans="2:17" hidden="1" x14ac:dyDescent="0.2">
      <c r="B1463" s="1">
        <v>71163</v>
      </c>
      <c r="C1463" s="1">
        <v>0</v>
      </c>
      <c r="G1463" s="1">
        <v>71163</v>
      </c>
      <c r="H1463" s="1">
        <v>0</v>
      </c>
      <c r="L1463" s="1">
        <v>71163</v>
      </c>
      <c r="M1463" s="1">
        <v>0</v>
      </c>
      <c r="P1463" s="1">
        <v>71163</v>
      </c>
      <c r="Q1463" s="1">
        <v>0</v>
      </c>
    </row>
    <row r="1464" spans="2:17" hidden="1" x14ac:dyDescent="0.2">
      <c r="B1464" s="1">
        <v>71164</v>
      </c>
      <c r="C1464" s="1">
        <v>0</v>
      </c>
      <c r="G1464" s="1">
        <v>71164</v>
      </c>
      <c r="H1464" s="1">
        <v>0</v>
      </c>
      <c r="L1464" s="1">
        <v>71164</v>
      </c>
      <c r="M1464" s="1">
        <v>0</v>
      </c>
      <c r="P1464" s="1">
        <v>71164</v>
      </c>
      <c r="Q1464" s="1">
        <v>0</v>
      </c>
    </row>
    <row r="1465" spans="2:17" hidden="1" x14ac:dyDescent="0.2">
      <c r="B1465" s="1">
        <v>71165</v>
      </c>
      <c r="C1465" s="1">
        <v>0</v>
      </c>
      <c r="G1465" s="1">
        <v>71165</v>
      </c>
      <c r="H1465" s="1">
        <v>0</v>
      </c>
      <c r="L1465" s="1">
        <v>71165</v>
      </c>
      <c r="M1465" s="1">
        <v>0</v>
      </c>
      <c r="P1465" s="1">
        <v>71165</v>
      </c>
      <c r="Q1465" s="1">
        <v>0</v>
      </c>
    </row>
    <row r="1466" spans="2:17" hidden="1" x14ac:dyDescent="0.2">
      <c r="B1466" s="1">
        <v>71166</v>
      </c>
      <c r="C1466" s="1">
        <v>0</v>
      </c>
      <c r="G1466" s="1">
        <v>71166</v>
      </c>
      <c r="H1466" s="1">
        <v>0</v>
      </c>
      <c r="L1466" s="1">
        <v>71166</v>
      </c>
      <c r="M1466" s="1">
        <v>0</v>
      </c>
      <c r="P1466" s="1">
        <v>71166</v>
      </c>
      <c r="Q1466" s="1">
        <v>0</v>
      </c>
    </row>
    <row r="1467" spans="2:17" hidden="1" x14ac:dyDescent="0.2">
      <c r="B1467" s="1">
        <v>71167</v>
      </c>
      <c r="C1467" s="1">
        <v>0</v>
      </c>
      <c r="G1467" s="1">
        <v>71167</v>
      </c>
      <c r="H1467" s="1">
        <v>0</v>
      </c>
      <c r="L1467" s="1">
        <v>71167</v>
      </c>
      <c r="M1467" s="1">
        <v>0</v>
      </c>
      <c r="P1467" s="1">
        <v>71167</v>
      </c>
      <c r="Q1467" s="1">
        <v>0</v>
      </c>
    </row>
    <row r="1468" spans="2:17" hidden="1" x14ac:dyDescent="0.2">
      <c r="B1468" s="1">
        <v>71168</v>
      </c>
      <c r="C1468" s="1">
        <v>0</v>
      </c>
      <c r="G1468" s="1">
        <v>71168</v>
      </c>
      <c r="H1468" s="1">
        <v>0</v>
      </c>
      <c r="L1468" s="1">
        <v>71168</v>
      </c>
      <c r="M1468" s="1">
        <v>0</v>
      </c>
      <c r="P1468" s="1">
        <v>71168</v>
      </c>
      <c r="Q1468" s="1">
        <v>0</v>
      </c>
    </row>
    <row r="1469" spans="2:17" hidden="1" x14ac:dyDescent="0.2">
      <c r="B1469" s="1">
        <v>71169</v>
      </c>
      <c r="C1469" s="1">
        <v>0</v>
      </c>
      <c r="G1469" s="1">
        <v>71169</v>
      </c>
      <c r="H1469" s="1">
        <v>0</v>
      </c>
      <c r="L1469" s="1">
        <v>71169</v>
      </c>
      <c r="M1469" s="1">
        <v>0</v>
      </c>
      <c r="P1469" s="1">
        <v>71169</v>
      </c>
      <c r="Q1469" s="1">
        <v>0</v>
      </c>
    </row>
    <row r="1470" spans="2:17" hidden="1" x14ac:dyDescent="0.2">
      <c r="B1470" s="1">
        <v>71170</v>
      </c>
      <c r="C1470" s="1">
        <v>0</v>
      </c>
      <c r="G1470" s="1">
        <v>71170</v>
      </c>
      <c r="H1470" s="1">
        <v>0</v>
      </c>
      <c r="L1470" s="1">
        <v>71170</v>
      </c>
      <c r="M1470" s="1">
        <v>0</v>
      </c>
      <c r="P1470" s="1">
        <v>71170</v>
      </c>
      <c r="Q1470" s="1">
        <v>0</v>
      </c>
    </row>
    <row r="1471" spans="2:17" hidden="1" x14ac:dyDescent="0.2">
      <c r="B1471" s="1">
        <v>71171</v>
      </c>
      <c r="C1471" s="1">
        <v>0</v>
      </c>
      <c r="G1471" s="1">
        <v>71171</v>
      </c>
      <c r="H1471" s="1">
        <v>0</v>
      </c>
      <c r="L1471" s="1">
        <v>71171</v>
      </c>
      <c r="M1471" s="1">
        <v>0</v>
      </c>
      <c r="P1471" s="1">
        <v>71171</v>
      </c>
      <c r="Q1471" s="1">
        <v>0</v>
      </c>
    </row>
    <row r="1472" spans="2:17" hidden="1" x14ac:dyDescent="0.2">
      <c r="B1472" s="1">
        <v>71172</v>
      </c>
      <c r="C1472" s="1">
        <v>0</v>
      </c>
      <c r="G1472" s="1">
        <v>71172</v>
      </c>
      <c r="H1472" s="1">
        <v>0</v>
      </c>
      <c r="L1472" s="1">
        <v>71172</v>
      </c>
      <c r="M1472" s="1">
        <v>0</v>
      </c>
      <c r="P1472" s="1">
        <v>71172</v>
      </c>
      <c r="Q1472" s="1">
        <v>0</v>
      </c>
    </row>
    <row r="1473" spans="2:17" hidden="1" x14ac:dyDescent="0.2">
      <c r="B1473" s="1">
        <v>71173</v>
      </c>
      <c r="C1473" s="1">
        <v>0</v>
      </c>
      <c r="G1473" s="1">
        <v>71173</v>
      </c>
      <c r="H1473" s="1">
        <v>0</v>
      </c>
      <c r="L1473" s="1">
        <v>71173</v>
      </c>
      <c r="M1473" s="1">
        <v>0</v>
      </c>
      <c r="P1473" s="1">
        <v>71173</v>
      </c>
      <c r="Q1473" s="1">
        <v>0</v>
      </c>
    </row>
    <row r="1474" spans="2:17" hidden="1" x14ac:dyDescent="0.2">
      <c r="B1474" s="1">
        <v>71174</v>
      </c>
      <c r="C1474" s="1">
        <v>0</v>
      </c>
      <c r="G1474" s="1">
        <v>71174</v>
      </c>
      <c r="H1474" s="1">
        <v>0</v>
      </c>
      <c r="L1474" s="1">
        <v>71174</v>
      </c>
      <c r="M1474" s="1">
        <v>0</v>
      </c>
      <c r="P1474" s="1">
        <v>71174</v>
      </c>
      <c r="Q1474" s="1">
        <v>0</v>
      </c>
    </row>
    <row r="1475" spans="2:17" hidden="1" x14ac:dyDescent="0.2">
      <c r="B1475" s="1">
        <v>71175</v>
      </c>
      <c r="C1475" s="1">
        <v>0</v>
      </c>
      <c r="G1475" s="1">
        <v>71175</v>
      </c>
      <c r="H1475" s="1">
        <v>0</v>
      </c>
      <c r="L1475" s="1">
        <v>71175</v>
      </c>
      <c r="M1475" s="1">
        <v>0</v>
      </c>
      <c r="P1475" s="1">
        <v>71175</v>
      </c>
      <c r="Q1475" s="1">
        <v>0</v>
      </c>
    </row>
    <row r="1476" spans="2:17" hidden="1" x14ac:dyDescent="0.2">
      <c r="B1476" s="1">
        <v>71176</v>
      </c>
      <c r="C1476" s="1">
        <v>0</v>
      </c>
      <c r="G1476" s="1">
        <v>71176</v>
      </c>
      <c r="H1476" s="1">
        <v>0</v>
      </c>
      <c r="L1476" s="1">
        <v>71176</v>
      </c>
      <c r="M1476" s="1">
        <v>0</v>
      </c>
      <c r="P1476" s="1">
        <v>71176</v>
      </c>
      <c r="Q1476" s="1">
        <v>0</v>
      </c>
    </row>
    <row r="1477" spans="2:17" hidden="1" x14ac:dyDescent="0.2">
      <c r="B1477" s="1">
        <v>71177</v>
      </c>
      <c r="C1477" s="1">
        <v>0</v>
      </c>
      <c r="G1477" s="1">
        <v>71177</v>
      </c>
      <c r="H1477" s="1">
        <v>0</v>
      </c>
      <c r="L1477" s="1">
        <v>71177</v>
      </c>
      <c r="M1477" s="1">
        <v>0</v>
      </c>
      <c r="P1477" s="1">
        <v>71177</v>
      </c>
      <c r="Q1477" s="1">
        <v>0</v>
      </c>
    </row>
    <row r="1478" spans="2:17" hidden="1" x14ac:dyDescent="0.2">
      <c r="B1478" s="1">
        <v>71178</v>
      </c>
      <c r="C1478" s="1">
        <v>0</v>
      </c>
      <c r="G1478" s="1">
        <v>71178</v>
      </c>
      <c r="H1478" s="1">
        <v>0</v>
      </c>
      <c r="L1478" s="1">
        <v>71178</v>
      </c>
      <c r="M1478" s="1">
        <v>0</v>
      </c>
      <c r="P1478" s="1">
        <v>71178</v>
      </c>
      <c r="Q1478" s="1">
        <v>0</v>
      </c>
    </row>
    <row r="1479" spans="2:17" hidden="1" x14ac:dyDescent="0.2">
      <c r="B1479" s="1">
        <v>71179</v>
      </c>
      <c r="C1479" s="1">
        <v>0</v>
      </c>
      <c r="G1479" s="1">
        <v>71179</v>
      </c>
      <c r="H1479" s="1">
        <v>0</v>
      </c>
      <c r="L1479" s="1">
        <v>71179</v>
      </c>
      <c r="M1479" s="1">
        <v>0</v>
      </c>
      <c r="P1479" s="1">
        <v>71179</v>
      </c>
      <c r="Q1479" s="1">
        <v>0</v>
      </c>
    </row>
    <row r="1480" spans="2:17" hidden="1" x14ac:dyDescent="0.2">
      <c r="B1480" s="1">
        <v>71180</v>
      </c>
      <c r="C1480" s="1">
        <v>0</v>
      </c>
      <c r="G1480" s="1">
        <v>71180</v>
      </c>
      <c r="H1480" s="1">
        <v>0</v>
      </c>
      <c r="L1480" s="1">
        <v>71180</v>
      </c>
      <c r="M1480" s="1">
        <v>0</v>
      </c>
      <c r="P1480" s="1">
        <v>71180</v>
      </c>
      <c r="Q1480" s="1">
        <v>0</v>
      </c>
    </row>
    <row r="1481" spans="2:17" hidden="1" x14ac:dyDescent="0.2">
      <c r="B1481" s="1">
        <v>71181</v>
      </c>
      <c r="C1481" s="1">
        <v>0</v>
      </c>
      <c r="G1481" s="1">
        <v>71181</v>
      </c>
      <c r="H1481" s="1">
        <v>0</v>
      </c>
      <c r="L1481" s="1">
        <v>71181</v>
      </c>
      <c r="M1481" s="1">
        <v>0</v>
      </c>
      <c r="P1481" s="1">
        <v>71181</v>
      </c>
      <c r="Q1481" s="1">
        <v>0</v>
      </c>
    </row>
    <row r="1482" spans="2:17" hidden="1" x14ac:dyDescent="0.2">
      <c r="B1482" s="1">
        <v>71182</v>
      </c>
      <c r="C1482" s="1">
        <v>0</v>
      </c>
      <c r="G1482" s="1">
        <v>71182</v>
      </c>
      <c r="H1482" s="1">
        <v>0</v>
      </c>
      <c r="L1482" s="1">
        <v>71182</v>
      </c>
      <c r="M1482" s="1">
        <v>0</v>
      </c>
      <c r="P1482" s="1">
        <v>71182</v>
      </c>
      <c r="Q1482" s="1">
        <v>0</v>
      </c>
    </row>
    <row r="1483" spans="2:17" hidden="1" x14ac:dyDescent="0.2">
      <c r="B1483" s="1">
        <v>71183</v>
      </c>
      <c r="C1483" s="1">
        <v>0</v>
      </c>
      <c r="G1483" s="1">
        <v>71183</v>
      </c>
      <c r="H1483" s="1">
        <v>0</v>
      </c>
      <c r="L1483" s="1">
        <v>71183</v>
      </c>
      <c r="M1483" s="1">
        <v>0</v>
      </c>
      <c r="P1483" s="1">
        <v>71183</v>
      </c>
      <c r="Q1483" s="1">
        <v>0</v>
      </c>
    </row>
    <row r="1484" spans="2:17" hidden="1" x14ac:dyDescent="0.2">
      <c r="B1484" s="1">
        <v>72154</v>
      </c>
      <c r="C1484" s="1">
        <v>0</v>
      </c>
      <c r="G1484" s="1">
        <v>72154</v>
      </c>
      <c r="H1484" s="1">
        <v>0</v>
      </c>
      <c r="L1484" s="1">
        <v>72154</v>
      </c>
      <c r="M1484" s="1">
        <v>0</v>
      </c>
      <c r="P1484" s="1">
        <v>72154</v>
      </c>
      <c r="Q1484" s="1">
        <v>0</v>
      </c>
    </row>
    <row r="1485" spans="2:17" hidden="1" x14ac:dyDescent="0.2">
      <c r="B1485" s="1">
        <v>72155</v>
      </c>
      <c r="C1485" s="1">
        <v>0</v>
      </c>
      <c r="G1485" s="1">
        <v>72155</v>
      </c>
      <c r="H1485" s="1">
        <v>0</v>
      </c>
      <c r="L1485" s="1">
        <v>72155</v>
      </c>
      <c r="M1485" s="1">
        <v>0</v>
      </c>
      <c r="P1485" s="1">
        <v>72155</v>
      </c>
      <c r="Q1485" s="1">
        <v>0</v>
      </c>
    </row>
    <row r="1486" spans="2:17" hidden="1" x14ac:dyDescent="0.2">
      <c r="B1486" s="1">
        <v>72156</v>
      </c>
      <c r="C1486" s="1">
        <v>0</v>
      </c>
      <c r="G1486" s="1">
        <v>72156</v>
      </c>
      <c r="H1486" s="1">
        <v>0</v>
      </c>
      <c r="L1486" s="1">
        <v>72156</v>
      </c>
      <c r="M1486" s="1">
        <v>0</v>
      </c>
      <c r="P1486" s="1">
        <v>72156</v>
      </c>
      <c r="Q1486" s="1">
        <v>0</v>
      </c>
    </row>
    <row r="1487" spans="2:17" hidden="1" x14ac:dyDescent="0.2">
      <c r="B1487" s="1">
        <v>72157</v>
      </c>
      <c r="C1487" s="1">
        <v>0</v>
      </c>
      <c r="G1487" s="1">
        <v>72157</v>
      </c>
      <c r="H1487" s="1">
        <v>0</v>
      </c>
      <c r="L1487" s="1">
        <v>72157</v>
      </c>
      <c r="M1487" s="1">
        <v>0</v>
      </c>
      <c r="P1487" s="1">
        <v>72157</v>
      </c>
      <c r="Q1487" s="1">
        <v>0</v>
      </c>
    </row>
    <row r="1488" spans="2:17" hidden="1" x14ac:dyDescent="0.2">
      <c r="B1488" s="1">
        <v>72158</v>
      </c>
      <c r="C1488" s="1">
        <v>0</v>
      </c>
      <c r="G1488" s="1">
        <v>72158</v>
      </c>
      <c r="H1488" s="1">
        <v>0</v>
      </c>
      <c r="L1488" s="1">
        <v>72158</v>
      </c>
      <c r="M1488" s="1">
        <v>0</v>
      </c>
      <c r="P1488" s="1">
        <v>72158</v>
      </c>
      <c r="Q1488" s="1">
        <v>0</v>
      </c>
    </row>
    <row r="1489" spans="2:17" hidden="1" x14ac:dyDescent="0.2">
      <c r="B1489" s="1">
        <v>72159</v>
      </c>
      <c r="C1489" s="1">
        <v>0</v>
      </c>
      <c r="G1489" s="1">
        <v>72159</v>
      </c>
      <c r="H1489" s="1">
        <v>0</v>
      </c>
      <c r="L1489" s="1">
        <v>72159</v>
      </c>
      <c r="M1489" s="1">
        <v>0</v>
      </c>
      <c r="P1489" s="1">
        <v>72159</v>
      </c>
      <c r="Q1489" s="1">
        <v>0</v>
      </c>
    </row>
    <row r="1490" spans="2:17" hidden="1" x14ac:dyDescent="0.2">
      <c r="B1490" s="1">
        <v>72160</v>
      </c>
      <c r="C1490" s="1">
        <v>0</v>
      </c>
      <c r="G1490" s="1">
        <v>72160</v>
      </c>
      <c r="H1490" s="1">
        <v>0</v>
      </c>
      <c r="L1490" s="1">
        <v>72160</v>
      </c>
      <c r="M1490" s="1">
        <v>0</v>
      </c>
      <c r="P1490" s="1">
        <v>72160</v>
      </c>
      <c r="Q1490" s="1">
        <v>0</v>
      </c>
    </row>
    <row r="1491" spans="2:17" hidden="1" x14ac:dyDescent="0.2">
      <c r="B1491" s="1">
        <v>72161</v>
      </c>
      <c r="C1491" s="1">
        <v>0</v>
      </c>
      <c r="G1491" s="1">
        <v>72161</v>
      </c>
      <c r="H1491" s="1">
        <v>0</v>
      </c>
      <c r="L1491" s="1">
        <v>72161</v>
      </c>
      <c r="M1491" s="1">
        <v>0</v>
      </c>
      <c r="P1491" s="1">
        <v>72161</v>
      </c>
      <c r="Q1491" s="1">
        <v>0</v>
      </c>
    </row>
    <row r="1492" spans="2:17" hidden="1" x14ac:dyDescent="0.2">
      <c r="B1492" s="1">
        <v>72162</v>
      </c>
      <c r="C1492" s="1">
        <v>0</v>
      </c>
      <c r="G1492" s="1">
        <v>72162</v>
      </c>
      <c r="H1492" s="1">
        <v>0</v>
      </c>
      <c r="L1492" s="1">
        <v>72162</v>
      </c>
      <c r="M1492" s="1">
        <v>0</v>
      </c>
      <c r="P1492" s="1">
        <v>72162</v>
      </c>
      <c r="Q1492" s="1">
        <v>0</v>
      </c>
    </row>
    <row r="1493" spans="2:17" hidden="1" x14ac:dyDescent="0.2">
      <c r="B1493" s="1">
        <v>72163</v>
      </c>
      <c r="C1493" s="1">
        <v>0</v>
      </c>
      <c r="G1493" s="1">
        <v>72163</v>
      </c>
      <c r="H1493" s="1">
        <v>0</v>
      </c>
      <c r="L1493" s="1">
        <v>72163</v>
      </c>
      <c r="M1493" s="1">
        <v>0</v>
      </c>
      <c r="P1493" s="1">
        <v>72163</v>
      </c>
      <c r="Q1493" s="1">
        <v>0</v>
      </c>
    </row>
    <row r="1494" spans="2:17" hidden="1" x14ac:dyDescent="0.2">
      <c r="B1494" s="1">
        <v>72164</v>
      </c>
      <c r="C1494" s="1">
        <v>0</v>
      </c>
      <c r="G1494" s="1">
        <v>72164</v>
      </c>
      <c r="H1494" s="1">
        <v>0</v>
      </c>
      <c r="L1494" s="1">
        <v>72164</v>
      </c>
      <c r="M1494" s="1">
        <v>0</v>
      </c>
      <c r="P1494" s="1">
        <v>72164</v>
      </c>
      <c r="Q1494" s="1">
        <v>0</v>
      </c>
    </row>
    <row r="1495" spans="2:17" hidden="1" x14ac:dyDescent="0.2">
      <c r="B1495" s="1">
        <v>72165</v>
      </c>
      <c r="C1495" s="1">
        <v>0</v>
      </c>
      <c r="G1495" s="1">
        <v>72165</v>
      </c>
      <c r="H1495" s="1">
        <v>0</v>
      </c>
      <c r="L1495" s="1">
        <v>72165</v>
      </c>
      <c r="M1495" s="1">
        <v>0</v>
      </c>
      <c r="P1495" s="1">
        <v>72165</v>
      </c>
      <c r="Q1495" s="1">
        <v>0</v>
      </c>
    </row>
    <row r="1496" spans="2:17" hidden="1" x14ac:dyDescent="0.2">
      <c r="B1496" s="1">
        <v>72166</v>
      </c>
      <c r="C1496" s="1">
        <v>0</v>
      </c>
      <c r="G1496" s="1">
        <v>72166</v>
      </c>
      <c r="H1496" s="1">
        <v>0</v>
      </c>
      <c r="L1496" s="1">
        <v>72166</v>
      </c>
      <c r="M1496" s="1">
        <v>0</v>
      </c>
      <c r="P1496" s="1">
        <v>72166</v>
      </c>
      <c r="Q1496" s="1">
        <v>0</v>
      </c>
    </row>
    <row r="1497" spans="2:17" hidden="1" x14ac:dyDescent="0.2">
      <c r="B1497" s="1">
        <v>72167</v>
      </c>
      <c r="C1497" s="1">
        <v>0</v>
      </c>
      <c r="G1497" s="1">
        <v>72167</v>
      </c>
      <c r="H1497" s="1">
        <v>0</v>
      </c>
      <c r="L1497" s="1">
        <v>72167</v>
      </c>
      <c r="M1497" s="1">
        <v>0</v>
      </c>
      <c r="P1497" s="1">
        <v>72167</v>
      </c>
      <c r="Q1497" s="1">
        <v>0</v>
      </c>
    </row>
    <row r="1498" spans="2:17" hidden="1" x14ac:dyDescent="0.2">
      <c r="B1498" s="1">
        <v>72168</v>
      </c>
      <c r="C1498" s="1">
        <v>0</v>
      </c>
      <c r="G1498" s="1">
        <v>72168</v>
      </c>
      <c r="H1498" s="1">
        <v>0</v>
      </c>
      <c r="L1498" s="1">
        <v>72168</v>
      </c>
      <c r="M1498" s="1">
        <v>0</v>
      </c>
      <c r="P1498" s="1">
        <v>72168</v>
      </c>
      <c r="Q1498" s="1">
        <v>0</v>
      </c>
    </row>
    <row r="1499" spans="2:17" hidden="1" x14ac:dyDescent="0.2">
      <c r="B1499" s="1">
        <v>72169</v>
      </c>
      <c r="C1499" s="1">
        <v>0</v>
      </c>
      <c r="G1499" s="1">
        <v>72169</v>
      </c>
      <c r="H1499" s="1">
        <v>0</v>
      </c>
      <c r="L1499" s="1">
        <v>72169</v>
      </c>
      <c r="M1499" s="1">
        <v>0</v>
      </c>
      <c r="P1499" s="1">
        <v>72169</v>
      </c>
      <c r="Q1499" s="1">
        <v>0</v>
      </c>
    </row>
    <row r="1500" spans="2:17" hidden="1" x14ac:dyDescent="0.2">
      <c r="B1500" s="1">
        <v>72170</v>
      </c>
      <c r="C1500" s="1">
        <v>0</v>
      </c>
      <c r="G1500" s="1">
        <v>72170</v>
      </c>
      <c r="H1500" s="1">
        <v>0</v>
      </c>
      <c r="L1500" s="1">
        <v>72170</v>
      </c>
      <c r="M1500" s="1">
        <v>0</v>
      </c>
      <c r="P1500" s="1">
        <v>72170</v>
      </c>
      <c r="Q1500" s="1">
        <v>0</v>
      </c>
    </row>
    <row r="1501" spans="2:17" hidden="1" x14ac:dyDescent="0.2">
      <c r="B1501" s="1">
        <v>72171</v>
      </c>
      <c r="C1501" s="1">
        <v>0</v>
      </c>
      <c r="G1501" s="1">
        <v>72171</v>
      </c>
      <c r="H1501" s="1">
        <v>0</v>
      </c>
      <c r="L1501" s="1">
        <v>72171</v>
      </c>
      <c r="M1501" s="1">
        <v>0</v>
      </c>
      <c r="P1501" s="1">
        <v>72171</v>
      </c>
      <c r="Q1501" s="1">
        <v>0</v>
      </c>
    </row>
    <row r="1502" spans="2:17" hidden="1" x14ac:dyDescent="0.2">
      <c r="B1502" s="1">
        <v>72172</v>
      </c>
      <c r="C1502" s="1">
        <v>0</v>
      </c>
      <c r="G1502" s="1">
        <v>72172</v>
      </c>
      <c r="H1502" s="1">
        <v>0</v>
      </c>
      <c r="L1502" s="1">
        <v>72172</v>
      </c>
      <c r="M1502" s="1">
        <v>0</v>
      </c>
      <c r="P1502" s="1">
        <v>72172</v>
      </c>
      <c r="Q1502" s="1">
        <v>0</v>
      </c>
    </row>
    <row r="1503" spans="2:17" hidden="1" x14ac:dyDescent="0.2">
      <c r="B1503" s="1">
        <v>72173</v>
      </c>
      <c r="C1503" s="1">
        <v>0</v>
      </c>
      <c r="G1503" s="1">
        <v>72173</v>
      </c>
      <c r="H1503" s="1">
        <v>0</v>
      </c>
      <c r="L1503" s="1">
        <v>72173</v>
      </c>
      <c r="M1503" s="1">
        <v>0</v>
      </c>
      <c r="P1503" s="1">
        <v>72173</v>
      </c>
      <c r="Q1503" s="1">
        <v>0</v>
      </c>
    </row>
    <row r="1504" spans="2:17" hidden="1" x14ac:dyDescent="0.2">
      <c r="B1504" s="1">
        <v>72174</v>
      </c>
      <c r="C1504" s="1">
        <v>0</v>
      </c>
      <c r="G1504" s="1">
        <v>72174</v>
      </c>
      <c r="H1504" s="1">
        <v>0</v>
      </c>
      <c r="L1504" s="1">
        <v>72174</v>
      </c>
      <c r="M1504" s="1">
        <v>0</v>
      </c>
      <c r="P1504" s="1">
        <v>72174</v>
      </c>
      <c r="Q1504" s="1">
        <v>0</v>
      </c>
    </row>
    <row r="1505" spans="2:17" hidden="1" x14ac:dyDescent="0.2">
      <c r="B1505" s="1">
        <v>72175</v>
      </c>
      <c r="C1505" s="1">
        <v>0</v>
      </c>
      <c r="G1505" s="1">
        <v>72175</v>
      </c>
      <c r="H1505" s="1">
        <v>0</v>
      </c>
      <c r="L1505" s="1">
        <v>72175</v>
      </c>
      <c r="M1505" s="1">
        <v>0</v>
      </c>
      <c r="P1505" s="1">
        <v>72175</v>
      </c>
      <c r="Q1505" s="1">
        <v>0</v>
      </c>
    </row>
    <row r="1506" spans="2:17" hidden="1" x14ac:dyDescent="0.2">
      <c r="B1506" s="1">
        <v>72176</v>
      </c>
      <c r="C1506" s="1">
        <v>0</v>
      </c>
      <c r="G1506" s="1">
        <v>72176</v>
      </c>
      <c r="H1506" s="1">
        <v>0</v>
      </c>
      <c r="L1506" s="1">
        <v>72176</v>
      </c>
      <c r="M1506" s="1">
        <v>0</v>
      </c>
      <c r="P1506" s="1">
        <v>72176</v>
      </c>
      <c r="Q1506" s="1">
        <v>0</v>
      </c>
    </row>
    <row r="1507" spans="2:17" hidden="1" x14ac:dyDescent="0.2">
      <c r="B1507" s="1">
        <v>72177</v>
      </c>
      <c r="C1507" s="1">
        <v>0</v>
      </c>
      <c r="G1507" s="1">
        <v>72177</v>
      </c>
      <c r="H1507" s="1">
        <v>0</v>
      </c>
      <c r="L1507" s="1">
        <v>72177</v>
      </c>
      <c r="M1507" s="1">
        <v>0</v>
      </c>
      <c r="P1507" s="1">
        <v>72177</v>
      </c>
      <c r="Q1507" s="1">
        <v>0</v>
      </c>
    </row>
    <row r="1508" spans="2:17" hidden="1" x14ac:dyDescent="0.2">
      <c r="B1508" s="1">
        <v>72178</v>
      </c>
      <c r="C1508" s="1">
        <v>0</v>
      </c>
      <c r="G1508" s="1">
        <v>72178</v>
      </c>
      <c r="H1508" s="1">
        <v>0</v>
      </c>
      <c r="L1508" s="1">
        <v>72178</v>
      </c>
      <c r="M1508" s="1">
        <v>0</v>
      </c>
      <c r="P1508" s="1">
        <v>72178</v>
      </c>
      <c r="Q1508" s="1">
        <v>0</v>
      </c>
    </row>
    <row r="1509" spans="2:17" hidden="1" x14ac:dyDescent="0.2">
      <c r="B1509" s="1">
        <v>72179</v>
      </c>
      <c r="C1509" s="1">
        <v>0</v>
      </c>
      <c r="G1509" s="1">
        <v>72179</v>
      </c>
      <c r="H1509" s="1">
        <v>0</v>
      </c>
      <c r="L1509" s="1">
        <v>72179</v>
      </c>
      <c r="M1509" s="1">
        <v>0</v>
      </c>
      <c r="P1509" s="1">
        <v>72179</v>
      </c>
      <c r="Q1509" s="1">
        <v>0</v>
      </c>
    </row>
    <row r="1510" spans="2:17" hidden="1" x14ac:dyDescent="0.2">
      <c r="B1510" s="1">
        <v>72180</v>
      </c>
      <c r="C1510" s="1">
        <v>0</v>
      </c>
      <c r="G1510" s="1">
        <v>72180</v>
      </c>
      <c r="H1510" s="1">
        <v>0</v>
      </c>
      <c r="L1510" s="1">
        <v>72180</v>
      </c>
      <c r="M1510" s="1">
        <v>0</v>
      </c>
      <c r="P1510" s="1">
        <v>72180</v>
      </c>
      <c r="Q1510" s="1">
        <v>0</v>
      </c>
    </row>
    <row r="1511" spans="2:17" hidden="1" x14ac:dyDescent="0.2">
      <c r="B1511" s="1">
        <v>72181</v>
      </c>
      <c r="C1511" s="1">
        <v>0</v>
      </c>
      <c r="G1511" s="1">
        <v>72181</v>
      </c>
      <c r="H1511" s="1">
        <v>0</v>
      </c>
      <c r="L1511" s="1">
        <v>72181</v>
      </c>
      <c r="M1511" s="1">
        <v>0</v>
      </c>
      <c r="P1511" s="1">
        <v>72181</v>
      </c>
      <c r="Q1511" s="1">
        <v>0</v>
      </c>
    </row>
    <row r="1512" spans="2:17" hidden="1" x14ac:dyDescent="0.2">
      <c r="B1512" s="1">
        <v>72182</v>
      </c>
      <c r="C1512" s="1">
        <v>0</v>
      </c>
      <c r="G1512" s="1">
        <v>72182</v>
      </c>
      <c r="H1512" s="1">
        <v>0</v>
      </c>
      <c r="L1512" s="1">
        <v>72182</v>
      </c>
      <c r="M1512" s="1">
        <v>0</v>
      </c>
      <c r="P1512" s="1">
        <v>72182</v>
      </c>
      <c r="Q1512" s="1">
        <v>0</v>
      </c>
    </row>
    <row r="1513" spans="2:17" hidden="1" x14ac:dyDescent="0.2">
      <c r="B1513" s="1">
        <v>72183</v>
      </c>
      <c r="C1513" s="1">
        <v>0</v>
      </c>
      <c r="G1513" s="1">
        <v>72183</v>
      </c>
      <c r="H1513" s="1">
        <v>0</v>
      </c>
      <c r="L1513" s="1">
        <v>72183</v>
      </c>
      <c r="M1513" s="1">
        <v>0</v>
      </c>
      <c r="P1513" s="1">
        <v>72183</v>
      </c>
      <c r="Q1513" s="1">
        <v>0</v>
      </c>
    </row>
    <row r="1514" spans="2:17" hidden="1" x14ac:dyDescent="0.2">
      <c r="B1514" s="1">
        <v>72184</v>
      </c>
      <c r="C1514" s="1">
        <v>0</v>
      </c>
      <c r="G1514" s="1">
        <v>72184</v>
      </c>
      <c r="H1514" s="1">
        <v>0</v>
      </c>
      <c r="L1514" s="1">
        <v>72184</v>
      </c>
      <c r="M1514" s="1">
        <v>0</v>
      </c>
      <c r="P1514" s="1">
        <v>72184</v>
      </c>
      <c r="Q1514" s="1">
        <v>0</v>
      </c>
    </row>
    <row r="1515" spans="2:17" hidden="1" x14ac:dyDescent="0.2">
      <c r="B1515" s="1">
        <v>73157</v>
      </c>
      <c r="C1515" s="1">
        <v>0</v>
      </c>
      <c r="G1515" s="1">
        <v>73157</v>
      </c>
      <c r="H1515" s="1">
        <v>0</v>
      </c>
      <c r="L1515" s="1">
        <v>73157</v>
      </c>
      <c r="M1515" s="1">
        <v>0</v>
      </c>
      <c r="P1515" s="1">
        <v>73157</v>
      </c>
      <c r="Q1515" s="1">
        <v>0</v>
      </c>
    </row>
    <row r="1516" spans="2:17" hidden="1" x14ac:dyDescent="0.2">
      <c r="B1516" s="1">
        <v>73158</v>
      </c>
      <c r="C1516" s="1">
        <v>0</v>
      </c>
      <c r="G1516" s="1">
        <v>73158</v>
      </c>
      <c r="H1516" s="1">
        <v>0</v>
      </c>
      <c r="L1516" s="1">
        <v>73158</v>
      </c>
      <c r="M1516" s="1">
        <v>0</v>
      </c>
      <c r="P1516" s="1">
        <v>73158</v>
      </c>
      <c r="Q1516" s="1">
        <v>0</v>
      </c>
    </row>
    <row r="1517" spans="2:17" hidden="1" x14ac:dyDescent="0.2">
      <c r="B1517" s="1">
        <v>73159</v>
      </c>
      <c r="C1517" s="1">
        <v>0</v>
      </c>
      <c r="G1517" s="1">
        <v>73159</v>
      </c>
      <c r="H1517" s="1">
        <v>0</v>
      </c>
      <c r="L1517" s="1">
        <v>73159</v>
      </c>
      <c r="M1517" s="1">
        <v>0</v>
      </c>
      <c r="P1517" s="1">
        <v>73159</v>
      </c>
      <c r="Q1517" s="1">
        <v>0</v>
      </c>
    </row>
    <row r="1518" spans="2:17" hidden="1" x14ac:dyDescent="0.2">
      <c r="B1518" s="1">
        <v>73160</v>
      </c>
      <c r="C1518" s="1">
        <v>0</v>
      </c>
      <c r="G1518" s="1">
        <v>73160</v>
      </c>
      <c r="H1518" s="1">
        <v>0</v>
      </c>
      <c r="L1518" s="1">
        <v>73160</v>
      </c>
      <c r="M1518" s="1">
        <v>0</v>
      </c>
      <c r="P1518" s="1">
        <v>73160</v>
      </c>
      <c r="Q1518" s="1">
        <v>0</v>
      </c>
    </row>
    <row r="1519" spans="2:17" hidden="1" x14ac:dyDescent="0.2">
      <c r="B1519" s="1">
        <v>73161</v>
      </c>
      <c r="C1519" s="1">
        <v>0</v>
      </c>
      <c r="G1519" s="1">
        <v>73161</v>
      </c>
      <c r="H1519" s="1">
        <v>0</v>
      </c>
      <c r="L1519" s="1">
        <v>73161</v>
      </c>
      <c r="M1519" s="1">
        <v>0</v>
      </c>
      <c r="P1519" s="1">
        <v>73161</v>
      </c>
      <c r="Q1519" s="1">
        <v>0</v>
      </c>
    </row>
    <row r="1520" spans="2:17" hidden="1" x14ac:dyDescent="0.2">
      <c r="B1520" s="1">
        <v>73162</v>
      </c>
      <c r="C1520" s="1">
        <v>0</v>
      </c>
      <c r="G1520" s="1">
        <v>73162</v>
      </c>
      <c r="H1520" s="1">
        <v>0</v>
      </c>
      <c r="L1520" s="1">
        <v>73162</v>
      </c>
      <c r="M1520" s="1">
        <v>0</v>
      </c>
      <c r="P1520" s="1">
        <v>73162</v>
      </c>
      <c r="Q1520" s="1">
        <v>0</v>
      </c>
    </row>
    <row r="1521" spans="2:17" hidden="1" x14ac:dyDescent="0.2">
      <c r="B1521" s="1">
        <v>73163</v>
      </c>
      <c r="C1521" s="1">
        <v>0</v>
      </c>
      <c r="G1521" s="1">
        <v>73163</v>
      </c>
      <c r="H1521" s="1">
        <v>0</v>
      </c>
      <c r="L1521" s="1">
        <v>73163</v>
      </c>
      <c r="M1521" s="1">
        <v>0</v>
      </c>
      <c r="P1521" s="1">
        <v>73163</v>
      </c>
      <c r="Q1521" s="1">
        <v>0</v>
      </c>
    </row>
    <row r="1522" spans="2:17" hidden="1" x14ac:dyDescent="0.2">
      <c r="B1522" s="1">
        <v>73164</v>
      </c>
      <c r="C1522" s="1">
        <v>0</v>
      </c>
      <c r="G1522" s="1">
        <v>73164</v>
      </c>
      <c r="H1522" s="1">
        <v>0</v>
      </c>
      <c r="L1522" s="1">
        <v>73164</v>
      </c>
      <c r="M1522" s="1">
        <v>0</v>
      </c>
      <c r="P1522" s="1">
        <v>73164</v>
      </c>
      <c r="Q1522" s="1">
        <v>0</v>
      </c>
    </row>
    <row r="1523" spans="2:17" hidden="1" x14ac:dyDescent="0.2">
      <c r="B1523" s="1">
        <v>73165</v>
      </c>
      <c r="C1523" s="1">
        <v>0</v>
      </c>
      <c r="G1523" s="1">
        <v>73165</v>
      </c>
      <c r="H1523" s="1">
        <v>0</v>
      </c>
      <c r="L1523" s="1">
        <v>73165</v>
      </c>
      <c r="M1523" s="1">
        <v>0</v>
      </c>
      <c r="P1523" s="1">
        <v>73165</v>
      </c>
      <c r="Q1523" s="1">
        <v>0</v>
      </c>
    </row>
    <row r="1524" spans="2:17" hidden="1" x14ac:dyDescent="0.2">
      <c r="B1524" s="1">
        <v>73166</v>
      </c>
      <c r="C1524" s="1">
        <v>0</v>
      </c>
      <c r="G1524" s="1">
        <v>73166</v>
      </c>
      <c r="H1524" s="1">
        <v>0</v>
      </c>
      <c r="L1524" s="1">
        <v>73166</v>
      </c>
      <c r="M1524" s="1">
        <v>0</v>
      </c>
      <c r="P1524" s="1">
        <v>73166</v>
      </c>
      <c r="Q1524" s="1">
        <v>0</v>
      </c>
    </row>
    <row r="1525" spans="2:17" hidden="1" x14ac:dyDescent="0.2">
      <c r="B1525" s="1">
        <v>73167</v>
      </c>
      <c r="C1525" s="1">
        <v>0</v>
      </c>
      <c r="G1525" s="1">
        <v>73167</v>
      </c>
      <c r="H1525" s="1">
        <v>0</v>
      </c>
      <c r="L1525" s="1">
        <v>73167</v>
      </c>
      <c r="M1525" s="1">
        <v>0</v>
      </c>
      <c r="P1525" s="1">
        <v>73167</v>
      </c>
      <c r="Q1525" s="1">
        <v>0</v>
      </c>
    </row>
    <row r="1526" spans="2:17" hidden="1" x14ac:dyDescent="0.2">
      <c r="B1526" s="1">
        <v>73168</v>
      </c>
      <c r="C1526" s="1">
        <v>0</v>
      </c>
      <c r="G1526" s="1">
        <v>73168</v>
      </c>
      <c r="H1526" s="1">
        <v>0</v>
      </c>
      <c r="L1526" s="1">
        <v>73168</v>
      </c>
      <c r="M1526" s="1">
        <v>0</v>
      </c>
      <c r="P1526" s="1">
        <v>73168</v>
      </c>
      <c r="Q1526" s="1">
        <v>0</v>
      </c>
    </row>
    <row r="1527" spans="2:17" hidden="1" x14ac:dyDescent="0.2">
      <c r="B1527" s="1">
        <v>73169</v>
      </c>
      <c r="C1527" s="1">
        <v>0</v>
      </c>
      <c r="G1527" s="1">
        <v>73169</v>
      </c>
      <c r="H1527" s="1">
        <v>0</v>
      </c>
      <c r="L1527" s="1">
        <v>73169</v>
      </c>
      <c r="M1527" s="1">
        <v>0</v>
      </c>
      <c r="P1527" s="1">
        <v>73169</v>
      </c>
      <c r="Q1527" s="1">
        <v>0</v>
      </c>
    </row>
    <row r="1528" spans="2:17" hidden="1" x14ac:dyDescent="0.2">
      <c r="B1528" s="1">
        <v>73170</v>
      </c>
      <c r="C1528" s="1">
        <v>0</v>
      </c>
      <c r="G1528" s="1">
        <v>73170</v>
      </c>
      <c r="H1528" s="1">
        <v>0</v>
      </c>
      <c r="L1528" s="1">
        <v>73170</v>
      </c>
      <c r="M1528" s="1">
        <v>0</v>
      </c>
      <c r="P1528" s="1">
        <v>73170</v>
      </c>
      <c r="Q1528" s="1">
        <v>0</v>
      </c>
    </row>
    <row r="1529" spans="2:17" hidden="1" x14ac:dyDescent="0.2">
      <c r="B1529" s="1">
        <v>73171</v>
      </c>
      <c r="C1529" s="1">
        <v>0</v>
      </c>
      <c r="G1529" s="1">
        <v>73171</v>
      </c>
      <c r="H1529" s="1">
        <v>0</v>
      </c>
      <c r="L1529" s="1">
        <v>73171</v>
      </c>
      <c r="M1529" s="1">
        <v>0</v>
      </c>
      <c r="P1529" s="1">
        <v>73171</v>
      </c>
      <c r="Q1529" s="1">
        <v>0</v>
      </c>
    </row>
    <row r="1530" spans="2:17" hidden="1" x14ac:dyDescent="0.2">
      <c r="B1530" s="1">
        <v>73172</v>
      </c>
      <c r="C1530" s="1">
        <v>0</v>
      </c>
      <c r="G1530" s="1">
        <v>73172</v>
      </c>
      <c r="H1530" s="1">
        <v>0</v>
      </c>
      <c r="L1530" s="1">
        <v>73172</v>
      </c>
      <c r="M1530" s="1">
        <v>0</v>
      </c>
      <c r="P1530" s="1">
        <v>73172</v>
      </c>
      <c r="Q1530" s="1">
        <v>0</v>
      </c>
    </row>
    <row r="1531" spans="2:17" hidden="1" x14ac:dyDescent="0.2">
      <c r="B1531" s="1">
        <v>73173</v>
      </c>
      <c r="C1531" s="1">
        <v>0</v>
      </c>
      <c r="G1531" s="1">
        <v>73173</v>
      </c>
      <c r="H1531" s="1">
        <v>0</v>
      </c>
      <c r="L1531" s="1">
        <v>73173</v>
      </c>
      <c r="M1531" s="1">
        <v>0</v>
      </c>
      <c r="P1531" s="1">
        <v>73173</v>
      </c>
      <c r="Q1531" s="1">
        <v>0</v>
      </c>
    </row>
    <row r="1532" spans="2:17" hidden="1" x14ac:dyDescent="0.2">
      <c r="B1532" s="1">
        <v>73174</v>
      </c>
      <c r="C1532" s="1">
        <v>0</v>
      </c>
      <c r="G1532" s="1">
        <v>73174</v>
      </c>
      <c r="H1532" s="1">
        <v>0</v>
      </c>
      <c r="L1532" s="1">
        <v>73174</v>
      </c>
      <c r="M1532" s="1">
        <v>0</v>
      </c>
      <c r="P1532" s="1">
        <v>73174</v>
      </c>
      <c r="Q1532" s="1">
        <v>0</v>
      </c>
    </row>
    <row r="1533" spans="2:17" hidden="1" x14ac:dyDescent="0.2">
      <c r="B1533" s="1">
        <v>73175</v>
      </c>
      <c r="C1533" s="1">
        <v>0</v>
      </c>
      <c r="G1533" s="1">
        <v>73175</v>
      </c>
      <c r="H1533" s="1">
        <v>0</v>
      </c>
      <c r="L1533" s="1">
        <v>73175</v>
      </c>
      <c r="M1533" s="1">
        <v>0</v>
      </c>
      <c r="P1533" s="1">
        <v>73175</v>
      </c>
      <c r="Q1533" s="1">
        <v>0</v>
      </c>
    </row>
    <row r="1534" spans="2:17" hidden="1" x14ac:dyDescent="0.2">
      <c r="B1534" s="1">
        <v>73176</v>
      </c>
      <c r="C1534" s="1">
        <v>0</v>
      </c>
      <c r="G1534" s="1">
        <v>73176</v>
      </c>
      <c r="H1534" s="1">
        <v>0</v>
      </c>
      <c r="L1534" s="1">
        <v>73176</v>
      </c>
      <c r="M1534" s="1">
        <v>0</v>
      </c>
      <c r="P1534" s="1">
        <v>73176</v>
      </c>
      <c r="Q1534" s="1">
        <v>0</v>
      </c>
    </row>
    <row r="1535" spans="2:17" hidden="1" x14ac:dyDescent="0.2">
      <c r="B1535" s="1">
        <v>73177</v>
      </c>
      <c r="C1535" s="1">
        <v>0</v>
      </c>
      <c r="G1535" s="1">
        <v>73177</v>
      </c>
      <c r="H1535" s="1">
        <v>0</v>
      </c>
      <c r="L1535" s="1">
        <v>73177</v>
      </c>
      <c r="M1535" s="1">
        <v>0</v>
      </c>
      <c r="P1535" s="1">
        <v>73177</v>
      </c>
      <c r="Q1535" s="1">
        <v>0</v>
      </c>
    </row>
    <row r="1536" spans="2:17" hidden="1" x14ac:dyDescent="0.2">
      <c r="B1536" s="1">
        <v>73178</v>
      </c>
      <c r="C1536" s="1">
        <v>0</v>
      </c>
      <c r="G1536" s="1">
        <v>73178</v>
      </c>
      <c r="H1536" s="1">
        <v>0</v>
      </c>
      <c r="L1536" s="1">
        <v>73178</v>
      </c>
      <c r="M1536" s="1">
        <v>0</v>
      </c>
      <c r="P1536" s="1">
        <v>73178</v>
      </c>
      <c r="Q1536" s="1">
        <v>0</v>
      </c>
    </row>
    <row r="1537" spans="2:17" hidden="1" x14ac:dyDescent="0.2">
      <c r="B1537" s="1">
        <v>73179</v>
      </c>
      <c r="C1537" s="1">
        <v>0</v>
      </c>
      <c r="G1537" s="1">
        <v>73179</v>
      </c>
      <c r="H1537" s="1">
        <v>0</v>
      </c>
      <c r="L1537" s="1">
        <v>73179</v>
      </c>
      <c r="M1537" s="1">
        <v>0</v>
      </c>
      <c r="P1537" s="1">
        <v>73179</v>
      </c>
      <c r="Q1537" s="1">
        <v>0</v>
      </c>
    </row>
    <row r="1538" spans="2:17" hidden="1" x14ac:dyDescent="0.2">
      <c r="B1538" s="1">
        <v>73180</v>
      </c>
      <c r="C1538" s="1">
        <v>0</v>
      </c>
      <c r="G1538" s="1">
        <v>73180</v>
      </c>
      <c r="H1538" s="1">
        <v>0</v>
      </c>
      <c r="L1538" s="1">
        <v>73180</v>
      </c>
      <c r="M1538" s="1">
        <v>0</v>
      </c>
      <c r="P1538" s="1">
        <v>73180</v>
      </c>
      <c r="Q1538" s="1">
        <v>0</v>
      </c>
    </row>
    <row r="1539" spans="2:17" hidden="1" x14ac:dyDescent="0.2">
      <c r="B1539" s="1">
        <v>73181</v>
      </c>
      <c r="C1539" s="1">
        <v>0</v>
      </c>
      <c r="G1539" s="1">
        <v>73181</v>
      </c>
      <c r="H1539" s="1">
        <v>0</v>
      </c>
      <c r="L1539" s="1">
        <v>73181</v>
      </c>
      <c r="M1539" s="1">
        <v>0</v>
      </c>
      <c r="P1539" s="1">
        <v>73181</v>
      </c>
      <c r="Q1539" s="1">
        <v>0</v>
      </c>
    </row>
    <row r="1540" spans="2:17" hidden="1" x14ac:dyDescent="0.2">
      <c r="B1540" s="1">
        <v>73182</v>
      </c>
      <c r="C1540" s="1">
        <v>0</v>
      </c>
      <c r="G1540" s="1">
        <v>73182</v>
      </c>
      <c r="H1540" s="1">
        <v>0</v>
      </c>
      <c r="L1540" s="1">
        <v>73182</v>
      </c>
      <c r="M1540" s="1">
        <v>0</v>
      </c>
      <c r="P1540" s="1">
        <v>73182</v>
      </c>
      <c r="Q1540" s="1">
        <v>0</v>
      </c>
    </row>
    <row r="1541" spans="2:17" hidden="1" x14ac:dyDescent="0.2">
      <c r="B1541" s="1">
        <v>73183</v>
      </c>
      <c r="C1541" s="1">
        <v>0</v>
      </c>
      <c r="G1541" s="1">
        <v>73183</v>
      </c>
      <c r="H1541" s="1">
        <v>0</v>
      </c>
      <c r="L1541" s="1">
        <v>73183</v>
      </c>
      <c r="M1541" s="1">
        <v>0</v>
      </c>
      <c r="P1541" s="1">
        <v>73183</v>
      </c>
      <c r="Q1541" s="1">
        <v>0</v>
      </c>
    </row>
    <row r="1542" spans="2:17" hidden="1" x14ac:dyDescent="0.2">
      <c r="B1542" s="1">
        <v>73184</v>
      </c>
      <c r="C1542" s="1">
        <v>0</v>
      </c>
      <c r="G1542" s="1">
        <v>73184</v>
      </c>
      <c r="H1542" s="1">
        <v>0</v>
      </c>
      <c r="L1542" s="1">
        <v>73184</v>
      </c>
      <c r="M1542" s="1">
        <v>0</v>
      </c>
      <c r="P1542" s="1">
        <v>73184</v>
      </c>
      <c r="Q1542" s="1">
        <v>0</v>
      </c>
    </row>
    <row r="1543" spans="2:17" hidden="1" x14ac:dyDescent="0.2">
      <c r="B1543" s="1">
        <v>73185</v>
      </c>
      <c r="C1543" s="1">
        <v>0</v>
      </c>
      <c r="G1543" s="1">
        <v>73185</v>
      </c>
      <c r="H1543" s="1">
        <v>0</v>
      </c>
      <c r="L1543" s="1">
        <v>73185</v>
      </c>
      <c r="M1543" s="1">
        <v>0</v>
      </c>
      <c r="P1543" s="1">
        <v>73185</v>
      </c>
      <c r="Q1543" s="1">
        <v>0</v>
      </c>
    </row>
    <row r="1544" spans="2:17" hidden="1" x14ac:dyDescent="0.2">
      <c r="B1544" s="1">
        <v>73186</v>
      </c>
      <c r="C1544" s="1">
        <v>0</v>
      </c>
      <c r="G1544" s="1">
        <v>73186</v>
      </c>
      <c r="H1544" s="1">
        <v>0</v>
      </c>
      <c r="L1544" s="1">
        <v>73186</v>
      </c>
      <c r="M1544" s="1">
        <v>0</v>
      </c>
      <c r="P1544" s="1">
        <v>73186</v>
      </c>
      <c r="Q1544" s="1">
        <v>0</v>
      </c>
    </row>
    <row r="1545" spans="2:17" hidden="1" x14ac:dyDescent="0.2">
      <c r="B1545" s="1">
        <v>74158</v>
      </c>
      <c r="C1545" s="1">
        <v>0</v>
      </c>
      <c r="G1545" s="1">
        <v>74158</v>
      </c>
      <c r="H1545" s="1">
        <v>0</v>
      </c>
      <c r="L1545" s="1">
        <v>74158</v>
      </c>
      <c r="M1545" s="1">
        <v>0</v>
      </c>
      <c r="P1545" s="1">
        <v>74158</v>
      </c>
      <c r="Q1545" s="1">
        <v>0</v>
      </c>
    </row>
    <row r="1546" spans="2:17" hidden="1" x14ac:dyDescent="0.2">
      <c r="B1546" s="1">
        <v>74159</v>
      </c>
      <c r="C1546" s="1">
        <v>0</v>
      </c>
      <c r="G1546" s="1">
        <v>74159</v>
      </c>
      <c r="H1546" s="1">
        <v>0</v>
      </c>
      <c r="L1546" s="1">
        <v>74159</v>
      </c>
      <c r="M1546" s="1">
        <v>0</v>
      </c>
      <c r="P1546" s="1">
        <v>74159</v>
      </c>
      <c r="Q1546" s="1">
        <v>0</v>
      </c>
    </row>
    <row r="1547" spans="2:17" hidden="1" x14ac:dyDescent="0.2">
      <c r="B1547" s="1">
        <v>74160</v>
      </c>
      <c r="C1547" s="1">
        <v>0</v>
      </c>
      <c r="G1547" s="1">
        <v>74160</v>
      </c>
      <c r="H1547" s="1">
        <v>0</v>
      </c>
      <c r="L1547" s="1">
        <v>74160</v>
      </c>
      <c r="M1547" s="1">
        <v>0</v>
      </c>
      <c r="P1547" s="1">
        <v>74160</v>
      </c>
      <c r="Q1547" s="1">
        <v>0</v>
      </c>
    </row>
    <row r="1548" spans="2:17" hidden="1" x14ac:dyDescent="0.2">
      <c r="B1548" s="1">
        <v>74161</v>
      </c>
      <c r="C1548" s="1">
        <v>0</v>
      </c>
      <c r="G1548" s="1">
        <v>74161</v>
      </c>
      <c r="H1548" s="1">
        <v>0</v>
      </c>
      <c r="L1548" s="1">
        <v>74161</v>
      </c>
      <c r="M1548" s="1">
        <v>0</v>
      </c>
      <c r="P1548" s="1">
        <v>74161</v>
      </c>
      <c r="Q1548" s="1">
        <v>0</v>
      </c>
    </row>
    <row r="1549" spans="2:17" hidden="1" x14ac:dyDescent="0.2">
      <c r="B1549" s="1">
        <v>74162</v>
      </c>
      <c r="C1549" s="1">
        <v>0</v>
      </c>
      <c r="G1549" s="1">
        <v>74162</v>
      </c>
      <c r="H1549" s="1">
        <v>0</v>
      </c>
      <c r="L1549" s="1">
        <v>74162</v>
      </c>
      <c r="M1549" s="1">
        <v>0</v>
      </c>
      <c r="P1549" s="1">
        <v>74162</v>
      </c>
      <c r="Q1549" s="1">
        <v>0</v>
      </c>
    </row>
    <row r="1550" spans="2:17" hidden="1" x14ac:dyDescent="0.2">
      <c r="B1550" s="1">
        <v>74163</v>
      </c>
      <c r="C1550" s="1">
        <v>0</v>
      </c>
      <c r="G1550" s="1">
        <v>74163</v>
      </c>
      <c r="H1550" s="1">
        <v>0</v>
      </c>
      <c r="L1550" s="1">
        <v>74163</v>
      </c>
      <c r="M1550" s="1">
        <v>0</v>
      </c>
      <c r="P1550" s="1">
        <v>74163</v>
      </c>
      <c r="Q1550" s="1">
        <v>0</v>
      </c>
    </row>
    <row r="1551" spans="2:17" hidden="1" x14ac:dyDescent="0.2">
      <c r="B1551" s="1">
        <v>74164</v>
      </c>
      <c r="C1551" s="1">
        <v>0</v>
      </c>
      <c r="G1551" s="1">
        <v>74164</v>
      </c>
      <c r="H1551" s="1">
        <v>0</v>
      </c>
      <c r="L1551" s="1">
        <v>74164</v>
      </c>
      <c r="M1551" s="1">
        <v>0</v>
      </c>
      <c r="P1551" s="1">
        <v>74164</v>
      </c>
      <c r="Q1551" s="1">
        <v>0</v>
      </c>
    </row>
    <row r="1552" spans="2:17" hidden="1" x14ac:dyDescent="0.2">
      <c r="B1552" s="1">
        <v>74165</v>
      </c>
      <c r="C1552" s="1">
        <v>0</v>
      </c>
      <c r="G1552" s="1">
        <v>74165</v>
      </c>
      <c r="H1552" s="1">
        <v>0</v>
      </c>
      <c r="L1552" s="1">
        <v>74165</v>
      </c>
      <c r="M1552" s="1">
        <v>0</v>
      </c>
      <c r="P1552" s="1">
        <v>74165</v>
      </c>
      <c r="Q1552" s="1">
        <v>0</v>
      </c>
    </row>
    <row r="1553" spans="2:17" hidden="1" x14ac:dyDescent="0.2">
      <c r="B1553" s="1">
        <v>74166</v>
      </c>
      <c r="C1553" s="1">
        <v>0</v>
      </c>
      <c r="G1553" s="1">
        <v>74166</v>
      </c>
      <c r="H1553" s="1">
        <v>0</v>
      </c>
      <c r="L1553" s="1">
        <v>74166</v>
      </c>
      <c r="M1553" s="1">
        <v>0</v>
      </c>
      <c r="P1553" s="1">
        <v>74166</v>
      </c>
      <c r="Q1553" s="1">
        <v>0</v>
      </c>
    </row>
    <row r="1554" spans="2:17" hidden="1" x14ac:dyDescent="0.2">
      <c r="B1554" s="1">
        <v>74167</v>
      </c>
      <c r="C1554" s="1">
        <v>0</v>
      </c>
      <c r="G1554" s="1">
        <v>74167</v>
      </c>
      <c r="H1554" s="1">
        <v>0</v>
      </c>
      <c r="L1554" s="1">
        <v>74167</v>
      </c>
      <c r="M1554" s="1">
        <v>0</v>
      </c>
      <c r="P1554" s="1">
        <v>74167</v>
      </c>
      <c r="Q1554" s="1">
        <v>0</v>
      </c>
    </row>
    <row r="1555" spans="2:17" hidden="1" x14ac:dyDescent="0.2">
      <c r="B1555" s="1">
        <v>74168</v>
      </c>
      <c r="C1555" s="1">
        <v>0</v>
      </c>
      <c r="G1555" s="1">
        <v>74168</v>
      </c>
      <c r="H1555" s="1">
        <v>0</v>
      </c>
      <c r="L1555" s="1">
        <v>74168</v>
      </c>
      <c r="M1555" s="1">
        <v>0</v>
      </c>
      <c r="P1555" s="1">
        <v>74168</v>
      </c>
      <c r="Q1555" s="1">
        <v>0</v>
      </c>
    </row>
    <row r="1556" spans="2:17" hidden="1" x14ac:dyDescent="0.2">
      <c r="B1556" s="1">
        <v>74169</v>
      </c>
      <c r="C1556" s="1">
        <v>0</v>
      </c>
      <c r="G1556" s="1">
        <v>74169</v>
      </c>
      <c r="H1556" s="1">
        <v>0</v>
      </c>
      <c r="L1556" s="1">
        <v>74169</v>
      </c>
      <c r="M1556" s="1">
        <v>0</v>
      </c>
      <c r="P1556" s="1">
        <v>74169</v>
      </c>
      <c r="Q1556" s="1">
        <v>0</v>
      </c>
    </row>
    <row r="1557" spans="2:17" hidden="1" x14ac:dyDescent="0.2">
      <c r="B1557" s="1">
        <v>74170</v>
      </c>
      <c r="C1557" s="1">
        <v>0</v>
      </c>
      <c r="G1557" s="1">
        <v>74170</v>
      </c>
      <c r="H1557" s="1">
        <v>0</v>
      </c>
      <c r="L1557" s="1">
        <v>74170</v>
      </c>
      <c r="M1557" s="1">
        <v>0</v>
      </c>
      <c r="P1557" s="1">
        <v>74170</v>
      </c>
      <c r="Q1557" s="1">
        <v>0</v>
      </c>
    </row>
    <row r="1558" spans="2:17" hidden="1" x14ac:dyDescent="0.2">
      <c r="B1558" s="1">
        <v>74171</v>
      </c>
      <c r="C1558" s="1">
        <v>0</v>
      </c>
      <c r="G1558" s="1">
        <v>74171</v>
      </c>
      <c r="H1558" s="1">
        <v>0</v>
      </c>
      <c r="L1558" s="1">
        <v>74171</v>
      </c>
      <c r="M1558" s="1">
        <v>0</v>
      </c>
      <c r="P1558" s="1">
        <v>74171</v>
      </c>
      <c r="Q1558" s="1">
        <v>0</v>
      </c>
    </row>
    <row r="1559" spans="2:17" hidden="1" x14ac:dyDescent="0.2">
      <c r="B1559" s="1">
        <v>74172</v>
      </c>
      <c r="C1559" s="1">
        <v>0</v>
      </c>
      <c r="G1559" s="1">
        <v>74172</v>
      </c>
      <c r="H1559" s="1">
        <v>0</v>
      </c>
      <c r="L1559" s="1">
        <v>74172</v>
      </c>
      <c r="M1559" s="1">
        <v>0</v>
      </c>
      <c r="P1559" s="1">
        <v>74172</v>
      </c>
      <c r="Q1559" s="1">
        <v>0</v>
      </c>
    </row>
    <row r="1560" spans="2:17" hidden="1" x14ac:dyDescent="0.2">
      <c r="B1560" s="1">
        <v>74173</v>
      </c>
      <c r="C1560" s="1">
        <v>0</v>
      </c>
      <c r="G1560" s="1">
        <v>74173</v>
      </c>
      <c r="H1560" s="1">
        <v>0</v>
      </c>
      <c r="L1560" s="1">
        <v>74173</v>
      </c>
      <c r="M1560" s="1">
        <v>0</v>
      </c>
      <c r="P1560" s="1">
        <v>74173</v>
      </c>
      <c r="Q1560" s="1">
        <v>0</v>
      </c>
    </row>
    <row r="1561" spans="2:17" hidden="1" x14ac:dyDescent="0.2">
      <c r="B1561" s="1">
        <v>74174</v>
      </c>
      <c r="C1561" s="1">
        <v>0</v>
      </c>
      <c r="G1561" s="1">
        <v>74174</v>
      </c>
      <c r="H1561" s="1">
        <v>0</v>
      </c>
      <c r="L1561" s="1">
        <v>74174</v>
      </c>
      <c r="M1561" s="1">
        <v>0</v>
      </c>
      <c r="P1561" s="1">
        <v>74174</v>
      </c>
      <c r="Q1561" s="1">
        <v>0</v>
      </c>
    </row>
    <row r="1562" spans="2:17" hidden="1" x14ac:dyDescent="0.2">
      <c r="B1562" s="1">
        <v>74175</v>
      </c>
      <c r="C1562" s="1">
        <v>0</v>
      </c>
      <c r="G1562" s="1">
        <v>74175</v>
      </c>
      <c r="H1562" s="1">
        <v>0</v>
      </c>
      <c r="L1562" s="1">
        <v>74175</v>
      </c>
      <c r="M1562" s="1">
        <v>0</v>
      </c>
      <c r="P1562" s="1">
        <v>74175</v>
      </c>
      <c r="Q1562" s="1">
        <v>0</v>
      </c>
    </row>
    <row r="1563" spans="2:17" hidden="1" x14ac:dyDescent="0.2">
      <c r="B1563" s="1">
        <v>74176</v>
      </c>
      <c r="C1563" s="1">
        <v>0</v>
      </c>
      <c r="G1563" s="1">
        <v>74176</v>
      </c>
      <c r="H1563" s="1">
        <v>0</v>
      </c>
      <c r="L1563" s="1">
        <v>74176</v>
      </c>
      <c r="M1563" s="1">
        <v>0</v>
      </c>
      <c r="P1563" s="1">
        <v>74176</v>
      </c>
      <c r="Q1563" s="1">
        <v>0</v>
      </c>
    </row>
    <row r="1564" spans="2:17" hidden="1" x14ac:dyDescent="0.2">
      <c r="B1564" s="1">
        <v>74177</v>
      </c>
      <c r="C1564" s="1">
        <v>0</v>
      </c>
      <c r="G1564" s="1">
        <v>74177</v>
      </c>
      <c r="H1564" s="1">
        <v>0</v>
      </c>
      <c r="L1564" s="1">
        <v>74177</v>
      </c>
      <c r="M1564" s="1">
        <v>0</v>
      </c>
      <c r="P1564" s="1">
        <v>74177</v>
      </c>
      <c r="Q1564" s="1">
        <v>0</v>
      </c>
    </row>
    <row r="1565" spans="2:17" hidden="1" x14ac:dyDescent="0.2">
      <c r="B1565" s="1">
        <v>74178</v>
      </c>
      <c r="C1565" s="1">
        <v>0</v>
      </c>
      <c r="G1565" s="1">
        <v>74178</v>
      </c>
      <c r="H1565" s="1">
        <v>0</v>
      </c>
      <c r="L1565" s="1">
        <v>74178</v>
      </c>
      <c r="M1565" s="1">
        <v>0</v>
      </c>
      <c r="P1565" s="1">
        <v>74178</v>
      </c>
      <c r="Q1565" s="1">
        <v>0</v>
      </c>
    </row>
    <row r="1566" spans="2:17" hidden="1" x14ac:dyDescent="0.2">
      <c r="B1566" s="1">
        <v>74179</v>
      </c>
      <c r="C1566" s="1">
        <v>0</v>
      </c>
      <c r="G1566" s="1">
        <v>74179</v>
      </c>
      <c r="H1566" s="1">
        <v>0</v>
      </c>
      <c r="L1566" s="1">
        <v>74179</v>
      </c>
      <c r="M1566" s="1">
        <v>0</v>
      </c>
      <c r="P1566" s="1">
        <v>74179</v>
      </c>
      <c r="Q1566" s="1">
        <v>0</v>
      </c>
    </row>
    <row r="1567" spans="2:17" hidden="1" x14ac:dyDescent="0.2">
      <c r="B1567" s="1">
        <v>74180</v>
      </c>
      <c r="C1567" s="1">
        <v>0</v>
      </c>
      <c r="G1567" s="1">
        <v>74180</v>
      </c>
      <c r="H1567" s="1">
        <v>0</v>
      </c>
      <c r="L1567" s="1">
        <v>74180</v>
      </c>
      <c r="M1567" s="1">
        <v>0</v>
      </c>
      <c r="P1567" s="1">
        <v>74180</v>
      </c>
      <c r="Q1567" s="1">
        <v>0</v>
      </c>
    </row>
    <row r="1568" spans="2:17" hidden="1" x14ac:dyDescent="0.2">
      <c r="B1568" s="1">
        <v>74181</v>
      </c>
      <c r="C1568" s="1">
        <v>0</v>
      </c>
      <c r="G1568" s="1">
        <v>74181</v>
      </c>
      <c r="H1568" s="1">
        <v>0</v>
      </c>
      <c r="L1568" s="1">
        <v>74181</v>
      </c>
      <c r="M1568" s="1">
        <v>0</v>
      </c>
      <c r="P1568" s="1">
        <v>74181</v>
      </c>
      <c r="Q1568" s="1">
        <v>0</v>
      </c>
    </row>
    <row r="1569" spans="2:17" hidden="1" x14ac:dyDescent="0.2">
      <c r="B1569" s="1">
        <v>74182</v>
      </c>
      <c r="C1569" s="1">
        <v>0</v>
      </c>
      <c r="G1569" s="1">
        <v>74182</v>
      </c>
      <c r="H1569" s="1">
        <v>0</v>
      </c>
      <c r="L1569" s="1">
        <v>74182</v>
      </c>
      <c r="M1569" s="1">
        <v>0</v>
      </c>
      <c r="P1569" s="1">
        <v>74182</v>
      </c>
      <c r="Q1569" s="1">
        <v>0</v>
      </c>
    </row>
    <row r="1570" spans="2:17" hidden="1" x14ac:dyDescent="0.2">
      <c r="B1570" s="1">
        <v>74183</v>
      </c>
      <c r="C1570" s="1">
        <v>0</v>
      </c>
      <c r="G1570" s="1">
        <v>74183</v>
      </c>
      <c r="H1570" s="1">
        <v>0</v>
      </c>
      <c r="L1570" s="1">
        <v>74183</v>
      </c>
      <c r="M1570" s="1">
        <v>0</v>
      </c>
      <c r="P1570" s="1">
        <v>74183</v>
      </c>
      <c r="Q1570" s="1">
        <v>0</v>
      </c>
    </row>
    <row r="1571" spans="2:17" hidden="1" x14ac:dyDescent="0.2">
      <c r="B1571" s="1">
        <v>74184</v>
      </c>
      <c r="C1571" s="1">
        <v>0</v>
      </c>
      <c r="G1571" s="1">
        <v>74184</v>
      </c>
      <c r="H1571" s="1">
        <v>0</v>
      </c>
      <c r="L1571" s="1">
        <v>74184</v>
      </c>
      <c r="M1571" s="1">
        <v>0</v>
      </c>
      <c r="P1571" s="1">
        <v>74184</v>
      </c>
      <c r="Q1571" s="1">
        <v>0</v>
      </c>
    </row>
    <row r="1572" spans="2:17" hidden="1" x14ac:dyDescent="0.2">
      <c r="B1572" s="1">
        <v>74185</v>
      </c>
      <c r="C1572" s="1">
        <v>0</v>
      </c>
      <c r="G1572" s="1">
        <v>74185</v>
      </c>
      <c r="H1572" s="1">
        <v>0</v>
      </c>
      <c r="L1572" s="1">
        <v>74185</v>
      </c>
      <c r="M1572" s="1">
        <v>0</v>
      </c>
      <c r="P1572" s="1">
        <v>74185</v>
      </c>
      <c r="Q1572" s="1">
        <v>0</v>
      </c>
    </row>
    <row r="1573" spans="2:17" hidden="1" x14ac:dyDescent="0.2">
      <c r="B1573" s="1">
        <v>74186</v>
      </c>
      <c r="C1573" s="1">
        <v>0</v>
      </c>
      <c r="G1573" s="1">
        <v>74186</v>
      </c>
      <c r="H1573" s="1">
        <v>0</v>
      </c>
      <c r="L1573" s="1">
        <v>74186</v>
      </c>
      <c r="M1573" s="1">
        <v>0</v>
      </c>
      <c r="P1573" s="1">
        <v>74186</v>
      </c>
      <c r="Q1573" s="1">
        <v>0</v>
      </c>
    </row>
    <row r="1574" spans="2:17" hidden="1" x14ac:dyDescent="0.2">
      <c r="B1574" s="1">
        <v>74187</v>
      </c>
      <c r="C1574" s="1">
        <v>0</v>
      </c>
      <c r="G1574" s="1">
        <v>74187</v>
      </c>
      <c r="H1574" s="1">
        <v>0</v>
      </c>
      <c r="L1574" s="1">
        <v>74187</v>
      </c>
      <c r="M1574" s="1">
        <v>0</v>
      </c>
      <c r="P1574" s="1">
        <v>74187</v>
      </c>
      <c r="Q1574" s="1">
        <v>0</v>
      </c>
    </row>
    <row r="1575" spans="2:17" hidden="1" x14ac:dyDescent="0.2">
      <c r="B1575" s="1">
        <v>74188</v>
      </c>
      <c r="C1575" s="1">
        <v>0</v>
      </c>
      <c r="G1575" s="1">
        <v>74188</v>
      </c>
      <c r="H1575" s="1">
        <v>0</v>
      </c>
      <c r="L1575" s="1">
        <v>74188</v>
      </c>
      <c r="M1575" s="1">
        <v>0</v>
      </c>
      <c r="P1575" s="1">
        <v>74188</v>
      </c>
      <c r="Q1575" s="1">
        <v>0</v>
      </c>
    </row>
    <row r="1576" spans="2:17" hidden="1" x14ac:dyDescent="0.2">
      <c r="B1576" s="1">
        <v>74189</v>
      </c>
      <c r="C1576" s="1">
        <v>0</v>
      </c>
      <c r="G1576" s="1">
        <v>74189</v>
      </c>
      <c r="H1576" s="1">
        <v>0</v>
      </c>
      <c r="L1576" s="1">
        <v>74189</v>
      </c>
      <c r="M1576" s="1">
        <v>0</v>
      </c>
      <c r="P1576" s="1">
        <v>74189</v>
      </c>
      <c r="Q1576" s="1">
        <v>0</v>
      </c>
    </row>
    <row r="1577" spans="2:17" hidden="1" x14ac:dyDescent="0.2">
      <c r="B1577" s="1">
        <v>74190</v>
      </c>
      <c r="C1577" s="1">
        <v>0</v>
      </c>
      <c r="G1577" s="1">
        <v>74190</v>
      </c>
      <c r="H1577" s="1">
        <v>0</v>
      </c>
      <c r="L1577" s="1">
        <v>74190</v>
      </c>
      <c r="M1577" s="1">
        <v>0</v>
      </c>
      <c r="P1577" s="1">
        <v>74190</v>
      </c>
      <c r="Q1577" s="1">
        <v>0</v>
      </c>
    </row>
    <row r="1578" spans="2:17" hidden="1" x14ac:dyDescent="0.2">
      <c r="B1578" s="1">
        <v>75161</v>
      </c>
      <c r="C1578" s="1">
        <v>0</v>
      </c>
      <c r="G1578" s="1">
        <v>75161</v>
      </c>
      <c r="H1578" s="1">
        <v>0</v>
      </c>
      <c r="L1578" s="1">
        <v>75161</v>
      </c>
      <c r="M1578" s="1">
        <v>0</v>
      </c>
      <c r="P1578" s="1">
        <v>75161</v>
      </c>
      <c r="Q1578" s="1">
        <v>0</v>
      </c>
    </row>
    <row r="1579" spans="2:17" hidden="1" x14ac:dyDescent="0.2">
      <c r="B1579" s="1">
        <v>75162</v>
      </c>
      <c r="C1579" s="1">
        <v>0</v>
      </c>
      <c r="G1579" s="1">
        <v>75162</v>
      </c>
      <c r="H1579" s="1">
        <v>0</v>
      </c>
      <c r="L1579" s="1">
        <v>75162</v>
      </c>
      <c r="M1579" s="1">
        <v>0</v>
      </c>
      <c r="P1579" s="1">
        <v>75162</v>
      </c>
      <c r="Q1579" s="1">
        <v>0</v>
      </c>
    </row>
    <row r="1580" spans="2:17" hidden="1" x14ac:dyDescent="0.2">
      <c r="B1580" s="1">
        <v>75163</v>
      </c>
      <c r="C1580" s="1">
        <v>0</v>
      </c>
      <c r="G1580" s="1">
        <v>75163</v>
      </c>
      <c r="H1580" s="1">
        <v>0</v>
      </c>
      <c r="L1580" s="1">
        <v>75163</v>
      </c>
      <c r="M1580" s="1">
        <v>0</v>
      </c>
      <c r="P1580" s="1">
        <v>75163</v>
      </c>
      <c r="Q1580" s="1">
        <v>0</v>
      </c>
    </row>
    <row r="1581" spans="2:17" hidden="1" x14ac:dyDescent="0.2">
      <c r="B1581" s="1">
        <v>75164</v>
      </c>
      <c r="C1581" s="1">
        <v>0</v>
      </c>
      <c r="G1581" s="1">
        <v>75164</v>
      </c>
      <c r="H1581" s="1">
        <v>0</v>
      </c>
      <c r="L1581" s="1">
        <v>75164</v>
      </c>
      <c r="M1581" s="1">
        <v>0</v>
      </c>
      <c r="P1581" s="1">
        <v>75164</v>
      </c>
      <c r="Q1581" s="1">
        <v>0</v>
      </c>
    </row>
    <row r="1582" spans="2:17" hidden="1" x14ac:dyDescent="0.2">
      <c r="B1582" s="1">
        <v>75165</v>
      </c>
      <c r="C1582" s="1">
        <v>0</v>
      </c>
      <c r="G1582" s="1">
        <v>75165</v>
      </c>
      <c r="H1582" s="1">
        <v>0</v>
      </c>
      <c r="L1582" s="1">
        <v>75165</v>
      </c>
      <c r="M1582" s="1">
        <v>0</v>
      </c>
      <c r="P1582" s="1">
        <v>75165</v>
      </c>
      <c r="Q1582" s="1">
        <v>0</v>
      </c>
    </row>
    <row r="1583" spans="2:17" hidden="1" x14ac:dyDescent="0.2">
      <c r="B1583" s="1">
        <v>75166</v>
      </c>
      <c r="C1583" s="1">
        <v>0</v>
      </c>
      <c r="G1583" s="1">
        <v>75166</v>
      </c>
      <c r="H1583" s="1">
        <v>0</v>
      </c>
      <c r="L1583" s="1">
        <v>75166</v>
      </c>
      <c r="M1583" s="1">
        <v>0</v>
      </c>
      <c r="P1583" s="1">
        <v>75166</v>
      </c>
      <c r="Q1583" s="1">
        <v>0</v>
      </c>
    </row>
    <row r="1584" spans="2:17" hidden="1" x14ac:dyDescent="0.2">
      <c r="B1584" s="1">
        <v>75167</v>
      </c>
      <c r="C1584" s="1">
        <v>0</v>
      </c>
      <c r="G1584" s="1">
        <v>75167</v>
      </c>
      <c r="H1584" s="1">
        <v>0</v>
      </c>
      <c r="L1584" s="1">
        <v>75167</v>
      </c>
      <c r="M1584" s="1">
        <v>0</v>
      </c>
      <c r="P1584" s="1">
        <v>75167</v>
      </c>
      <c r="Q1584" s="1">
        <v>0</v>
      </c>
    </row>
    <row r="1585" spans="2:17" hidden="1" x14ac:dyDescent="0.2">
      <c r="B1585" s="1">
        <v>75168</v>
      </c>
      <c r="C1585" s="1">
        <v>0</v>
      </c>
      <c r="G1585" s="1">
        <v>75168</v>
      </c>
      <c r="H1585" s="1">
        <v>0</v>
      </c>
      <c r="L1585" s="1">
        <v>75168</v>
      </c>
      <c r="M1585" s="1">
        <v>0</v>
      </c>
      <c r="P1585" s="1">
        <v>75168</v>
      </c>
      <c r="Q1585" s="1">
        <v>0</v>
      </c>
    </row>
    <row r="1586" spans="2:17" hidden="1" x14ac:dyDescent="0.2">
      <c r="B1586" s="1">
        <v>75169</v>
      </c>
      <c r="C1586" s="1">
        <v>0</v>
      </c>
      <c r="G1586" s="1">
        <v>75169</v>
      </c>
      <c r="H1586" s="1">
        <v>0</v>
      </c>
      <c r="L1586" s="1">
        <v>75169</v>
      </c>
      <c r="M1586" s="1">
        <v>0</v>
      </c>
      <c r="P1586" s="1">
        <v>75169</v>
      </c>
      <c r="Q1586" s="1">
        <v>0</v>
      </c>
    </row>
    <row r="1587" spans="2:17" hidden="1" x14ac:dyDescent="0.2">
      <c r="B1587" s="1">
        <v>75170</v>
      </c>
      <c r="C1587" s="1">
        <v>0</v>
      </c>
      <c r="G1587" s="1">
        <v>75170</v>
      </c>
      <c r="H1587" s="1">
        <v>0</v>
      </c>
      <c r="L1587" s="1">
        <v>75170</v>
      </c>
      <c r="M1587" s="1">
        <v>0</v>
      </c>
      <c r="P1587" s="1">
        <v>75170</v>
      </c>
      <c r="Q1587" s="1">
        <v>0</v>
      </c>
    </row>
    <row r="1588" spans="2:17" hidden="1" x14ac:dyDescent="0.2">
      <c r="B1588" s="1">
        <v>75171</v>
      </c>
      <c r="C1588" s="1">
        <v>0</v>
      </c>
      <c r="G1588" s="1">
        <v>75171</v>
      </c>
      <c r="H1588" s="1">
        <v>0</v>
      </c>
      <c r="L1588" s="1">
        <v>75171</v>
      </c>
      <c r="M1588" s="1">
        <v>0</v>
      </c>
      <c r="P1588" s="1">
        <v>75171</v>
      </c>
      <c r="Q1588" s="1">
        <v>0</v>
      </c>
    </row>
    <row r="1589" spans="2:17" hidden="1" x14ac:dyDescent="0.2">
      <c r="B1589" s="1">
        <v>75172</v>
      </c>
      <c r="C1589" s="1">
        <v>0</v>
      </c>
      <c r="G1589" s="1">
        <v>75172</v>
      </c>
      <c r="H1589" s="1">
        <v>0</v>
      </c>
      <c r="L1589" s="1">
        <v>75172</v>
      </c>
      <c r="M1589" s="1">
        <v>0</v>
      </c>
      <c r="P1589" s="1">
        <v>75172</v>
      </c>
      <c r="Q1589" s="1">
        <v>0</v>
      </c>
    </row>
    <row r="1590" spans="2:17" hidden="1" x14ac:dyDescent="0.2">
      <c r="B1590" s="1">
        <v>75173</v>
      </c>
      <c r="C1590" s="1">
        <v>0</v>
      </c>
      <c r="G1590" s="1">
        <v>75173</v>
      </c>
      <c r="H1590" s="1">
        <v>0</v>
      </c>
      <c r="L1590" s="1">
        <v>75173</v>
      </c>
      <c r="M1590" s="1">
        <v>0</v>
      </c>
      <c r="P1590" s="1">
        <v>75173</v>
      </c>
      <c r="Q1590" s="1">
        <v>0</v>
      </c>
    </row>
    <row r="1591" spans="2:17" hidden="1" x14ac:dyDescent="0.2">
      <c r="B1591" s="1">
        <v>75174</v>
      </c>
      <c r="C1591" s="1">
        <v>0</v>
      </c>
      <c r="G1591" s="1">
        <v>75174</v>
      </c>
      <c r="H1591" s="1">
        <v>0</v>
      </c>
      <c r="L1591" s="1">
        <v>75174</v>
      </c>
      <c r="M1591" s="1">
        <v>0</v>
      </c>
      <c r="P1591" s="1">
        <v>75174</v>
      </c>
      <c r="Q1591" s="1">
        <v>0</v>
      </c>
    </row>
    <row r="1592" spans="2:17" hidden="1" x14ac:dyDescent="0.2">
      <c r="B1592" s="1">
        <v>75175</v>
      </c>
      <c r="C1592" s="1">
        <v>0</v>
      </c>
      <c r="G1592" s="1">
        <v>75175</v>
      </c>
      <c r="H1592" s="1">
        <v>0</v>
      </c>
      <c r="L1592" s="1">
        <v>75175</v>
      </c>
      <c r="M1592" s="1">
        <v>0</v>
      </c>
      <c r="P1592" s="1">
        <v>75175</v>
      </c>
      <c r="Q1592" s="1">
        <v>0</v>
      </c>
    </row>
    <row r="1593" spans="2:17" hidden="1" x14ac:dyDescent="0.2">
      <c r="B1593" s="1">
        <v>75176</v>
      </c>
      <c r="C1593" s="1">
        <v>0</v>
      </c>
      <c r="G1593" s="1">
        <v>75176</v>
      </c>
      <c r="H1593" s="1">
        <v>0</v>
      </c>
      <c r="L1593" s="1">
        <v>75176</v>
      </c>
      <c r="M1593" s="1">
        <v>0</v>
      </c>
      <c r="P1593" s="1">
        <v>75176</v>
      </c>
      <c r="Q1593" s="1">
        <v>0</v>
      </c>
    </row>
    <row r="1594" spans="2:17" hidden="1" x14ac:dyDescent="0.2">
      <c r="B1594" s="1">
        <v>75177</v>
      </c>
      <c r="C1594" s="1">
        <v>0</v>
      </c>
      <c r="G1594" s="1">
        <v>75177</v>
      </c>
      <c r="H1594" s="1">
        <v>0</v>
      </c>
      <c r="L1594" s="1">
        <v>75177</v>
      </c>
      <c r="M1594" s="1">
        <v>0</v>
      </c>
      <c r="P1594" s="1">
        <v>75177</v>
      </c>
      <c r="Q1594" s="1">
        <v>0</v>
      </c>
    </row>
    <row r="1595" spans="2:17" hidden="1" x14ac:dyDescent="0.2">
      <c r="B1595" s="1">
        <v>75178</v>
      </c>
      <c r="C1595" s="1">
        <v>0</v>
      </c>
      <c r="G1595" s="1">
        <v>75178</v>
      </c>
      <c r="H1595" s="1">
        <v>0</v>
      </c>
      <c r="L1595" s="1">
        <v>75178</v>
      </c>
      <c r="M1595" s="1">
        <v>0</v>
      </c>
      <c r="P1595" s="1">
        <v>75178</v>
      </c>
      <c r="Q1595" s="1">
        <v>0</v>
      </c>
    </row>
    <row r="1596" spans="2:17" hidden="1" x14ac:dyDescent="0.2">
      <c r="B1596" s="1">
        <v>75179</v>
      </c>
      <c r="C1596" s="1">
        <v>0</v>
      </c>
      <c r="G1596" s="1">
        <v>75179</v>
      </c>
      <c r="H1596" s="1">
        <v>0</v>
      </c>
      <c r="L1596" s="1">
        <v>75179</v>
      </c>
      <c r="M1596" s="1">
        <v>0</v>
      </c>
      <c r="P1596" s="1">
        <v>75179</v>
      </c>
      <c r="Q1596" s="1">
        <v>0</v>
      </c>
    </row>
    <row r="1597" spans="2:17" hidden="1" x14ac:dyDescent="0.2">
      <c r="B1597" s="1">
        <v>75180</v>
      </c>
      <c r="C1597" s="1">
        <v>0</v>
      </c>
      <c r="G1597" s="1">
        <v>75180</v>
      </c>
      <c r="H1597" s="1">
        <v>0</v>
      </c>
      <c r="L1597" s="1">
        <v>75180</v>
      </c>
      <c r="M1597" s="1">
        <v>0</v>
      </c>
      <c r="P1597" s="1">
        <v>75180</v>
      </c>
      <c r="Q1597" s="1">
        <v>0</v>
      </c>
    </row>
    <row r="1598" spans="2:17" hidden="1" x14ac:dyDescent="0.2">
      <c r="B1598" s="1">
        <v>75181</v>
      </c>
      <c r="C1598" s="1">
        <v>0</v>
      </c>
      <c r="G1598" s="1">
        <v>75181</v>
      </c>
      <c r="H1598" s="1">
        <v>0</v>
      </c>
      <c r="L1598" s="1">
        <v>75181</v>
      </c>
      <c r="M1598" s="1">
        <v>0</v>
      </c>
      <c r="P1598" s="1">
        <v>75181</v>
      </c>
      <c r="Q1598" s="1">
        <v>0</v>
      </c>
    </row>
    <row r="1599" spans="2:17" hidden="1" x14ac:dyDescent="0.2">
      <c r="B1599" s="1">
        <v>75182</v>
      </c>
      <c r="C1599" s="1">
        <v>0</v>
      </c>
      <c r="G1599" s="1">
        <v>75182</v>
      </c>
      <c r="H1599" s="1">
        <v>0</v>
      </c>
      <c r="L1599" s="1">
        <v>75182</v>
      </c>
      <c r="M1599" s="1">
        <v>0</v>
      </c>
      <c r="P1599" s="1">
        <v>75182</v>
      </c>
      <c r="Q1599" s="1">
        <v>0</v>
      </c>
    </row>
    <row r="1600" spans="2:17" hidden="1" x14ac:dyDescent="0.2">
      <c r="B1600" s="1">
        <v>75183</v>
      </c>
      <c r="C1600" s="1">
        <v>0</v>
      </c>
      <c r="G1600" s="1">
        <v>75183</v>
      </c>
      <c r="H1600" s="1">
        <v>0</v>
      </c>
      <c r="L1600" s="1">
        <v>75183</v>
      </c>
      <c r="M1600" s="1">
        <v>0</v>
      </c>
      <c r="P1600" s="1">
        <v>75183</v>
      </c>
      <c r="Q1600" s="1">
        <v>0</v>
      </c>
    </row>
    <row r="1601" spans="2:17" hidden="1" x14ac:dyDescent="0.2">
      <c r="B1601" s="1">
        <v>75184</v>
      </c>
      <c r="C1601" s="1">
        <v>0</v>
      </c>
      <c r="G1601" s="1">
        <v>75184</v>
      </c>
      <c r="H1601" s="1">
        <v>0</v>
      </c>
      <c r="L1601" s="1">
        <v>75184</v>
      </c>
      <c r="M1601" s="1">
        <v>0</v>
      </c>
      <c r="P1601" s="1">
        <v>75184</v>
      </c>
      <c r="Q1601" s="1">
        <v>0</v>
      </c>
    </row>
    <row r="1602" spans="2:17" hidden="1" x14ac:dyDescent="0.2">
      <c r="B1602" s="1">
        <v>75185</v>
      </c>
      <c r="C1602" s="1">
        <v>0</v>
      </c>
      <c r="G1602" s="1">
        <v>75185</v>
      </c>
      <c r="H1602" s="1">
        <v>0</v>
      </c>
      <c r="L1602" s="1">
        <v>75185</v>
      </c>
      <c r="M1602" s="1">
        <v>0</v>
      </c>
      <c r="P1602" s="1">
        <v>75185</v>
      </c>
      <c r="Q1602" s="1">
        <v>0</v>
      </c>
    </row>
    <row r="1603" spans="2:17" hidden="1" x14ac:dyDescent="0.2">
      <c r="B1603" s="1">
        <v>75186</v>
      </c>
      <c r="C1603" s="1">
        <v>0</v>
      </c>
      <c r="G1603" s="1">
        <v>75186</v>
      </c>
      <c r="H1603" s="1">
        <v>0</v>
      </c>
      <c r="L1603" s="1">
        <v>75186</v>
      </c>
      <c r="M1603" s="1">
        <v>0</v>
      </c>
      <c r="P1603" s="1">
        <v>75186</v>
      </c>
      <c r="Q1603" s="1">
        <v>0</v>
      </c>
    </row>
    <row r="1604" spans="2:17" hidden="1" x14ac:dyDescent="0.2">
      <c r="B1604" s="1">
        <v>75187</v>
      </c>
      <c r="C1604" s="1">
        <v>0</v>
      </c>
      <c r="G1604" s="1">
        <v>75187</v>
      </c>
      <c r="H1604" s="1">
        <v>0</v>
      </c>
      <c r="L1604" s="1">
        <v>75187</v>
      </c>
      <c r="M1604" s="1">
        <v>0</v>
      </c>
      <c r="P1604" s="1">
        <v>75187</v>
      </c>
      <c r="Q1604" s="1">
        <v>0</v>
      </c>
    </row>
    <row r="1605" spans="2:17" hidden="1" x14ac:dyDescent="0.2">
      <c r="B1605" s="1">
        <v>75188</v>
      </c>
      <c r="C1605" s="1">
        <v>0</v>
      </c>
      <c r="G1605" s="1">
        <v>75188</v>
      </c>
      <c r="H1605" s="1">
        <v>0</v>
      </c>
      <c r="L1605" s="1">
        <v>75188</v>
      </c>
      <c r="M1605" s="1">
        <v>0</v>
      </c>
      <c r="P1605" s="1">
        <v>75188</v>
      </c>
      <c r="Q1605" s="1">
        <v>0</v>
      </c>
    </row>
    <row r="1606" spans="2:17" hidden="1" x14ac:dyDescent="0.2">
      <c r="B1606" s="1">
        <v>75189</v>
      </c>
      <c r="C1606" s="1">
        <v>0</v>
      </c>
      <c r="G1606" s="1">
        <v>75189</v>
      </c>
      <c r="H1606" s="1">
        <v>0</v>
      </c>
      <c r="L1606" s="1">
        <v>75189</v>
      </c>
      <c r="M1606" s="1">
        <v>0</v>
      </c>
      <c r="P1606" s="1">
        <v>75189</v>
      </c>
      <c r="Q1606" s="1">
        <v>0</v>
      </c>
    </row>
    <row r="1607" spans="2:17" hidden="1" x14ac:dyDescent="0.2">
      <c r="B1607" s="1">
        <v>75190</v>
      </c>
      <c r="C1607" s="1">
        <v>0</v>
      </c>
      <c r="G1607" s="1">
        <v>75190</v>
      </c>
      <c r="H1607" s="1">
        <v>0</v>
      </c>
      <c r="L1607" s="1">
        <v>75190</v>
      </c>
      <c r="M1607" s="1">
        <v>0</v>
      </c>
      <c r="P1607" s="1">
        <v>75190</v>
      </c>
      <c r="Q1607" s="1">
        <v>0</v>
      </c>
    </row>
    <row r="1608" spans="2:17" hidden="1" x14ac:dyDescent="0.2">
      <c r="B1608" s="1">
        <v>75191</v>
      </c>
      <c r="C1608" s="1">
        <v>0</v>
      </c>
      <c r="G1608" s="1">
        <v>75191</v>
      </c>
      <c r="H1608" s="1">
        <v>0</v>
      </c>
      <c r="L1608" s="1">
        <v>75191</v>
      </c>
      <c r="M1608" s="1">
        <v>0</v>
      </c>
      <c r="P1608" s="1">
        <v>75191</v>
      </c>
      <c r="Q1608" s="1">
        <v>0</v>
      </c>
    </row>
    <row r="1609" spans="2:17" hidden="1" x14ac:dyDescent="0.2">
      <c r="B1609" s="1">
        <v>75192</v>
      </c>
      <c r="C1609" s="1">
        <v>0</v>
      </c>
      <c r="G1609" s="1">
        <v>75192</v>
      </c>
      <c r="H1609" s="1">
        <v>0</v>
      </c>
      <c r="L1609" s="1">
        <v>75192</v>
      </c>
      <c r="M1609" s="1">
        <v>0</v>
      </c>
      <c r="P1609" s="1">
        <v>75192</v>
      </c>
      <c r="Q1609" s="1">
        <v>0</v>
      </c>
    </row>
    <row r="1610" spans="2:17" hidden="1" x14ac:dyDescent="0.2">
      <c r="B1610" s="1">
        <v>76163</v>
      </c>
      <c r="C1610" s="1">
        <v>0</v>
      </c>
      <c r="G1610" s="1">
        <v>76163</v>
      </c>
      <c r="H1610" s="1">
        <v>0</v>
      </c>
      <c r="L1610" s="1">
        <v>76163</v>
      </c>
      <c r="M1610" s="1">
        <v>0</v>
      </c>
      <c r="P1610" s="1">
        <v>76163</v>
      </c>
      <c r="Q1610" s="1">
        <v>0</v>
      </c>
    </row>
    <row r="1611" spans="2:17" hidden="1" x14ac:dyDescent="0.2">
      <c r="B1611" s="1">
        <v>76164</v>
      </c>
      <c r="C1611" s="1">
        <v>0</v>
      </c>
      <c r="G1611" s="1">
        <v>76164</v>
      </c>
      <c r="H1611" s="1">
        <v>0</v>
      </c>
      <c r="L1611" s="1">
        <v>76164</v>
      </c>
      <c r="M1611" s="1">
        <v>0</v>
      </c>
      <c r="P1611" s="1">
        <v>76164</v>
      </c>
      <c r="Q1611" s="1">
        <v>0</v>
      </c>
    </row>
    <row r="1612" spans="2:17" hidden="1" x14ac:dyDescent="0.2">
      <c r="B1612" s="1">
        <v>76165</v>
      </c>
      <c r="C1612" s="1">
        <v>0</v>
      </c>
      <c r="G1612" s="1">
        <v>76165</v>
      </c>
      <c r="H1612" s="1">
        <v>0</v>
      </c>
      <c r="L1612" s="1">
        <v>76165</v>
      </c>
      <c r="M1612" s="1">
        <v>0</v>
      </c>
      <c r="P1612" s="1">
        <v>76165</v>
      </c>
      <c r="Q1612" s="1">
        <v>0</v>
      </c>
    </row>
    <row r="1613" spans="2:17" hidden="1" x14ac:dyDescent="0.2">
      <c r="B1613" s="1">
        <v>76166</v>
      </c>
      <c r="C1613" s="1">
        <v>0</v>
      </c>
      <c r="G1613" s="1">
        <v>76166</v>
      </c>
      <c r="H1613" s="1">
        <v>0</v>
      </c>
      <c r="L1613" s="1">
        <v>76166</v>
      </c>
      <c r="M1613" s="1">
        <v>0</v>
      </c>
      <c r="P1613" s="1">
        <v>76166</v>
      </c>
      <c r="Q1613" s="1">
        <v>0</v>
      </c>
    </row>
    <row r="1614" spans="2:17" hidden="1" x14ac:dyDescent="0.2">
      <c r="B1614" s="1">
        <v>76167</v>
      </c>
      <c r="C1614" s="1">
        <v>0</v>
      </c>
      <c r="G1614" s="1">
        <v>76167</v>
      </c>
      <c r="H1614" s="1">
        <v>0</v>
      </c>
      <c r="L1614" s="1">
        <v>76167</v>
      </c>
      <c r="M1614" s="1">
        <v>0</v>
      </c>
      <c r="P1614" s="1">
        <v>76167</v>
      </c>
      <c r="Q1614" s="1">
        <v>0</v>
      </c>
    </row>
    <row r="1615" spans="2:17" hidden="1" x14ac:dyDescent="0.2">
      <c r="B1615" s="1">
        <v>76168</v>
      </c>
      <c r="C1615" s="1">
        <v>0</v>
      </c>
      <c r="G1615" s="1">
        <v>76168</v>
      </c>
      <c r="H1615" s="1">
        <v>0</v>
      </c>
      <c r="L1615" s="1">
        <v>76168</v>
      </c>
      <c r="M1615" s="1">
        <v>0</v>
      </c>
      <c r="P1615" s="1">
        <v>76168</v>
      </c>
      <c r="Q1615" s="1">
        <v>0</v>
      </c>
    </row>
    <row r="1616" spans="2:17" hidden="1" x14ac:dyDescent="0.2">
      <c r="B1616" s="1">
        <v>76169</v>
      </c>
      <c r="C1616" s="1">
        <v>0</v>
      </c>
      <c r="G1616" s="1">
        <v>76169</v>
      </c>
      <c r="H1616" s="1">
        <v>0</v>
      </c>
      <c r="L1616" s="1">
        <v>76169</v>
      </c>
      <c r="M1616" s="1">
        <v>0</v>
      </c>
      <c r="P1616" s="1">
        <v>76169</v>
      </c>
      <c r="Q1616" s="1">
        <v>0</v>
      </c>
    </row>
    <row r="1617" spans="2:17" hidden="1" x14ac:dyDescent="0.2">
      <c r="B1617" s="1">
        <v>76170</v>
      </c>
      <c r="C1617" s="1">
        <v>0</v>
      </c>
      <c r="G1617" s="1">
        <v>76170</v>
      </c>
      <c r="H1617" s="1">
        <v>0</v>
      </c>
      <c r="L1617" s="1">
        <v>76170</v>
      </c>
      <c r="M1617" s="1">
        <v>0</v>
      </c>
      <c r="P1617" s="1">
        <v>76170</v>
      </c>
      <c r="Q1617" s="1">
        <v>0</v>
      </c>
    </row>
    <row r="1618" spans="2:17" hidden="1" x14ac:dyDescent="0.2">
      <c r="B1618" s="1">
        <v>76171</v>
      </c>
      <c r="C1618" s="1">
        <v>0</v>
      </c>
      <c r="G1618" s="1">
        <v>76171</v>
      </c>
      <c r="H1618" s="1">
        <v>0</v>
      </c>
      <c r="L1618" s="1">
        <v>76171</v>
      </c>
      <c r="M1618" s="1">
        <v>0</v>
      </c>
      <c r="P1618" s="1">
        <v>76171</v>
      </c>
      <c r="Q1618" s="1">
        <v>0</v>
      </c>
    </row>
    <row r="1619" spans="2:17" hidden="1" x14ac:dyDescent="0.2">
      <c r="B1619" s="1">
        <v>76172</v>
      </c>
      <c r="C1619" s="1">
        <v>0</v>
      </c>
      <c r="G1619" s="1">
        <v>76172</v>
      </c>
      <c r="H1619" s="1">
        <v>0</v>
      </c>
      <c r="L1619" s="1">
        <v>76172</v>
      </c>
      <c r="M1619" s="1">
        <v>0</v>
      </c>
      <c r="P1619" s="1">
        <v>76172</v>
      </c>
      <c r="Q1619" s="1">
        <v>0</v>
      </c>
    </row>
    <row r="1620" spans="2:17" hidden="1" x14ac:dyDescent="0.2">
      <c r="B1620" s="1">
        <v>76173</v>
      </c>
      <c r="C1620" s="1">
        <v>0</v>
      </c>
      <c r="G1620" s="1">
        <v>76173</v>
      </c>
      <c r="H1620" s="1">
        <v>0</v>
      </c>
      <c r="L1620" s="1">
        <v>76173</v>
      </c>
      <c r="M1620" s="1">
        <v>0</v>
      </c>
      <c r="P1620" s="1">
        <v>76173</v>
      </c>
      <c r="Q1620" s="1">
        <v>0</v>
      </c>
    </row>
    <row r="1621" spans="2:17" hidden="1" x14ac:dyDescent="0.2">
      <c r="B1621" s="1">
        <v>76174</v>
      </c>
      <c r="C1621" s="1">
        <v>0</v>
      </c>
      <c r="G1621" s="1">
        <v>76174</v>
      </c>
      <c r="H1621" s="1">
        <v>0</v>
      </c>
      <c r="L1621" s="1">
        <v>76174</v>
      </c>
      <c r="M1621" s="1">
        <v>0</v>
      </c>
      <c r="P1621" s="1">
        <v>76174</v>
      </c>
      <c r="Q1621" s="1">
        <v>0</v>
      </c>
    </row>
    <row r="1622" spans="2:17" hidden="1" x14ac:dyDescent="0.2">
      <c r="B1622" s="1">
        <v>76175</v>
      </c>
      <c r="C1622" s="1">
        <v>0</v>
      </c>
      <c r="G1622" s="1">
        <v>76175</v>
      </c>
      <c r="H1622" s="1">
        <v>0</v>
      </c>
      <c r="L1622" s="1">
        <v>76175</v>
      </c>
      <c r="M1622" s="1">
        <v>0</v>
      </c>
      <c r="P1622" s="1">
        <v>76175</v>
      </c>
      <c r="Q1622" s="1">
        <v>0</v>
      </c>
    </row>
    <row r="1623" spans="2:17" hidden="1" x14ac:dyDescent="0.2">
      <c r="B1623" s="1">
        <v>76176</v>
      </c>
      <c r="C1623" s="1">
        <v>0</v>
      </c>
      <c r="G1623" s="1">
        <v>76176</v>
      </c>
      <c r="H1623" s="1">
        <v>0</v>
      </c>
      <c r="L1623" s="1">
        <v>76176</v>
      </c>
      <c r="M1623" s="1">
        <v>0</v>
      </c>
      <c r="P1623" s="1">
        <v>76176</v>
      </c>
      <c r="Q1623" s="1">
        <v>0</v>
      </c>
    </row>
    <row r="1624" spans="2:17" hidden="1" x14ac:dyDescent="0.2">
      <c r="B1624" s="1">
        <v>76177</v>
      </c>
      <c r="C1624" s="1">
        <v>0</v>
      </c>
      <c r="G1624" s="1">
        <v>76177</v>
      </c>
      <c r="H1624" s="1">
        <v>0</v>
      </c>
      <c r="L1624" s="1">
        <v>76177</v>
      </c>
      <c r="M1624" s="1">
        <v>0</v>
      </c>
      <c r="P1624" s="1">
        <v>76177</v>
      </c>
      <c r="Q1624" s="1">
        <v>0</v>
      </c>
    </row>
    <row r="1625" spans="2:17" hidden="1" x14ac:dyDescent="0.2">
      <c r="B1625" s="1">
        <v>76178</v>
      </c>
      <c r="C1625" s="1">
        <v>0</v>
      </c>
      <c r="G1625" s="1">
        <v>76178</v>
      </c>
      <c r="H1625" s="1">
        <v>0</v>
      </c>
      <c r="L1625" s="1">
        <v>76178</v>
      </c>
      <c r="M1625" s="1">
        <v>0</v>
      </c>
      <c r="P1625" s="1">
        <v>76178</v>
      </c>
      <c r="Q1625" s="1">
        <v>0</v>
      </c>
    </row>
    <row r="1626" spans="2:17" hidden="1" x14ac:dyDescent="0.2">
      <c r="B1626" s="1">
        <v>76179</v>
      </c>
      <c r="C1626" s="1">
        <v>0</v>
      </c>
      <c r="G1626" s="1">
        <v>76179</v>
      </c>
      <c r="H1626" s="1">
        <v>0</v>
      </c>
      <c r="L1626" s="1">
        <v>76179</v>
      </c>
      <c r="M1626" s="1">
        <v>0</v>
      </c>
      <c r="P1626" s="1">
        <v>76179</v>
      </c>
      <c r="Q1626" s="1">
        <v>0</v>
      </c>
    </row>
    <row r="1627" spans="2:17" hidden="1" x14ac:dyDescent="0.2">
      <c r="B1627" s="1">
        <v>76180</v>
      </c>
      <c r="C1627" s="1">
        <v>0</v>
      </c>
      <c r="G1627" s="1">
        <v>76180</v>
      </c>
      <c r="H1627" s="1">
        <v>0</v>
      </c>
      <c r="L1627" s="1">
        <v>76180</v>
      </c>
      <c r="M1627" s="1">
        <v>0</v>
      </c>
      <c r="P1627" s="1">
        <v>76180</v>
      </c>
      <c r="Q1627" s="1">
        <v>0</v>
      </c>
    </row>
    <row r="1628" spans="2:17" hidden="1" x14ac:dyDescent="0.2">
      <c r="B1628" s="1">
        <v>76181</v>
      </c>
      <c r="C1628" s="1">
        <v>0</v>
      </c>
      <c r="G1628" s="1">
        <v>76181</v>
      </c>
      <c r="H1628" s="1">
        <v>0</v>
      </c>
      <c r="L1628" s="1">
        <v>76181</v>
      </c>
      <c r="M1628" s="1">
        <v>0</v>
      </c>
      <c r="P1628" s="1">
        <v>76181</v>
      </c>
      <c r="Q1628" s="1">
        <v>0</v>
      </c>
    </row>
    <row r="1629" spans="2:17" hidden="1" x14ac:dyDescent="0.2">
      <c r="B1629" s="1">
        <v>76182</v>
      </c>
      <c r="C1629" s="1">
        <v>0</v>
      </c>
      <c r="G1629" s="1">
        <v>76182</v>
      </c>
      <c r="H1629" s="1">
        <v>0</v>
      </c>
      <c r="L1629" s="1">
        <v>76182</v>
      </c>
      <c r="M1629" s="1">
        <v>0</v>
      </c>
      <c r="P1629" s="1">
        <v>76182</v>
      </c>
      <c r="Q1629" s="1">
        <v>0</v>
      </c>
    </row>
    <row r="1630" spans="2:17" hidden="1" x14ac:dyDescent="0.2">
      <c r="B1630" s="1">
        <v>76183</v>
      </c>
      <c r="C1630" s="1">
        <v>0</v>
      </c>
      <c r="G1630" s="1">
        <v>76183</v>
      </c>
      <c r="H1630" s="1">
        <v>0</v>
      </c>
      <c r="L1630" s="1">
        <v>76183</v>
      </c>
      <c r="M1630" s="1">
        <v>0</v>
      </c>
      <c r="P1630" s="1">
        <v>76183</v>
      </c>
      <c r="Q1630" s="1">
        <v>0</v>
      </c>
    </row>
    <row r="1631" spans="2:17" hidden="1" x14ac:dyDescent="0.2">
      <c r="B1631" s="1">
        <v>76184</v>
      </c>
      <c r="C1631" s="1">
        <v>0</v>
      </c>
      <c r="G1631" s="1">
        <v>76184</v>
      </c>
      <c r="H1631" s="1">
        <v>0</v>
      </c>
      <c r="L1631" s="1">
        <v>76184</v>
      </c>
      <c r="M1631" s="1">
        <v>0</v>
      </c>
      <c r="P1631" s="1">
        <v>76184</v>
      </c>
      <c r="Q1631" s="1">
        <v>0</v>
      </c>
    </row>
    <row r="1632" spans="2:17" hidden="1" x14ac:dyDescent="0.2">
      <c r="B1632" s="1">
        <v>76185</v>
      </c>
      <c r="C1632" s="1">
        <v>0</v>
      </c>
      <c r="G1632" s="1">
        <v>76185</v>
      </c>
      <c r="H1632" s="1">
        <v>0</v>
      </c>
      <c r="L1632" s="1">
        <v>76185</v>
      </c>
      <c r="M1632" s="1">
        <v>0</v>
      </c>
      <c r="P1632" s="1">
        <v>76185</v>
      </c>
      <c r="Q1632" s="1">
        <v>0</v>
      </c>
    </row>
    <row r="1633" spans="2:17" hidden="1" x14ac:dyDescent="0.2">
      <c r="B1633" s="1">
        <v>76186</v>
      </c>
      <c r="C1633" s="1">
        <v>0</v>
      </c>
      <c r="G1633" s="1">
        <v>76186</v>
      </c>
      <c r="H1633" s="1">
        <v>0</v>
      </c>
      <c r="L1633" s="1">
        <v>76186</v>
      </c>
      <c r="M1633" s="1">
        <v>0</v>
      </c>
      <c r="P1633" s="1">
        <v>76186</v>
      </c>
      <c r="Q1633" s="1">
        <v>0</v>
      </c>
    </row>
    <row r="1634" spans="2:17" hidden="1" x14ac:dyDescent="0.2">
      <c r="B1634" s="1">
        <v>76187</v>
      </c>
      <c r="C1634" s="1">
        <v>0</v>
      </c>
      <c r="G1634" s="1">
        <v>76187</v>
      </c>
      <c r="H1634" s="1">
        <v>0</v>
      </c>
      <c r="L1634" s="1">
        <v>76187</v>
      </c>
      <c r="M1634" s="1">
        <v>0</v>
      </c>
      <c r="P1634" s="1">
        <v>76187</v>
      </c>
      <c r="Q1634" s="1">
        <v>0</v>
      </c>
    </row>
    <row r="1635" spans="2:17" hidden="1" x14ac:dyDescent="0.2">
      <c r="B1635" s="1">
        <v>76188</v>
      </c>
      <c r="C1635" s="1">
        <v>0</v>
      </c>
      <c r="G1635" s="1">
        <v>76188</v>
      </c>
      <c r="H1635" s="1">
        <v>0</v>
      </c>
      <c r="L1635" s="1">
        <v>76188</v>
      </c>
      <c r="M1635" s="1">
        <v>0</v>
      </c>
      <c r="P1635" s="1">
        <v>76188</v>
      </c>
      <c r="Q1635" s="1">
        <v>0</v>
      </c>
    </row>
    <row r="1636" spans="2:17" hidden="1" x14ac:dyDescent="0.2">
      <c r="B1636" s="1">
        <v>76189</v>
      </c>
      <c r="C1636" s="1">
        <v>0</v>
      </c>
      <c r="G1636" s="1">
        <v>76189</v>
      </c>
      <c r="H1636" s="1">
        <v>0</v>
      </c>
      <c r="L1636" s="1">
        <v>76189</v>
      </c>
      <c r="M1636" s="1">
        <v>0</v>
      </c>
      <c r="P1636" s="1">
        <v>76189</v>
      </c>
      <c r="Q1636" s="1">
        <v>0</v>
      </c>
    </row>
    <row r="1637" spans="2:17" hidden="1" x14ac:dyDescent="0.2">
      <c r="B1637" s="1">
        <v>76190</v>
      </c>
      <c r="C1637" s="1">
        <v>0</v>
      </c>
      <c r="G1637" s="1">
        <v>76190</v>
      </c>
      <c r="H1637" s="1">
        <v>0</v>
      </c>
      <c r="L1637" s="1">
        <v>76190</v>
      </c>
      <c r="M1637" s="1">
        <v>0</v>
      </c>
      <c r="P1637" s="1">
        <v>76190</v>
      </c>
      <c r="Q1637" s="1">
        <v>0</v>
      </c>
    </row>
    <row r="1638" spans="2:17" hidden="1" x14ac:dyDescent="0.2">
      <c r="B1638" s="1">
        <v>76191</v>
      </c>
      <c r="C1638" s="1">
        <v>0</v>
      </c>
      <c r="G1638" s="1">
        <v>76191</v>
      </c>
      <c r="H1638" s="1">
        <v>0</v>
      </c>
      <c r="L1638" s="1">
        <v>76191</v>
      </c>
      <c r="M1638" s="1">
        <v>0</v>
      </c>
      <c r="P1638" s="1">
        <v>76191</v>
      </c>
      <c r="Q1638" s="1">
        <v>0</v>
      </c>
    </row>
    <row r="1639" spans="2:17" hidden="1" x14ac:dyDescent="0.2">
      <c r="B1639" s="1">
        <v>76192</v>
      </c>
      <c r="C1639" s="1">
        <v>0</v>
      </c>
      <c r="G1639" s="1">
        <v>76192</v>
      </c>
      <c r="H1639" s="1">
        <v>0</v>
      </c>
      <c r="L1639" s="1">
        <v>76192</v>
      </c>
      <c r="M1639" s="1">
        <v>0</v>
      </c>
      <c r="P1639" s="1">
        <v>76192</v>
      </c>
      <c r="Q1639" s="1">
        <v>0</v>
      </c>
    </row>
    <row r="1640" spans="2:17" hidden="1" x14ac:dyDescent="0.2">
      <c r="B1640" s="1">
        <v>76193</v>
      </c>
      <c r="C1640" s="1">
        <v>0</v>
      </c>
      <c r="G1640" s="1">
        <v>76193</v>
      </c>
      <c r="H1640" s="1">
        <v>0</v>
      </c>
      <c r="L1640" s="1">
        <v>76193</v>
      </c>
      <c r="M1640" s="1">
        <v>0</v>
      </c>
      <c r="P1640" s="1">
        <v>76193</v>
      </c>
      <c r="Q1640" s="1">
        <v>0</v>
      </c>
    </row>
    <row r="1641" spans="2:17" hidden="1" x14ac:dyDescent="0.2">
      <c r="B1641" s="1">
        <v>76194</v>
      </c>
      <c r="C1641" s="1">
        <v>0</v>
      </c>
      <c r="G1641" s="1">
        <v>76194</v>
      </c>
      <c r="H1641" s="1">
        <v>0</v>
      </c>
      <c r="L1641" s="1">
        <v>76194</v>
      </c>
      <c r="M1641" s="1">
        <v>0</v>
      </c>
      <c r="P1641" s="1">
        <v>76194</v>
      </c>
      <c r="Q1641" s="1">
        <v>0</v>
      </c>
    </row>
    <row r="1642" spans="2:17" hidden="1" x14ac:dyDescent="0.2">
      <c r="B1642" s="1">
        <v>76195</v>
      </c>
      <c r="C1642" s="1">
        <v>0</v>
      </c>
      <c r="G1642" s="1">
        <v>76195</v>
      </c>
      <c r="H1642" s="1">
        <v>0</v>
      </c>
      <c r="L1642" s="1">
        <v>76195</v>
      </c>
      <c r="M1642" s="1">
        <v>0</v>
      </c>
      <c r="P1642" s="1">
        <v>76195</v>
      </c>
      <c r="Q1642" s="1">
        <v>0</v>
      </c>
    </row>
    <row r="1643" spans="2:17" hidden="1" x14ac:dyDescent="0.2">
      <c r="B1643" s="1">
        <v>76196</v>
      </c>
      <c r="C1643" s="1">
        <v>0</v>
      </c>
      <c r="G1643" s="1">
        <v>76196</v>
      </c>
      <c r="H1643" s="1">
        <v>0</v>
      </c>
      <c r="L1643" s="1">
        <v>76196</v>
      </c>
      <c r="M1643" s="1">
        <v>0</v>
      </c>
      <c r="P1643" s="1">
        <v>76196</v>
      </c>
      <c r="Q1643" s="1">
        <v>0</v>
      </c>
    </row>
    <row r="1644" spans="2:17" hidden="1" x14ac:dyDescent="0.2">
      <c r="B1644" s="1">
        <v>77166</v>
      </c>
      <c r="C1644" s="1">
        <v>0</v>
      </c>
      <c r="G1644" s="1">
        <v>77166</v>
      </c>
      <c r="H1644" s="1">
        <v>0</v>
      </c>
      <c r="L1644" s="1">
        <v>77166</v>
      </c>
      <c r="M1644" s="1">
        <v>0</v>
      </c>
      <c r="P1644" s="1">
        <v>77166</v>
      </c>
      <c r="Q1644" s="1">
        <v>0</v>
      </c>
    </row>
    <row r="1645" spans="2:17" hidden="1" x14ac:dyDescent="0.2">
      <c r="B1645" s="1">
        <v>77167</v>
      </c>
      <c r="C1645" s="1">
        <v>0</v>
      </c>
      <c r="G1645" s="1">
        <v>77167</v>
      </c>
      <c r="H1645" s="1">
        <v>0</v>
      </c>
      <c r="L1645" s="1">
        <v>77167</v>
      </c>
      <c r="M1645" s="1">
        <v>0</v>
      </c>
      <c r="P1645" s="1">
        <v>77167</v>
      </c>
      <c r="Q1645" s="1">
        <v>0</v>
      </c>
    </row>
    <row r="1646" spans="2:17" hidden="1" x14ac:dyDescent="0.2">
      <c r="B1646" s="1">
        <v>77168</v>
      </c>
      <c r="C1646" s="1">
        <v>0</v>
      </c>
      <c r="G1646" s="1">
        <v>77168</v>
      </c>
      <c r="H1646" s="1">
        <v>0</v>
      </c>
      <c r="L1646" s="1">
        <v>77168</v>
      </c>
      <c r="M1646" s="1">
        <v>0</v>
      </c>
      <c r="P1646" s="1">
        <v>77168</v>
      </c>
      <c r="Q1646" s="1">
        <v>0</v>
      </c>
    </row>
    <row r="1647" spans="2:17" hidden="1" x14ac:dyDescent="0.2">
      <c r="B1647" s="1">
        <v>77169</v>
      </c>
      <c r="C1647" s="1">
        <v>0</v>
      </c>
      <c r="G1647" s="1">
        <v>77169</v>
      </c>
      <c r="H1647" s="1">
        <v>0</v>
      </c>
      <c r="L1647" s="1">
        <v>77169</v>
      </c>
      <c r="M1647" s="1">
        <v>0</v>
      </c>
      <c r="P1647" s="1">
        <v>77169</v>
      </c>
      <c r="Q1647" s="1">
        <v>0</v>
      </c>
    </row>
    <row r="1648" spans="2:17" hidden="1" x14ac:dyDescent="0.2">
      <c r="B1648" s="1">
        <v>77170</v>
      </c>
      <c r="C1648" s="1">
        <v>0</v>
      </c>
      <c r="G1648" s="1">
        <v>77170</v>
      </c>
      <c r="H1648" s="1">
        <v>0</v>
      </c>
      <c r="L1648" s="1">
        <v>77170</v>
      </c>
      <c r="M1648" s="1">
        <v>0</v>
      </c>
      <c r="P1648" s="1">
        <v>77170</v>
      </c>
      <c r="Q1648" s="1">
        <v>0</v>
      </c>
    </row>
    <row r="1649" spans="2:17" hidden="1" x14ac:dyDescent="0.2">
      <c r="B1649" s="1">
        <v>77171</v>
      </c>
      <c r="C1649" s="1">
        <v>0</v>
      </c>
      <c r="G1649" s="1">
        <v>77171</v>
      </c>
      <c r="H1649" s="1">
        <v>0</v>
      </c>
      <c r="L1649" s="1">
        <v>77171</v>
      </c>
      <c r="M1649" s="1">
        <v>0</v>
      </c>
      <c r="P1649" s="1">
        <v>77171</v>
      </c>
      <c r="Q1649" s="1">
        <v>0</v>
      </c>
    </row>
    <row r="1650" spans="2:17" hidden="1" x14ac:dyDescent="0.2">
      <c r="B1650" s="1">
        <v>77172</v>
      </c>
      <c r="C1650" s="1">
        <v>0</v>
      </c>
      <c r="G1650" s="1">
        <v>77172</v>
      </c>
      <c r="H1650" s="1">
        <v>0</v>
      </c>
      <c r="L1650" s="1">
        <v>77172</v>
      </c>
      <c r="M1650" s="1">
        <v>0</v>
      </c>
      <c r="P1650" s="1">
        <v>77172</v>
      </c>
      <c r="Q1650" s="1">
        <v>0</v>
      </c>
    </row>
    <row r="1651" spans="2:17" hidden="1" x14ac:dyDescent="0.2">
      <c r="B1651" s="1">
        <v>77173</v>
      </c>
      <c r="C1651" s="1">
        <v>0</v>
      </c>
      <c r="G1651" s="1">
        <v>77173</v>
      </c>
      <c r="H1651" s="1">
        <v>0</v>
      </c>
      <c r="L1651" s="1">
        <v>77173</v>
      </c>
      <c r="M1651" s="1">
        <v>0</v>
      </c>
      <c r="P1651" s="1">
        <v>77173</v>
      </c>
      <c r="Q1651" s="1">
        <v>0</v>
      </c>
    </row>
    <row r="1652" spans="2:17" hidden="1" x14ac:dyDescent="0.2">
      <c r="B1652" s="1">
        <v>77174</v>
      </c>
      <c r="C1652" s="1">
        <v>0</v>
      </c>
      <c r="G1652" s="1">
        <v>77174</v>
      </c>
      <c r="H1652" s="1">
        <v>0</v>
      </c>
      <c r="L1652" s="1">
        <v>77174</v>
      </c>
      <c r="M1652" s="1">
        <v>0</v>
      </c>
      <c r="P1652" s="1">
        <v>77174</v>
      </c>
      <c r="Q1652" s="1">
        <v>0</v>
      </c>
    </row>
    <row r="1653" spans="2:17" hidden="1" x14ac:dyDescent="0.2">
      <c r="B1653" s="1">
        <v>77175</v>
      </c>
      <c r="C1653" s="1">
        <v>0</v>
      </c>
      <c r="G1653" s="1">
        <v>77175</v>
      </c>
      <c r="H1653" s="1">
        <v>0</v>
      </c>
      <c r="L1653" s="1">
        <v>77175</v>
      </c>
      <c r="M1653" s="1">
        <v>0</v>
      </c>
      <c r="P1653" s="1">
        <v>77175</v>
      </c>
      <c r="Q1653" s="1">
        <v>0</v>
      </c>
    </row>
    <row r="1654" spans="2:17" hidden="1" x14ac:dyDescent="0.2">
      <c r="B1654" s="1">
        <v>77176</v>
      </c>
      <c r="C1654" s="1">
        <v>0</v>
      </c>
      <c r="G1654" s="1">
        <v>77176</v>
      </c>
      <c r="H1654" s="1">
        <v>0</v>
      </c>
      <c r="L1654" s="1">
        <v>77176</v>
      </c>
      <c r="M1654" s="1">
        <v>0</v>
      </c>
      <c r="P1654" s="1">
        <v>77176</v>
      </c>
      <c r="Q1654" s="1">
        <v>0</v>
      </c>
    </row>
    <row r="1655" spans="2:17" hidden="1" x14ac:dyDescent="0.2">
      <c r="B1655" s="1">
        <v>77177</v>
      </c>
      <c r="C1655" s="1">
        <v>0</v>
      </c>
      <c r="G1655" s="1">
        <v>77177</v>
      </c>
      <c r="H1655" s="1">
        <v>0</v>
      </c>
      <c r="L1655" s="1">
        <v>77177</v>
      </c>
      <c r="M1655" s="1">
        <v>0</v>
      </c>
      <c r="P1655" s="1">
        <v>77177</v>
      </c>
      <c r="Q1655" s="1">
        <v>0</v>
      </c>
    </row>
    <row r="1656" spans="2:17" hidden="1" x14ac:dyDescent="0.2">
      <c r="B1656" s="1">
        <v>77178</v>
      </c>
      <c r="C1656" s="1">
        <v>0</v>
      </c>
      <c r="G1656" s="1">
        <v>77178</v>
      </c>
      <c r="H1656" s="1">
        <v>0</v>
      </c>
      <c r="L1656" s="1">
        <v>77178</v>
      </c>
      <c r="M1656" s="1">
        <v>0</v>
      </c>
      <c r="P1656" s="1">
        <v>77178</v>
      </c>
      <c r="Q1656" s="1">
        <v>0</v>
      </c>
    </row>
    <row r="1657" spans="2:17" hidden="1" x14ac:dyDescent="0.2">
      <c r="B1657" s="1">
        <v>77179</v>
      </c>
      <c r="C1657" s="1">
        <v>0</v>
      </c>
      <c r="G1657" s="1">
        <v>77179</v>
      </c>
      <c r="H1657" s="1">
        <v>0</v>
      </c>
      <c r="L1657" s="1">
        <v>77179</v>
      </c>
      <c r="M1657" s="1">
        <v>0</v>
      </c>
      <c r="P1657" s="1">
        <v>77179</v>
      </c>
      <c r="Q1657" s="1">
        <v>0</v>
      </c>
    </row>
    <row r="1658" spans="2:17" hidden="1" x14ac:dyDescent="0.2">
      <c r="B1658" s="1">
        <v>77180</v>
      </c>
      <c r="C1658" s="1">
        <v>0</v>
      </c>
      <c r="G1658" s="1">
        <v>77180</v>
      </c>
      <c r="H1658" s="1">
        <v>0</v>
      </c>
      <c r="L1658" s="1">
        <v>77180</v>
      </c>
      <c r="M1658" s="1">
        <v>0</v>
      </c>
      <c r="P1658" s="1">
        <v>77180</v>
      </c>
      <c r="Q1658" s="1">
        <v>0</v>
      </c>
    </row>
    <row r="1659" spans="2:17" hidden="1" x14ac:dyDescent="0.2">
      <c r="B1659" s="1">
        <v>77181</v>
      </c>
      <c r="C1659" s="1">
        <v>0</v>
      </c>
      <c r="G1659" s="1">
        <v>77181</v>
      </c>
      <c r="H1659" s="1">
        <v>0</v>
      </c>
      <c r="L1659" s="1">
        <v>77181</v>
      </c>
      <c r="M1659" s="1">
        <v>0</v>
      </c>
      <c r="P1659" s="1">
        <v>77181</v>
      </c>
      <c r="Q1659" s="1">
        <v>0</v>
      </c>
    </row>
    <row r="1660" spans="2:17" hidden="1" x14ac:dyDescent="0.2">
      <c r="B1660" s="1">
        <v>77182</v>
      </c>
      <c r="C1660" s="1">
        <v>0</v>
      </c>
      <c r="G1660" s="1">
        <v>77182</v>
      </c>
      <c r="H1660" s="1">
        <v>0</v>
      </c>
      <c r="L1660" s="1">
        <v>77182</v>
      </c>
      <c r="M1660" s="1">
        <v>0</v>
      </c>
      <c r="P1660" s="1">
        <v>77182</v>
      </c>
      <c r="Q1660" s="1">
        <v>0</v>
      </c>
    </row>
    <row r="1661" spans="2:17" hidden="1" x14ac:dyDescent="0.2">
      <c r="B1661" s="1">
        <v>77183</v>
      </c>
      <c r="C1661" s="1">
        <v>0</v>
      </c>
      <c r="G1661" s="1">
        <v>77183</v>
      </c>
      <c r="H1661" s="1">
        <v>0</v>
      </c>
      <c r="L1661" s="1">
        <v>77183</v>
      </c>
      <c r="M1661" s="1">
        <v>0</v>
      </c>
      <c r="P1661" s="1">
        <v>77183</v>
      </c>
      <c r="Q1661" s="1">
        <v>0</v>
      </c>
    </row>
    <row r="1662" spans="2:17" hidden="1" x14ac:dyDescent="0.2">
      <c r="B1662" s="1">
        <v>77184</v>
      </c>
      <c r="C1662" s="1">
        <v>0</v>
      </c>
      <c r="G1662" s="1">
        <v>77184</v>
      </c>
      <c r="H1662" s="1">
        <v>0</v>
      </c>
      <c r="L1662" s="1">
        <v>77184</v>
      </c>
      <c r="M1662" s="1">
        <v>0</v>
      </c>
      <c r="P1662" s="1">
        <v>77184</v>
      </c>
      <c r="Q1662" s="1">
        <v>0</v>
      </c>
    </row>
    <row r="1663" spans="2:17" hidden="1" x14ac:dyDescent="0.2">
      <c r="B1663" s="1">
        <v>77185</v>
      </c>
      <c r="C1663" s="1">
        <v>0</v>
      </c>
      <c r="G1663" s="1">
        <v>77185</v>
      </c>
      <c r="H1663" s="1">
        <v>0</v>
      </c>
      <c r="L1663" s="1">
        <v>77185</v>
      </c>
      <c r="M1663" s="1">
        <v>0</v>
      </c>
      <c r="P1663" s="1">
        <v>77185</v>
      </c>
      <c r="Q1663" s="1">
        <v>0</v>
      </c>
    </row>
    <row r="1664" spans="2:17" hidden="1" x14ac:dyDescent="0.2">
      <c r="B1664" s="1">
        <v>77186</v>
      </c>
      <c r="C1664" s="1">
        <v>0</v>
      </c>
      <c r="G1664" s="1">
        <v>77186</v>
      </c>
      <c r="H1664" s="1">
        <v>0</v>
      </c>
      <c r="L1664" s="1">
        <v>77186</v>
      </c>
      <c r="M1664" s="1">
        <v>0</v>
      </c>
      <c r="P1664" s="1">
        <v>77186</v>
      </c>
      <c r="Q1664" s="1">
        <v>0</v>
      </c>
    </row>
    <row r="1665" spans="2:17" hidden="1" x14ac:dyDescent="0.2">
      <c r="B1665" s="1">
        <v>77187</v>
      </c>
      <c r="C1665" s="1">
        <v>0</v>
      </c>
      <c r="G1665" s="1">
        <v>77187</v>
      </c>
      <c r="H1665" s="1">
        <v>0</v>
      </c>
      <c r="L1665" s="1">
        <v>77187</v>
      </c>
      <c r="M1665" s="1">
        <v>0</v>
      </c>
      <c r="P1665" s="1">
        <v>77187</v>
      </c>
      <c r="Q1665" s="1">
        <v>0</v>
      </c>
    </row>
    <row r="1666" spans="2:17" hidden="1" x14ac:dyDescent="0.2">
      <c r="B1666" s="1">
        <v>77188</v>
      </c>
      <c r="C1666" s="1">
        <v>0</v>
      </c>
      <c r="G1666" s="1">
        <v>77188</v>
      </c>
      <c r="H1666" s="1">
        <v>0</v>
      </c>
      <c r="L1666" s="1">
        <v>77188</v>
      </c>
      <c r="M1666" s="1">
        <v>0</v>
      </c>
      <c r="P1666" s="1">
        <v>77188</v>
      </c>
      <c r="Q1666" s="1">
        <v>0</v>
      </c>
    </row>
    <row r="1667" spans="2:17" hidden="1" x14ac:dyDescent="0.2">
      <c r="B1667" s="1">
        <v>77189</v>
      </c>
      <c r="C1667" s="1">
        <v>0</v>
      </c>
      <c r="G1667" s="1">
        <v>77189</v>
      </c>
      <c r="H1667" s="1">
        <v>0</v>
      </c>
      <c r="L1667" s="1">
        <v>77189</v>
      </c>
      <c r="M1667" s="1">
        <v>0</v>
      </c>
      <c r="P1667" s="1">
        <v>77189</v>
      </c>
      <c r="Q1667" s="1">
        <v>0</v>
      </c>
    </row>
    <row r="1668" spans="2:17" hidden="1" x14ac:dyDescent="0.2">
      <c r="B1668" s="1">
        <v>77190</v>
      </c>
      <c r="C1668" s="1">
        <v>0</v>
      </c>
      <c r="G1668" s="1">
        <v>77190</v>
      </c>
      <c r="H1668" s="1">
        <v>0</v>
      </c>
      <c r="L1668" s="1">
        <v>77190</v>
      </c>
      <c r="M1668" s="1">
        <v>0</v>
      </c>
      <c r="P1668" s="1">
        <v>77190</v>
      </c>
      <c r="Q1668" s="1">
        <v>0</v>
      </c>
    </row>
    <row r="1669" spans="2:17" hidden="1" x14ac:dyDescent="0.2">
      <c r="B1669" s="1">
        <v>77191</v>
      </c>
      <c r="C1669" s="1">
        <v>0</v>
      </c>
      <c r="G1669" s="1">
        <v>77191</v>
      </c>
      <c r="H1669" s="1">
        <v>0</v>
      </c>
      <c r="L1669" s="1">
        <v>77191</v>
      </c>
      <c r="M1669" s="1">
        <v>0</v>
      </c>
      <c r="P1669" s="1">
        <v>77191</v>
      </c>
      <c r="Q1669" s="1">
        <v>0</v>
      </c>
    </row>
    <row r="1670" spans="2:17" hidden="1" x14ac:dyDescent="0.2">
      <c r="B1670" s="1">
        <v>77192</v>
      </c>
      <c r="C1670" s="1">
        <v>0</v>
      </c>
      <c r="G1670" s="1">
        <v>77192</v>
      </c>
      <c r="H1670" s="1">
        <v>0</v>
      </c>
      <c r="L1670" s="1">
        <v>77192</v>
      </c>
      <c r="M1670" s="1">
        <v>0</v>
      </c>
      <c r="P1670" s="1">
        <v>77192</v>
      </c>
      <c r="Q1670" s="1">
        <v>0</v>
      </c>
    </row>
    <row r="1671" spans="2:17" hidden="1" x14ac:dyDescent="0.2">
      <c r="B1671" s="1">
        <v>77193</v>
      </c>
      <c r="C1671" s="1">
        <v>0</v>
      </c>
      <c r="G1671" s="1">
        <v>77193</v>
      </c>
      <c r="H1671" s="1">
        <v>0</v>
      </c>
      <c r="L1671" s="1">
        <v>77193</v>
      </c>
      <c r="M1671" s="1">
        <v>0</v>
      </c>
      <c r="P1671" s="1">
        <v>77193</v>
      </c>
      <c r="Q1671" s="1">
        <v>0</v>
      </c>
    </row>
    <row r="1672" spans="2:17" hidden="1" x14ac:dyDescent="0.2">
      <c r="B1672" s="1">
        <v>77194</v>
      </c>
      <c r="C1672" s="1">
        <v>0</v>
      </c>
      <c r="G1672" s="1">
        <v>77194</v>
      </c>
      <c r="H1672" s="1">
        <v>0</v>
      </c>
      <c r="L1672" s="1">
        <v>77194</v>
      </c>
      <c r="M1672" s="1">
        <v>0</v>
      </c>
      <c r="P1672" s="1">
        <v>77194</v>
      </c>
      <c r="Q1672" s="1">
        <v>0</v>
      </c>
    </row>
    <row r="1673" spans="2:17" hidden="1" x14ac:dyDescent="0.2">
      <c r="B1673" s="1">
        <v>77195</v>
      </c>
      <c r="C1673" s="1">
        <v>0</v>
      </c>
      <c r="G1673" s="1">
        <v>77195</v>
      </c>
      <c r="H1673" s="1">
        <v>0</v>
      </c>
      <c r="L1673" s="1">
        <v>77195</v>
      </c>
      <c r="M1673" s="1">
        <v>0</v>
      </c>
      <c r="P1673" s="1">
        <v>77195</v>
      </c>
      <c r="Q1673" s="1">
        <v>0</v>
      </c>
    </row>
    <row r="1674" spans="2:17" hidden="1" x14ac:dyDescent="0.2">
      <c r="B1674" s="1">
        <v>77196</v>
      </c>
      <c r="C1674" s="1">
        <v>0</v>
      </c>
      <c r="G1674" s="1">
        <v>77196</v>
      </c>
      <c r="H1674" s="1">
        <v>0</v>
      </c>
      <c r="L1674" s="1">
        <v>77196</v>
      </c>
      <c r="M1674" s="1">
        <v>0</v>
      </c>
      <c r="P1674" s="1">
        <v>77196</v>
      </c>
      <c r="Q1674" s="1">
        <v>0</v>
      </c>
    </row>
    <row r="1675" spans="2:17" hidden="1" x14ac:dyDescent="0.2">
      <c r="B1675" s="1">
        <v>77197</v>
      </c>
      <c r="C1675" s="1">
        <v>0</v>
      </c>
      <c r="G1675" s="1">
        <v>77197</v>
      </c>
      <c r="H1675" s="1">
        <v>0</v>
      </c>
      <c r="L1675" s="1">
        <v>77197</v>
      </c>
      <c r="M1675" s="1">
        <v>0</v>
      </c>
      <c r="P1675" s="1">
        <v>77197</v>
      </c>
      <c r="Q1675" s="1">
        <v>0</v>
      </c>
    </row>
    <row r="1676" spans="2:17" hidden="1" x14ac:dyDescent="0.2">
      <c r="B1676" s="1">
        <v>77198</v>
      </c>
      <c r="C1676" s="1">
        <v>0</v>
      </c>
      <c r="G1676" s="1">
        <v>77198</v>
      </c>
      <c r="H1676" s="1">
        <v>0</v>
      </c>
      <c r="L1676" s="1">
        <v>77198</v>
      </c>
      <c r="M1676" s="1">
        <v>0</v>
      </c>
      <c r="P1676" s="1">
        <v>77198</v>
      </c>
      <c r="Q1676" s="1">
        <v>0</v>
      </c>
    </row>
    <row r="1677" spans="2:17" hidden="1" x14ac:dyDescent="0.2">
      <c r="B1677" s="1">
        <v>78168</v>
      </c>
      <c r="C1677" s="1">
        <v>0</v>
      </c>
      <c r="G1677" s="1">
        <v>78168</v>
      </c>
      <c r="H1677" s="1">
        <v>0</v>
      </c>
      <c r="L1677" s="1">
        <v>78168</v>
      </c>
      <c r="M1677" s="1">
        <v>0</v>
      </c>
      <c r="P1677" s="1">
        <v>78168</v>
      </c>
      <c r="Q1677" s="1">
        <v>0</v>
      </c>
    </row>
    <row r="1678" spans="2:17" hidden="1" x14ac:dyDescent="0.2">
      <c r="B1678" s="1">
        <v>78169</v>
      </c>
      <c r="C1678" s="1">
        <v>0</v>
      </c>
      <c r="G1678" s="1">
        <v>78169</v>
      </c>
      <c r="H1678" s="1">
        <v>0</v>
      </c>
      <c r="L1678" s="1">
        <v>78169</v>
      </c>
      <c r="M1678" s="1">
        <v>0</v>
      </c>
      <c r="P1678" s="1">
        <v>78169</v>
      </c>
      <c r="Q1678" s="1">
        <v>0</v>
      </c>
    </row>
    <row r="1679" spans="2:17" hidden="1" x14ac:dyDescent="0.2">
      <c r="B1679" s="1">
        <v>78170</v>
      </c>
      <c r="C1679" s="1">
        <v>0</v>
      </c>
      <c r="G1679" s="1">
        <v>78170</v>
      </c>
      <c r="H1679" s="1">
        <v>0</v>
      </c>
      <c r="L1679" s="1">
        <v>78170</v>
      </c>
      <c r="M1679" s="1">
        <v>0</v>
      </c>
      <c r="P1679" s="1">
        <v>78170</v>
      </c>
      <c r="Q1679" s="1">
        <v>0</v>
      </c>
    </row>
    <row r="1680" spans="2:17" hidden="1" x14ac:dyDescent="0.2">
      <c r="B1680" s="1">
        <v>78171</v>
      </c>
      <c r="C1680" s="1">
        <v>0</v>
      </c>
      <c r="G1680" s="1">
        <v>78171</v>
      </c>
      <c r="H1680" s="1">
        <v>0</v>
      </c>
      <c r="L1680" s="1">
        <v>78171</v>
      </c>
      <c r="M1680" s="1">
        <v>0</v>
      </c>
      <c r="P1680" s="1">
        <v>78171</v>
      </c>
      <c r="Q1680" s="1">
        <v>0</v>
      </c>
    </row>
    <row r="1681" spans="2:17" hidden="1" x14ac:dyDescent="0.2">
      <c r="B1681" s="1">
        <v>78172</v>
      </c>
      <c r="C1681" s="1">
        <v>0</v>
      </c>
      <c r="G1681" s="1">
        <v>78172</v>
      </c>
      <c r="H1681" s="1">
        <v>0</v>
      </c>
      <c r="L1681" s="1">
        <v>78172</v>
      </c>
      <c r="M1681" s="1">
        <v>0</v>
      </c>
      <c r="P1681" s="1">
        <v>78172</v>
      </c>
      <c r="Q1681" s="1">
        <v>0</v>
      </c>
    </row>
    <row r="1682" spans="2:17" hidden="1" x14ac:dyDescent="0.2">
      <c r="B1682" s="1">
        <v>78173</v>
      </c>
      <c r="C1682" s="1">
        <v>0</v>
      </c>
      <c r="G1682" s="1">
        <v>78173</v>
      </c>
      <c r="H1682" s="1">
        <v>0</v>
      </c>
      <c r="L1682" s="1">
        <v>78173</v>
      </c>
      <c r="M1682" s="1">
        <v>0</v>
      </c>
      <c r="P1682" s="1">
        <v>78173</v>
      </c>
      <c r="Q1682" s="1">
        <v>0</v>
      </c>
    </row>
    <row r="1683" spans="2:17" hidden="1" x14ac:dyDescent="0.2">
      <c r="B1683" s="1">
        <v>78174</v>
      </c>
      <c r="C1683" s="1">
        <v>0</v>
      </c>
      <c r="G1683" s="1">
        <v>78174</v>
      </c>
      <c r="H1683" s="1">
        <v>0</v>
      </c>
      <c r="L1683" s="1">
        <v>78174</v>
      </c>
      <c r="M1683" s="1">
        <v>0</v>
      </c>
      <c r="P1683" s="1">
        <v>78174</v>
      </c>
      <c r="Q1683" s="1">
        <v>0</v>
      </c>
    </row>
    <row r="1684" spans="2:17" hidden="1" x14ac:dyDescent="0.2">
      <c r="B1684" s="1">
        <v>78175</v>
      </c>
      <c r="C1684" s="1">
        <v>0</v>
      </c>
      <c r="G1684" s="1">
        <v>78175</v>
      </c>
      <c r="H1684" s="1">
        <v>0</v>
      </c>
      <c r="L1684" s="1">
        <v>78175</v>
      </c>
      <c r="M1684" s="1">
        <v>0</v>
      </c>
      <c r="P1684" s="1">
        <v>78175</v>
      </c>
      <c r="Q1684" s="1">
        <v>0</v>
      </c>
    </row>
    <row r="1685" spans="2:17" hidden="1" x14ac:dyDescent="0.2">
      <c r="B1685" s="1">
        <v>78176</v>
      </c>
      <c r="C1685" s="1">
        <v>0</v>
      </c>
      <c r="G1685" s="1">
        <v>78176</v>
      </c>
      <c r="H1685" s="1">
        <v>0</v>
      </c>
      <c r="L1685" s="1">
        <v>78176</v>
      </c>
      <c r="M1685" s="1">
        <v>0</v>
      </c>
      <c r="P1685" s="1">
        <v>78176</v>
      </c>
      <c r="Q1685" s="1">
        <v>0</v>
      </c>
    </row>
    <row r="1686" spans="2:17" hidden="1" x14ac:dyDescent="0.2">
      <c r="B1686" s="1">
        <v>78177</v>
      </c>
      <c r="C1686" s="1">
        <v>0</v>
      </c>
      <c r="G1686" s="1">
        <v>78177</v>
      </c>
      <c r="H1686" s="1">
        <v>0</v>
      </c>
      <c r="L1686" s="1">
        <v>78177</v>
      </c>
      <c r="M1686" s="1">
        <v>0</v>
      </c>
      <c r="P1686" s="1">
        <v>78177</v>
      </c>
      <c r="Q1686" s="1">
        <v>0</v>
      </c>
    </row>
    <row r="1687" spans="2:17" hidden="1" x14ac:dyDescent="0.2">
      <c r="B1687" s="1">
        <v>78178</v>
      </c>
      <c r="C1687" s="1">
        <v>0</v>
      </c>
      <c r="G1687" s="1">
        <v>78178</v>
      </c>
      <c r="H1687" s="1">
        <v>0</v>
      </c>
      <c r="L1687" s="1">
        <v>78178</v>
      </c>
      <c r="M1687" s="1">
        <v>0</v>
      </c>
      <c r="P1687" s="1">
        <v>78178</v>
      </c>
      <c r="Q1687" s="1">
        <v>0</v>
      </c>
    </row>
    <row r="1688" spans="2:17" hidden="1" x14ac:dyDescent="0.2">
      <c r="B1688" s="1">
        <v>78179</v>
      </c>
      <c r="C1688" s="1">
        <v>0</v>
      </c>
      <c r="G1688" s="1">
        <v>78179</v>
      </c>
      <c r="H1688" s="1">
        <v>0</v>
      </c>
      <c r="L1688" s="1">
        <v>78179</v>
      </c>
      <c r="M1688" s="1">
        <v>0</v>
      </c>
      <c r="P1688" s="1">
        <v>78179</v>
      </c>
      <c r="Q1688" s="1">
        <v>0</v>
      </c>
    </row>
    <row r="1689" spans="2:17" hidden="1" x14ac:dyDescent="0.2">
      <c r="B1689" s="1">
        <v>78180</v>
      </c>
      <c r="C1689" s="1">
        <v>0</v>
      </c>
      <c r="G1689" s="1">
        <v>78180</v>
      </c>
      <c r="H1689" s="1">
        <v>0</v>
      </c>
      <c r="L1689" s="1">
        <v>78180</v>
      </c>
      <c r="M1689" s="1">
        <v>0</v>
      </c>
      <c r="P1689" s="1">
        <v>78180</v>
      </c>
      <c r="Q1689" s="1">
        <v>0</v>
      </c>
    </row>
    <row r="1690" spans="2:17" hidden="1" x14ac:dyDescent="0.2">
      <c r="B1690" s="1">
        <v>78181</v>
      </c>
      <c r="C1690" s="1">
        <v>0</v>
      </c>
      <c r="G1690" s="1">
        <v>78181</v>
      </c>
      <c r="H1690" s="1">
        <v>0</v>
      </c>
      <c r="L1690" s="1">
        <v>78181</v>
      </c>
      <c r="M1690" s="1">
        <v>0</v>
      </c>
      <c r="P1690" s="1">
        <v>78181</v>
      </c>
      <c r="Q1690" s="1">
        <v>0</v>
      </c>
    </row>
    <row r="1691" spans="2:17" hidden="1" x14ac:dyDescent="0.2">
      <c r="B1691" s="1">
        <v>78182</v>
      </c>
      <c r="C1691" s="1">
        <v>0</v>
      </c>
      <c r="G1691" s="1">
        <v>78182</v>
      </c>
      <c r="H1691" s="1">
        <v>0</v>
      </c>
      <c r="L1691" s="1">
        <v>78182</v>
      </c>
      <c r="M1691" s="1">
        <v>0</v>
      </c>
      <c r="P1691" s="1">
        <v>78182</v>
      </c>
      <c r="Q1691" s="1">
        <v>0</v>
      </c>
    </row>
    <row r="1692" spans="2:17" hidden="1" x14ac:dyDescent="0.2">
      <c r="B1692" s="1">
        <v>78183</v>
      </c>
      <c r="C1692" s="1">
        <v>0</v>
      </c>
      <c r="G1692" s="1">
        <v>78183</v>
      </c>
      <c r="H1692" s="1">
        <v>0</v>
      </c>
      <c r="L1692" s="1">
        <v>78183</v>
      </c>
      <c r="M1692" s="1">
        <v>0</v>
      </c>
      <c r="P1692" s="1">
        <v>78183</v>
      </c>
      <c r="Q1692" s="1">
        <v>0</v>
      </c>
    </row>
    <row r="1693" spans="2:17" hidden="1" x14ac:dyDescent="0.2">
      <c r="B1693" s="1">
        <v>78184</v>
      </c>
      <c r="C1693" s="1">
        <v>0</v>
      </c>
      <c r="G1693" s="1">
        <v>78184</v>
      </c>
      <c r="H1693" s="1">
        <v>0</v>
      </c>
      <c r="L1693" s="1">
        <v>78184</v>
      </c>
      <c r="M1693" s="1">
        <v>0</v>
      </c>
      <c r="P1693" s="1">
        <v>78184</v>
      </c>
      <c r="Q1693" s="1">
        <v>0</v>
      </c>
    </row>
    <row r="1694" spans="2:17" hidden="1" x14ac:dyDescent="0.2">
      <c r="B1694" s="1">
        <v>78185</v>
      </c>
      <c r="C1694" s="1">
        <v>0</v>
      </c>
      <c r="G1694" s="1">
        <v>78185</v>
      </c>
      <c r="H1694" s="1">
        <v>0</v>
      </c>
      <c r="L1694" s="1">
        <v>78185</v>
      </c>
      <c r="M1694" s="1">
        <v>0</v>
      </c>
      <c r="P1694" s="1">
        <v>78185</v>
      </c>
      <c r="Q1694" s="1">
        <v>0</v>
      </c>
    </row>
    <row r="1695" spans="2:17" hidden="1" x14ac:dyDescent="0.2">
      <c r="B1695" s="1">
        <v>78186</v>
      </c>
      <c r="C1695" s="1">
        <v>0</v>
      </c>
      <c r="G1695" s="1">
        <v>78186</v>
      </c>
      <c r="H1695" s="1">
        <v>0</v>
      </c>
      <c r="L1695" s="1">
        <v>78186</v>
      </c>
      <c r="M1695" s="1">
        <v>0</v>
      </c>
      <c r="P1695" s="1">
        <v>78186</v>
      </c>
      <c r="Q1695" s="1">
        <v>0</v>
      </c>
    </row>
    <row r="1696" spans="2:17" hidden="1" x14ac:dyDescent="0.2">
      <c r="B1696" s="1">
        <v>78187</v>
      </c>
      <c r="C1696" s="1">
        <v>0</v>
      </c>
      <c r="G1696" s="1">
        <v>78187</v>
      </c>
      <c r="H1696" s="1">
        <v>0</v>
      </c>
      <c r="L1696" s="1">
        <v>78187</v>
      </c>
      <c r="M1696" s="1">
        <v>0</v>
      </c>
      <c r="P1696" s="1">
        <v>78187</v>
      </c>
      <c r="Q1696" s="1">
        <v>0</v>
      </c>
    </row>
    <row r="1697" spans="2:17" hidden="1" x14ac:dyDescent="0.2">
      <c r="B1697" s="1">
        <v>78188</v>
      </c>
      <c r="C1697" s="1">
        <v>0</v>
      </c>
      <c r="G1697" s="1">
        <v>78188</v>
      </c>
      <c r="H1697" s="1">
        <v>0</v>
      </c>
      <c r="L1697" s="1">
        <v>78188</v>
      </c>
      <c r="M1697" s="1">
        <v>0</v>
      </c>
      <c r="P1697" s="1">
        <v>78188</v>
      </c>
      <c r="Q1697" s="1">
        <v>0</v>
      </c>
    </row>
    <row r="1698" spans="2:17" hidden="1" x14ac:dyDescent="0.2">
      <c r="B1698" s="1">
        <v>78189</v>
      </c>
      <c r="C1698" s="1">
        <v>0</v>
      </c>
      <c r="G1698" s="1">
        <v>78189</v>
      </c>
      <c r="H1698" s="1">
        <v>0</v>
      </c>
      <c r="L1698" s="1">
        <v>78189</v>
      </c>
      <c r="M1698" s="1">
        <v>0</v>
      </c>
      <c r="P1698" s="1">
        <v>78189</v>
      </c>
      <c r="Q1698" s="1">
        <v>0</v>
      </c>
    </row>
    <row r="1699" spans="2:17" hidden="1" x14ac:dyDescent="0.2">
      <c r="B1699" s="1">
        <v>78190</v>
      </c>
      <c r="C1699" s="1">
        <v>0</v>
      </c>
      <c r="G1699" s="1">
        <v>78190</v>
      </c>
      <c r="H1699" s="1">
        <v>0</v>
      </c>
      <c r="L1699" s="1">
        <v>78190</v>
      </c>
      <c r="M1699" s="1">
        <v>0</v>
      </c>
      <c r="P1699" s="1">
        <v>78190</v>
      </c>
      <c r="Q1699" s="1">
        <v>0</v>
      </c>
    </row>
    <row r="1700" spans="2:17" hidden="1" x14ac:dyDescent="0.2">
      <c r="B1700" s="1">
        <v>78191</v>
      </c>
      <c r="C1700" s="1">
        <v>0</v>
      </c>
      <c r="G1700" s="1">
        <v>78191</v>
      </c>
      <c r="H1700" s="1">
        <v>0</v>
      </c>
      <c r="L1700" s="1">
        <v>78191</v>
      </c>
      <c r="M1700" s="1">
        <v>0</v>
      </c>
      <c r="P1700" s="1">
        <v>78191</v>
      </c>
      <c r="Q1700" s="1">
        <v>0</v>
      </c>
    </row>
    <row r="1701" spans="2:17" hidden="1" x14ac:dyDescent="0.2">
      <c r="B1701" s="1">
        <v>78192</v>
      </c>
      <c r="C1701" s="1">
        <v>0</v>
      </c>
      <c r="G1701" s="1">
        <v>78192</v>
      </c>
      <c r="H1701" s="1">
        <v>0</v>
      </c>
      <c r="L1701" s="1">
        <v>78192</v>
      </c>
      <c r="M1701" s="1">
        <v>0</v>
      </c>
      <c r="P1701" s="1">
        <v>78192</v>
      </c>
      <c r="Q1701" s="1">
        <v>0</v>
      </c>
    </row>
    <row r="1702" spans="2:17" hidden="1" x14ac:dyDescent="0.2">
      <c r="B1702" s="1">
        <v>78193</v>
      </c>
      <c r="C1702" s="1">
        <v>0</v>
      </c>
      <c r="G1702" s="1">
        <v>78193</v>
      </c>
      <c r="H1702" s="1">
        <v>0</v>
      </c>
      <c r="L1702" s="1">
        <v>78193</v>
      </c>
      <c r="M1702" s="1">
        <v>0</v>
      </c>
      <c r="P1702" s="1">
        <v>78193</v>
      </c>
      <c r="Q1702" s="1">
        <v>0</v>
      </c>
    </row>
    <row r="1703" spans="2:17" hidden="1" x14ac:dyDescent="0.2">
      <c r="B1703" s="1">
        <v>78194</v>
      </c>
      <c r="C1703" s="1">
        <v>0</v>
      </c>
      <c r="G1703" s="1">
        <v>78194</v>
      </c>
      <c r="H1703" s="1">
        <v>0</v>
      </c>
      <c r="L1703" s="1">
        <v>78194</v>
      </c>
      <c r="M1703" s="1">
        <v>0</v>
      </c>
      <c r="P1703" s="1">
        <v>78194</v>
      </c>
      <c r="Q1703" s="1">
        <v>0</v>
      </c>
    </row>
    <row r="1704" spans="2:17" hidden="1" x14ac:dyDescent="0.2">
      <c r="B1704" s="1">
        <v>78195</v>
      </c>
      <c r="C1704" s="1">
        <v>0</v>
      </c>
      <c r="G1704" s="1">
        <v>78195</v>
      </c>
      <c r="H1704" s="1">
        <v>0</v>
      </c>
      <c r="L1704" s="1">
        <v>78195</v>
      </c>
      <c r="M1704" s="1">
        <v>0</v>
      </c>
      <c r="P1704" s="1">
        <v>78195</v>
      </c>
      <c r="Q1704" s="1">
        <v>0</v>
      </c>
    </row>
    <row r="1705" spans="2:17" hidden="1" x14ac:dyDescent="0.2">
      <c r="B1705" s="1">
        <v>78196</v>
      </c>
      <c r="C1705" s="1">
        <v>0</v>
      </c>
      <c r="G1705" s="1">
        <v>78196</v>
      </c>
      <c r="H1705" s="1">
        <v>0</v>
      </c>
      <c r="L1705" s="1">
        <v>78196</v>
      </c>
      <c r="M1705" s="1">
        <v>0</v>
      </c>
      <c r="P1705" s="1">
        <v>78196</v>
      </c>
      <c r="Q1705" s="1">
        <v>0</v>
      </c>
    </row>
    <row r="1706" spans="2:17" hidden="1" x14ac:dyDescent="0.2">
      <c r="B1706" s="1">
        <v>78197</v>
      </c>
      <c r="C1706" s="1">
        <v>0</v>
      </c>
      <c r="G1706" s="1">
        <v>78197</v>
      </c>
      <c r="H1706" s="1">
        <v>0</v>
      </c>
      <c r="L1706" s="1">
        <v>78197</v>
      </c>
      <c r="M1706" s="1">
        <v>0</v>
      </c>
      <c r="P1706" s="1">
        <v>78197</v>
      </c>
      <c r="Q1706" s="1">
        <v>0</v>
      </c>
    </row>
    <row r="1707" spans="2:17" hidden="1" x14ac:dyDescent="0.2">
      <c r="B1707" s="1">
        <v>78198</v>
      </c>
      <c r="C1707" s="1">
        <v>0</v>
      </c>
      <c r="G1707" s="1">
        <v>78198</v>
      </c>
      <c r="H1707" s="1">
        <v>0</v>
      </c>
      <c r="L1707" s="1">
        <v>78198</v>
      </c>
      <c r="M1707" s="1">
        <v>0</v>
      </c>
      <c r="P1707" s="1">
        <v>78198</v>
      </c>
      <c r="Q1707" s="1">
        <v>0</v>
      </c>
    </row>
    <row r="1708" spans="2:17" hidden="1" x14ac:dyDescent="0.2">
      <c r="B1708" s="1">
        <v>78199</v>
      </c>
      <c r="C1708" s="1">
        <v>0</v>
      </c>
      <c r="G1708" s="1">
        <v>78199</v>
      </c>
      <c r="H1708" s="1">
        <v>0</v>
      </c>
      <c r="L1708" s="1">
        <v>78199</v>
      </c>
      <c r="M1708" s="1">
        <v>0</v>
      </c>
      <c r="P1708" s="1">
        <v>78199</v>
      </c>
      <c r="Q1708" s="1">
        <v>0</v>
      </c>
    </row>
    <row r="1709" spans="2:17" hidden="1" x14ac:dyDescent="0.2">
      <c r="B1709" s="1">
        <v>78200</v>
      </c>
      <c r="C1709" s="1">
        <v>0</v>
      </c>
      <c r="G1709" s="1">
        <v>78200</v>
      </c>
      <c r="H1709" s="1">
        <v>0</v>
      </c>
      <c r="L1709" s="1">
        <v>78200</v>
      </c>
      <c r="M1709" s="1">
        <v>0</v>
      </c>
      <c r="P1709" s="1">
        <v>78200</v>
      </c>
      <c r="Q1709" s="1">
        <v>0</v>
      </c>
    </row>
    <row r="1710" spans="2:17" hidden="1" x14ac:dyDescent="0.2">
      <c r="B1710" s="1">
        <v>78201</v>
      </c>
      <c r="C1710" s="1">
        <v>0</v>
      </c>
      <c r="G1710" s="1">
        <v>78201</v>
      </c>
      <c r="H1710" s="1">
        <v>0</v>
      </c>
      <c r="L1710" s="1">
        <v>78201</v>
      </c>
      <c r="M1710" s="1">
        <v>0</v>
      </c>
      <c r="P1710" s="1">
        <v>78201</v>
      </c>
      <c r="Q1710" s="1">
        <v>0</v>
      </c>
    </row>
    <row r="1711" spans="2:17" hidden="1" x14ac:dyDescent="0.2">
      <c r="B1711" s="1">
        <v>79175</v>
      </c>
      <c r="C1711" s="1">
        <v>0</v>
      </c>
      <c r="G1711" s="1">
        <v>79175</v>
      </c>
      <c r="H1711" s="1">
        <v>0</v>
      </c>
      <c r="L1711" s="1">
        <v>79175</v>
      </c>
      <c r="M1711" s="1">
        <v>0</v>
      </c>
      <c r="P1711" s="1">
        <v>79175</v>
      </c>
      <c r="Q1711" s="1">
        <v>0</v>
      </c>
    </row>
    <row r="1712" spans="2:17" hidden="1" x14ac:dyDescent="0.2">
      <c r="B1712" s="1">
        <v>79176</v>
      </c>
      <c r="C1712" s="1">
        <v>0</v>
      </c>
      <c r="G1712" s="1">
        <v>79176</v>
      </c>
      <c r="H1712" s="1">
        <v>0</v>
      </c>
      <c r="L1712" s="1">
        <v>79176</v>
      </c>
      <c r="M1712" s="1">
        <v>0</v>
      </c>
      <c r="P1712" s="1">
        <v>79176</v>
      </c>
      <c r="Q1712" s="1">
        <v>0</v>
      </c>
    </row>
    <row r="1713" spans="2:17" hidden="1" x14ac:dyDescent="0.2">
      <c r="B1713" s="1">
        <v>79177</v>
      </c>
      <c r="C1713" s="1">
        <v>0</v>
      </c>
      <c r="G1713" s="1">
        <v>79177</v>
      </c>
      <c r="H1713" s="1">
        <v>0</v>
      </c>
      <c r="L1713" s="1">
        <v>79177</v>
      </c>
      <c r="M1713" s="1">
        <v>0</v>
      </c>
      <c r="P1713" s="1">
        <v>79177</v>
      </c>
      <c r="Q1713" s="1">
        <v>0</v>
      </c>
    </row>
    <row r="1714" spans="2:17" hidden="1" x14ac:dyDescent="0.2">
      <c r="B1714" s="1">
        <v>79178</v>
      </c>
      <c r="C1714" s="1">
        <v>0</v>
      </c>
      <c r="G1714" s="1">
        <v>79178</v>
      </c>
      <c r="H1714" s="1">
        <v>0</v>
      </c>
      <c r="L1714" s="1">
        <v>79178</v>
      </c>
      <c r="M1714" s="1">
        <v>0</v>
      </c>
      <c r="P1714" s="1">
        <v>79178</v>
      </c>
      <c r="Q1714" s="1">
        <v>0</v>
      </c>
    </row>
    <row r="1715" spans="2:17" hidden="1" x14ac:dyDescent="0.2">
      <c r="B1715" s="1">
        <v>79179</v>
      </c>
      <c r="C1715" s="1">
        <v>0</v>
      </c>
      <c r="G1715" s="1">
        <v>79179</v>
      </c>
      <c r="H1715" s="1">
        <v>0</v>
      </c>
      <c r="L1715" s="1">
        <v>79179</v>
      </c>
      <c r="M1715" s="1">
        <v>0</v>
      </c>
      <c r="P1715" s="1">
        <v>79179</v>
      </c>
      <c r="Q1715" s="1">
        <v>0</v>
      </c>
    </row>
    <row r="1716" spans="2:17" hidden="1" x14ac:dyDescent="0.2">
      <c r="B1716" s="1">
        <v>79180</v>
      </c>
      <c r="C1716" s="1">
        <v>0</v>
      </c>
      <c r="G1716" s="1">
        <v>79180</v>
      </c>
      <c r="H1716" s="1">
        <v>0</v>
      </c>
      <c r="L1716" s="1">
        <v>79180</v>
      </c>
      <c r="M1716" s="1">
        <v>0</v>
      </c>
      <c r="P1716" s="1">
        <v>79180</v>
      </c>
      <c r="Q1716" s="1">
        <v>0</v>
      </c>
    </row>
    <row r="1717" spans="2:17" hidden="1" x14ac:dyDescent="0.2">
      <c r="B1717" s="1">
        <v>79181</v>
      </c>
      <c r="C1717" s="1">
        <v>0</v>
      </c>
      <c r="G1717" s="1">
        <v>79181</v>
      </c>
      <c r="H1717" s="1">
        <v>0</v>
      </c>
      <c r="L1717" s="1">
        <v>79181</v>
      </c>
      <c r="M1717" s="1">
        <v>0</v>
      </c>
      <c r="P1717" s="1">
        <v>79181</v>
      </c>
      <c r="Q1717" s="1">
        <v>0</v>
      </c>
    </row>
    <row r="1718" spans="2:17" hidden="1" x14ac:dyDescent="0.2">
      <c r="B1718" s="1">
        <v>79182</v>
      </c>
      <c r="C1718" s="1">
        <v>0</v>
      </c>
      <c r="G1718" s="1">
        <v>79182</v>
      </c>
      <c r="H1718" s="1">
        <v>0</v>
      </c>
      <c r="L1718" s="1">
        <v>79182</v>
      </c>
      <c r="M1718" s="1">
        <v>0</v>
      </c>
      <c r="P1718" s="1">
        <v>79182</v>
      </c>
      <c r="Q1718" s="1">
        <v>0</v>
      </c>
    </row>
    <row r="1719" spans="2:17" hidden="1" x14ac:dyDescent="0.2">
      <c r="B1719" s="1">
        <v>79183</v>
      </c>
      <c r="C1719" s="1">
        <v>0</v>
      </c>
      <c r="G1719" s="1">
        <v>79183</v>
      </c>
      <c r="H1719" s="1">
        <v>0</v>
      </c>
      <c r="L1719" s="1">
        <v>79183</v>
      </c>
      <c r="M1719" s="1">
        <v>0</v>
      </c>
      <c r="P1719" s="1">
        <v>79183</v>
      </c>
      <c r="Q1719" s="1">
        <v>0</v>
      </c>
    </row>
    <row r="1720" spans="2:17" hidden="1" x14ac:dyDescent="0.2">
      <c r="B1720" s="1">
        <v>79184</v>
      </c>
      <c r="C1720" s="1">
        <v>0</v>
      </c>
      <c r="G1720" s="1">
        <v>79184</v>
      </c>
      <c r="H1720" s="1">
        <v>0</v>
      </c>
      <c r="L1720" s="1">
        <v>79184</v>
      </c>
      <c r="M1720" s="1">
        <v>0</v>
      </c>
      <c r="P1720" s="1">
        <v>79184</v>
      </c>
      <c r="Q1720" s="1">
        <v>0</v>
      </c>
    </row>
    <row r="1721" spans="2:17" hidden="1" x14ac:dyDescent="0.2">
      <c r="B1721" s="1">
        <v>79185</v>
      </c>
      <c r="C1721" s="1">
        <v>0</v>
      </c>
      <c r="G1721" s="1">
        <v>79185</v>
      </c>
      <c r="H1721" s="1">
        <v>0</v>
      </c>
      <c r="L1721" s="1">
        <v>79185</v>
      </c>
      <c r="M1721" s="1">
        <v>0</v>
      </c>
      <c r="P1721" s="1">
        <v>79185</v>
      </c>
      <c r="Q1721" s="1">
        <v>0</v>
      </c>
    </row>
    <row r="1722" spans="2:17" hidden="1" x14ac:dyDescent="0.2">
      <c r="B1722" s="1">
        <v>79186</v>
      </c>
      <c r="C1722" s="1">
        <v>0</v>
      </c>
      <c r="G1722" s="1">
        <v>79186</v>
      </c>
      <c r="H1722" s="1">
        <v>0</v>
      </c>
      <c r="L1722" s="1">
        <v>79186</v>
      </c>
      <c r="M1722" s="1">
        <v>0</v>
      </c>
      <c r="P1722" s="1">
        <v>79186</v>
      </c>
      <c r="Q1722" s="1">
        <v>0</v>
      </c>
    </row>
    <row r="1723" spans="2:17" hidden="1" x14ac:dyDescent="0.2">
      <c r="B1723" s="1">
        <v>79187</v>
      </c>
      <c r="C1723" s="1">
        <v>0</v>
      </c>
      <c r="G1723" s="1">
        <v>79187</v>
      </c>
      <c r="H1723" s="1">
        <v>0</v>
      </c>
      <c r="L1723" s="1">
        <v>79187</v>
      </c>
      <c r="M1723" s="1">
        <v>0</v>
      </c>
      <c r="P1723" s="1">
        <v>79187</v>
      </c>
      <c r="Q1723" s="1">
        <v>0</v>
      </c>
    </row>
    <row r="1724" spans="2:17" hidden="1" x14ac:dyDescent="0.2">
      <c r="B1724" s="1">
        <v>79188</v>
      </c>
      <c r="C1724" s="1">
        <v>0</v>
      </c>
      <c r="G1724" s="1">
        <v>79188</v>
      </c>
      <c r="H1724" s="1">
        <v>0</v>
      </c>
      <c r="L1724" s="1">
        <v>79188</v>
      </c>
      <c r="M1724" s="1">
        <v>0</v>
      </c>
      <c r="P1724" s="1">
        <v>79188</v>
      </c>
      <c r="Q1724" s="1">
        <v>0</v>
      </c>
    </row>
    <row r="1725" spans="2:17" hidden="1" x14ac:dyDescent="0.2">
      <c r="B1725" s="1">
        <v>79189</v>
      </c>
      <c r="C1725" s="1">
        <v>0</v>
      </c>
      <c r="G1725" s="1">
        <v>79189</v>
      </c>
      <c r="H1725" s="1">
        <v>0</v>
      </c>
      <c r="L1725" s="1">
        <v>79189</v>
      </c>
      <c r="M1725" s="1">
        <v>0</v>
      </c>
      <c r="P1725" s="1">
        <v>79189</v>
      </c>
      <c r="Q1725" s="1">
        <v>0</v>
      </c>
    </row>
    <row r="1726" spans="2:17" hidden="1" x14ac:dyDescent="0.2">
      <c r="B1726" s="1">
        <v>79190</v>
      </c>
      <c r="C1726" s="1">
        <v>0</v>
      </c>
      <c r="G1726" s="1">
        <v>79190</v>
      </c>
      <c r="H1726" s="1">
        <v>0</v>
      </c>
      <c r="L1726" s="1">
        <v>79190</v>
      </c>
      <c r="M1726" s="1">
        <v>0</v>
      </c>
      <c r="P1726" s="1">
        <v>79190</v>
      </c>
      <c r="Q1726" s="1">
        <v>0</v>
      </c>
    </row>
    <row r="1727" spans="2:17" hidden="1" x14ac:dyDescent="0.2">
      <c r="B1727" s="1">
        <v>79191</v>
      </c>
      <c r="C1727" s="1">
        <v>0</v>
      </c>
      <c r="G1727" s="1">
        <v>79191</v>
      </c>
      <c r="H1727" s="1">
        <v>0</v>
      </c>
      <c r="L1727" s="1">
        <v>79191</v>
      </c>
      <c r="M1727" s="1">
        <v>0</v>
      </c>
      <c r="P1727" s="1">
        <v>79191</v>
      </c>
      <c r="Q1727" s="1">
        <v>0</v>
      </c>
    </row>
    <row r="1728" spans="2:17" hidden="1" x14ac:dyDescent="0.2">
      <c r="B1728" s="1">
        <v>79192</v>
      </c>
      <c r="C1728" s="1">
        <v>0</v>
      </c>
      <c r="G1728" s="1">
        <v>79192</v>
      </c>
      <c r="H1728" s="1">
        <v>0</v>
      </c>
      <c r="L1728" s="1">
        <v>79192</v>
      </c>
      <c r="M1728" s="1">
        <v>0</v>
      </c>
      <c r="P1728" s="1">
        <v>79192</v>
      </c>
      <c r="Q1728" s="1">
        <v>0</v>
      </c>
    </row>
    <row r="1729" spans="2:17" hidden="1" x14ac:dyDescent="0.2">
      <c r="B1729" s="1">
        <v>79193</v>
      </c>
      <c r="C1729" s="1">
        <v>0</v>
      </c>
      <c r="G1729" s="1">
        <v>79193</v>
      </c>
      <c r="H1729" s="1">
        <v>0</v>
      </c>
      <c r="L1729" s="1">
        <v>79193</v>
      </c>
      <c r="M1729" s="1">
        <v>0</v>
      </c>
      <c r="P1729" s="1">
        <v>79193</v>
      </c>
      <c r="Q1729" s="1">
        <v>0</v>
      </c>
    </row>
    <row r="1730" spans="2:17" hidden="1" x14ac:dyDescent="0.2">
      <c r="B1730" s="1">
        <v>79194</v>
      </c>
      <c r="C1730" s="1">
        <v>0</v>
      </c>
      <c r="G1730" s="1">
        <v>79194</v>
      </c>
      <c r="H1730" s="1">
        <v>0</v>
      </c>
      <c r="L1730" s="1">
        <v>79194</v>
      </c>
      <c r="M1730" s="1">
        <v>0</v>
      </c>
      <c r="P1730" s="1">
        <v>79194</v>
      </c>
      <c r="Q1730" s="1">
        <v>0</v>
      </c>
    </row>
    <row r="1731" spans="2:17" hidden="1" x14ac:dyDescent="0.2">
      <c r="B1731" s="1">
        <v>79195</v>
      </c>
      <c r="C1731" s="1">
        <v>0</v>
      </c>
      <c r="G1731" s="1">
        <v>79195</v>
      </c>
      <c r="H1731" s="1">
        <v>0</v>
      </c>
      <c r="L1731" s="1">
        <v>79195</v>
      </c>
      <c r="M1731" s="1">
        <v>0</v>
      </c>
      <c r="P1731" s="1">
        <v>79195</v>
      </c>
      <c r="Q1731" s="1">
        <v>0</v>
      </c>
    </row>
    <row r="1732" spans="2:17" hidden="1" x14ac:dyDescent="0.2">
      <c r="B1732" s="1">
        <v>79196</v>
      </c>
      <c r="C1732" s="1">
        <v>0</v>
      </c>
      <c r="G1732" s="1">
        <v>79196</v>
      </c>
      <c r="H1732" s="1">
        <v>0</v>
      </c>
      <c r="L1732" s="1">
        <v>79196</v>
      </c>
      <c r="M1732" s="1">
        <v>0</v>
      </c>
      <c r="P1732" s="1">
        <v>79196</v>
      </c>
      <c r="Q1732" s="1">
        <v>0</v>
      </c>
    </row>
    <row r="1733" spans="2:17" hidden="1" x14ac:dyDescent="0.2">
      <c r="B1733" s="1">
        <v>79197</v>
      </c>
      <c r="C1733" s="1">
        <v>0</v>
      </c>
      <c r="G1733" s="1">
        <v>79197</v>
      </c>
      <c r="H1733" s="1">
        <v>0</v>
      </c>
      <c r="L1733" s="1">
        <v>79197</v>
      </c>
      <c r="M1733" s="1">
        <v>0</v>
      </c>
      <c r="P1733" s="1">
        <v>79197</v>
      </c>
      <c r="Q1733" s="1">
        <v>0</v>
      </c>
    </row>
    <row r="1734" spans="2:17" hidden="1" x14ac:dyDescent="0.2">
      <c r="B1734" s="1">
        <v>79198</v>
      </c>
      <c r="C1734" s="1">
        <v>0</v>
      </c>
      <c r="G1734" s="1">
        <v>79198</v>
      </c>
      <c r="H1734" s="1">
        <v>0</v>
      </c>
      <c r="L1734" s="1">
        <v>79198</v>
      </c>
      <c r="M1734" s="1">
        <v>0</v>
      </c>
      <c r="P1734" s="1">
        <v>79198</v>
      </c>
      <c r="Q1734" s="1">
        <v>0</v>
      </c>
    </row>
    <row r="1735" spans="2:17" hidden="1" x14ac:dyDescent="0.2">
      <c r="B1735" s="1">
        <v>79199</v>
      </c>
      <c r="C1735" s="1">
        <v>0</v>
      </c>
      <c r="G1735" s="1">
        <v>79199</v>
      </c>
      <c r="H1735" s="1">
        <v>0</v>
      </c>
      <c r="L1735" s="1">
        <v>79199</v>
      </c>
      <c r="M1735" s="1">
        <v>0</v>
      </c>
      <c r="P1735" s="1">
        <v>79199</v>
      </c>
      <c r="Q1735" s="1">
        <v>0</v>
      </c>
    </row>
    <row r="1736" spans="2:17" hidden="1" x14ac:dyDescent="0.2">
      <c r="B1736" s="1">
        <v>79200</v>
      </c>
      <c r="C1736" s="1">
        <v>0</v>
      </c>
      <c r="G1736" s="1">
        <v>79200</v>
      </c>
      <c r="H1736" s="1">
        <v>0</v>
      </c>
      <c r="L1736" s="1">
        <v>79200</v>
      </c>
      <c r="M1736" s="1">
        <v>0</v>
      </c>
      <c r="P1736" s="1">
        <v>79200</v>
      </c>
      <c r="Q1736" s="1">
        <v>0</v>
      </c>
    </row>
    <row r="1737" spans="2:17" hidden="1" x14ac:dyDescent="0.2">
      <c r="B1737" s="1">
        <v>79201</v>
      </c>
      <c r="C1737" s="1">
        <v>0</v>
      </c>
      <c r="G1737" s="1">
        <v>79201</v>
      </c>
      <c r="H1737" s="1">
        <v>0</v>
      </c>
      <c r="L1737" s="1">
        <v>79201</v>
      </c>
      <c r="M1737" s="1">
        <v>0</v>
      </c>
      <c r="P1737" s="1">
        <v>79201</v>
      </c>
      <c r="Q1737" s="1">
        <v>0</v>
      </c>
    </row>
    <row r="1738" spans="2:17" hidden="1" x14ac:dyDescent="0.2">
      <c r="B1738" s="1">
        <v>79202</v>
      </c>
      <c r="C1738" s="1">
        <v>0</v>
      </c>
      <c r="G1738" s="1">
        <v>79202</v>
      </c>
      <c r="H1738" s="1">
        <v>0</v>
      </c>
      <c r="L1738" s="1">
        <v>79202</v>
      </c>
      <c r="M1738" s="1">
        <v>0</v>
      </c>
      <c r="P1738" s="1">
        <v>79202</v>
      </c>
      <c r="Q1738" s="1">
        <v>0</v>
      </c>
    </row>
    <row r="1739" spans="2:17" hidden="1" x14ac:dyDescent="0.2">
      <c r="B1739" s="1">
        <v>79203</v>
      </c>
      <c r="C1739" s="1">
        <v>0</v>
      </c>
      <c r="G1739" s="1">
        <v>79203</v>
      </c>
      <c r="H1739" s="1">
        <v>0</v>
      </c>
      <c r="L1739" s="1">
        <v>79203</v>
      </c>
      <c r="M1739" s="1">
        <v>0</v>
      </c>
      <c r="P1739" s="1">
        <v>79203</v>
      </c>
      <c r="Q1739" s="1">
        <v>0</v>
      </c>
    </row>
    <row r="1740" spans="2:17" hidden="1" x14ac:dyDescent="0.2">
      <c r="B1740" s="1">
        <v>79204</v>
      </c>
      <c r="C1740" s="1">
        <v>0</v>
      </c>
      <c r="G1740" s="1">
        <v>79204</v>
      </c>
      <c r="H1740" s="1">
        <v>0</v>
      </c>
      <c r="L1740" s="1">
        <v>79204</v>
      </c>
      <c r="M1740" s="1">
        <v>0</v>
      </c>
      <c r="P1740" s="1">
        <v>79204</v>
      </c>
      <c r="Q1740" s="1">
        <v>0</v>
      </c>
    </row>
    <row r="1741" spans="2:17" hidden="1" x14ac:dyDescent="0.2">
      <c r="B1741" s="1">
        <v>80177</v>
      </c>
      <c r="C1741" s="1">
        <v>0</v>
      </c>
      <c r="G1741" s="1">
        <v>80177</v>
      </c>
      <c r="H1741" s="1">
        <v>0</v>
      </c>
      <c r="L1741" s="1">
        <v>80177</v>
      </c>
      <c r="M1741" s="1">
        <v>0</v>
      </c>
      <c r="P1741" s="1">
        <v>80177</v>
      </c>
      <c r="Q1741" s="1">
        <v>0</v>
      </c>
    </row>
    <row r="1742" spans="2:17" hidden="1" x14ac:dyDescent="0.2">
      <c r="B1742" s="1">
        <v>80178</v>
      </c>
      <c r="C1742" s="1">
        <v>0</v>
      </c>
      <c r="G1742" s="1">
        <v>80178</v>
      </c>
      <c r="H1742" s="1">
        <v>0</v>
      </c>
      <c r="L1742" s="1">
        <v>80178</v>
      </c>
      <c r="M1742" s="1">
        <v>0</v>
      </c>
      <c r="P1742" s="1">
        <v>80178</v>
      </c>
      <c r="Q1742" s="1">
        <v>0</v>
      </c>
    </row>
    <row r="1743" spans="2:17" hidden="1" x14ac:dyDescent="0.2">
      <c r="B1743" s="1">
        <v>80179</v>
      </c>
      <c r="C1743" s="1">
        <v>0</v>
      </c>
      <c r="G1743" s="1">
        <v>80179</v>
      </c>
      <c r="H1743" s="1">
        <v>0</v>
      </c>
      <c r="L1743" s="1">
        <v>80179</v>
      </c>
      <c r="M1743" s="1">
        <v>0</v>
      </c>
      <c r="P1743" s="1">
        <v>80179</v>
      </c>
      <c r="Q1743" s="1">
        <v>0</v>
      </c>
    </row>
    <row r="1744" spans="2:17" hidden="1" x14ac:dyDescent="0.2">
      <c r="B1744" s="1">
        <v>80180</v>
      </c>
      <c r="C1744" s="1">
        <v>0</v>
      </c>
      <c r="G1744" s="1">
        <v>80180</v>
      </c>
      <c r="H1744" s="1">
        <v>0</v>
      </c>
      <c r="L1744" s="1">
        <v>80180</v>
      </c>
      <c r="M1744" s="1">
        <v>0</v>
      </c>
      <c r="P1744" s="1">
        <v>80180</v>
      </c>
      <c r="Q1744" s="1">
        <v>0</v>
      </c>
    </row>
    <row r="1745" spans="2:17" hidden="1" x14ac:dyDescent="0.2">
      <c r="B1745" s="1">
        <v>80181</v>
      </c>
      <c r="C1745" s="1">
        <v>0</v>
      </c>
      <c r="G1745" s="1">
        <v>80181</v>
      </c>
      <c r="H1745" s="1">
        <v>0</v>
      </c>
      <c r="L1745" s="1">
        <v>80181</v>
      </c>
      <c r="M1745" s="1">
        <v>0</v>
      </c>
      <c r="P1745" s="1">
        <v>80181</v>
      </c>
      <c r="Q1745" s="1">
        <v>0</v>
      </c>
    </row>
    <row r="1746" spans="2:17" hidden="1" x14ac:dyDescent="0.2">
      <c r="B1746" s="1">
        <v>80182</v>
      </c>
      <c r="C1746" s="1">
        <v>0</v>
      </c>
      <c r="G1746" s="1">
        <v>80182</v>
      </c>
      <c r="H1746" s="1">
        <v>0</v>
      </c>
      <c r="L1746" s="1">
        <v>80182</v>
      </c>
      <c r="M1746" s="1">
        <v>0</v>
      </c>
      <c r="P1746" s="1">
        <v>80182</v>
      </c>
      <c r="Q1746" s="1">
        <v>0</v>
      </c>
    </row>
    <row r="1747" spans="2:17" hidden="1" x14ac:dyDescent="0.2">
      <c r="B1747" s="1">
        <v>80183</v>
      </c>
      <c r="C1747" s="1">
        <v>0</v>
      </c>
      <c r="G1747" s="1">
        <v>80183</v>
      </c>
      <c r="H1747" s="1">
        <v>0</v>
      </c>
      <c r="L1747" s="1">
        <v>80183</v>
      </c>
      <c r="M1747" s="1">
        <v>0</v>
      </c>
      <c r="P1747" s="1">
        <v>80183</v>
      </c>
      <c r="Q1747" s="1">
        <v>0</v>
      </c>
    </row>
    <row r="1748" spans="2:17" hidden="1" x14ac:dyDescent="0.2">
      <c r="B1748" s="1">
        <v>80184</v>
      </c>
      <c r="C1748" s="1">
        <v>0</v>
      </c>
      <c r="G1748" s="1">
        <v>80184</v>
      </c>
      <c r="H1748" s="1">
        <v>0</v>
      </c>
      <c r="L1748" s="1">
        <v>80184</v>
      </c>
      <c r="M1748" s="1">
        <v>0</v>
      </c>
      <c r="P1748" s="1">
        <v>80184</v>
      </c>
      <c r="Q1748" s="1">
        <v>0</v>
      </c>
    </row>
    <row r="1749" spans="2:17" hidden="1" x14ac:dyDescent="0.2">
      <c r="B1749" s="1">
        <v>80185</v>
      </c>
      <c r="C1749" s="1">
        <v>0</v>
      </c>
      <c r="G1749" s="1">
        <v>80185</v>
      </c>
      <c r="H1749" s="1">
        <v>0</v>
      </c>
      <c r="L1749" s="1">
        <v>80185</v>
      </c>
      <c r="M1749" s="1">
        <v>0</v>
      </c>
      <c r="P1749" s="1">
        <v>80185</v>
      </c>
      <c r="Q1749" s="1">
        <v>0</v>
      </c>
    </row>
    <row r="1750" spans="2:17" hidden="1" x14ac:dyDescent="0.2">
      <c r="B1750" s="1">
        <v>80186</v>
      </c>
      <c r="C1750" s="1">
        <v>0</v>
      </c>
      <c r="G1750" s="1">
        <v>80186</v>
      </c>
      <c r="H1750" s="1">
        <v>0</v>
      </c>
      <c r="L1750" s="1">
        <v>80186</v>
      </c>
      <c r="M1750" s="1">
        <v>0</v>
      </c>
      <c r="P1750" s="1">
        <v>80186</v>
      </c>
      <c r="Q1750" s="1">
        <v>0</v>
      </c>
    </row>
    <row r="1751" spans="2:17" hidden="1" x14ac:dyDescent="0.2">
      <c r="B1751" s="1">
        <v>80187</v>
      </c>
      <c r="C1751" s="1">
        <v>0</v>
      </c>
      <c r="G1751" s="1">
        <v>80187</v>
      </c>
      <c r="H1751" s="1">
        <v>0</v>
      </c>
      <c r="L1751" s="1">
        <v>80187</v>
      </c>
      <c r="M1751" s="1">
        <v>0</v>
      </c>
      <c r="P1751" s="1">
        <v>80187</v>
      </c>
      <c r="Q1751" s="1">
        <v>0</v>
      </c>
    </row>
    <row r="1752" spans="2:17" hidden="1" x14ac:dyDescent="0.2">
      <c r="B1752" s="1">
        <v>80188</v>
      </c>
      <c r="C1752" s="1">
        <v>0</v>
      </c>
      <c r="G1752" s="1">
        <v>80188</v>
      </c>
      <c r="H1752" s="1">
        <v>0</v>
      </c>
      <c r="L1752" s="1">
        <v>80188</v>
      </c>
      <c r="M1752" s="1">
        <v>0</v>
      </c>
      <c r="P1752" s="1">
        <v>80188</v>
      </c>
      <c r="Q1752" s="1">
        <v>0</v>
      </c>
    </row>
    <row r="1753" spans="2:17" hidden="1" x14ac:dyDescent="0.2">
      <c r="B1753" s="1">
        <v>80189</v>
      </c>
      <c r="C1753" s="1">
        <v>0</v>
      </c>
      <c r="G1753" s="1">
        <v>80189</v>
      </c>
      <c r="H1753" s="1">
        <v>0</v>
      </c>
      <c r="L1753" s="1">
        <v>80189</v>
      </c>
      <c r="M1753" s="1">
        <v>0</v>
      </c>
      <c r="P1753" s="1">
        <v>80189</v>
      </c>
      <c r="Q1753" s="1">
        <v>0</v>
      </c>
    </row>
    <row r="1754" spans="2:17" hidden="1" x14ac:dyDescent="0.2">
      <c r="B1754" s="1">
        <v>80190</v>
      </c>
      <c r="C1754" s="1">
        <v>0</v>
      </c>
      <c r="G1754" s="1">
        <v>80190</v>
      </c>
      <c r="H1754" s="1">
        <v>0</v>
      </c>
      <c r="L1754" s="1">
        <v>80190</v>
      </c>
      <c r="M1754" s="1">
        <v>0</v>
      </c>
      <c r="P1754" s="1">
        <v>80190</v>
      </c>
      <c r="Q1754" s="1">
        <v>0</v>
      </c>
    </row>
    <row r="1755" spans="2:17" hidden="1" x14ac:dyDescent="0.2">
      <c r="B1755" s="1">
        <v>80191</v>
      </c>
      <c r="C1755" s="1">
        <v>0</v>
      </c>
      <c r="G1755" s="1">
        <v>80191</v>
      </c>
      <c r="H1755" s="1">
        <v>0</v>
      </c>
      <c r="L1755" s="1">
        <v>80191</v>
      </c>
      <c r="M1755" s="1">
        <v>0</v>
      </c>
      <c r="P1755" s="1">
        <v>80191</v>
      </c>
      <c r="Q1755" s="1">
        <v>0</v>
      </c>
    </row>
    <row r="1756" spans="2:17" hidden="1" x14ac:dyDescent="0.2">
      <c r="B1756" s="1">
        <v>80192</v>
      </c>
      <c r="C1756" s="1">
        <v>0</v>
      </c>
      <c r="G1756" s="1">
        <v>80192</v>
      </c>
      <c r="H1756" s="1">
        <v>0</v>
      </c>
      <c r="L1756" s="1">
        <v>80192</v>
      </c>
      <c r="M1756" s="1">
        <v>0</v>
      </c>
      <c r="P1756" s="1">
        <v>80192</v>
      </c>
      <c r="Q1756" s="1">
        <v>0</v>
      </c>
    </row>
    <row r="1757" spans="2:17" hidden="1" x14ac:dyDescent="0.2">
      <c r="B1757" s="1">
        <v>80193</v>
      </c>
      <c r="C1757" s="1">
        <v>0</v>
      </c>
      <c r="G1757" s="1">
        <v>80193</v>
      </c>
      <c r="H1757" s="1">
        <v>0</v>
      </c>
      <c r="L1757" s="1">
        <v>80193</v>
      </c>
      <c r="M1757" s="1">
        <v>0</v>
      </c>
      <c r="P1757" s="1">
        <v>80193</v>
      </c>
      <c r="Q1757" s="1">
        <v>0</v>
      </c>
    </row>
    <row r="1758" spans="2:17" hidden="1" x14ac:dyDescent="0.2">
      <c r="B1758" s="1">
        <v>80194</v>
      </c>
      <c r="C1758" s="1">
        <v>0</v>
      </c>
      <c r="G1758" s="1">
        <v>80194</v>
      </c>
      <c r="H1758" s="1">
        <v>0</v>
      </c>
      <c r="L1758" s="1">
        <v>80194</v>
      </c>
      <c r="M1758" s="1">
        <v>0</v>
      </c>
      <c r="P1758" s="1">
        <v>80194</v>
      </c>
      <c r="Q1758" s="1">
        <v>0</v>
      </c>
    </row>
    <row r="1759" spans="2:17" hidden="1" x14ac:dyDescent="0.2">
      <c r="B1759" s="1">
        <v>80195</v>
      </c>
      <c r="C1759" s="1">
        <v>0</v>
      </c>
      <c r="G1759" s="1">
        <v>80195</v>
      </c>
      <c r="H1759" s="1">
        <v>0</v>
      </c>
      <c r="L1759" s="1">
        <v>80195</v>
      </c>
      <c r="M1759" s="1">
        <v>0</v>
      </c>
      <c r="P1759" s="1">
        <v>80195</v>
      </c>
      <c r="Q1759" s="1">
        <v>0</v>
      </c>
    </row>
    <row r="1760" spans="2:17" hidden="1" x14ac:dyDescent="0.2">
      <c r="B1760" s="1">
        <v>80196</v>
      </c>
      <c r="C1760" s="1">
        <v>0</v>
      </c>
      <c r="G1760" s="1">
        <v>80196</v>
      </c>
      <c r="H1760" s="1">
        <v>0</v>
      </c>
      <c r="L1760" s="1">
        <v>80196</v>
      </c>
      <c r="M1760" s="1">
        <v>0</v>
      </c>
      <c r="P1760" s="1">
        <v>80196</v>
      </c>
      <c r="Q1760" s="1">
        <v>0</v>
      </c>
    </row>
    <row r="1761" spans="2:17" hidden="1" x14ac:dyDescent="0.2">
      <c r="B1761" s="1">
        <v>80197</v>
      </c>
      <c r="C1761" s="1">
        <v>0</v>
      </c>
      <c r="G1761" s="1">
        <v>80197</v>
      </c>
      <c r="H1761" s="1">
        <v>0</v>
      </c>
      <c r="L1761" s="1">
        <v>80197</v>
      </c>
      <c r="M1761" s="1">
        <v>0</v>
      </c>
      <c r="P1761" s="1">
        <v>80197</v>
      </c>
      <c r="Q1761" s="1">
        <v>0</v>
      </c>
    </row>
    <row r="1762" spans="2:17" hidden="1" x14ac:dyDescent="0.2">
      <c r="B1762" s="1">
        <v>80198</v>
      </c>
      <c r="C1762" s="1">
        <v>0</v>
      </c>
      <c r="G1762" s="1">
        <v>80198</v>
      </c>
      <c r="H1762" s="1">
        <v>0</v>
      </c>
      <c r="L1762" s="1">
        <v>80198</v>
      </c>
      <c r="M1762" s="1">
        <v>0</v>
      </c>
      <c r="P1762" s="1">
        <v>80198</v>
      </c>
      <c r="Q1762" s="1">
        <v>0</v>
      </c>
    </row>
    <row r="1763" spans="2:17" hidden="1" x14ac:dyDescent="0.2">
      <c r="B1763" s="1">
        <v>80199</v>
      </c>
      <c r="C1763" s="1">
        <v>0</v>
      </c>
      <c r="G1763" s="1">
        <v>80199</v>
      </c>
      <c r="H1763" s="1">
        <v>0</v>
      </c>
      <c r="L1763" s="1">
        <v>80199</v>
      </c>
      <c r="M1763" s="1">
        <v>0</v>
      </c>
      <c r="P1763" s="1">
        <v>80199</v>
      </c>
      <c r="Q1763" s="1">
        <v>0</v>
      </c>
    </row>
    <row r="1764" spans="2:17" hidden="1" x14ac:dyDescent="0.2">
      <c r="B1764" s="1">
        <v>80200</v>
      </c>
      <c r="C1764" s="1">
        <v>0</v>
      </c>
      <c r="G1764" s="1">
        <v>80200</v>
      </c>
      <c r="H1764" s="1">
        <v>0</v>
      </c>
      <c r="L1764" s="1">
        <v>80200</v>
      </c>
      <c r="M1764" s="1">
        <v>0</v>
      </c>
      <c r="P1764" s="1">
        <v>80200</v>
      </c>
      <c r="Q1764" s="1">
        <v>0</v>
      </c>
    </row>
    <row r="1765" spans="2:17" hidden="1" x14ac:dyDescent="0.2">
      <c r="B1765" s="1">
        <v>80201</v>
      </c>
      <c r="C1765" s="1">
        <v>0</v>
      </c>
      <c r="G1765" s="1">
        <v>80201</v>
      </c>
      <c r="H1765" s="1">
        <v>0</v>
      </c>
      <c r="L1765" s="1">
        <v>80201</v>
      </c>
      <c r="M1765" s="1">
        <v>0</v>
      </c>
      <c r="P1765" s="1">
        <v>80201</v>
      </c>
      <c r="Q1765" s="1">
        <v>0</v>
      </c>
    </row>
    <row r="1766" spans="2:17" hidden="1" x14ac:dyDescent="0.2">
      <c r="B1766" s="1">
        <v>80202</v>
      </c>
      <c r="C1766" s="1">
        <v>0</v>
      </c>
      <c r="G1766" s="1">
        <v>80202</v>
      </c>
      <c r="H1766" s="1">
        <v>0</v>
      </c>
      <c r="L1766" s="1">
        <v>80202</v>
      </c>
      <c r="M1766" s="1">
        <v>0</v>
      </c>
      <c r="P1766" s="1">
        <v>80202</v>
      </c>
      <c r="Q1766" s="1">
        <v>0</v>
      </c>
    </row>
    <row r="1767" spans="2:17" hidden="1" x14ac:dyDescent="0.2">
      <c r="B1767" s="1">
        <v>80203</v>
      </c>
      <c r="C1767" s="1">
        <v>0</v>
      </c>
      <c r="G1767" s="1">
        <v>80203</v>
      </c>
      <c r="H1767" s="1">
        <v>0</v>
      </c>
      <c r="L1767" s="1">
        <v>80203</v>
      </c>
      <c r="M1767" s="1">
        <v>0</v>
      </c>
      <c r="P1767" s="1">
        <v>80203</v>
      </c>
      <c r="Q1767" s="1">
        <v>0</v>
      </c>
    </row>
    <row r="1768" spans="2:17" hidden="1" x14ac:dyDescent="0.2">
      <c r="B1768" s="1">
        <v>80204</v>
      </c>
      <c r="C1768" s="1">
        <v>0</v>
      </c>
      <c r="G1768" s="1">
        <v>80204</v>
      </c>
      <c r="H1768" s="1">
        <v>0</v>
      </c>
      <c r="L1768" s="1">
        <v>80204</v>
      </c>
      <c r="M1768" s="1">
        <v>0</v>
      </c>
      <c r="P1768" s="1">
        <v>80204</v>
      </c>
      <c r="Q1768" s="1">
        <v>0</v>
      </c>
    </row>
    <row r="1769" spans="2:17" hidden="1" x14ac:dyDescent="0.2">
      <c r="B1769" s="1">
        <v>80205</v>
      </c>
      <c r="C1769" s="1">
        <v>0</v>
      </c>
      <c r="G1769" s="1">
        <v>80205</v>
      </c>
      <c r="H1769" s="1">
        <v>0</v>
      </c>
      <c r="L1769" s="1">
        <v>80205</v>
      </c>
      <c r="M1769" s="1">
        <v>0</v>
      </c>
      <c r="P1769" s="1">
        <v>80205</v>
      </c>
      <c r="Q1769" s="1">
        <v>0</v>
      </c>
    </row>
    <row r="1770" spans="2:17" hidden="1" x14ac:dyDescent="0.2">
      <c r="B1770" s="1">
        <v>80206</v>
      </c>
      <c r="C1770" s="1">
        <v>0</v>
      </c>
      <c r="G1770" s="1">
        <v>80206</v>
      </c>
      <c r="H1770" s="1">
        <v>0</v>
      </c>
      <c r="L1770" s="1">
        <v>80206</v>
      </c>
      <c r="M1770" s="1">
        <v>0</v>
      </c>
      <c r="P1770" s="1">
        <v>80206</v>
      </c>
      <c r="Q1770" s="1">
        <v>0</v>
      </c>
    </row>
    <row r="1771" spans="2:17" hidden="1" x14ac:dyDescent="0.2">
      <c r="B1771" s="1">
        <v>81184</v>
      </c>
      <c r="C1771" s="1">
        <v>0</v>
      </c>
      <c r="G1771" s="1">
        <v>81184</v>
      </c>
      <c r="H1771" s="1">
        <v>0</v>
      </c>
      <c r="L1771" s="1">
        <v>81184</v>
      </c>
      <c r="M1771" s="1">
        <v>0</v>
      </c>
      <c r="P1771" s="1">
        <v>81184</v>
      </c>
      <c r="Q1771" s="1">
        <v>0</v>
      </c>
    </row>
    <row r="1772" spans="2:17" hidden="1" x14ac:dyDescent="0.2">
      <c r="B1772" s="1">
        <v>81185</v>
      </c>
      <c r="C1772" s="1">
        <v>0</v>
      </c>
      <c r="G1772" s="1">
        <v>81185</v>
      </c>
      <c r="H1772" s="1">
        <v>0</v>
      </c>
      <c r="L1772" s="1">
        <v>81185</v>
      </c>
      <c r="M1772" s="1">
        <v>0</v>
      </c>
      <c r="P1772" s="1">
        <v>81185</v>
      </c>
      <c r="Q1772" s="1">
        <v>0</v>
      </c>
    </row>
    <row r="1773" spans="2:17" hidden="1" x14ac:dyDescent="0.2">
      <c r="B1773" s="1">
        <v>81186</v>
      </c>
      <c r="C1773" s="1">
        <v>0</v>
      </c>
      <c r="G1773" s="1">
        <v>81186</v>
      </c>
      <c r="H1773" s="1">
        <v>0</v>
      </c>
      <c r="L1773" s="1">
        <v>81186</v>
      </c>
      <c r="M1773" s="1">
        <v>0</v>
      </c>
      <c r="P1773" s="1">
        <v>81186</v>
      </c>
      <c r="Q1773" s="1">
        <v>0</v>
      </c>
    </row>
    <row r="1774" spans="2:17" hidden="1" x14ac:dyDescent="0.2">
      <c r="B1774" s="1">
        <v>81187</v>
      </c>
      <c r="C1774" s="1">
        <v>0</v>
      </c>
      <c r="G1774" s="1">
        <v>81187</v>
      </c>
      <c r="H1774" s="1">
        <v>0</v>
      </c>
      <c r="L1774" s="1">
        <v>81187</v>
      </c>
      <c r="M1774" s="1">
        <v>0</v>
      </c>
      <c r="P1774" s="1">
        <v>81187</v>
      </c>
      <c r="Q1774" s="1">
        <v>0</v>
      </c>
    </row>
    <row r="1775" spans="2:17" hidden="1" x14ac:dyDescent="0.2">
      <c r="B1775" s="1">
        <v>81188</v>
      </c>
      <c r="C1775" s="1">
        <v>0</v>
      </c>
      <c r="G1775" s="1">
        <v>81188</v>
      </c>
      <c r="H1775" s="1">
        <v>0</v>
      </c>
      <c r="L1775" s="1">
        <v>81188</v>
      </c>
      <c r="M1775" s="1">
        <v>0</v>
      </c>
      <c r="P1775" s="1">
        <v>81188</v>
      </c>
      <c r="Q1775" s="1">
        <v>0</v>
      </c>
    </row>
    <row r="1776" spans="2:17" hidden="1" x14ac:dyDescent="0.2">
      <c r="B1776" s="1">
        <v>81189</v>
      </c>
      <c r="C1776" s="1">
        <v>0</v>
      </c>
      <c r="G1776" s="1">
        <v>81189</v>
      </c>
      <c r="H1776" s="1">
        <v>0</v>
      </c>
      <c r="L1776" s="1">
        <v>81189</v>
      </c>
      <c r="M1776" s="1">
        <v>0</v>
      </c>
      <c r="P1776" s="1">
        <v>81189</v>
      </c>
      <c r="Q1776" s="1">
        <v>0</v>
      </c>
    </row>
    <row r="1777" spans="2:17" hidden="1" x14ac:dyDescent="0.2">
      <c r="B1777" s="1">
        <v>81190</v>
      </c>
      <c r="C1777" s="1">
        <v>0</v>
      </c>
      <c r="G1777" s="1">
        <v>81190</v>
      </c>
      <c r="H1777" s="1">
        <v>0</v>
      </c>
      <c r="L1777" s="1">
        <v>81190</v>
      </c>
      <c r="M1777" s="1">
        <v>0</v>
      </c>
      <c r="P1777" s="1">
        <v>81190</v>
      </c>
      <c r="Q1777" s="1">
        <v>0</v>
      </c>
    </row>
    <row r="1778" spans="2:17" hidden="1" x14ac:dyDescent="0.2">
      <c r="B1778" s="1">
        <v>81191</v>
      </c>
      <c r="C1778" s="1">
        <v>0</v>
      </c>
      <c r="G1778" s="1">
        <v>81191</v>
      </c>
      <c r="H1778" s="1">
        <v>0</v>
      </c>
      <c r="L1778" s="1">
        <v>81191</v>
      </c>
      <c r="M1778" s="1">
        <v>0</v>
      </c>
      <c r="P1778" s="1">
        <v>81191</v>
      </c>
      <c r="Q1778" s="1">
        <v>0</v>
      </c>
    </row>
    <row r="1779" spans="2:17" hidden="1" x14ac:dyDescent="0.2">
      <c r="B1779" s="1">
        <v>81192</v>
      </c>
      <c r="C1779" s="1">
        <v>0</v>
      </c>
      <c r="G1779" s="1">
        <v>81192</v>
      </c>
      <c r="H1779" s="1">
        <v>0</v>
      </c>
      <c r="L1779" s="1">
        <v>81192</v>
      </c>
      <c r="M1779" s="1">
        <v>0</v>
      </c>
      <c r="P1779" s="1">
        <v>81192</v>
      </c>
      <c r="Q1779" s="1">
        <v>0</v>
      </c>
    </row>
    <row r="1780" spans="2:17" hidden="1" x14ac:dyDescent="0.2">
      <c r="B1780" s="1">
        <v>81193</v>
      </c>
      <c r="C1780" s="1">
        <v>0</v>
      </c>
      <c r="G1780" s="1">
        <v>81193</v>
      </c>
      <c r="H1780" s="1">
        <v>0</v>
      </c>
      <c r="L1780" s="1">
        <v>81193</v>
      </c>
      <c r="M1780" s="1">
        <v>0</v>
      </c>
      <c r="P1780" s="1">
        <v>81193</v>
      </c>
      <c r="Q1780" s="1">
        <v>0</v>
      </c>
    </row>
    <row r="1781" spans="2:17" hidden="1" x14ac:dyDescent="0.2">
      <c r="B1781" s="1">
        <v>81194</v>
      </c>
      <c r="C1781" s="1">
        <v>0</v>
      </c>
      <c r="G1781" s="1">
        <v>81194</v>
      </c>
      <c r="H1781" s="1">
        <v>0</v>
      </c>
      <c r="L1781" s="1">
        <v>81194</v>
      </c>
      <c r="M1781" s="1">
        <v>0</v>
      </c>
      <c r="P1781" s="1">
        <v>81194</v>
      </c>
      <c r="Q1781" s="1">
        <v>0</v>
      </c>
    </row>
    <row r="1782" spans="2:17" hidden="1" x14ac:dyDescent="0.2">
      <c r="B1782" s="1">
        <v>81195</v>
      </c>
      <c r="C1782" s="1">
        <v>0</v>
      </c>
      <c r="G1782" s="1">
        <v>81195</v>
      </c>
      <c r="H1782" s="1">
        <v>0</v>
      </c>
      <c r="L1782" s="1">
        <v>81195</v>
      </c>
      <c r="M1782" s="1">
        <v>0</v>
      </c>
      <c r="P1782" s="1">
        <v>81195</v>
      </c>
      <c r="Q1782" s="1">
        <v>0</v>
      </c>
    </row>
    <row r="1783" spans="2:17" hidden="1" x14ac:dyDescent="0.2">
      <c r="B1783" s="1">
        <v>81196</v>
      </c>
      <c r="C1783" s="1">
        <v>0</v>
      </c>
      <c r="G1783" s="1">
        <v>81196</v>
      </c>
      <c r="H1783" s="1">
        <v>0</v>
      </c>
      <c r="L1783" s="1">
        <v>81196</v>
      </c>
      <c r="M1783" s="1">
        <v>0</v>
      </c>
      <c r="P1783" s="1">
        <v>81196</v>
      </c>
      <c r="Q1783" s="1">
        <v>0</v>
      </c>
    </row>
    <row r="1784" spans="2:17" hidden="1" x14ac:dyDescent="0.2">
      <c r="B1784" s="1">
        <v>81197</v>
      </c>
      <c r="C1784" s="1">
        <v>0</v>
      </c>
      <c r="G1784" s="1">
        <v>81197</v>
      </c>
      <c r="H1784" s="1">
        <v>0</v>
      </c>
      <c r="L1784" s="1">
        <v>81197</v>
      </c>
      <c r="M1784" s="1">
        <v>0</v>
      </c>
      <c r="P1784" s="1">
        <v>81197</v>
      </c>
      <c r="Q1784" s="1">
        <v>0</v>
      </c>
    </row>
    <row r="1785" spans="2:17" hidden="1" x14ac:dyDescent="0.2">
      <c r="B1785" s="1">
        <v>81198</v>
      </c>
      <c r="C1785" s="1">
        <v>0</v>
      </c>
      <c r="G1785" s="1">
        <v>81198</v>
      </c>
      <c r="H1785" s="1">
        <v>0</v>
      </c>
      <c r="L1785" s="1">
        <v>81198</v>
      </c>
      <c r="M1785" s="1">
        <v>0</v>
      </c>
      <c r="P1785" s="1">
        <v>81198</v>
      </c>
      <c r="Q1785" s="1">
        <v>0</v>
      </c>
    </row>
    <row r="1786" spans="2:17" hidden="1" x14ac:dyDescent="0.2">
      <c r="B1786" s="1">
        <v>81199</v>
      </c>
      <c r="C1786" s="1">
        <v>0</v>
      </c>
      <c r="G1786" s="1">
        <v>81199</v>
      </c>
      <c r="H1786" s="1">
        <v>0</v>
      </c>
      <c r="L1786" s="1">
        <v>81199</v>
      </c>
      <c r="M1786" s="1">
        <v>0</v>
      </c>
      <c r="P1786" s="1">
        <v>81199</v>
      </c>
      <c r="Q1786" s="1">
        <v>0</v>
      </c>
    </row>
    <row r="1787" spans="2:17" hidden="1" x14ac:dyDescent="0.2">
      <c r="B1787" s="1">
        <v>81200</v>
      </c>
      <c r="C1787" s="1">
        <v>0</v>
      </c>
      <c r="G1787" s="1">
        <v>81200</v>
      </c>
      <c r="H1787" s="1">
        <v>0</v>
      </c>
      <c r="L1787" s="1">
        <v>81200</v>
      </c>
      <c r="M1787" s="1">
        <v>0</v>
      </c>
      <c r="P1787" s="1">
        <v>81200</v>
      </c>
      <c r="Q1787" s="1">
        <v>0</v>
      </c>
    </row>
    <row r="1788" spans="2:17" hidden="1" x14ac:dyDescent="0.2">
      <c r="B1788" s="1">
        <v>81201</v>
      </c>
      <c r="C1788" s="1">
        <v>0</v>
      </c>
      <c r="G1788" s="1">
        <v>81201</v>
      </c>
      <c r="H1788" s="1">
        <v>0</v>
      </c>
      <c r="L1788" s="1">
        <v>81201</v>
      </c>
      <c r="M1788" s="1">
        <v>0</v>
      </c>
      <c r="P1788" s="1">
        <v>81201</v>
      </c>
      <c r="Q1788" s="1">
        <v>0</v>
      </c>
    </row>
    <row r="1789" spans="2:17" hidden="1" x14ac:dyDescent="0.2">
      <c r="B1789" s="1">
        <v>81202</v>
      </c>
      <c r="C1789" s="1">
        <v>0</v>
      </c>
      <c r="G1789" s="1">
        <v>81202</v>
      </c>
      <c r="H1789" s="1">
        <v>0</v>
      </c>
      <c r="L1789" s="1">
        <v>81202</v>
      </c>
      <c r="M1789" s="1">
        <v>0</v>
      </c>
      <c r="P1789" s="1">
        <v>81202</v>
      </c>
      <c r="Q1789" s="1">
        <v>0</v>
      </c>
    </row>
    <row r="1790" spans="2:17" hidden="1" x14ac:dyDescent="0.2">
      <c r="B1790" s="1">
        <v>81203</v>
      </c>
      <c r="C1790" s="1">
        <v>0</v>
      </c>
      <c r="G1790" s="1">
        <v>81203</v>
      </c>
      <c r="H1790" s="1">
        <v>0</v>
      </c>
      <c r="L1790" s="1">
        <v>81203</v>
      </c>
      <c r="M1790" s="1">
        <v>0</v>
      </c>
      <c r="P1790" s="1">
        <v>81203</v>
      </c>
      <c r="Q1790" s="1">
        <v>0</v>
      </c>
    </row>
    <row r="1791" spans="2:17" hidden="1" x14ac:dyDescent="0.2">
      <c r="B1791" s="1">
        <v>81204</v>
      </c>
      <c r="C1791" s="1">
        <v>0</v>
      </c>
      <c r="G1791" s="1">
        <v>81204</v>
      </c>
      <c r="H1791" s="1">
        <v>0</v>
      </c>
      <c r="L1791" s="1">
        <v>81204</v>
      </c>
      <c r="M1791" s="1">
        <v>0</v>
      </c>
      <c r="P1791" s="1">
        <v>81204</v>
      </c>
      <c r="Q1791" s="1">
        <v>0</v>
      </c>
    </row>
    <row r="1792" spans="2:17" hidden="1" x14ac:dyDescent="0.2">
      <c r="B1792" s="1">
        <v>81205</v>
      </c>
      <c r="C1792" s="1">
        <v>0</v>
      </c>
      <c r="G1792" s="1">
        <v>81205</v>
      </c>
      <c r="H1792" s="1">
        <v>0</v>
      </c>
      <c r="L1792" s="1">
        <v>81205</v>
      </c>
      <c r="M1792" s="1">
        <v>0</v>
      </c>
      <c r="P1792" s="1">
        <v>81205</v>
      </c>
      <c r="Q1792" s="1">
        <v>0</v>
      </c>
    </row>
    <row r="1793" spans="2:17" hidden="1" x14ac:dyDescent="0.2">
      <c r="B1793" s="1">
        <v>81206</v>
      </c>
      <c r="C1793" s="1">
        <v>0</v>
      </c>
      <c r="G1793" s="1">
        <v>81206</v>
      </c>
      <c r="H1793" s="1">
        <v>0</v>
      </c>
      <c r="L1793" s="1">
        <v>81206</v>
      </c>
      <c r="M1793" s="1">
        <v>0</v>
      </c>
      <c r="P1793" s="1">
        <v>81206</v>
      </c>
      <c r="Q1793" s="1">
        <v>0</v>
      </c>
    </row>
    <row r="1794" spans="2:17" hidden="1" x14ac:dyDescent="0.2">
      <c r="B1794" s="1">
        <v>81207</v>
      </c>
      <c r="C1794" s="1">
        <v>0</v>
      </c>
      <c r="G1794" s="1">
        <v>81207</v>
      </c>
      <c r="H1794" s="1">
        <v>0</v>
      </c>
      <c r="L1794" s="1">
        <v>81207</v>
      </c>
      <c r="M1794" s="1">
        <v>0</v>
      </c>
      <c r="P1794" s="1">
        <v>81207</v>
      </c>
      <c r="Q1794" s="1">
        <v>0</v>
      </c>
    </row>
    <row r="1795" spans="2:17" hidden="1" x14ac:dyDescent="0.2">
      <c r="B1795" s="1">
        <v>81208</v>
      </c>
      <c r="C1795" s="1">
        <v>0</v>
      </c>
      <c r="G1795" s="1">
        <v>81208</v>
      </c>
      <c r="H1795" s="1">
        <v>0</v>
      </c>
      <c r="L1795" s="1">
        <v>81208</v>
      </c>
      <c r="M1795" s="1">
        <v>0</v>
      </c>
      <c r="P1795" s="1">
        <v>81208</v>
      </c>
      <c r="Q1795" s="1">
        <v>0</v>
      </c>
    </row>
    <row r="1796" spans="2:17" hidden="1" x14ac:dyDescent="0.2">
      <c r="B1796" s="1">
        <v>81209</v>
      </c>
      <c r="C1796" s="1">
        <v>0</v>
      </c>
      <c r="G1796" s="1">
        <v>81209</v>
      </c>
      <c r="H1796" s="1">
        <v>0</v>
      </c>
      <c r="L1796" s="1">
        <v>81209</v>
      </c>
      <c r="M1796" s="1">
        <v>0</v>
      </c>
      <c r="P1796" s="1">
        <v>81209</v>
      </c>
      <c r="Q1796" s="1">
        <v>0</v>
      </c>
    </row>
    <row r="1797" spans="2:17" hidden="1" x14ac:dyDescent="0.2">
      <c r="B1797" s="1">
        <v>81210</v>
      </c>
      <c r="C1797" s="1">
        <v>0</v>
      </c>
      <c r="G1797" s="1">
        <v>81210</v>
      </c>
      <c r="H1797" s="1">
        <v>0</v>
      </c>
      <c r="L1797" s="1">
        <v>81210</v>
      </c>
      <c r="M1797" s="1">
        <v>0</v>
      </c>
      <c r="P1797" s="1">
        <v>81210</v>
      </c>
      <c r="Q1797" s="1">
        <v>0</v>
      </c>
    </row>
    <row r="1798" spans="2:17" hidden="1" x14ac:dyDescent="0.2">
      <c r="B1798" s="1">
        <v>82183</v>
      </c>
      <c r="C1798" s="1">
        <v>0</v>
      </c>
      <c r="G1798" s="1">
        <v>82183</v>
      </c>
      <c r="H1798" s="1">
        <v>0</v>
      </c>
      <c r="L1798" s="1">
        <v>82183</v>
      </c>
      <c r="M1798" s="1">
        <v>0</v>
      </c>
      <c r="P1798" s="1">
        <v>82183</v>
      </c>
      <c r="Q1798" s="1">
        <v>0</v>
      </c>
    </row>
    <row r="1799" spans="2:17" hidden="1" x14ac:dyDescent="0.2">
      <c r="B1799" s="1">
        <v>82184</v>
      </c>
      <c r="C1799" s="1">
        <v>0</v>
      </c>
      <c r="G1799" s="1">
        <v>82184</v>
      </c>
      <c r="H1799" s="1">
        <v>0</v>
      </c>
      <c r="L1799" s="1">
        <v>82184</v>
      </c>
      <c r="M1799" s="1">
        <v>0</v>
      </c>
      <c r="P1799" s="1">
        <v>82184</v>
      </c>
      <c r="Q1799" s="1">
        <v>0</v>
      </c>
    </row>
    <row r="1800" spans="2:17" hidden="1" x14ac:dyDescent="0.2">
      <c r="B1800" s="1">
        <v>82185</v>
      </c>
      <c r="C1800" s="1">
        <v>0</v>
      </c>
      <c r="G1800" s="1">
        <v>82185</v>
      </c>
      <c r="H1800" s="1">
        <v>0</v>
      </c>
      <c r="L1800" s="1">
        <v>82185</v>
      </c>
      <c r="M1800" s="1">
        <v>0</v>
      </c>
      <c r="P1800" s="1">
        <v>82185</v>
      </c>
      <c r="Q1800" s="1">
        <v>0</v>
      </c>
    </row>
    <row r="1801" spans="2:17" hidden="1" x14ac:dyDescent="0.2">
      <c r="B1801" s="1">
        <v>82186</v>
      </c>
      <c r="C1801" s="1">
        <v>0</v>
      </c>
      <c r="G1801" s="1">
        <v>82186</v>
      </c>
      <c r="H1801" s="1">
        <v>0</v>
      </c>
      <c r="L1801" s="1">
        <v>82186</v>
      </c>
      <c r="M1801" s="1">
        <v>0</v>
      </c>
      <c r="P1801" s="1">
        <v>82186</v>
      </c>
      <c r="Q1801" s="1">
        <v>0</v>
      </c>
    </row>
    <row r="1802" spans="2:17" hidden="1" x14ac:dyDescent="0.2">
      <c r="B1802" s="1">
        <v>82187</v>
      </c>
      <c r="C1802" s="1">
        <v>0</v>
      </c>
      <c r="G1802" s="1">
        <v>82187</v>
      </c>
      <c r="H1802" s="1">
        <v>0</v>
      </c>
      <c r="L1802" s="1">
        <v>82187</v>
      </c>
      <c r="M1802" s="1">
        <v>0</v>
      </c>
      <c r="P1802" s="1">
        <v>82187</v>
      </c>
      <c r="Q1802" s="1">
        <v>0</v>
      </c>
    </row>
    <row r="1803" spans="2:17" hidden="1" x14ac:dyDescent="0.2">
      <c r="B1803" s="1">
        <v>82188</v>
      </c>
      <c r="C1803" s="1">
        <v>0</v>
      </c>
      <c r="G1803" s="1">
        <v>82188</v>
      </c>
      <c r="H1803" s="1">
        <v>0</v>
      </c>
      <c r="L1803" s="1">
        <v>82188</v>
      </c>
      <c r="M1803" s="1">
        <v>0</v>
      </c>
      <c r="P1803" s="1">
        <v>82188</v>
      </c>
      <c r="Q1803" s="1">
        <v>0</v>
      </c>
    </row>
    <row r="1804" spans="2:17" hidden="1" x14ac:dyDescent="0.2">
      <c r="B1804" s="1">
        <v>82189</v>
      </c>
      <c r="C1804" s="1">
        <v>0</v>
      </c>
      <c r="G1804" s="1">
        <v>82189</v>
      </c>
      <c r="H1804" s="1">
        <v>0</v>
      </c>
      <c r="L1804" s="1">
        <v>82189</v>
      </c>
      <c r="M1804" s="1">
        <v>0</v>
      </c>
      <c r="P1804" s="1">
        <v>82189</v>
      </c>
      <c r="Q1804" s="1">
        <v>0</v>
      </c>
    </row>
    <row r="1805" spans="2:17" hidden="1" x14ac:dyDescent="0.2">
      <c r="B1805" s="1">
        <v>82190</v>
      </c>
      <c r="C1805" s="1">
        <v>0</v>
      </c>
      <c r="G1805" s="1">
        <v>82190</v>
      </c>
      <c r="H1805" s="1">
        <v>0</v>
      </c>
      <c r="L1805" s="1">
        <v>82190</v>
      </c>
      <c r="M1805" s="1">
        <v>0</v>
      </c>
      <c r="P1805" s="1">
        <v>82190</v>
      </c>
      <c r="Q1805" s="1">
        <v>0</v>
      </c>
    </row>
    <row r="1806" spans="2:17" hidden="1" x14ac:dyDescent="0.2">
      <c r="B1806" s="1">
        <v>82191</v>
      </c>
      <c r="C1806" s="1">
        <v>0</v>
      </c>
      <c r="G1806" s="1">
        <v>82191</v>
      </c>
      <c r="H1806" s="1">
        <v>0</v>
      </c>
      <c r="L1806" s="1">
        <v>82191</v>
      </c>
      <c r="M1806" s="1">
        <v>0</v>
      </c>
      <c r="P1806" s="1">
        <v>82191</v>
      </c>
      <c r="Q1806" s="1">
        <v>0</v>
      </c>
    </row>
    <row r="1807" spans="2:17" hidden="1" x14ac:dyDescent="0.2">
      <c r="B1807" s="1">
        <v>82192</v>
      </c>
      <c r="C1807" s="1">
        <v>0</v>
      </c>
      <c r="G1807" s="1">
        <v>82192</v>
      </c>
      <c r="H1807" s="1">
        <v>0</v>
      </c>
      <c r="L1807" s="1">
        <v>82192</v>
      </c>
      <c r="M1807" s="1">
        <v>0</v>
      </c>
      <c r="P1807" s="1">
        <v>82192</v>
      </c>
      <c r="Q1807" s="1">
        <v>0</v>
      </c>
    </row>
    <row r="1808" spans="2:17" hidden="1" x14ac:dyDescent="0.2">
      <c r="B1808" s="1">
        <v>82193</v>
      </c>
      <c r="C1808" s="1">
        <v>0</v>
      </c>
      <c r="G1808" s="1">
        <v>82193</v>
      </c>
      <c r="H1808" s="1">
        <v>0</v>
      </c>
      <c r="L1808" s="1">
        <v>82193</v>
      </c>
      <c r="M1808" s="1">
        <v>0</v>
      </c>
      <c r="P1808" s="1">
        <v>82193</v>
      </c>
      <c r="Q1808" s="1">
        <v>0</v>
      </c>
    </row>
    <row r="1809" spans="2:17" hidden="1" x14ac:dyDescent="0.2">
      <c r="B1809" s="1">
        <v>82194</v>
      </c>
      <c r="C1809" s="1">
        <v>0</v>
      </c>
      <c r="G1809" s="1">
        <v>82194</v>
      </c>
      <c r="H1809" s="1">
        <v>0</v>
      </c>
      <c r="L1809" s="1">
        <v>82194</v>
      </c>
      <c r="M1809" s="1">
        <v>0</v>
      </c>
      <c r="P1809" s="1">
        <v>82194</v>
      </c>
      <c r="Q1809" s="1">
        <v>0</v>
      </c>
    </row>
    <row r="1810" spans="2:17" hidden="1" x14ac:dyDescent="0.2">
      <c r="B1810" s="1">
        <v>82195</v>
      </c>
      <c r="C1810" s="1">
        <v>0</v>
      </c>
      <c r="G1810" s="1">
        <v>82195</v>
      </c>
      <c r="H1810" s="1">
        <v>0</v>
      </c>
      <c r="L1810" s="1">
        <v>82195</v>
      </c>
      <c r="M1810" s="1">
        <v>0</v>
      </c>
      <c r="P1810" s="1">
        <v>82195</v>
      </c>
      <c r="Q1810" s="1">
        <v>0</v>
      </c>
    </row>
    <row r="1811" spans="2:17" hidden="1" x14ac:dyDescent="0.2">
      <c r="B1811" s="1">
        <v>82196</v>
      </c>
      <c r="C1811" s="1">
        <v>0</v>
      </c>
      <c r="G1811" s="1">
        <v>82196</v>
      </c>
      <c r="H1811" s="1">
        <v>0</v>
      </c>
      <c r="L1811" s="1">
        <v>82196</v>
      </c>
      <c r="M1811" s="1">
        <v>0</v>
      </c>
      <c r="P1811" s="1">
        <v>82196</v>
      </c>
      <c r="Q1811" s="1">
        <v>0</v>
      </c>
    </row>
    <row r="1812" spans="2:17" hidden="1" x14ac:dyDescent="0.2">
      <c r="B1812" s="1">
        <v>82197</v>
      </c>
      <c r="C1812" s="1">
        <v>0</v>
      </c>
      <c r="G1812" s="1">
        <v>82197</v>
      </c>
      <c r="H1812" s="1">
        <v>0</v>
      </c>
      <c r="L1812" s="1">
        <v>82197</v>
      </c>
      <c r="M1812" s="1">
        <v>0</v>
      </c>
      <c r="P1812" s="1">
        <v>82197</v>
      </c>
      <c r="Q1812" s="1">
        <v>0</v>
      </c>
    </row>
    <row r="1813" spans="2:17" hidden="1" x14ac:dyDescent="0.2">
      <c r="B1813" s="1">
        <v>82198</v>
      </c>
      <c r="C1813" s="1">
        <v>0</v>
      </c>
      <c r="G1813" s="1">
        <v>82198</v>
      </c>
      <c r="H1813" s="1">
        <v>0</v>
      </c>
      <c r="L1813" s="1">
        <v>82198</v>
      </c>
      <c r="M1813" s="1">
        <v>0</v>
      </c>
      <c r="P1813" s="1">
        <v>82198</v>
      </c>
      <c r="Q1813" s="1">
        <v>0</v>
      </c>
    </row>
    <row r="1814" spans="2:17" hidden="1" x14ac:dyDescent="0.2">
      <c r="B1814" s="1">
        <v>82199</v>
      </c>
      <c r="C1814" s="1">
        <v>0</v>
      </c>
      <c r="G1814" s="1">
        <v>82199</v>
      </c>
      <c r="H1814" s="1">
        <v>0</v>
      </c>
      <c r="L1814" s="1">
        <v>82199</v>
      </c>
      <c r="M1814" s="1">
        <v>0</v>
      </c>
      <c r="P1814" s="1">
        <v>82199</v>
      </c>
      <c r="Q1814" s="1">
        <v>0</v>
      </c>
    </row>
    <row r="1815" spans="2:17" hidden="1" x14ac:dyDescent="0.2">
      <c r="B1815" s="1">
        <v>82200</v>
      </c>
      <c r="C1815" s="1">
        <v>0</v>
      </c>
      <c r="G1815" s="1">
        <v>82200</v>
      </c>
      <c r="H1815" s="1">
        <v>0</v>
      </c>
      <c r="L1815" s="1">
        <v>82200</v>
      </c>
      <c r="M1815" s="1">
        <v>0</v>
      </c>
      <c r="P1815" s="1">
        <v>82200</v>
      </c>
      <c r="Q1815" s="1">
        <v>0</v>
      </c>
    </row>
    <row r="1816" spans="2:17" hidden="1" x14ac:dyDescent="0.2">
      <c r="B1816" s="1">
        <v>82201</v>
      </c>
      <c r="C1816" s="1">
        <v>0</v>
      </c>
      <c r="G1816" s="1">
        <v>82201</v>
      </c>
      <c r="H1816" s="1">
        <v>0</v>
      </c>
      <c r="L1816" s="1">
        <v>82201</v>
      </c>
      <c r="M1816" s="1">
        <v>0</v>
      </c>
      <c r="P1816" s="1">
        <v>82201</v>
      </c>
      <c r="Q1816" s="1">
        <v>0</v>
      </c>
    </row>
    <row r="1817" spans="2:17" hidden="1" x14ac:dyDescent="0.2">
      <c r="B1817" s="1">
        <v>82202</v>
      </c>
      <c r="C1817" s="1">
        <v>0</v>
      </c>
      <c r="G1817" s="1">
        <v>82202</v>
      </c>
      <c r="H1817" s="1">
        <v>0</v>
      </c>
      <c r="L1817" s="1">
        <v>82202</v>
      </c>
      <c r="M1817" s="1">
        <v>0</v>
      </c>
      <c r="P1817" s="1">
        <v>82202</v>
      </c>
      <c r="Q1817" s="1">
        <v>0</v>
      </c>
    </row>
    <row r="1818" spans="2:17" hidden="1" x14ac:dyDescent="0.2">
      <c r="B1818" s="1">
        <v>82203</v>
      </c>
      <c r="C1818" s="1">
        <v>0</v>
      </c>
      <c r="G1818" s="1">
        <v>82203</v>
      </c>
      <c r="H1818" s="1">
        <v>0</v>
      </c>
      <c r="L1818" s="1">
        <v>82203</v>
      </c>
      <c r="M1818" s="1">
        <v>0</v>
      </c>
      <c r="P1818" s="1">
        <v>82203</v>
      </c>
      <c r="Q1818" s="1">
        <v>0</v>
      </c>
    </row>
    <row r="1819" spans="2:17" hidden="1" x14ac:dyDescent="0.2">
      <c r="B1819" s="1">
        <v>82204</v>
      </c>
      <c r="C1819" s="1">
        <v>0</v>
      </c>
      <c r="G1819" s="1">
        <v>82204</v>
      </c>
      <c r="H1819" s="1">
        <v>0</v>
      </c>
      <c r="L1819" s="1">
        <v>82204</v>
      </c>
      <c r="M1819" s="1">
        <v>0</v>
      </c>
      <c r="P1819" s="1">
        <v>82204</v>
      </c>
      <c r="Q1819" s="1">
        <v>0</v>
      </c>
    </row>
    <row r="1820" spans="2:17" hidden="1" x14ac:dyDescent="0.2">
      <c r="B1820" s="1">
        <v>82205</v>
      </c>
      <c r="C1820" s="1">
        <v>0</v>
      </c>
      <c r="G1820" s="1">
        <v>82205</v>
      </c>
      <c r="H1820" s="1">
        <v>0</v>
      </c>
      <c r="L1820" s="1">
        <v>82205</v>
      </c>
      <c r="M1820" s="1">
        <v>0</v>
      </c>
      <c r="P1820" s="1">
        <v>82205</v>
      </c>
      <c r="Q1820" s="1">
        <v>0</v>
      </c>
    </row>
    <row r="1821" spans="2:17" hidden="1" x14ac:dyDescent="0.2">
      <c r="B1821" s="1">
        <v>82206</v>
      </c>
      <c r="C1821" s="1">
        <v>0</v>
      </c>
      <c r="G1821" s="1">
        <v>82206</v>
      </c>
      <c r="H1821" s="1">
        <v>0</v>
      </c>
      <c r="L1821" s="1">
        <v>82206</v>
      </c>
      <c r="M1821" s="1">
        <v>0</v>
      </c>
      <c r="P1821" s="1">
        <v>82206</v>
      </c>
      <c r="Q1821" s="1">
        <v>0</v>
      </c>
    </row>
    <row r="1822" spans="2:17" hidden="1" x14ac:dyDescent="0.2">
      <c r="B1822" s="1">
        <v>82207</v>
      </c>
      <c r="C1822" s="1">
        <v>0</v>
      </c>
      <c r="G1822" s="1">
        <v>82207</v>
      </c>
      <c r="H1822" s="1">
        <v>0</v>
      </c>
      <c r="L1822" s="1">
        <v>82207</v>
      </c>
      <c r="M1822" s="1">
        <v>0</v>
      </c>
      <c r="P1822" s="1">
        <v>82207</v>
      </c>
      <c r="Q1822" s="1">
        <v>0</v>
      </c>
    </row>
    <row r="1823" spans="2:17" hidden="1" x14ac:dyDescent="0.2">
      <c r="B1823" s="1">
        <v>82208</v>
      </c>
      <c r="C1823" s="1">
        <v>0</v>
      </c>
      <c r="G1823" s="1">
        <v>82208</v>
      </c>
      <c r="H1823" s="1">
        <v>0</v>
      </c>
      <c r="L1823" s="1">
        <v>82208</v>
      </c>
      <c r="M1823" s="1">
        <v>0</v>
      </c>
      <c r="P1823" s="1">
        <v>82208</v>
      </c>
      <c r="Q1823" s="1">
        <v>0</v>
      </c>
    </row>
    <row r="1824" spans="2:17" hidden="1" x14ac:dyDescent="0.2">
      <c r="B1824" s="1">
        <v>82209</v>
      </c>
      <c r="C1824" s="1">
        <v>0</v>
      </c>
      <c r="G1824" s="1">
        <v>82209</v>
      </c>
      <c r="H1824" s="1">
        <v>0</v>
      </c>
      <c r="L1824" s="1">
        <v>82209</v>
      </c>
      <c r="M1824" s="1">
        <v>0</v>
      </c>
      <c r="P1824" s="1">
        <v>82209</v>
      </c>
      <c r="Q1824" s="1">
        <v>0</v>
      </c>
    </row>
    <row r="1825" spans="2:17" hidden="1" x14ac:dyDescent="0.2">
      <c r="B1825" s="1">
        <v>82210</v>
      </c>
      <c r="C1825" s="1">
        <v>0</v>
      </c>
      <c r="G1825" s="1">
        <v>82210</v>
      </c>
      <c r="H1825" s="1">
        <v>0</v>
      </c>
      <c r="L1825" s="1">
        <v>82210</v>
      </c>
      <c r="M1825" s="1">
        <v>0</v>
      </c>
      <c r="P1825" s="1">
        <v>82210</v>
      </c>
      <c r="Q1825" s="1">
        <v>0</v>
      </c>
    </row>
    <row r="1826" spans="2:17" hidden="1" x14ac:dyDescent="0.2">
      <c r="B1826" s="1">
        <v>82211</v>
      </c>
      <c r="C1826" s="1">
        <v>0</v>
      </c>
      <c r="G1826" s="1">
        <v>82211</v>
      </c>
      <c r="H1826" s="1">
        <v>0</v>
      </c>
      <c r="L1826" s="1">
        <v>82211</v>
      </c>
      <c r="M1826" s="1">
        <v>0</v>
      </c>
      <c r="P1826" s="1">
        <v>82211</v>
      </c>
      <c r="Q1826" s="1">
        <v>0</v>
      </c>
    </row>
    <row r="1827" spans="2:17" hidden="1" x14ac:dyDescent="0.2">
      <c r="B1827" s="1">
        <v>82212</v>
      </c>
      <c r="C1827" s="1">
        <v>0</v>
      </c>
      <c r="G1827" s="1">
        <v>82212</v>
      </c>
      <c r="H1827" s="1">
        <v>0</v>
      </c>
      <c r="L1827" s="1">
        <v>82212</v>
      </c>
      <c r="M1827" s="1">
        <v>0</v>
      </c>
      <c r="P1827" s="1">
        <v>82212</v>
      </c>
      <c r="Q1827" s="1">
        <v>0</v>
      </c>
    </row>
    <row r="1828" spans="2:17" hidden="1" x14ac:dyDescent="0.2">
      <c r="B1828" s="1">
        <v>82213</v>
      </c>
      <c r="C1828" s="1">
        <v>0</v>
      </c>
      <c r="G1828" s="1">
        <v>82213</v>
      </c>
      <c r="H1828" s="1">
        <v>0</v>
      </c>
      <c r="L1828" s="1">
        <v>82213</v>
      </c>
      <c r="M1828" s="1">
        <v>0</v>
      </c>
      <c r="P1828" s="1">
        <v>82213</v>
      </c>
      <c r="Q1828" s="1">
        <v>0</v>
      </c>
    </row>
    <row r="1829" spans="2:17" hidden="1" x14ac:dyDescent="0.2">
      <c r="B1829" s="1">
        <v>82214</v>
      </c>
      <c r="C1829" s="1">
        <v>0</v>
      </c>
      <c r="G1829" s="1">
        <v>82214</v>
      </c>
      <c r="H1829" s="1">
        <v>0</v>
      </c>
      <c r="L1829" s="1">
        <v>82214</v>
      </c>
      <c r="M1829" s="1">
        <v>0</v>
      </c>
      <c r="P1829" s="1">
        <v>82214</v>
      </c>
      <c r="Q1829" s="1">
        <v>0</v>
      </c>
    </row>
    <row r="1830" spans="2:17" hidden="1" x14ac:dyDescent="0.2">
      <c r="B1830" s="1">
        <v>83188</v>
      </c>
      <c r="C1830" s="1">
        <v>0</v>
      </c>
      <c r="G1830" s="1">
        <v>83188</v>
      </c>
      <c r="H1830" s="1">
        <v>0</v>
      </c>
      <c r="L1830" s="1">
        <v>83188</v>
      </c>
      <c r="M1830" s="1">
        <v>0</v>
      </c>
      <c r="P1830" s="1">
        <v>83188</v>
      </c>
      <c r="Q1830" s="1">
        <v>0</v>
      </c>
    </row>
    <row r="1831" spans="2:17" hidden="1" x14ac:dyDescent="0.2">
      <c r="B1831" s="1">
        <v>83189</v>
      </c>
      <c r="C1831" s="1">
        <v>0</v>
      </c>
      <c r="G1831" s="1">
        <v>83189</v>
      </c>
      <c r="H1831" s="1">
        <v>0</v>
      </c>
      <c r="L1831" s="1">
        <v>83189</v>
      </c>
      <c r="M1831" s="1">
        <v>0</v>
      </c>
      <c r="P1831" s="1">
        <v>83189</v>
      </c>
      <c r="Q1831" s="1">
        <v>0</v>
      </c>
    </row>
    <row r="1832" spans="2:17" hidden="1" x14ac:dyDescent="0.2">
      <c r="B1832" s="1">
        <v>83190</v>
      </c>
      <c r="C1832" s="1">
        <v>0</v>
      </c>
      <c r="G1832" s="1">
        <v>83190</v>
      </c>
      <c r="H1832" s="1">
        <v>0</v>
      </c>
      <c r="L1832" s="1">
        <v>83190</v>
      </c>
      <c r="M1832" s="1">
        <v>0</v>
      </c>
      <c r="P1832" s="1">
        <v>83190</v>
      </c>
      <c r="Q1832" s="1">
        <v>0</v>
      </c>
    </row>
    <row r="1833" spans="2:17" hidden="1" x14ac:dyDescent="0.2">
      <c r="B1833" s="1">
        <v>83191</v>
      </c>
      <c r="C1833" s="1">
        <v>0</v>
      </c>
      <c r="G1833" s="1">
        <v>83191</v>
      </c>
      <c r="H1833" s="1">
        <v>0</v>
      </c>
      <c r="L1833" s="1">
        <v>83191</v>
      </c>
      <c r="M1833" s="1">
        <v>0</v>
      </c>
      <c r="P1833" s="1">
        <v>83191</v>
      </c>
      <c r="Q1833" s="1">
        <v>0</v>
      </c>
    </row>
    <row r="1834" spans="2:17" hidden="1" x14ac:dyDescent="0.2">
      <c r="B1834" s="1">
        <v>83192</v>
      </c>
      <c r="C1834" s="1">
        <v>0</v>
      </c>
      <c r="G1834" s="1">
        <v>83192</v>
      </c>
      <c r="H1834" s="1">
        <v>0</v>
      </c>
      <c r="L1834" s="1">
        <v>83192</v>
      </c>
      <c r="M1834" s="1">
        <v>0</v>
      </c>
      <c r="P1834" s="1">
        <v>83192</v>
      </c>
      <c r="Q1834" s="1">
        <v>0</v>
      </c>
    </row>
    <row r="1835" spans="2:17" hidden="1" x14ac:dyDescent="0.2">
      <c r="B1835" s="1">
        <v>83193</v>
      </c>
      <c r="C1835" s="1">
        <v>0</v>
      </c>
      <c r="G1835" s="1">
        <v>83193</v>
      </c>
      <c r="H1835" s="1">
        <v>0</v>
      </c>
      <c r="L1835" s="1">
        <v>83193</v>
      </c>
      <c r="M1835" s="1">
        <v>0</v>
      </c>
      <c r="P1835" s="1">
        <v>83193</v>
      </c>
      <c r="Q1835" s="1">
        <v>0</v>
      </c>
    </row>
    <row r="1836" spans="2:17" hidden="1" x14ac:dyDescent="0.2">
      <c r="B1836" s="1">
        <v>83194</v>
      </c>
      <c r="C1836" s="1">
        <v>0</v>
      </c>
      <c r="G1836" s="1">
        <v>83194</v>
      </c>
      <c r="H1836" s="1">
        <v>0</v>
      </c>
      <c r="L1836" s="1">
        <v>83194</v>
      </c>
      <c r="M1836" s="1">
        <v>0</v>
      </c>
      <c r="P1836" s="1">
        <v>83194</v>
      </c>
      <c r="Q1836" s="1">
        <v>0</v>
      </c>
    </row>
    <row r="1837" spans="2:17" hidden="1" x14ac:dyDescent="0.2">
      <c r="B1837" s="1">
        <v>83195</v>
      </c>
      <c r="C1837" s="1">
        <v>0</v>
      </c>
      <c r="G1837" s="1">
        <v>83195</v>
      </c>
      <c r="H1837" s="1">
        <v>0</v>
      </c>
      <c r="L1837" s="1">
        <v>83195</v>
      </c>
      <c r="M1837" s="1">
        <v>0</v>
      </c>
      <c r="P1837" s="1">
        <v>83195</v>
      </c>
      <c r="Q1837" s="1">
        <v>0</v>
      </c>
    </row>
    <row r="1838" spans="2:17" hidden="1" x14ac:dyDescent="0.2">
      <c r="B1838" s="1">
        <v>83196</v>
      </c>
      <c r="C1838" s="1">
        <v>0</v>
      </c>
      <c r="G1838" s="1">
        <v>83196</v>
      </c>
      <c r="H1838" s="1">
        <v>0</v>
      </c>
      <c r="L1838" s="1">
        <v>83196</v>
      </c>
      <c r="M1838" s="1">
        <v>0</v>
      </c>
      <c r="P1838" s="1">
        <v>83196</v>
      </c>
      <c r="Q1838" s="1">
        <v>0</v>
      </c>
    </row>
    <row r="1839" spans="2:17" hidden="1" x14ac:dyDescent="0.2">
      <c r="B1839" s="1">
        <v>83197</v>
      </c>
      <c r="C1839" s="1">
        <v>0</v>
      </c>
      <c r="G1839" s="1">
        <v>83197</v>
      </c>
      <c r="H1839" s="1">
        <v>0</v>
      </c>
      <c r="L1839" s="1">
        <v>83197</v>
      </c>
      <c r="M1839" s="1">
        <v>0</v>
      </c>
      <c r="P1839" s="1">
        <v>83197</v>
      </c>
      <c r="Q1839" s="1">
        <v>0</v>
      </c>
    </row>
    <row r="1840" spans="2:17" hidden="1" x14ac:dyDescent="0.2">
      <c r="B1840" s="1">
        <v>83198</v>
      </c>
      <c r="C1840" s="1">
        <v>0</v>
      </c>
      <c r="G1840" s="1">
        <v>83198</v>
      </c>
      <c r="H1840" s="1">
        <v>0</v>
      </c>
      <c r="L1840" s="1">
        <v>83198</v>
      </c>
      <c r="M1840" s="1">
        <v>0</v>
      </c>
      <c r="P1840" s="1">
        <v>83198</v>
      </c>
      <c r="Q1840" s="1">
        <v>0</v>
      </c>
    </row>
    <row r="1841" spans="2:17" hidden="1" x14ac:dyDescent="0.2">
      <c r="B1841" s="1">
        <v>83199</v>
      </c>
      <c r="C1841" s="1">
        <v>0</v>
      </c>
      <c r="G1841" s="1">
        <v>83199</v>
      </c>
      <c r="H1841" s="1">
        <v>0</v>
      </c>
      <c r="L1841" s="1">
        <v>83199</v>
      </c>
      <c r="M1841" s="1">
        <v>0</v>
      </c>
      <c r="P1841" s="1">
        <v>83199</v>
      </c>
      <c r="Q1841" s="1">
        <v>0</v>
      </c>
    </row>
    <row r="1842" spans="2:17" hidden="1" x14ac:dyDescent="0.2">
      <c r="B1842" s="1">
        <v>83200</v>
      </c>
      <c r="C1842" s="1">
        <v>0</v>
      </c>
      <c r="G1842" s="1">
        <v>83200</v>
      </c>
      <c r="H1842" s="1">
        <v>0</v>
      </c>
      <c r="L1842" s="1">
        <v>83200</v>
      </c>
      <c r="M1842" s="1">
        <v>0</v>
      </c>
      <c r="P1842" s="1">
        <v>83200</v>
      </c>
      <c r="Q1842" s="1">
        <v>0</v>
      </c>
    </row>
    <row r="1843" spans="2:17" hidden="1" x14ac:dyDescent="0.2">
      <c r="B1843" s="1">
        <v>83201</v>
      </c>
      <c r="C1843" s="1">
        <v>0</v>
      </c>
      <c r="G1843" s="1">
        <v>83201</v>
      </c>
      <c r="H1843" s="1">
        <v>0</v>
      </c>
      <c r="L1843" s="1">
        <v>83201</v>
      </c>
      <c r="M1843" s="1">
        <v>0</v>
      </c>
      <c r="P1843" s="1">
        <v>83201</v>
      </c>
      <c r="Q1843" s="1">
        <v>0</v>
      </c>
    </row>
    <row r="1844" spans="2:17" hidden="1" x14ac:dyDescent="0.2">
      <c r="B1844" s="1">
        <v>83202</v>
      </c>
      <c r="C1844" s="1">
        <v>0</v>
      </c>
      <c r="G1844" s="1">
        <v>83202</v>
      </c>
      <c r="H1844" s="1">
        <v>0</v>
      </c>
      <c r="L1844" s="1">
        <v>83202</v>
      </c>
      <c r="M1844" s="1">
        <v>0</v>
      </c>
      <c r="P1844" s="1">
        <v>83202</v>
      </c>
      <c r="Q1844" s="1">
        <v>0</v>
      </c>
    </row>
    <row r="1845" spans="2:17" hidden="1" x14ac:dyDescent="0.2">
      <c r="B1845" s="1">
        <v>83203</v>
      </c>
      <c r="C1845" s="1">
        <v>0</v>
      </c>
      <c r="G1845" s="1">
        <v>83203</v>
      </c>
      <c r="H1845" s="1">
        <v>0</v>
      </c>
      <c r="L1845" s="1">
        <v>83203</v>
      </c>
      <c r="M1845" s="1">
        <v>0</v>
      </c>
      <c r="P1845" s="1">
        <v>83203</v>
      </c>
      <c r="Q1845" s="1">
        <v>0</v>
      </c>
    </row>
    <row r="1846" spans="2:17" hidden="1" x14ac:dyDescent="0.2">
      <c r="B1846" s="1">
        <v>83204</v>
      </c>
      <c r="C1846" s="1">
        <v>0</v>
      </c>
      <c r="G1846" s="1">
        <v>83204</v>
      </c>
      <c r="H1846" s="1">
        <v>0</v>
      </c>
      <c r="L1846" s="1">
        <v>83204</v>
      </c>
      <c r="M1846" s="1">
        <v>0</v>
      </c>
      <c r="P1846" s="1">
        <v>83204</v>
      </c>
      <c r="Q1846" s="1">
        <v>0</v>
      </c>
    </row>
    <row r="1847" spans="2:17" hidden="1" x14ac:dyDescent="0.2">
      <c r="B1847" s="1">
        <v>83205</v>
      </c>
      <c r="C1847" s="1">
        <v>0</v>
      </c>
      <c r="G1847" s="1">
        <v>83205</v>
      </c>
      <c r="H1847" s="1">
        <v>0</v>
      </c>
      <c r="L1847" s="1">
        <v>83205</v>
      </c>
      <c r="M1847" s="1">
        <v>0</v>
      </c>
      <c r="P1847" s="1">
        <v>83205</v>
      </c>
      <c r="Q1847" s="1">
        <v>0</v>
      </c>
    </row>
    <row r="1848" spans="2:17" hidden="1" x14ac:dyDescent="0.2">
      <c r="B1848" s="1">
        <v>83206</v>
      </c>
      <c r="C1848" s="1">
        <v>0</v>
      </c>
      <c r="G1848" s="1">
        <v>83206</v>
      </c>
      <c r="H1848" s="1">
        <v>0</v>
      </c>
      <c r="L1848" s="1">
        <v>83206</v>
      </c>
      <c r="M1848" s="1">
        <v>0</v>
      </c>
      <c r="P1848" s="1">
        <v>83206</v>
      </c>
      <c r="Q1848" s="1">
        <v>0</v>
      </c>
    </row>
    <row r="1849" spans="2:17" hidden="1" x14ac:dyDescent="0.2">
      <c r="B1849" s="1">
        <v>83207</v>
      </c>
      <c r="C1849" s="1">
        <v>0</v>
      </c>
      <c r="G1849" s="1">
        <v>83207</v>
      </c>
      <c r="H1849" s="1">
        <v>0</v>
      </c>
      <c r="L1849" s="1">
        <v>83207</v>
      </c>
      <c r="M1849" s="1">
        <v>0</v>
      </c>
      <c r="P1849" s="1">
        <v>83207</v>
      </c>
      <c r="Q1849" s="1">
        <v>0</v>
      </c>
    </row>
    <row r="1850" spans="2:17" hidden="1" x14ac:dyDescent="0.2">
      <c r="B1850" s="1">
        <v>83208</v>
      </c>
      <c r="C1850" s="1">
        <v>0</v>
      </c>
      <c r="G1850" s="1">
        <v>83208</v>
      </c>
      <c r="H1850" s="1">
        <v>0</v>
      </c>
      <c r="L1850" s="1">
        <v>83208</v>
      </c>
      <c r="M1850" s="1">
        <v>0</v>
      </c>
      <c r="P1850" s="1">
        <v>83208</v>
      </c>
      <c r="Q1850" s="1">
        <v>0</v>
      </c>
    </row>
    <row r="1851" spans="2:17" hidden="1" x14ac:dyDescent="0.2">
      <c r="B1851" s="1">
        <v>83209</v>
      </c>
      <c r="C1851" s="1">
        <v>0</v>
      </c>
      <c r="G1851" s="1">
        <v>83209</v>
      </c>
      <c r="H1851" s="1">
        <v>0</v>
      </c>
      <c r="L1851" s="1">
        <v>83209</v>
      </c>
      <c r="M1851" s="1">
        <v>0</v>
      </c>
      <c r="P1851" s="1">
        <v>83209</v>
      </c>
      <c r="Q1851" s="1">
        <v>0</v>
      </c>
    </row>
    <row r="1852" spans="2:17" hidden="1" x14ac:dyDescent="0.2">
      <c r="B1852" s="1">
        <v>83210</v>
      </c>
      <c r="C1852" s="1">
        <v>0</v>
      </c>
      <c r="G1852" s="1">
        <v>83210</v>
      </c>
      <c r="H1852" s="1">
        <v>0</v>
      </c>
      <c r="L1852" s="1">
        <v>83210</v>
      </c>
      <c r="M1852" s="1">
        <v>0</v>
      </c>
      <c r="P1852" s="1">
        <v>83210</v>
      </c>
      <c r="Q1852" s="1">
        <v>0</v>
      </c>
    </row>
    <row r="1853" spans="2:17" hidden="1" x14ac:dyDescent="0.2">
      <c r="B1853" s="1">
        <v>83211</v>
      </c>
      <c r="C1853" s="1">
        <v>0</v>
      </c>
      <c r="G1853" s="1">
        <v>83211</v>
      </c>
      <c r="H1853" s="1">
        <v>0</v>
      </c>
      <c r="L1853" s="1">
        <v>83211</v>
      </c>
      <c r="M1853" s="1">
        <v>0</v>
      </c>
      <c r="P1853" s="1">
        <v>83211</v>
      </c>
      <c r="Q1853" s="1">
        <v>0</v>
      </c>
    </row>
    <row r="1854" spans="2:17" hidden="1" x14ac:dyDescent="0.2">
      <c r="B1854" s="1">
        <v>83212</v>
      </c>
      <c r="C1854" s="1">
        <v>0</v>
      </c>
      <c r="G1854" s="1">
        <v>83212</v>
      </c>
      <c r="H1854" s="1">
        <v>0</v>
      </c>
      <c r="L1854" s="1">
        <v>83212</v>
      </c>
      <c r="M1854" s="1">
        <v>0</v>
      </c>
      <c r="P1854" s="1">
        <v>83212</v>
      </c>
      <c r="Q1854" s="1">
        <v>0</v>
      </c>
    </row>
    <row r="1855" spans="2:17" hidden="1" x14ac:dyDescent="0.2">
      <c r="B1855" s="1">
        <v>83213</v>
      </c>
      <c r="C1855" s="1">
        <v>0</v>
      </c>
      <c r="G1855" s="1">
        <v>83213</v>
      </c>
      <c r="H1855" s="1">
        <v>0</v>
      </c>
      <c r="L1855" s="1">
        <v>83213</v>
      </c>
      <c r="M1855" s="1">
        <v>0</v>
      </c>
      <c r="P1855" s="1">
        <v>83213</v>
      </c>
      <c r="Q1855" s="1">
        <v>0</v>
      </c>
    </row>
    <row r="1856" spans="2:17" hidden="1" x14ac:dyDescent="0.2">
      <c r="B1856" s="1">
        <v>83214</v>
      </c>
      <c r="C1856" s="1">
        <v>0</v>
      </c>
      <c r="G1856" s="1">
        <v>83214</v>
      </c>
      <c r="H1856" s="1">
        <v>0</v>
      </c>
      <c r="L1856" s="1">
        <v>83214</v>
      </c>
      <c r="M1856" s="1">
        <v>0</v>
      </c>
      <c r="P1856" s="1">
        <v>83214</v>
      </c>
      <c r="Q1856" s="1">
        <v>0</v>
      </c>
    </row>
    <row r="1857" spans="2:17" hidden="1" x14ac:dyDescent="0.2">
      <c r="B1857" s="1">
        <v>83215</v>
      </c>
      <c r="C1857" s="1">
        <v>0</v>
      </c>
      <c r="G1857" s="1">
        <v>83215</v>
      </c>
      <c r="H1857" s="1">
        <v>0</v>
      </c>
      <c r="L1857" s="1">
        <v>83215</v>
      </c>
      <c r="M1857" s="1">
        <v>0</v>
      </c>
      <c r="P1857" s="1">
        <v>83215</v>
      </c>
      <c r="Q1857" s="1">
        <v>0</v>
      </c>
    </row>
    <row r="1858" spans="2:17" hidden="1" x14ac:dyDescent="0.2">
      <c r="B1858" s="1">
        <v>84192</v>
      </c>
      <c r="C1858" s="1">
        <v>0</v>
      </c>
      <c r="G1858" s="1">
        <v>84192</v>
      </c>
      <c r="H1858" s="1">
        <v>0</v>
      </c>
      <c r="L1858" s="1">
        <v>84192</v>
      </c>
      <c r="M1858" s="1">
        <v>0</v>
      </c>
      <c r="P1858" s="1">
        <v>84192</v>
      </c>
      <c r="Q1858" s="1">
        <v>0</v>
      </c>
    </row>
    <row r="1859" spans="2:17" hidden="1" x14ac:dyDescent="0.2">
      <c r="B1859" s="1">
        <v>84193</v>
      </c>
      <c r="C1859" s="1">
        <v>0</v>
      </c>
      <c r="G1859" s="1">
        <v>84193</v>
      </c>
      <c r="H1859" s="1">
        <v>0</v>
      </c>
      <c r="L1859" s="1">
        <v>84193</v>
      </c>
      <c r="M1859" s="1">
        <v>0</v>
      </c>
      <c r="P1859" s="1">
        <v>84193</v>
      </c>
      <c r="Q1859" s="1">
        <v>0</v>
      </c>
    </row>
    <row r="1860" spans="2:17" hidden="1" x14ac:dyDescent="0.2">
      <c r="B1860" s="1">
        <v>84194</v>
      </c>
      <c r="C1860" s="1">
        <v>0</v>
      </c>
      <c r="G1860" s="1">
        <v>84194</v>
      </c>
      <c r="H1860" s="1">
        <v>0</v>
      </c>
      <c r="L1860" s="1">
        <v>84194</v>
      </c>
      <c r="M1860" s="1">
        <v>0</v>
      </c>
      <c r="P1860" s="1">
        <v>84194</v>
      </c>
      <c r="Q1860" s="1">
        <v>0</v>
      </c>
    </row>
    <row r="1861" spans="2:17" hidden="1" x14ac:dyDescent="0.2">
      <c r="B1861" s="1">
        <v>84195</v>
      </c>
      <c r="C1861" s="1">
        <v>0</v>
      </c>
      <c r="G1861" s="1">
        <v>84195</v>
      </c>
      <c r="H1861" s="1">
        <v>0</v>
      </c>
      <c r="L1861" s="1">
        <v>84195</v>
      </c>
      <c r="M1861" s="1">
        <v>0</v>
      </c>
      <c r="P1861" s="1">
        <v>84195</v>
      </c>
      <c r="Q1861" s="1">
        <v>0</v>
      </c>
    </row>
    <row r="1862" spans="2:17" hidden="1" x14ac:dyDescent="0.2">
      <c r="B1862" s="1">
        <v>84196</v>
      </c>
      <c r="C1862" s="1">
        <v>0</v>
      </c>
      <c r="G1862" s="1">
        <v>84196</v>
      </c>
      <c r="H1862" s="1">
        <v>0</v>
      </c>
      <c r="L1862" s="1">
        <v>84196</v>
      </c>
      <c r="M1862" s="1">
        <v>0</v>
      </c>
      <c r="P1862" s="1">
        <v>84196</v>
      </c>
      <c r="Q1862" s="1">
        <v>0</v>
      </c>
    </row>
    <row r="1863" spans="2:17" hidden="1" x14ac:dyDescent="0.2">
      <c r="B1863" s="1">
        <v>84197</v>
      </c>
      <c r="C1863" s="1">
        <v>0</v>
      </c>
      <c r="G1863" s="1">
        <v>84197</v>
      </c>
      <c r="H1863" s="1">
        <v>0</v>
      </c>
      <c r="L1863" s="1">
        <v>84197</v>
      </c>
      <c r="M1863" s="1">
        <v>0</v>
      </c>
      <c r="P1863" s="1">
        <v>84197</v>
      </c>
      <c r="Q1863" s="1">
        <v>0</v>
      </c>
    </row>
    <row r="1864" spans="2:17" hidden="1" x14ac:dyDescent="0.2">
      <c r="B1864" s="1">
        <v>84198</v>
      </c>
      <c r="C1864" s="1">
        <v>0</v>
      </c>
      <c r="G1864" s="1">
        <v>84198</v>
      </c>
      <c r="H1864" s="1">
        <v>0</v>
      </c>
      <c r="L1864" s="1">
        <v>84198</v>
      </c>
      <c r="M1864" s="1">
        <v>0</v>
      </c>
      <c r="P1864" s="1">
        <v>84198</v>
      </c>
      <c r="Q1864" s="1">
        <v>0</v>
      </c>
    </row>
    <row r="1865" spans="2:17" hidden="1" x14ac:dyDescent="0.2">
      <c r="B1865" s="1">
        <v>84199</v>
      </c>
      <c r="C1865" s="1">
        <v>0</v>
      </c>
      <c r="G1865" s="1">
        <v>84199</v>
      </c>
      <c r="H1865" s="1">
        <v>0</v>
      </c>
      <c r="L1865" s="1">
        <v>84199</v>
      </c>
      <c r="M1865" s="1">
        <v>0</v>
      </c>
      <c r="P1865" s="1">
        <v>84199</v>
      </c>
      <c r="Q1865" s="1">
        <v>0</v>
      </c>
    </row>
    <row r="1866" spans="2:17" hidden="1" x14ac:dyDescent="0.2">
      <c r="B1866" s="1">
        <v>84200</v>
      </c>
      <c r="C1866" s="1">
        <v>0</v>
      </c>
      <c r="G1866" s="1">
        <v>84200</v>
      </c>
      <c r="H1866" s="1">
        <v>0</v>
      </c>
      <c r="L1866" s="1">
        <v>84200</v>
      </c>
      <c r="M1866" s="1">
        <v>0</v>
      </c>
      <c r="P1866" s="1">
        <v>84200</v>
      </c>
      <c r="Q1866" s="1">
        <v>0</v>
      </c>
    </row>
    <row r="1867" spans="2:17" hidden="1" x14ac:dyDescent="0.2">
      <c r="B1867" s="1">
        <v>84201</v>
      </c>
      <c r="C1867" s="1">
        <v>0</v>
      </c>
      <c r="G1867" s="1">
        <v>84201</v>
      </c>
      <c r="H1867" s="1">
        <v>0</v>
      </c>
      <c r="L1867" s="1">
        <v>84201</v>
      </c>
      <c r="M1867" s="1">
        <v>0</v>
      </c>
      <c r="P1867" s="1">
        <v>84201</v>
      </c>
      <c r="Q1867" s="1">
        <v>0</v>
      </c>
    </row>
    <row r="1868" spans="2:17" hidden="1" x14ac:dyDescent="0.2">
      <c r="B1868" s="1">
        <v>84202</v>
      </c>
      <c r="C1868" s="1">
        <v>0</v>
      </c>
      <c r="G1868" s="1">
        <v>84202</v>
      </c>
      <c r="H1868" s="1">
        <v>0</v>
      </c>
      <c r="L1868" s="1">
        <v>84202</v>
      </c>
      <c r="M1868" s="1">
        <v>0</v>
      </c>
      <c r="P1868" s="1">
        <v>84202</v>
      </c>
      <c r="Q1868" s="1">
        <v>0</v>
      </c>
    </row>
    <row r="1869" spans="2:17" hidden="1" x14ac:dyDescent="0.2">
      <c r="B1869" s="1">
        <v>84203</v>
      </c>
      <c r="C1869" s="1">
        <v>0</v>
      </c>
      <c r="G1869" s="1">
        <v>84203</v>
      </c>
      <c r="H1869" s="1">
        <v>0</v>
      </c>
      <c r="L1869" s="1">
        <v>84203</v>
      </c>
      <c r="M1869" s="1">
        <v>0</v>
      </c>
      <c r="P1869" s="1">
        <v>84203</v>
      </c>
      <c r="Q1869" s="1">
        <v>0</v>
      </c>
    </row>
    <row r="1870" spans="2:17" hidden="1" x14ac:dyDescent="0.2">
      <c r="B1870" s="1">
        <v>84204</v>
      </c>
      <c r="C1870" s="1">
        <v>0</v>
      </c>
      <c r="G1870" s="1">
        <v>84204</v>
      </c>
      <c r="H1870" s="1">
        <v>0</v>
      </c>
      <c r="L1870" s="1">
        <v>84204</v>
      </c>
      <c r="M1870" s="1">
        <v>0</v>
      </c>
      <c r="P1870" s="1">
        <v>84204</v>
      </c>
      <c r="Q1870" s="1">
        <v>0</v>
      </c>
    </row>
    <row r="1871" spans="2:17" hidden="1" x14ac:dyDescent="0.2">
      <c r="B1871" s="1">
        <v>84205</v>
      </c>
      <c r="C1871" s="1">
        <v>0</v>
      </c>
      <c r="G1871" s="1">
        <v>84205</v>
      </c>
      <c r="H1871" s="1">
        <v>0</v>
      </c>
      <c r="L1871" s="1">
        <v>84205</v>
      </c>
      <c r="M1871" s="1">
        <v>0</v>
      </c>
      <c r="P1871" s="1">
        <v>84205</v>
      </c>
      <c r="Q1871" s="1">
        <v>0</v>
      </c>
    </row>
    <row r="1872" spans="2:17" hidden="1" x14ac:dyDescent="0.2">
      <c r="B1872" s="1">
        <v>84206</v>
      </c>
      <c r="C1872" s="1">
        <v>0</v>
      </c>
      <c r="G1872" s="1">
        <v>84206</v>
      </c>
      <c r="H1872" s="1">
        <v>0</v>
      </c>
      <c r="L1872" s="1">
        <v>84206</v>
      </c>
      <c r="M1872" s="1">
        <v>0</v>
      </c>
      <c r="P1872" s="1">
        <v>84206</v>
      </c>
      <c r="Q1872" s="1">
        <v>0</v>
      </c>
    </row>
    <row r="1873" spans="2:17" hidden="1" x14ac:dyDescent="0.2">
      <c r="B1873" s="1">
        <v>84207</v>
      </c>
      <c r="C1873" s="1">
        <v>0</v>
      </c>
      <c r="G1873" s="1">
        <v>84207</v>
      </c>
      <c r="H1873" s="1">
        <v>0</v>
      </c>
      <c r="L1873" s="1">
        <v>84207</v>
      </c>
      <c r="M1873" s="1">
        <v>0</v>
      </c>
      <c r="P1873" s="1">
        <v>84207</v>
      </c>
      <c r="Q1873" s="1">
        <v>0</v>
      </c>
    </row>
    <row r="1874" spans="2:17" hidden="1" x14ac:dyDescent="0.2">
      <c r="B1874" s="1">
        <v>84208</v>
      </c>
      <c r="C1874" s="1">
        <v>0</v>
      </c>
      <c r="G1874" s="1">
        <v>84208</v>
      </c>
      <c r="H1874" s="1">
        <v>0</v>
      </c>
      <c r="L1874" s="1">
        <v>84208</v>
      </c>
      <c r="M1874" s="1">
        <v>0</v>
      </c>
      <c r="P1874" s="1">
        <v>84208</v>
      </c>
      <c r="Q1874" s="1">
        <v>0</v>
      </c>
    </row>
    <row r="1875" spans="2:17" hidden="1" x14ac:dyDescent="0.2">
      <c r="B1875" s="1">
        <v>84209</v>
      </c>
      <c r="C1875" s="1">
        <v>0</v>
      </c>
      <c r="G1875" s="1">
        <v>84209</v>
      </c>
      <c r="H1875" s="1">
        <v>0</v>
      </c>
      <c r="L1875" s="1">
        <v>84209</v>
      </c>
      <c r="M1875" s="1">
        <v>0</v>
      </c>
      <c r="P1875" s="1">
        <v>84209</v>
      </c>
      <c r="Q1875" s="1">
        <v>0</v>
      </c>
    </row>
    <row r="1876" spans="2:17" hidden="1" x14ac:dyDescent="0.2">
      <c r="B1876" s="1">
        <v>84210</v>
      </c>
      <c r="C1876" s="1">
        <v>0</v>
      </c>
      <c r="G1876" s="1">
        <v>84210</v>
      </c>
      <c r="H1876" s="1">
        <v>0</v>
      </c>
      <c r="L1876" s="1">
        <v>84210</v>
      </c>
      <c r="M1876" s="1">
        <v>0</v>
      </c>
      <c r="P1876" s="1">
        <v>84210</v>
      </c>
      <c r="Q1876" s="1">
        <v>0</v>
      </c>
    </row>
    <row r="1877" spans="2:17" hidden="1" x14ac:dyDescent="0.2">
      <c r="B1877" s="1">
        <v>84211</v>
      </c>
      <c r="C1877" s="1">
        <v>0</v>
      </c>
      <c r="G1877" s="1">
        <v>84211</v>
      </c>
      <c r="H1877" s="1">
        <v>0</v>
      </c>
      <c r="L1877" s="1">
        <v>84211</v>
      </c>
      <c r="M1877" s="1">
        <v>0</v>
      </c>
      <c r="P1877" s="1">
        <v>84211</v>
      </c>
      <c r="Q1877" s="1">
        <v>0</v>
      </c>
    </row>
    <row r="1878" spans="2:17" hidden="1" x14ac:dyDescent="0.2">
      <c r="B1878" s="1">
        <v>84212</v>
      </c>
      <c r="C1878" s="1">
        <v>0</v>
      </c>
      <c r="G1878" s="1">
        <v>84212</v>
      </c>
      <c r="H1878" s="1">
        <v>0</v>
      </c>
      <c r="L1878" s="1">
        <v>84212</v>
      </c>
      <c r="M1878" s="1">
        <v>0</v>
      </c>
      <c r="P1878" s="1">
        <v>84212</v>
      </c>
      <c r="Q1878" s="1">
        <v>0</v>
      </c>
    </row>
    <row r="1879" spans="2:17" hidden="1" x14ac:dyDescent="0.2">
      <c r="B1879" s="1">
        <v>84213</v>
      </c>
      <c r="C1879" s="1">
        <v>0</v>
      </c>
      <c r="G1879" s="1">
        <v>84213</v>
      </c>
      <c r="H1879" s="1">
        <v>0</v>
      </c>
      <c r="L1879" s="1">
        <v>84213</v>
      </c>
      <c r="M1879" s="1">
        <v>0</v>
      </c>
      <c r="P1879" s="1">
        <v>84213</v>
      </c>
      <c r="Q1879" s="1">
        <v>0</v>
      </c>
    </row>
    <row r="1880" spans="2:17" hidden="1" x14ac:dyDescent="0.2">
      <c r="B1880" s="1">
        <v>84214</v>
      </c>
      <c r="C1880" s="1">
        <v>0</v>
      </c>
      <c r="G1880" s="1">
        <v>84214</v>
      </c>
      <c r="H1880" s="1">
        <v>0</v>
      </c>
      <c r="L1880" s="1">
        <v>84214</v>
      </c>
      <c r="M1880" s="1">
        <v>0</v>
      </c>
      <c r="P1880" s="1">
        <v>84214</v>
      </c>
      <c r="Q1880" s="1">
        <v>0</v>
      </c>
    </row>
    <row r="1881" spans="2:17" hidden="1" x14ac:dyDescent="0.2">
      <c r="B1881" s="1">
        <v>84215</v>
      </c>
      <c r="C1881" s="1">
        <v>0</v>
      </c>
      <c r="G1881" s="1">
        <v>84215</v>
      </c>
      <c r="H1881" s="1">
        <v>0</v>
      </c>
      <c r="L1881" s="1">
        <v>84215</v>
      </c>
      <c r="M1881" s="1">
        <v>0</v>
      </c>
      <c r="P1881" s="1">
        <v>84215</v>
      </c>
      <c r="Q1881" s="1">
        <v>0</v>
      </c>
    </row>
    <row r="1882" spans="2:17" hidden="1" x14ac:dyDescent="0.2">
      <c r="B1882" s="1">
        <v>84216</v>
      </c>
      <c r="C1882" s="1">
        <v>0</v>
      </c>
      <c r="G1882" s="1">
        <v>84216</v>
      </c>
      <c r="H1882" s="1">
        <v>0</v>
      </c>
      <c r="L1882" s="1">
        <v>84216</v>
      </c>
      <c r="M1882" s="1">
        <v>0</v>
      </c>
      <c r="P1882" s="1">
        <v>84216</v>
      </c>
      <c r="Q1882" s="1">
        <v>0</v>
      </c>
    </row>
    <row r="1883" spans="2:17" hidden="1" x14ac:dyDescent="0.2">
      <c r="B1883" s="1">
        <v>84217</v>
      </c>
      <c r="C1883" s="1">
        <v>0</v>
      </c>
      <c r="G1883" s="1">
        <v>84217</v>
      </c>
      <c r="H1883" s="1">
        <v>0</v>
      </c>
      <c r="L1883" s="1">
        <v>84217</v>
      </c>
      <c r="M1883" s="1">
        <v>0</v>
      </c>
      <c r="P1883" s="1">
        <v>84217</v>
      </c>
      <c r="Q1883" s="1">
        <v>0</v>
      </c>
    </row>
    <row r="1884" spans="2:17" hidden="1" x14ac:dyDescent="0.2">
      <c r="B1884" s="1">
        <v>84218</v>
      </c>
      <c r="C1884" s="1">
        <v>0</v>
      </c>
      <c r="G1884" s="1">
        <v>84218</v>
      </c>
      <c r="H1884" s="1">
        <v>0</v>
      </c>
      <c r="L1884" s="1">
        <v>84218</v>
      </c>
      <c r="M1884" s="1">
        <v>0</v>
      </c>
      <c r="P1884" s="1">
        <v>84218</v>
      </c>
      <c r="Q1884" s="1">
        <v>0</v>
      </c>
    </row>
    <row r="1885" spans="2:17" hidden="1" x14ac:dyDescent="0.2">
      <c r="B1885" s="1">
        <v>85196</v>
      </c>
      <c r="C1885" s="1">
        <v>0</v>
      </c>
      <c r="G1885" s="1">
        <v>85196</v>
      </c>
      <c r="H1885" s="1">
        <v>0</v>
      </c>
      <c r="L1885" s="1">
        <v>85196</v>
      </c>
      <c r="M1885" s="1">
        <v>0</v>
      </c>
      <c r="P1885" s="1">
        <v>85196</v>
      </c>
      <c r="Q1885" s="1">
        <v>0</v>
      </c>
    </row>
    <row r="1886" spans="2:17" hidden="1" x14ac:dyDescent="0.2">
      <c r="B1886" s="1">
        <v>85197</v>
      </c>
      <c r="C1886" s="1">
        <v>0</v>
      </c>
      <c r="G1886" s="1">
        <v>85197</v>
      </c>
      <c r="H1886" s="1">
        <v>0</v>
      </c>
      <c r="L1886" s="1">
        <v>85197</v>
      </c>
      <c r="M1886" s="1">
        <v>0</v>
      </c>
      <c r="P1886" s="1">
        <v>85197</v>
      </c>
      <c r="Q1886" s="1">
        <v>0</v>
      </c>
    </row>
    <row r="1887" spans="2:17" hidden="1" x14ac:dyDescent="0.2">
      <c r="B1887" s="1">
        <v>85198</v>
      </c>
      <c r="C1887" s="1">
        <v>0</v>
      </c>
      <c r="G1887" s="1">
        <v>85198</v>
      </c>
      <c r="H1887" s="1">
        <v>0</v>
      </c>
      <c r="L1887" s="1">
        <v>85198</v>
      </c>
      <c r="M1887" s="1">
        <v>0</v>
      </c>
      <c r="P1887" s="1">
        <v>85198</v>
      </c>
      <c r="Q1887" s="1">
        <v>0</v>
      </c>
    </row>
    <row r="1888" spans="2:17" hidden="1" x14ac:dyDescent="0.2">
      <c r="B1888" s="1">
        <v>85199</v>
      </c>
      <c r="C1888" s="1">
        <v>0</v>
      </c>
      <c r="G1888" s="1">
        <v>85199</v>
      </c>
      <c r="H1888" s="1">
        <v>0</v>
      </c>
      <c r="L1888" s="1">
        <v>85199</v>
      </c>
      <c r="M1888" s="1">
        <v>0</v>
      </c>
      <c r="P1888" s="1">
        <v>85199</v>
      </c>
      <c r="Q1888" s="1">
        <v>0</v>
      </c>
    </row>
    <row r="1889" spans="2:17" hidden="1" x14ac:dyDescent="0.2">
      <c r="B1889" s="1">
        <v>85200</v>
      </c>
      <c r="C1889" s="1">
        <v>0</v>
      </c>
      <c r="G1889" s="1">
        <v>85200</v>
      </c>
      <c r="H1889" s="1">
        <v>0</v>
      </c>
      <c r="L1889" s="1">
        <v>85200</v>
      </c>
      <c r="M1889" s="1">
        <v>0</v>
      </c>
      <c r="P1889" s="1">
        <v>85200</v>
      </c>
      <c r="Q1889" s="1">
        <v>0</v>
      </c>
    </row>
    <row r="1890" spans="2:17" hidden="1" x14ac:dyDescent="0.2">
      <c r="B1890" s="1">
        <v>85201</v>
      </c>
      <c r="C1890" s="1">
        <v>0</v>
      </c>
      <c r="G1890" s="1">
        <v>85201</v>
      </c>
      <c r="H1890" s="1">
        <v>0</v>
      </c>
      <c r="L1890" s="1">
        <v>85201</v>
      </c>
      <c r="M1890" s="1">
        <v>0</v>
      </c>
      <c r="P1890" s="1">
        <v>85201</v>
      </c>
      <c r="Q1890" s="1">
        <v>0</v>
      </c>
    </row>
    <row r="1891" spans="2:17" hidden="1" x14ac:dyDescent="0.2">
      <c r="B1891" s="1">
        <v>85202</v>
      </c>
      <c r="C1891" s="1">
        <v>0</v>
      </c>
      <c r="G1891" s="1">
        <v>85202</v>
      </c>
      <c r="H1891" s="1">
        <v>0</v>
      </c>
      <c r="L1891" s="1">
        <v>85202</v>
      </c>
      <c r="M1891" s="1">
        <v>0</v>
      </c>
      <c r="P1891" s="1">
        <v>85202</v>
      </c>
      <c r="Q1891" s="1">
        <v>0</v>
      </c>
    </row>
    <row r="1892" spans="2:17" hidden="1" x14ac:dyDescent="0.2">
      <c r="B1892" s="1">
        <v>85203</v>
      </c>
      <c r="C1892" s="1">
        <v>0</v>
      </c>
      <c r="G1892" s="1">
        <v>85203</v>
      </c>
      <c r="H1892" s="1">
        <v>0</v>
      </c>
      <c r="L1892" s="1">
        <v>85203</v>
      </c>
      <c r="M1892" s="1">
        <v>0</v>
      </c>
      <c r="P1892" s="1">
        <v>85203</v>
      </c>
      <c r="Q1892" s="1">
        <v>0</v>
      </c>
    </row>
    <row r="1893" spans="2:17" hidden="1" x14ac:dyDescent="0.2">
      <c r="B1893" s="1">
        <v>85204</v>
      </c>
      <c r="C1893" s="1">
        <v>0</v>
      </c>
      <c r="G1893" s="1">
        <v>85204</v>
      </c>
      <c r="H1893" s="1">
        <v>0</v>
      </c>
      <c r="L1893" s="1">
        <v>85204</v>
      </c>
      <c r="M1893" s="1">
        <v>0</v>
      </c>
      <c r="P1893" s="1">
        <v>85204</v>
      </c>
      <c r="Q1893" s="1">
        <v>0</v>
      </c>
    </row>
    <row r="1894" spans="2:17" hidden="1" x14ac:dyDescent="0.2">
      <c r="B1894" s="1">
        <v>85205</v>
      </c>
      <c r="C1894" s="1">
        <v>0</v>
      </c>
      <c r="G1894" s="1">
        <v>85205</v>
      </c>
      <c r="H1894" s="1">
        <v>0</v>
      </c>
      <c r="L1894" s="1">
        <v>85205</v>
      </c>
      <c r="M1894" s="1">
        <v>0</v>
      </c>
      <c r="P1894" s="1">
        <v>85205</v>
      </c>
      <c r="Q1894" s="1">
        <v>0</v>
      </c>
    </row>
    <row r="1895" spans="2:17" hidden="1" x14ac:dyDescent="0.2">
      <c r="B1895" s="1">
        <v>85206</v>
      </c>
      <c r="C1895" s="1">
        <v>0</v>
      </c>
      <c r="G1895" s="1">
        <v>85206</v>
      </c>
      <c r="H1895" s="1">
        <v>0</v>
      </c>
      <c r="L1895" s="1">
        <v>85206</v>
      </c>
      <c r="M1895" s="1">
        <v>0</v>
      </c>
      <c r="P1895" s="1">
        <v>85206</v>
      </c>
      <c r="Q1895" s="1">
        <v>0</v>
      </c>
    </row>
    <row r="1896" spans="2:17" hidden="1" x14ac:dyDescent="0.2">
      <c r="B1896" s="1">
        <v>85207</v>
      </c>
      <c r="C1896" s="1">
        <v>0</v>
      </c>
      <c r="G1896" s="1">
        <v>85207</v>
      </c>
      <c r="H1896" s="1">
        <v>0</v>
      </c>
      <c r="L1896" s="1">
        <v>85207</v>
      </c>
      <c r="M1896" s="1">
        <v>0</v>
      </c>
      <c r="P1896" s="1">
        <v>85207</v>
      </c>
      <c r="Q1896" s="1">
        <v>0</v>
      </c>
    </row>
    <row r="1897" spans="2:17" hidden="1" x14ac:dyDescent="0.2">
      <c r="B1897" s="1">
        <v>85208</v>
      </c>
      <c r="C1897" s="1">
        <v>0</v>
      </c>
      <c r="G1897" s="1">
        <v>85208</v>
      </c>
      <c r="H1897" s="1">
        <v>0</v>
      </c>
      <c r="L1897" s="1">
        <v>85208</v>
      </c>
      <c r="M1897" s="1">
        <v>0</v>
      </c>
      <c r="P1897" s="1">
        <v>85208</v>
      </c>
      <c r="Q1897" s="1">
        <v>0</v>
      </c>
    </row>
    <row r="1898" spans="2:17" hidden="1" x14ac:dyDescent="0.2">
      <c r="B1898" s="1">
        <v>85209</v>
      </c>
      <c r="C1898" s="1">
        <v>0</v>
      </c>
      <c r="G1898" s="1">
        <v>85209</v>
      </c>
      <c r="H1898" s="1">
        <v>0</v>
      </c>
      <c r="L1898" s="1">
        <v>85209</v>
      </c>
      <c r="M1898" s="1">
        <v>0</v>
      </c>
      <c r="P1898" s="1">
        <v>85209</v>
      </c>
      <c r="Q1898" s="1">
        <v>0</v>
      </c>
    </row>
    <row r="1899" spans="2:17" hidden="1" x14ac:dyDescent="0.2">
      <c r="B1899" s="1">
        <v>85210</v>
      </c>
      <c r="C1899" s="1">
        <v>0</v>
      </c>
      <c r="G1899" s="1">
        <v>85210</v>
      </c>
      <c r="H1899" s="1">
        <v>0</v>
      </c>
      <c r="L1899" s="1">
        <v>85210</v>
      </c>
      <c r="M1899" s="1">
        <v>0</v>
      </c>
      <c r="P1899" s="1">
        <v>85210</v>
      </c>
      <c r="Q1899" s="1">
        <v>0</v>
      </c>
    </row>
    <row r="1900" spans="2:17" hidden="1" x14ac:dyDescent="0.2">
      <c r="B1900" s="1">
        <v>85211</v>
      </c>
      <c r="C1900" s="1">
        <v>0</v>
      </c>
      <c r="G1900" s="1">
        <v>85211</v>
      </c>
      <c r="H1900" s="1">
        <v>0</v>
      </c>
      <c r="L1900" s="1">
        <v>85211</v>
      </c>
      <c r="M1900" s="1">
        <v>0</v>
      </c>
      <c r="P1900" s="1">
        <v>85211</v>
      </c>
      <c r="Q1900" s="1">
        <v>0</v>
      </c>
    </row>
    <row r="1901" spans="2:17" hidden="1" x14ac:dyDescent="0.2">
      <c r="B1901" s="1">
        <v>85212</v>
      </c>
      <c r="C1901" s="1">
        <v>0</v>
      </c>
      <c r="G1901" s="1">
        <v>85212</v>
      </c>
      <c r="H1901" s="1">
        <v>0</v>
      </c>
      <c r="L1901" s="1">
        <v>85212</v>
      </c>
      <c r="M1901" s="1">
        <v>0</v>
      </c>
      <c r="P1901" s="1">
        <v>85212</v>
      </c>
      <c r="Q1901" s="1">
        <v>0</v>
      </c>
    </row>
    <row r="1902" spans="2:17" hidden="1" x14ac:dyDescent="0.2">
      <c r="B1902" s="1">
        <v>85213</v>
      </c>
      <c r="C1902" s="1">
        <v>0</v>
      </c>
      <c r="G1902" s="1">
        <v>85213</v>
      </c>
      <c r="H1902" s="1">
        <v>0</v>
      </c>
      <c r="L1902" s="1">
        <v>85213</v>
      </c>
      <c r="M1902" s="1">
        <v>0</v>
      </c>
      <c r="P1902" s="1">
        <v>85213</v>
      </c>
      <c r="Q1902" s="1">
        <v>0</v>
      </c>
    </row>
    <row r="1903" spans="2:17" hidden="1" x14ac:dyDescent="0.2">
      <c r="B1903" s="1">
        <v>85214</v>
      </c>
      <c r="C1903" s="1">
        <v>0</v>
      </c>
      <c r="G1903" s="1">
        <v>85214</v>
      </c>
      <c r="H1903" s="1">
        <v>0</v>
      </c>
      <c r="L1903" s="1">
        <v>85214</v>
      </c>
      <c r="M1903" s="1">
        <v>0</v>
      </c>
      <c r="P1903" s="1">
        <v>85214</v>
      </c>
      <c r="Q1903" s="1">
        <v>0</v>
      </c>
    </row>
    <row r="1904" spans="2:17" hidden="1" x14ac:dyDescent="0.2">
      <c r="B1904" s="1">
        <v>85215</v>
      </c>
      <c r="C1904" s="1">
        <v>0</v>
      </c>
      <c r="G1904" s="1">
        <v>85215</v>
      </c>
      <c r="H1904" s="1">
        <v>0</v>
      </c>
      <c r="L1904" s="1">
        <v>85215</v>
      </c>
      <c r="M1904" s="1">
        <v>0</v>
      </c>
      <c r="P1904" s="1">
        <v>85215</v>
      </c>
      <c r="Q1904" s="1">
        <v>0</v>
      </c>
    </row>
    <row r="1905" spans="2:17" hidden="1" x14ac:dyDescent="0.2">
      <c r="B1905" s="1">
        <v>85216</v>
      </c>
      <c r="C1905" s="1">
        <v>0</v>
      </c>
      <c r="G1905" s="1">
        <v>85216</v>
      </c>
      <c r="H1905" s="1">
        <v>0</v>
      </c>
      <c r="L1905" s="1">
        <v>85216</v>
      </c>
      <c r="M1905" s="1">
        <v>0</v>
      </c>
      <c r="P1905" s="1">
        <v>85216</v>
      </c>
      <c r="Q1905" s="1">
        <v>0</v>
      </c>
    </row>
    <row r="1906" spans="2:17" hidden="1" x14ac:dyDescent="0.2">
      <c r="B1906" s="1">
        <v>85217</v>
      </c>
      <c r="C1906" s="1">
        <v>0</v>
      </c>
      <c r="G1906" s="1">
        <v>85217</v>
      </c>
      <c r="H1906" s="1">
        <v>0</v>
      </c>
      <c r="L1906" s="1">
        <v>85217</v>
      </c>
      <c r="M1906" s="1">
        <v>0</v>
      </c>
      <c r="P1906" s="1">
        <v>85217</v>
      </c>
      <c r="Q1906" s="1">
        <v>0</v>
      </c>
    </row>
    <row r="1907" spans="2:17" hidden="1" x14ac:dyDescent="0.2">
      <c r="B1907" s="1">
        <v>85218</v>
      </c>
      <c r="C1907" s="1">
        <v>0</v>
      </c>
      <c r="G1907" s="1">
        <v>85218</v>
      </c>
      <c r="H1907" s="1">
        <v>0</v>
      </c>
      <c r="L1907" s="1">
        <v>85218</v>
      </c>
      <c r="M1907" s="1">
        <v>0</v>
      </c>
      <c r="P1907" s="1">
        <v>85218</v>
      </c>
      <c r="Q1907" s="1">
        <v>0</v>
      </c>
    </row>
    <row r="1908" spans="2:17" hidden="1" x14ac:dyDescent="0.2">
      <c r="B1908" s="1">
        <v>85219</v>
      </c>
      <c r="C1908" s="1">
        <v>0</v>
      </c>
      <c r="G1908" s="1">
        <v>85219</v>
      </c>
      <c r="H1908" s="1">
        <v>0</v>
      </c>
      <c r="L1908" s="1">
        <v>85219</v>
      </c>
      <c r="M1908" s="1">
        <v>0</v>
      </c>
      <c r="P1908" s="1">
        <v>85219</v>
      </c>
      <c r="Q1908" s="1">
        <v>0</v>
      </c>
    </row>
    <row r="1909" spans="2:17" hidden="1" x14ac:dyDescent="0.2">
      <c r="B1909" s="1">
        <v>86199</v>
      </c>
      <c r="C1909" s="1">
        <v>0</v>
      </c>
      <c r="G1909" s="1">
        <v>86199</v>
      </c>
      <c r="H1909" s="1">
        <v>0</v>
      </c>
      <c r="L1909" s="1">
        <v>86199</v>
      </c>
      <c r="M1909" s="1">
        <v>0</v>
      </c>
      <c r="P1909" s="1">
        <v>86199</v>
      </c>
      <c r="Q1909" s="1">
        <v>0</v>
      </c>
    </row>
    <row r="1910" spans="2:17" hidden="1" x14ac:dyDescent="0.2">
      <c r="B1910" s="1">
        <v>86200</v>
      </c>
      <c r="C1910" s="1">
        <v>0</v>
      </c>
      <c r="G1910" s="1">
        <v>86200</v>
      </c>
      <c r="H1910" s="1">
        <v>0</v>
      </c>
      <c r="L1910" s="1">
        <v>86200</v>
      </c>
      <c r="M1910" s="1">
        <v>0</v>
      </c>
      <c r="P1910" s="1">
        <v>86200</v>
      </c>
      <c r="Q1910" s="1">
        <v>0</v>
      </c>
    </row>
    <row r="1911" spans="2:17" hidden="1" x14ac:dyDescent="0.2">
      <c r="B1911" s="1">
        <v>86201</v>
      </c>
      <c r="C1911" s="1">
        <v>0</v>
      </c>
      <c r="G1911" s="1">
        <v>86201</v>
      </c>
      <c r="H1911" s="1">
        <v>0</v>
      </c>
      <c r="L1911" s="1">
        <v>86201</v>
      </c>
      <c r="M1911" s="1">
        <v>0</v>
      </c>
      <c r="P1911" s="1">
        <v>86201</v>
      </c>
      <c r="Q1911" s="1">
        <v>0</v>
      </c>
    </row>
    <row r="1912" spans="2:17" hidden="1" x14ac:dyDescent="0.2">
      <c r="B1912" s="1">
        <v>86202</v>
      </c>
      <c r="C1912" s="1">
        <v>0</v>
      </c>
      <c r="G1912" s="1">
        <v>86202</v>
      </c>
      <c r="H1912" s="1">
        <v>0</v>
      </c>
      <c r="L1912" s="1">
        <v>86202</v>
      </c>
      <c r="M1912" s="1">
        <v>0</v>
      </c>
      <c r="P1912" s="1">
        <v>86202</v>
      </c>
      <c r="Q1912" s="1">
        <v>0</v>
      </c>
    </row>
    <row r="1913" spans="2:17" hidden="1" x14ac:dyDescent="0.2">
      <c r="B1913" s="1">
        <v>86203</v>
      </c>
      <c r="C1913" s="1">
        <v>0</v>
      </c>
      <c r="G1913" s="1">
        <v>86203</v>
      </c>
      <c r="H1913" s="1">
        <v>0</v>
      </c>
      <c r="L1913" s="1">
        <v>86203</v>
      </c>
      <c r="M1913" s="1">
        <v>0</v>
      </c>
      <c r="P1913" s="1">
        <v>86203</v>
      </c>
      <c r="Q1913" s="1">
        <v>0</v>
      </c>
    </row>
    <row r="1914" spans="2:17" hidden="1" x14ac:dyDescent="0.2">
      <c r="B1914" s="1">
        <v>86204</v>
      </c>
      <c r="C1914" s="1">
        <v>0</v>
      </c>
      <c r="G1914" s="1">
        <v>86204</v>
      </c>
      <c r="H1914" s="1">
        <v>0</v>
      </c>
      <c r="L1914" s="1">
        <v>86204</v>
      </c>
      <c r="M1914" s="1">
        <v>0</v>
      </c>
      <c r="P1914" s="1">
        <v>86204</v>
      </c>
      <c r="Q1914" s="1">
        <v>0</v>
      </c>
    </row>
    <row r="1915" spans="2:17" hidden="1" x14ac:dyDescent="0.2">
      <c r="B1915" s="1">
        <v>86205</v>
      </c>
      <c r="C1915" s="1">
        <v>0</v>
      </c>
      <c r="G1915" s="1">
        <v>86205</v>
      </c>
      <c r="H1915" s="1">
        <v>0</v>
      </c>
      <c r="L1915" s="1">
        <v>86205</v>
      </c>
      <c r="M1915" s="1">
        <v>0</v>
      </c>
      <c r="P1915" s="1">
        <v>86205</v>
      </c>
      <c r="Q1915" s="1">
        <v>0</v>
      </c>
    </row>
    <row r="1916" spans="2:17" hidden="1" x14ac:dyDescent="0.2">
      <c r="B1916" s="1">
        <v>86206</v>
      </c>
      <c r="C1916" s="1">
        <v>0</v>
      </c>
      <c r="G1916" s="1">
        <v>86206</v>
      </c>
      <c r="H1916" s="1">
        <v>0</v>
      </c>
      <c r="L1916" s="1">
        <v>86206</v>
      </c>
      <c r="M1916" s="1">
        <v>0</v>
      </c>
      <c r="P1916" s="1">
        <v>86206</v>
      </c>
      <c r="Q1916" s="1">
        <v>0</v>
      </c>
    </row>
    <row r="1917" spans="2:17" hidden="1" x14ac:dyDescent="0.2">
      <c r="B1917" s="1">
        <v>86207</v>
      </c>
      <c r="C1917" s="1">
        <v>0</v>
      </c>
      <c r="G1917" s="1">
        <v>86207</v>
      </c>
      <c r="H1917" s="1">
        <v>0</v>
      </c>
      <c r="L1917" s="1">
        <v>86207</v>
      </c>
      <c r="M1917" s="1">
        <v>0</v>
      </c>
      <c r="P1917" s="1">
        <v>86207</v>
      </c>
      <c r="Q1917" s="1">
        <v>0</v>
      </c>
    </row>
    <row r="1918" spans="2:17" hidden="1" x14ac:dyDescent="0.2">
      <c r="B1918" s="1">
        <v>86208</v>
      </c>
      <c r="C1918" s="1">
        <v>0</v>
      </c>
      <c r="G1918" s="1">
        <v>86208</v>
      </c>
      <c r="H1918" s="1">
        <v>0</v>
      </c>
      <c r="L1918" s="1">
        <v>86208</v>
      </c>
      <c r="M1918" s="1">
        <v>0</v>
      </c>
      <c r="P1918" s="1">
        <v>86208</v>
      </c>
      <c r="Q1918" s="1">
        <v>0</v>
      </c>
    </row>
    <row r="1919" spans="2:17" hidden="1" x14ac:dyDescent="0.2">
      <c r="B1919" s="1">
        <v>86209</v>
      </c>
      <c r="C1919" s="1">
        <v>0</v>
      </c>
      <c r="G1919" s="1">
        <v>86209</v>
      </c>
      <c r="H1919" s="1">
        <v>0</v>
      </c>
      <c r="L1919" s="1">
        <v>86209</v>
      </c>
      <c r="M1919" s="1">
        <v>0</v>
      </c>
      <c r="P1919" s="1">
        <v>86209</v>
      </c>
      <c r="Q1919" s="1">
        <v>0</v>
      </c>
    </row>
    <row r="1920" spans="2:17" hidden="1" x14ac:dyDescent="0.2">
      <c r="B1920" s="1">
        <v>86210</v>
      </c>
      <c r="C1920" s="1">
        <v>0</v>
      </c>
      <c r="G1920" s="1">
        <v>86210</v>
      </c>
      <c r="H1920" s="1">
        <v>0</v>
      </c>
      <c r="L1920" s="1">
        <v>86210</v>
      </c>
      <c r="M1920" s="1">
        <v>0</v>
      </c>
      <c r="P1920" s="1">
        <v>86210</v>
      </c>
      <c r="Q1920" s="1">
        <v>0</v>
      </c>
    </row>
    <row r="1921" spans="2:17" hidden="1" x14ac:dyDescent="0.2">
      <c r="B1921" s="1">
        <v>86211</v>
      </c>
      <c r="C1921" s="1">
        <v>0</v>
      </c>
      <c r="G1921" s="1">
        <v>86211</v>
      </c>
      <c r="H1921" s="1">
        <v>0</v>
      </c>
      <c r="L1921" s="1">
        <v>86211</v>
      </c>
      <c r="M1921" s="1">
        <v>0</v>
      </c>
      <c r="P1921" s="1">
        <v>86211</v>
      </c>
      <c r="Q1921" s="1">
        <v>0</v>
      </c>
    </row>
    <row r="1922" spans="2:17" hidden="1" x14ac:dyDescent="0.2">
      <c r="B1922" s="1">
        <v>86212</v>
      </c>
      <c r="C1922" s="1">
        <v>0</v>
      </c>
      <c r="G1922" s="1">
        <v>86212</v>
      </c>
      <c r="H1922" s="1">
        <v>0</v>
      </c>
      <c r="L1922" s="1">
        <v>86212</v>
      </c>
      <c r="M1922" s="1">
        <v>0</v>
      </c>
      <c r="P1922" s="1">
        <v>86212</v>
      </c>
      <c r="Q1922" s="1">
        <v>0</v>
      </c>
    </row>
    <row r="1923" spans="2:17" hidden="1" x14ac:dyDescent="0.2">
      <c r="B1923" s="1">
        <v>86213</v>
      </c>
      <c r="C1923" s="1">
        <v>0</v>
      </c>
      <c r="G1923" s="1">
        <v>86213</v>
      </c>
      <c r="H1923" s="1">
        <v>0</v>
      </c>
      <c r="L1923" s="1">
        <v>86213</v>
      </c>
      <c r="M1923" s="1">
        <v>0</v>
      </c>
      <c r="P1923" s="1">
        <v>86213</v>
      </c>
      <c r="Q1923" s="1">
        <v>0</v>
      </c>
    </row>
    <row r="1924" spans="2:17" hidden="1" x14ac:dyDescent="0.2">
      <c r="B1924" s="1">
        <v>86214</v>
      </c>
      <c r="C1924" s="1">
        <v>0</v>
      </c>
      <c r="G1924" s="1">
        <v>86214</v>
      </c>
      <c r="H1924" s="1">
        <v>0</v>
      </c>
      <c r="L1924" s="1">
        <v>86214</v>
      </c>
      <c r="M1924" s="1">
        <v>0</v>
      </c>
      <c r="P1924" s="1">
        <v>86214</v>
      </c>
      <c r="Q1924" s="1">
        <v>0</v>
      </c>
    </row>
    <row r="1925" spans="2:17" hidden="1" x14ac:dyDescent="0.2">
      <c r="B1925" s="1">
        <v>86215</v>
      </c>
      <c r="C1925" s="1">
        <v>0</v>
      </c>
      <c r="G1925" s="1">
        <v>86215</v>
      </c>
      <c r="H1925" s="1">
        <v>0</v>
      </c>
      <c r="L1925" s="1">
        <v>86215</v>
      </c>
      <c r="M1925" s="1">
        <v>0</v>
      </c>
      <c r="P1925" s="1">
        <v>86215</v>
      </c>
      <c r="Q1925" s="1">
        <v>0</v>
      </c>
    </row>
    <row r="1926" spans="2:17" hidden="1" x14ac:dyDescent="0.2">
      <c r="B1926" s="1">
        <v>86216</v>
      </c>
      <c r="C1926" s="1">
        <v>0</v>
      </c>
      <c r="G1926" s="1">
        <v>86216</v>
      </c>
      <c r="H1926" s="1">
        <v>0</v>
      </c>
      <c r="L1926" s="1">
        <v>86216</v>
      </c>
      <c r="M1926" s="1">
        <v>0</v>
      </c>
      <c r="P1926" s="1">
        <v>86216</v>
      </c>
      <c r="Q1926" s="1">
        <v>0</v>
      </c>
    </row>
    <row r="1927" spans="2:17" hidden="1" x14ac:dyDescent="0.2">
      <c r="B1927" s="1">
        <v>86217</v>
      </c>
      <c r="C1927" s="1">
        <v>0</v>
      </c>
      <c r="G1927" s="1">
        <v>86217</v>
      </c>
      <c r="H1927" s="1">
        <v>0</v>
      </c>
      <c r="L1927" s="1">
        <v>86217</v>
      </c>
      <c r="M1927" s="1">
        <v>0</v>
      </c>
      <c r="P1927" s="1">
        <v>86217</v>
      </c>
      <c r="Q1927" s="1">
        <v>0</v>
      </c>
    </row>
    <row r="1928" spans="2:17" hidden="1" x14ac:dyDescent="0.2">
      <c r="B1928" s="1">
        <v>86218</v>
      </c>
      <c r="C1928" s="1">
        <v>0</v>
      </c>
      <c r="G1928" s="1">
        <v>86218</v>
      </c>
      <c r="H1928" s="1">
        <v>0</v>
      </c>
      <c r="L1928" s="1">
        <v>86218</v>
      </c>
      <c r="M1928" s="1">
        <v>0</v>
      </c>
      <c r="P1928" s="1">
        <v>86218</v>
      </c>
      <c r="Q1928" s="1">
        <v>0</v>
      </c>
    </row>
    <row r="1929" spans="2:17" hidden="1" x14ac:dyDescent="0.2">
      <c r="B1929" s="1">
        <v>86219</v>
      </c>
      <c r="C1929" s="1">
        <v>0</v>
      </c>
      <c r="G1929" s="1">
        <v>86219</v>
      </c>
      <c r="H1929" s="1">
        <v>0</v>
      </c>
      <c r="L1929" s="1">
        <v>86219</v>
      </c>
      <c r="M1929" s="1">
        <v>0</v>
      </c>
      <c r="P1929" s="1">
        <v>86219</v>
      </c>
      <c r="Q1929" s="1">
        <v>0</v>
      </c>
    </row>
    <row r="1930" spans="2:17" hidden="1" x14ac:dyDescent="0.2">
      <c r="B1930" s="1">
        <v>86220</v>
      </c>
      <c r="C1930" s="1">
        <v>0</v>
      </c>
      <c r="G1930" s="1">
        <v>86220</v>
      </c>
      <c r="H1930" s="1">
        <v>0</v>
      </c>
      <c r="L1930" s="1">
        <v>86220</v>
      </c>
      <c r="M1930" s="1">
        <v>0</v>
      </c>
      <c r="P1930" s="1">
        <v>86220</v>
      </c>
      <c r="Q1930" s="1">
        <v>0</v>
      </c>
    </row>
    <row r="1931" spans="2:17" hidden="1" x14ac:dyDescent="0.2">
      <c r="B1931" s="1">
        <v>86221</v>
      </c>
      <c r="C1931" s="1">
        <v>0</v>
      </c>
      <c r="G1931" s="1">
        <v>86221</v>
      </c>
      <c r="H1931" s="1">
        <v>0</v>
      </c>
      <c r="L1931" s="1">
        <v>86221</v>
      </c>
      <c r="M1931" s="1">
        <v>0</v>
      </c>
      <c r="P1931" s="1">
        <v>86221</v>
      </c>
      <c r="Q1931" s="1">
        <v>0</v>
      </c>
    </row>
    <row r="1932" spans="2:17" hidden="1" x14ac:dyDescent="0.2">
      <c r="B1932" s="1">
        <v>86222</v>
      </c>
      <c r="C1932" s="1">
        <v>0</v>
      </c>
      <c r="G1932" s="1">
        <v>86222</v>
      </c>
      <c r="H1932" s="1">
        <v>0</v>
      </c>
      <c r="L1932" s="1">
        <v>86222</v>
      </c>
      <c r="M1932" s="1">
        <v>0</v>
      </c>
      <c r="P1932" s="1">
        <v>86222</v>
      </c>
      <c r="Q1932" s="1">
        <v>0</v>
      </c>
    </row>
    <row r="1933" spans="2:17" hidden="1" x14ac:dyDescent="0.2">
      <c r="B1933" s="1">
        <v>86223</v>
      </c>
      <c r="C1933" s="1">
        <v>0</v>
      </c>
      <c r="G1933" s="1">
        <v>86223</v>
      </c>
      <c r="H1933" s="1">
        <v>0</v>
      </c>
      <c r="L1933" s="1">
        <v>86223</v>
      </c>
      <c r="M1933" s="1">
        <v>0</v>
      </c>
      <c r="P1933" s="1">
        <v>86223</v>
      </c>
      <c r="Q1933" s="1">
        <v>0</v>
      </c>
    </row>
    <row r="1934" spans="2:17" hidden="1" x14ac:dyDescent="0.2">
      <c r="B1934" s="1">
        <v>86224</v>
      </c>
      <c r="C1934" s="1">
        <v>0</v>
      </c>
      <c r="G1934" s="1">
        <v>86224</v>
      </c>
      <c r="H1934" s="1">
        <v>0</v>
      </c>
      <c r="L1934" s="1">
        <v>86224</v>
      </c>
      <c r="M1934" s="1">
        <v>0</v>
      </c>
      <c r="P1934" s="1">
        <v>86224</v>
      </c>
      <c r="Q1934" s="1">
        <v>0</v>
      </c>
    </row>
    <row r="1935" spans="2:17" hidden="1" x14ac:dyDescent="0.2">
      <c r="B1935" s="1">
        <v>86225</v>
      </c>
      <c r="C1935" s="1">
        <v>0</v>
      </c>
      <c r="G1935" s="1">
        <v>86225</v>
      </c>
      <c r="H1935" s="1">
        <v>0</v>
      </c>
      <c r="L1935" s="1">
        <v>86225</v>
      </c>
      <c r="M1935" s="1">
        <v>0</v>
      </c>
      <c r="P1935" s="1">
        <v>86225</v>
      </c>
      <c r="Q1935" s="1">
        <v>0</v>
      </c>
    </row>
    <row r="1936" spans="2:17" hidden="1" x14ac:dyDescent="0.2">
      <c r="B1936" s="1">
        <v>86226</v>
      </c>
      <c r="C1936" s="1">
        <v>0</v>
      </c>
      <c r="G1936" s="1">
        <v>86226</v>
      </c>
      <c r="H1936" s="1">
        <v>0</v>
      </c>
      <c r="L1936" s="1">
        <v>86226</v>
      </c>
      <c r="M1936" s="1">
        <v>0</v>
      </c>
      <c r="P1936" s="1">
        <v>86226</v>
      </c>
      <c r="Q1936" s="1">
        <v>0</v>
      </c>
    </row>
    <row r="1937" spans="2:17" hidden="1" x14ac:dyDescent="0.2">
      <c r="B1937" s="1">
        <v>87201</v>
      </c>
      <c r="C1937" s="1">
        <v>0</v>
      </c>
      <c r="G1937" s="1">
        <v>87201</v>
      </c>
      <c r="H1937" s="1">
        <v>0</v>
      </c>
      <c r="L1937" s="1">
        <v>87201</v>
      </c>
      <c r="M1937" s="1">
        <v>0</v>
      </c>
      <c r="P1937" s="1">
        <v>87201</v>
      </c>
      <c r="Q1937" s="1">
        <v>0</v>
      </c>
    </row>
    <row r="1938" spans="2:17" hidden="1" x14ac:dyDescent="0.2">
      <c r="B1938" s="1">
        <v>87202</v>
      </c>
      <c r="C1938" s="1">
        <v>0</v>
      </c>
      <c r="G1938" s="1">
        <v>87202</v>
      </c>
      <c r="H1938" s="1">
        <v>0</v>
      </c>
      <c r="L1938" s="1">
        <v>87202</v>
      </c>
      <c r="M1938" s="1">
        <v>0</v>
      </c>
      <c r="P1938" s="1">
        <v>87202</v>
      </c>
      <c r="Q1938" s="1">
        <v>0</v>
      </c>
    </row>
    <row r="1939" spans="2:17" hidden="1" x14ac:dyDescent="0.2">
      <c r="B1939" s="1">
        <v>87203</v>
      </c>
      <c r="C1939" s="1">
        <v>0</v>
      </c>
      <c r="G1939" s="1">
        <v>87203</v>
      </c>
      <c r="H1939" s="1">
        <v>0</v>
      </c>
      <c r="L1939" s="1">
        <v>87203</v>
      </c>
      <c r="M1939" s="1">
        <v>0</v>
      </c>
      <c r="P1939" s="1">
        <v>87203</v>
      </c>
      <c r="Q1939" s="1">
        <v>0</v>
      </c>
    </row>
    <row r="1940" spans="2:17" hidden="1" x14ac:dyDescent="0.2">
      <c r="B1940" s="1">
        <v>87204</v>
      </c>
      <c r="C1940" s="1">
        <v>0</v>
      </c>
      <c r="G1940" s="1">
        <v>87204</v>
      </c>
      <c r="H1940" s="1">
        <v>0</v>
      </c>
      <c r="L1940" s="1">
        <v>87204</v>
      </c>
      <c r="M1940" s="1">
        <v>0</v>
      </c>
      <c r="P1940" s="1">
        <v>87204</v>
      </c>
      <c r="Q1940" s="1">
        <v>0</v>
      </c>
    </row>
    <row r="1941" spans="2:17" hidden="1" x14ac:dyDescent="0.2">
      <c r="B1941" s="1">
        <v>87205</v>
      </c>
      <c r="C1941" s="1">
        <v>0</v>
      </c>
      <c r="G1941" s="1">
        <v>87205</v>
      </c>
      <c r="H1941" s="1">
        <v>0</v>
      </c>
      <c r="L1941" s="1">
        <v>87205</v>
      </c>
      <c r="M1941" s="1">
        <v>0</v>
      </c>
      <c r="P1941" s="1">
        <v>87205</v>
      </c>
      <c r="Q1941" s="1">
        <v>0</v>
      </c>
    </row>
    <row r="1942" spans="2:17" hidden="1" x14ac:dyDescent="0.2">
      <c r="B1942" s="1">
        <v>87206</v>
      </c>
      <c r="C1942" s="1">
        <v>0</v>
      </c>
      <c r="G1942" s="1">
        <v>87206</v>
      </c>
      <c r="H1942" s="1">
        <v>0</v>
      </c>
      <c r="L1942" s="1">
        <v>87206</v>
      </c>
      <c r="M1942" s="1">
        <v>0</v>
      </c>
      <c r="P1942" s="1">
        <v>87206</v>
      </c>
      <c r="Q1942" s="1">
        <v>0</v>
      </c>
    </row>
    <row r="1943" spans="2:17" hidden="1" x14ac:dyDescent="0.2">
      <c r="B1943" s="1">
        <v>87207</v>
      </c>
      <c r="C1943" s="1">
        <v>0</v>
      </c>
      <c r="G1943" s="1">
        <v>87207</v>
      </c>
      <c r="H1943" s="1">
        <v>0</v>
      </c>
      <c r="L1943" s="1">
        <v>87207</v>
      </c>
      <c r="M1943" s="1">
        <v>0</v>
      </c>
      <c r="P1943" s="1">
        <v>87207</v>
      </c>
      <c r="Q1943" s="1">
        <v>0</v>
      </c>
    </row>
    <row r="1944" spans="2:17" hidden="1" x14ac:dyDescent="0.2">
      <c r="B1944" s="1">
        <v>87208</v>
      </c>
      <c r="C1944" s="1">
        <v>0</v>
      </c>
      <c r="G1944" s="1">
        <v>87208</v>
      </c>
      <c r="H1944" s="1">
        <v>0</v>
      </c>
      <c r="L1944" s="1">
        <v>87208</v>
      </c>
      <c r="M1944" s="1">
        <v>0</v>
      </c>
      <c r="P1944" s="1">
        <v>87208</v>
      </c>
      <c r="Q1944" s="1">
        <v>0</v>
      </c>
    </row>
    <row r="1945" spans="2:17" hidden="1" x14ac:dyDescent="0.2">
      <c r="B1945" s="1">
        <v>87209</v>
      </c>
      <c r="C1945" s="1">
        <v>0</v>
      </c>
      <c r="G1945" s="1">
        <v>87209</v>
      </c>
      <c r="H1945" s="1">
        <v>0</v>
      </c>
      <c r="L1945" s="1">
        <v>87209</v>
      </c>
      <c r="M1945" s="1">
        <v>0</v>
      </c>
      <c r="P1945" s="1">
        <v>87209</v>
      </c>
      <c r="Q1945" s="1">
        <v>0</v>
      </c>
    </row>
    <row r="1946" spans="2:17" hidden="1" x14ac:dyDescent="0.2">
      <c r="B1946" s="1">
        <v>87210</v>
      </c>
      <c r="C1946" s="1">
        <v>0</v>
      </c>
      <c r="G1946" s="1">
        <v>87210</v>
      </c>
      <c r="H1946" s="1">
        <v>0</v>
      </c>
      <c r="L1946" s="1">
        <v>87210</v>
      </c>
      <c r="M1946" s="1">
        <v>0</v>
      </c>
      <c r="P1946" s="1">
        <v>87210</v>
      </c>
      <c r="Q1946" s="1">
        <v>0</v>
      </c>
    </row>
    <row r="1947" spans="2:17" hidden="1" x14ac:dyDescent="0.2">
      <c r="B1947" s="1">
        <v>87211</v>
      </c>
      <c r="C1947" s="1">
        <v>0</v>
      </c>
      <c r="G1947" s="1">
        <v>87211</v>
      </c>
      <c r="H1947" s="1">
        <v>0</v>
      </c>
      <c r="L1947" s="1">
        <v>87211</v>
      </c>
      <c r="M1947" s="1">
        <v>0</v>
      </c>
      <c r="P1947" s="1">
        <v>87211</v>
      </c>
      <c r="Q1947" s="1">
        <v>0</v>
      </c>
    </row>
    <row r="1948" spans="2:17" hidden="1" x14ac:dyDescent="0.2">
      <c r="B1948" s="1">
        <v>87212</v>
      </c>
      <c r="C1948" s="1">
        <v>0</v>
      </c>
      <c r="G1948" s="1">
        <v>87212</v>
      </c>
      <c r="H1948" s="1">
        <v>0</v>
      </c>
      <c r="L1948" s="1">
        <v>87212</v>
      </c>
      <c r="M1948" s="1">
        <v>0</v>
      </c>
      <c r="P1948" s="1">
        <v>87212</v>
      </c>
      <c r="Q1948" s="1">
        <v>0</v>
      </c>
    </row>
    <row r="1949" spans="2:17" hidden="1" x14ac:dyDescent="0.2">
      <c r="B1949" s="1">
        <v>87213</v>
      </c>
      <c r="C1949" s="1">
        <v>0</v>
      </c>
      <c r="G1949" s="1">
        <v>87213</v>
      </c>
      <c r="H1949" s="1">
        <v>0</v>
      </c>
      <c r="L1949" s="1">
        <v>87213</v>
      </c>
      <c r="M1949" s="1">
        <v>0</v>
      </c>
      <c r="P1949" s="1">
        <v>87213</v>
      </c>
      <c r="Q1949" s="1">
        <v>0</v>
      </c>
    </row>
    <row r="1950" spans="2:17" hidden="1" x14ac:dyDescent="0.2">
      <c r="B1950" s="1">
        <v>87214</v>
      </c>
      <c r="C1950" s="1">
        <v>0</v>
      </c>
      <c r="G1950" s="1">
        <v>87214</v>
      </c>
      <c r="H1950" s="1">
        <v>0</v>
      </c>
      <c r="L1950" s="1">
        <v>87214</v>
      </c>
      <c r="M1950" s="1">
        <v>0</v>
      </c>
      <c r="P1950" s="1">
        <v>87214</v>
      </c>
      <c r="Q1950" s="1">
        <v>0</v>
      </c>
    </row>
    <row r="1951" spans="2:17" hidden="1" x14ac:dyDescent="0.2">
      <c r="B1951" s="1">
        <v>87215</v>
      </c>
      <c r="C1951" s="1">
        <v>0</v>
      </c>
      <c r="G1951" s="1">
        <v>87215</v>
      </c>
      <c r="H1951" s="1">
        <v>0</v>
      </c>
      <c r="L1951" s="1">
        <v>87215</v>
      </c>
      <c r="M1951" s="1">
        <v>0</v>
      </c>
      <c r="P1951" s="1">
        <v>87215</v>
      </c>
      <c r="Q1951" s="1">
        <v>0</v>
      </c>
    </row>
    <row r="1952" spans="2:17" hidden="1" x14ac:dyDescent="0.2">
      <c r="B1952" s="1">
        <v>87216</v>
      </c>
      <c r="C1952" s="1">
        <v>0</v>
      </c>
      <c r="G1952" s="1">
        <v>87216</v>
      </c>
      <c r="H1952" s="1">
        <v>0</v>
      </c>
      <c r="L1952" s="1">
        <v>87216</v>
      </c>
      <c r="M1952" s="1">
        <v>0</v>
      </c>
      <c r="P1952" s="1">
        <v>87216</v>
      </c>
      <c r="Q1952" s="1">
        <v>0</v>
      </c>
    </row>
    <row r="1953" spans="2:17" hidden="1" x14ac:dyDescent="0.2">
      <c r="B1953" s="1">
        <v>87217</v>
      </c>
      <c r="C1953" s="1">
        <v>0</v>
      </c>
      <c r="G1953" s="1">
        <v>87217</v>
      </c>
      <c r="H1953" s="1">
        <v>0</v>
      </c>
      <c r="L1953" s="1">
        <v>87217</v>
      </c>
      <c r="M1953" s="1">
        <v>0</v>
      </c>
      <c r="P1953" s="1">
        <v>87217</v>
      </c>
      <c r="Q1953" s="1">
        <v>0</v>
      </c>
    </row>
    <row r="1954" spans="2:17" hidden="1" x14ac:dyDescent="0.2">
      <c r="B1954" s="1">
        <v>87218</v>
      </c>
      <c r="C1954" s="1">
        <v>0</v>
      </c>
      <c r="G1954" s="1">
        <v>87218</v>
      </c>
      <c r="H1954" s="1">
        <v>0</v>
      </c>
      <c r="L1954" s="1">
        <v>87218</v>
      </c>
      <c r="M1954" s="1">
        <v>0</v>
      </c>
      <c r="P1954" s="1">
        <v>87218</v>
      </c>
      <c r="Q1954" s="1">
        <v>0</v>
      </c>
    </row>
    <row r="1955" spans="2:17" hidden="1" x14ac:dyDescent="0.2">
      <c r="B1955" s="1">
        <v>87219</v>
      </c>
      <c r="C1955" s="1">
        <v>0</v>
      </c>
      <c r="G1955" s="1">
        <v>87219</v>
      </c>
      <c r="H1955" s="1">
        <v>0</v>
      </c>
      <c r="L1955" s="1">
        <v>87219</v>
      </c>
      <c r="M1955" s="1">
        <v>0</v>
      </c>
      <c r="P1955" s="1">
        <v>87219</v>
      </c>
      <c r="Q1955" s="1">
        <v>0</v>
      </c>
    </row>
    <row r="1956" spans="2:17" hidden="1" x14ac:dyDescent="0.2">
      <c r="B1956" s="1">
        <v>87220</v>
      </c>
      <c r="C1956" s="1">
        <v>0</v>
      </c>
      <c r="G1956" s="1">
        <v>87220</v>
      </c>
      <c r="H1956" s="1">
        <v>0</v>
      </c>
      <c r="L1956" s="1">
        <v>87220</v>
      </c>
      <c r="M1956" s="1">
        <v>0</v>
      </c>
      <c r="P1956" s="1">
        <v>87220</v>
      </c>
      <c r="Q1956" s="1">
        <v>0</v>
      </c>
    </row>
    <row r="1957" spans="2:17" hidden="1" x14ac:dyDescent="0.2">
      <c r="B1957" s="1">
        <v>87221</v>
      </c>
      <c r="C1957" s="1">
        <v>0</v>
      </c>
      <c r="G1957" s="1">
        <v>87221</v>
      </c>
      <c r="H1957" s="1">
        <v>0</v>
      </c>
      <c r="L1957" s="1">
        <v>87221</v>
      </c>
      <c r="M1957" s="1">
        <v>0</v>
      </c>
      <c r="P1957" s="1">
        <v>87221</v>
      </c>
      <c r="Q1957" s="1">
        <v>0</v>
      </c>
    </row>
    <row r="1958" spans="2:17" hidden="1" x14ac:dyDescent="0.2">
      <c r="B1958" s="1">
        <v>87222</v>
      </c>
      <c r="C1958" s="1">
        <v>0</v>
      </c>
      <c r="G1958" s="1">
        <v>87222</v>
      </c>
      <c r="H1958" s="1">
        <v>0</v>
      </c>
      <c r="L1958" s="1">
        <v>87222</v>
      </c>
      <c r="M1958" s="1">
        <v>0</v>
      </c>
      <c r="P1958" s="1">
        <v>87222</v>
      </c>
      <c r="Q1958" s="1">
        <v>0</v>
      </c>
    </row>
    <row r="1959" spans="2:17" hidden="1" x14ac:dyDescent="0.2">
      <c r="B1959" s="1">
        <v>87223</v>
      </c>
      <c r="C1959" s="1">
        <v>0</v>
      </c>
      <c r="G1959" s="1">
        <v>87223</v>
      </c>
      <c r="H1959" s="1">
        <v>0</v>
      </c>
      <c r="L1959" s="1">
        <v>87223</v>
      </c>
      <c r="M1959" s="1">
        <v>0</v>
      </c>
      <c r="P1959" s="1">
        <v>87223</v>
      </c>
      <c r="Q1959" s="1">
        <v>0</v>
      </c>
    </row>
    <row r="1960" spans="2:17" hidden="1" x14ac:dyDescent="0.2">
      <c r="B1960" s="1">
        <v>87224</v>
      </c>
      <c r="C1960" s="1">
        <v>0</v>
      </c>
      <c r="G1960" s="1">
        <v>87224</v>
      </c>
      <c r="H1960" s="1">
        <v>0</v>
      </c>
      <c r="L1960" s="1">
        <v>87224</v>
      </c>
      <c r="M1960" s="1">
        <v>0</v>
      </c>
      <c r="P1960" s="1">
        <v>87224</v>
      </c>
      <c r="Q1960" s="1">
        <v>0</v>
      </c>
    </row>
    <row r="1961" spans="2:17" hidden="1" x14ac:dyDescent="0.2">
      <c r="B1961" s="1">
        <v>87225</v>
      </c>
      <c r="C1961" s="1">
        <v>0</v>
      </c>
      <c r="G1961" s="1">
        <v>87225</v>
      </c>
      <c r="H1961" s="1">
        <v>0</v>
      </c>
      <c r="L1961" s="1">
        <v>87225</v>
      </c>
      <c r="M1961" s="1">
        <v>0</v>
      </c>
      <c r="P1961" s="1">
        <v>87225</v>
      </c>
      <c r="Q1961" s="1">
        <v>0</v>
      </c>
    </row>
    <row r="1962" spans="2:17" hidden="1" x14ac:dyDescent="0.2">
      <c r="B1962" s="1">
        <v>87226</v>
      </c>
      <c r="C1962" s="1">
        <v>0</v>
      </c>
      <c r="G1962" s="1">
        <v>87226</v>
      </c>
      <c r="H1962" s="1">
        <v>0</v>
      </c>
      <c r="L1962" s="1">
        <v>87226</v>
      </c>
      <c r="M1962" s="1">
        <v>0</v>
      </c>
      <c r="P1962" s="1">
        <v>87226</v>
      </c>
      <c r="Q1962" s="1">
        <v>0</v>
      </c>
    </row>
    <row r="1963" spans="2:17" hidden="1" x14ac:dyDescent="0.2">
      <c r="B1963" s="1">
        <v>87227</v>
      </c>
      <c r="C1963" s="1">
        <v>0</v>
      </c>
      <c r="G1963" s="1">
        <v>87227</v>
      </c>
      <c r="H1963" s="1">
        <v>0</v>
      </c>
      <c r="L1963" s="1">
        <v>87227</v>
      </c>
      <c r="M1963" s="1">
        <v>0</v>
      </c>
      <c r="P1963" s="1">
        <v>87227</v>
      </c>
      <c r="Q1963" s="1">
        <v>0</v>
      </c>
    </row>
    <row r="1964" spans="2:17" hidden="1" x14ac:dyDescent="0.2">
      <c r="B1964" s="1">
        <v>87228</v>
      </c>
      <c r="C1964" s="1">
        <v>0</v>
      </c>
      <c r="G1964" s="1">
        <v>87228</v>
      </c>
      <c r="H1964" s="1">
        <v>0</v>
      </c>
      <c r="L1964" s="1">
        <v>87228</v>
      </c>
      <c r="M1964" s="1">
        <v>0</v>
      </c>
      <c r="P1964" s="1">
        <v>87228</v>
      </c>
      <c r="Q1964" s="1">
        <v>0</v>
      </c>
    </row>
    <row r="1965" spans="2:17" hidden="1" x14ac:dyDescent="0.2">
      <c r="B1965" s="1">
        <v>87229</v>
      </c>
      <c r="C1965" s="1">
        <v>0</v>
      </c>
      <c r="G1965" s="1">
        <v>87229</v>
      </c>
      <c r="H1965" s="1">
        <v>0</v>
      </c>
      <c r="L1965" s="1">
        <v>87229</v>
      </c>
      <c r="M1965" s="1">
        <v>0</v>
      </c>
      <c r="P1965" s="1">
        <v>87229</v>
      </c>
      <c r="Q1965" s="1">
        <v>0</v>
      </c>
    </row>
    <row r="1966" spans="2:17" hidden="1" x14ac:dyDescent="0.2">
      <c r="B1966" s="1">
        <v>88206</v>
      </c>
      <c r="C1966" s="1">
        <v>0</v>
      </c>
      <c r="G1966" s="1">
        <v>88206</v>
      </c>
      <c r="H1966" s="1">
        <v>0</v>
      </c>
      <c r="L1966" s="1">
        <v>88206</v>
      </c>
      <c r="M1966" s="1">
        <v>0</v>
      </c>
      <c r="P1966" s="1">
        <v>88206</v>
      </c>
      <c r="Q1966" s="1">
        <v>0</v>
      </c>
    </row>
    <row r="1967" spans="2:17" hidden="1" x14ac:dyDescent="0.2">
      <c r="B1967" s="1">
        <v>88207</v>
      </c>
      <c r="C1967" s="1">
        <v>0</v>
      </c>
      <c r="G1967" s="1">
        <v>88207</v>
      </c>
      <c r="H1967" s="1">
        <v>0</v>
      </c>
      <c r="L1967" s="1">
        <v>88207</v>
      </c>
      <c r="M1967" s="1">
        <v>0</v>
      </c>
      <c r="P1967" s="1">
        <v>88207</v>
      </c>
      <c r="Q1967" s="1">
        <v>0</v>
      </c>
    </row>
    <row r="1968" spans="2:17" hidden="1" x14ac:dyDescent="0.2">
      <c r="B1968" s="1">
        <v>88208</v>
      </c>
      <c r="C1968" s="1">
        <v>0</v>
      </c>
      <c r="G1968" s="1">
        <v>88208</v>
      </c>
      <c r="H1968" s="1">
        <v>0</v>
      </c>
      <c r="L1968" s="1">
        <v>88208</v>
      </c>
      <c r="M1968" s="1">
        <v>0</v>
      </c>
      <c r="P1968" s="1">
        <v>88208</v>
      </c>
      <c r="Q1968" s="1">
        <v>0</v>
      </c>
    </row>
    <row r="1969" spans="2:17" hidden="1" x14ac:dyDescent="0.2">
      <c r="B1969" s="1">
        <v>88209</v>
      </c>
      <c r="C1969" s="1">
        <v>0</v>
      </c>
      <c r="G1969" s="1">
        <v>88209</v>
      </c>
      <c r="H1969" s="1">
        <v>0</v>
      </c>
      <c r="L1969" s="1">
        <v>88209</v>
      </c>
      <c r="M1969" s="1">
        <v>0</v>
      </c>
      <c r="P1969" s="1">
        <v>88209</v>
      </c>
      <c r="Q1969" s="1">
        <v>0</v>
      </c>
    </row>
    <row r="1970" spans="2:17" hidden="1" x14ac:dyDescent="0.2">
      <c r="B1970" s="1">
        <v>88210</v>
      </c>
      <c r="C1970" s="1">
        <v>0</v>
      </c>
      <c r="G1970" s="1">
        <v>88210</v>
      </c>
      <c r="H1970" s="1">
        <v>0</v>
      </c>
      <c r="L1970" s="1">
        <v>88210</v>
      </c>
      <c r="M1970" s="1">
        <v>0</v>
      </c>
      <c r="P1970" s="1">
        <v>88210</v>
      </c>
      <c r="Q1970" s="1">
        <v>0</v>
      </c>
    </row>
    <row r="1971" spans="2:17" hidden="1" x14ac:dyDescent="0.2">
      <c r="B1971" s="1">
        <v>88211</v>
      </c>
      <c r="C1971" s="1">
        <v>0</v>
      </c>
      <c r="G1971" s="1">
        <v>88211</v>
      </c>
      <c r="H1971" s="1">
        <v>0</v>
      </c>
      <c r="L1971" s="1">
        <v>88211</v>
      </c>
      <c r="M1971" s="1">
        <v>0</v>
      </c>
      <c r="P1971" s="1">
        <v>88211</v>
      </c>
      <c r="Q1971" s="1">
        <v>0</v>
      </c>
    </row>
    <row r="1972" spans="2:17" hidden="1" x14ac:dyDescent="0.2">
      <c r="B1972" s="1">
        <v>88212</v>
      </c>
      <c r="C1972" s="1">
        <v>0</v>
      </c>
      <c r="G1972" s="1">
        <v>88212</v>
      </c>
      <c r="H1972" s="1">
        <v>0</v>
      </c>
      <c r="L1972" s="1">
        <v>88212</v>
      </c>
      <c r="M1972" s="1">
        <v>0</v>
      </c>
      <c r="P1972" s="1">
        <v>88212</v>
      </c>
      <c r="Q1972" s="1">
        <v>0</v>
      </c>
    </row>
    <row r="1973" spans="2:17" hidden="1" x14ac:dyDescent="0.2">
      <c r="B1973" s="1">
        <v>88213</v>
      </c>
      <c r="C1973" s="1">
        <v>0</v>
      </c>
      <c r="G1973" s="1">
        <v>88213</v>
      </c>
      <c r="H1973" s="1">
        <v>0</v>
      </c>
      <c r="L1973" s="1">
        <v>88213</v>
      </c>
      <c r="M1973" s="1">
        <v>0</v>
      </c>
      <c r="P1973" s="1">
        <v>88213</v>
      </c>
      <c r="Q1973" s="1">
        <v>0</v>
      </c>
    </row>
    <row r="1974" spans="2:17" hidden="1" x14ac:dyDescent="0.2">
      <c r="B1974" s="1">
        <v>88214</v>
      </c>
      <c r="C1974" s="1">
        <v>0</v>
      </c>
      <c r="G1974" s="1">
        <v>88214</v>
      </c>
      <c r="H1974" s="1">
        <v>0</v>
      </c>
      <c r="L1974" s="1">
        <v>88214</v>
      </c>
      <c r="M1974" s="1">
        <v>0</v>
      </c>
      <c r="P1974" s="1">
        <v>88214</v>
      </c>
      <c r="Q1974" s="1">
        <v>0</v>
      </c>
    </row>
    <row r="1975" spans="2:17" hidden="1" x14ac:dyDescent="0.2">
      <c r="B1975" s="1">
        <v>88215</v>
      </c>
      <c r="C1975" s="1">
        <v>0</v>
      </c>
      <c r="G1975" s="1">
        <v>88215</v>
      </c>
      <c r="H1975" s="1">
        <v>0</v>
      </c>
      <c r="L1975" s="1">
        <v>88215</v>
      </c>
      <c r="M1975" s="1">
        <v>0</v>
      </c>
      <c r="P1975" s="1">
        <v>88215</v>
      </c>
      <c r="Q1975" s="1">
        <v>0</v>
      </c>
    </row>
    <row r="1976" spans="2:17" hidden="1" x14ac:dyDescent="0.2">
      <c r="B1976" s="1">
        <v>88216</v>
      </c>
      <c r="C1976" s="1">
        <v>0</v>
      </c>
      <c r="G1976" s="1">
        <v>88216</v>
      </c>
      <c r="H1976" s="1">
        <v>0</v>
      </c>
      <c r="L1976" s="1">
        <v>88216</v>
      </c>
      <c r="M1976" s="1">
        <v>0</v>
      </c>
      <c r="P1976" s="1">
        <v>88216</v>
      </c>
      <c r="Q1976" s="1">
        <v>0</v>
      </c>
    </row>
    <row r="1977" spans="2:17" hidden="1" x14ac:dyDescent="0.2">
      <c r="B1977" s="1">
        <v>88217</v>
      </c>
      <c r="C1977" s="1">
        <v>0</v>
      </c>
      <c r="G1977" s="1">
        <v>88217</v>
      </c>
      <c r="H1977" s="1">
        <v>0</v>
      </c>
      <c r="L1977" s="1">
        <v>88217</v>
      </c>
      <c r="M1977" s="1">
        <v>0</v>
      </c>
      <c r="P1977" s="1">
        <v>88217</v>
      </c>
      <c r="Q1977" s="1">
        <v>0</v>
      </c>
    </row>
    <row r="1978" spans="2:17" hidden="1" x14ac:dyDescent="0.2">
      <c r="B1978" s="1">
        <v>88218</v>
      </c>
      <c r="C1978" s="1">
        <v>0</v>
      </c>
      <c r="G1978" s="1">
        <v>88218</v>
      </c>
      <c r="H1978" s="1">
        <v>0</v>
      </c>
      <c r="L1978" s="1">
        <v>88218</v>
      </c>
      <c r="M1978" s="1">
        <v>0</v>
      </c>
      <c r="P1978" s="1">
        <v>88218</v>
      </c>
      <c r="Q1978" s="1">
        <v>0</v>
      </c>
    </row>
    <row r="1979" spans="2:17" hidden="1" x14ac:dyDescent="0.2">
      <c r="B1979" s="1">
        <v>88219</v>
      </c>
      <c r="C1979" s="1">
        <v>0</v>
      </c>
      <c r="G1979" s="1">
        <v>88219</v>
      </c>
      <c r="H1979" s="1">
        <v>0</v>
      </c>
      <c r="L1979" s="1">
        <v>88219</v>
      </c>
      <c r="M1979" s="1">
        <v>0</v>
      </c>
      <c r="P1979" s="1">
        <v>88219</v>
      </c>
      <c r="Q1979" s="1">
        <v>0</v>
      </c>
    </row>
    <row r="1980" spans="2:17" hidden="1" x14ac:dyDescent="0.2">
      <c r="B1980" s="1">
        <v>88220</v>
      </c>
      <c r="C1980" s="1">
        <v>0</v>
      </c>
      <c r="G1980" s="1">
        <v>88220</v>
      </c>
      <c r="H1980" s="1">
        <v>0</v>
      </c>
      <c r="L1980" s="1">
        <v>88220</v>
      </c>
      <c r="M1980" s="1">
        <v>0</v>
      </c>
      <c r="P1980" s="1">
        <v>88220</v>
      </c>
      <c r="Q1980" s="1">
        <v>0</v>
      </c>
    </row>
    <row r="1981" spans="2:17" hidden="1" x14ac:dyDescent="0.2">
      <c r="B1981" s="1">
        <v>88221</v>
      </c>
      <c r="C1981" s="1">
        <v>0</v>
      </c>
      <c r="G1981" s="1">
        <v>88221</v>
      </c>
      <c r="H1981" s="1">
        <v>0</v>
      </c>
      <c r="L1981" s="1">
        <v>88221</v>
      </c>
      <c r="M1981" s="1">
        <v>0</v>
      </c>
      <c r="P1981" s="1">
        <v>88221</v>
      </c>
      <c r="Q1981" s="1">
        <v>0</v>
      </c>
    </row>
    <row r="1982" spans="2:17" hidden="1" x14ac:dyDescent="0.2">
      <c r="B1982" s="1">
        <v>88222</v>
      </c>
      <c r="C1982" s="1">
        <v>0</v>
      </c>
      <c r="G1982" s="1">
        <v>88222</v>
      </c>
      <c r="H1982" s="1">
        <v>0</v>
      </c>
      <c r="L1982" s="1">
        <v>88222</v>
      </c>
      <c r="M1982" s="1">
        <v>0</v>
      </c>
      <c r="P1982" s="1">
        <v>88222</v>
      </c>
      <c r="Q1982" s="1">
        <v>0</v>
      </c>
    </row>
    <row r="1983" spans="2:17" hidden="1" x14ac:dyDescent="0.2">
      <c r="B1983" s="1">
        <v>88223</v>
      </c>
      <c r="C1983" s="1">
        <v>0</v>
      </c>
      <c r="G1983" s="1">
        <v>88223</v>
      </c>
      <c r="H1983" s="1">
        <v>0</v>
      </c>
      <c r="L1983" s="1">
        <v>88223</v>
      </c>
      <c r="M1983" s="1">
        <v>0</v>
      </c>
      <c r="P1983" s="1">
        <v>88223</v>
      </c>
      <c r="Q1983" s="1">
        <v>0</v>
      </c>
    </row>
    <row r="1984" spans="2:17" hidden="1" x14ac:dyDescent="0.2">
      <c r="B1984" s="1">
        <v>88224</v>
      </c>
      <c r="C1984" s="1">
        <v>0</v>
      </c>
      <c r="G1984" s="1">
        <v>88224</v>
      </c>
      <c r="H1984" s="1">
        <v>0</v>
      </c>
      <c r="L1984" s="1">
        <v>88224</v>
      </c>
      <c r="M1984" s="1">
        <v>0</v>
      </c>
      <c r="P1984" s="1">
        <v>88224</v>
      </c>
      <c r="Q1984" s="1">
        <v>0</v>
      </c>
    </row>
    <row r="1985" spans="2:17" hidden="1" x14ac:dyDescent="0.2">
      <c r="B1985" s="1">
        <v>88225</v>
      </c>
      <c r="C1985" s="1">
        <v>0</v>
      </c>
      <c r="G1985" s="1">
        <v>88225</v>
      </c>
      <c r="H1985" s="1">
        <v>0</v>
      </c>
      <c r="L1985" s="1">
        <v>88225</v>
      </c>
      <c r="M1985" s="1">
        <v>0</v>
      </c>
      <c r="P1985" s="1">
        <v>88225</v>
      </c>
      <c r="Q1985" s="1">
        <v>0</v>
      </c>
    </row>
    <row r="1986" spans="2:17" hidden="1" x14ac:dyDescent="0.2">
      <c r="B1986" s="1">
        <v>88226</v>
      </c>
      <c r="C1986" s="1">
        <v>0</v>
      </c>
      <c r="G1986" s="1">
        <v>88226</v>
      </c>
      <c r="H1986" s="1">
        <v>0</v>
      </c>
      <c r="L1986" s="1">
        <v>88226</v>
      </c>
      <c r="M1986" s="1">
        <v>0</v>
      </c>
      <c r="P1986" s="1">
        <v>88226</v>
      </c>
      <c r="Q1986" s="1">
        <v>0</v>
      </c>
    </row>
    <row r="1987" spans="2:17" hidden="1" x14ac:dyDescent="0.2">
      <c r="B1987" s="1">
        <v>88227</v>
      </c>
      <c r="C1987" s="1">
        <v>0</v>
      </c>
      <c r="G1987" s="1">
        <v>88227</v>
      </c>
      <c r="H1987" s="1">
        <v>0</v>
      </c>
      <c r="L1987" s="1">
        <v>88227</v>
      </c>
      <c r="M1987" s="1">
        <v>0</v>
      </c>
      <c r="P1987" s="1">
        <v>88227</v>
      </c>
      <c r="Q1987" s="1">
        <v>0</v>
      </c>
    </row>
    <row r="1988" spans="2:17" hidden="1" x14ac:dyDescent="0.2">
      <c r="B1988" s="1">
        <v>88228</v>
      </c>
      <c r="C1988" s="1">
        <v>0</v>
      </c>
      <c r="G1988" s="1">
        <v>88228</v>
      </c>
      <c r="H1988" s="1">
        <v>0</v>
      </c>
      <c r="L1988" s="1">
        <v>88228</v>
      </c>
      <c r="M1988" s="1">
        <v>0</v>
      </c>
      <c r="P1988" s="1">
        <v>88228</v>
      </c>
      <c r="Q1988" s="1">
        <v>0</v>
      </c>
    </row>
    <row r="1989" spans="2:17" hidden="1" x14ac:dyDescent="0.2">
      <c r="B1989" s="1">
        <v>88229</v>
      </c>
      <c r="C1989" s="1">
        <v>0</v>
      </c>
      <c r="G1989" s="1">
        <v>88229</v>
      </c>
      <c r="H1989" s="1">
        <v>0</v>
      </c>
      <c r="L1989" s="1">
        <v>88229</v>
      </c>
      <c r="M1989" s="1">
        <v>0</v>
      </c>
      <c r="P1989" s="1">
        <v>88229</v>
      </c>
      <c r="Q1989" s="1">
        <v>0</v>
      </c>
    </row>
    <row r="1990" spans="2:17" hidden="1" x14ac:dyDescent="0.2">
      <c r="B1990" s="1">
        <v>88230</v>
      </c>
      <c r="C1990" s="1">
        <v>0</v>
      </c>
      <c r="G1990" s="1">
        <v>88230</v>
      </c>
      <c r="H1990" s="1">
        <v>0</v>
      </c>
      <c r="L1990" s="1">
        <v>88230</v>
      </c>
      <c r="M1990" s="1">
        <v>0</v>
      </c>
      <c r="P1990" s="1">
        <v>88230</v>
      </c>
      <c r="Q1990" s="1">
        <v>0</v>
      </c>
    </row>
    <row r="1991" spans="2:17" hidden="1" x14ac:dyDescent="0.2">
      <c r="B1991" s="1">
        <v>89209</v>
      </c>
      <c r="C1991" s="1">
        <v>0</v>
      </c>
      <c r="G1991" s="1">
        <v>89209</v>
      </c>
      <c r="H1991" s="1">
        <v>0</v>
      </c>
      <c r="L1991" s="1">
        <v>89209</v>
      </c>
      <c r="M1991" s="1">
        <v>0</v>
      </c>
      <c r="P1991" s="1">
        <v>89209</v>
      </c>
      <c r="Q1991" s="1">
        <v>0</v>
      </c>
    </row>
    <row r="1992" spans="2:17" hidden="1" x14ac:dyDescent="0.2">
      <c r="B1992" s="1">
        <v>89210</v>
      </c>
      <c r="C1992" s="1">
        <v>0</v>
      </c>
      <c r="G1992" s="1">
        <v>89210</v>
      </c>
      <c r="H1992" s="1">
        <v>0</v>
      </c>
      <c r="L1992" s="1">
        <v>89210</v>
      </c>
      <c r="M1992" s="1">
        <v>0</v>
      </c>
      <c r="P1992" s="1">
        <v>89210</v>
      </c>
      <c r="Q1992" s="1">
        <v>0</v>
      </c>
    </row>
    <row r="1993" spans="2:17" hidden="1" x14ac:dyDescent="0.2">
      <c r="B1993" s="1">
        <v>89211</v>
      </c>
      <c r="C1993" s="1">
        <v>0</v>
      </c>
      <c r="G1993" s="1">
        <v>89211</v>
      </c>
      <c r="H1993" s="1">
        <v>0</v>
      </c>
      <c r="L1993" s="1">
        <v>89211</v>
      </c>
      <c r="M1993" s="1">
        <v>0</v>
      </c>
      <c r="P1993" s="1">
        <v>89211</v>
      </c>
      <c r="Q1993" s="1">
        <v>0</v>
      </c>
    </row>
    <row r="1994" spans="2:17" hidden="1" x14ac:dyDescent="0.2">
      <c r="B1994" s="1">
        <v>89212</v>
      </c>
      <c r="C1994" s="1">
        <v>0</v>
      </c>
      <c r="G1994" s="1">
        <v>89212</v>
      </c>
      <c r="H1994" s="1">
        <v>0</v>
      </c>
      <c r="L1994" s="1">
        <v>89212</v>
      </c>
      <c r="M1994" s="1">
        <v>0</v>
      </c>
      <c r="P1994" s="1">
        <v>89212</v>
      </c>
      <c r="Q1994" s="1">
        <v>0</v>
      </c>
    </row>
    <row r="1995" spans="2:17" hidden="1" x14ac:dyDescent="0.2">
      <c r="B1995" s="1">
        <v>89213</v>
      </c>
      <c r="C1995" s="1">
        <v>0</v>
      </c>
      <c r="G1995" s="1">
        <v>89213</v>
      </c>
      <c r="H1995" s="1">
        <v>0</v>
      </c>
      <c r="L1995" s="1">
        <v>89213</v>
      </c>
      <c r="M1995" s="1">
        <v>0</v>
      </c>
      <c r="P1995" s="1">
        <v>89213</v>
      </c>
      <c r="Q1995" s="1">
        <v>0</v>
      </c>
    </row>
    <row r="1996" spans="2:17" hidden="1" x14ac:dyDescent="0.2">
      <c r="B1996" s="1">
        <v>89214</v>
      </c>
      <c r="C1996" s="1">
        <v>0</v>
      </c>
      <c r="G1996" s="1">
        <v>89214</v>
      </c>
      <c r="H1996" s="1">
        <v>0</v>
      </c>
      <c r="L1996" s="1">
        <v>89214</v>
      </c>
      <c r="M1996" s="1">
        <v>0</v>
      </c>
      <c r="P1996" s="1">
        <v>89214</v>
      </c>
      <c r="Q1996" s="1">
        <v>0</v>
      </c>
    </row>
    <row r="1997" spans="2:17" hidden="1" x14ac:dyDescent="0.2">
      <c r="B1997" s="1">
        <v>89215</v>
      </c>
      <c r="C1997" s="1">
        <v>0</v>
      </c>
      <c r="G1997" s="1">
        <v>89215</v>
      </c>
      <c r="H1997" s="1">
        <v>0</v>
      </c>
      <c r="L1997" s="1">
        <v>89215</v>
      </c>
      <c r="M1997" s="1">
        <v>0</v>
      </c>
      <c r="P1997" s="1">
        <v>89215</v>
      </c>
      <c r="Q1997" s="1">
        <v>0</v>
      </c>
    </row>
    <row r="1998" spans="2:17" hidden="1" x14ac:dyDescent="0.2">
      <c r="B1998" s="1">
        <v>89216</v>
      </c>
      <c r="C1998" s="1">
        <v>0</v>
      </c>
      <c r="G1998" s="1">
        <v>89216</v>
      </c>
      <c r="H1998" s="1">
        <v>0</v>
      </c>
      <c r="L1998" s="1">
        <v>89216</v>
      </c>
      <c r="M1998" s="1">
        <v>0</v>
      </c>
      <c r="P1998" s="1">
        <v>89216</v>
      </c>
      <c r="Q1998" s="1">
        <v>0</v>
      </c>
    </row>
    <row r="1999" spans="2:17" hidden="1" x14ac:dyDescent="0.2">
      <c r="B1999" s="1">
        <v>89217</v>
      </c>
      <c r="C1999" s="1">
        <v>0</v>
      </c>
      <c r="G1999" s="1">
        <v>89217</v>
      </c>
      <c r="H1999" s="1">
        <v>0</v>
      </c>
      <c r="L1999" s="1">
        <v>89217</v>
      </c>
      <c r="M1999" s="1">
        <v>0</v>
      </c>
      <c r="P1999" s="1">
        <v>89217</v>
      </c>
      <c r="Q1999" s="1">
        <v>0</v>
      </c>
    </row>
    <row r="2000" spans="2:17" hidden="1" x14ac:dyDescent="0.2">
      <c r="B2000" s="1">
        <v>89218</v>
      </c>
      <c r="C2000" s="1">
        <v>0</v>
      </c>
      <c r="G2000" s="1">
        <v>89218</v>
      </c>
      <c r="H2000" s="1">
        <v>0</v>
      </c>
      <c r="L2000" s="1">
        <v>89218</v>
      </c>
      <c r="M2000" s="1">
        <v>0</v>
      </c>
      <c r="P2000" s="1">
        <v>89218</v>
      </c>
      <c r="Q2000" s="1">
        <v>0</v>
      </c>
    </row>
    <row r="2001" spans="2:17" hidden="1" x14ac:dyDescent="0.2">
      <c r="B2001" s="1">
        <v>89219</v>
      </c>
      <c r="C2001" s="1">
        <v>0</v>
      </c>
      <c r="G2001" s="1">
        <v>89219</v>
      </c>
      <c r="H2001" s="1">
        <v>0</v>
      </c>
      <c r="L2001" s="1">
        <v>89219</v>
      </c>
      <c r="M2001" s="1">
        <v>0</v>
      </c>
      <c r="P2001" s="1">
        <v>89219</v>
      </c>
      <c r="Q2001" s="1">
        <v>0</v>
      </c>
    </row>
    <row r="2002" spans="2:17" hidden="1" x14ac:dyDescent="0.2">
      <c r="B2002" s="1">
        <v>89220</v>
      </c>
      <c r="C2002" s="1">
        <v>0</v>
      </c>
      <c r="G2002" s="1">
        <v>89220</v>
      </c>
      <c r="H2002" s="1">
        <v>0</v>
      </c>
      <c r="L2002" s="1">
        <v>89220</v>
      </c>
      <c r="M2002" s="1">
        <v>0</v>
      </c>
      <c r="P2002" s="1">
        <v>89220</v>
      </c>
      <c r="Q2002" s="1">
        <v>0</v>
      </c>
    </row>
    <row r="2003" spans="2:17" hidden="1" x14ac:dyDescent="0.2">
      <c r="B2003" s="1">
        <v>89221</v>
      </c>
      <c r="C2003" s="1">
        <v>0</v>
      </c>
      <c r="G2003" s="1">
        <v>89221</v>
      </c>
      <c r="H2003" s="1">
        <v>0</v>
      </c>
      <c r="L2003" s="1">
        <v>89221</v>
      </c>
      <c r="M2003" s="1">
        <v>0</v>
      </c>
      <c r="P2003" s="1">
        <v>89221</v>
      </c>
      <c r="Q2003" s="1">
        <v>0</v>
      </c>
    </row>
    <row r="2004" spans="2:17" hidden="1" x14ac:dyDescent="0.2">
      <c r="B2004" s="1">
        <v>89222</v>
      </c>
      <c r="C2004" s="1">
        <v>0</v>
      </c>
      <c r="G2004" s="1">
        <v>89222</v>
      </c>
      <c r="H2004" s="1">
        <v>0</v>
      </c>
      <c r="L2004" s="1">
        <v>89222</v>
      </c>
      <c r="M2004" s="1">
        <v>0</v>
      </c>
      <c r="P2004" s="1">
        <v>89222</v>
      </c>
      <c r="Q2004" s="1">
        <v>0</v>
      </c>
    </row>
    <row r="2005" spans="2:17" hidden="1" x14ac:dyDescent="0.2">
      <c r="B2005" s="1">
        <v>89223</v>
      </c>
      <c r="C2005" s="1">
        <v>0</v>
      </c>
      <c r="G2005" s="1">
        <v>89223</v>
      </c>
      <c r="H2005" s="1">
        <v>0</v>
      </c>
      <c r="L2005" s="1">
        <v>89223</v>
      </c>
      <c r="M2005" s="1">
        <v>0</v>
      </c>
      <c r="P2005" s="1">
        <v>89223</v>
      </c>
      <c r="Q2005" s="1">
        <v>0</v>
      </c>
    </row>
    <row r="2006" spans="2:17" hidden="1" x14ac:dyDescent="0.2">
      <c r="B2006" s="1">
        <v>89224</v>
      </c>
      <c r="C2006" s="1">
        <v>0</v>
      </c>
      <c r="G2006" s="1">
        <v>89224</v>
      </c>
      <c r="H2006" s="1">
        <v>0</v>
      </c>
      <c r="L2006" s="1">
        <v>89224</v>
      </c>
      <c r="M2006" s="1">
        <v>0</v>
      </c>
      <c r="P2006" s="1">
        <v>89224</v>
      </c>
      <c r="Q2006" s="1">
        <v>0</v>
      </c>
    </row>
    <row r="2007" spans="2:17" hidden="1" x14ac:dyDescent="0.2">
      <c r="B2007" s="1">
        <v>89225</v>
      </c>
      <c r="C2007" s="1">
        <v>0</v>
      </c>
      <c r="G2007" s="1">
        <v>89225</v>
      </c>
      <c r="H2007" s="1">
        <v>0</v>
      </c>
      <c r="L2007" s="1">
        <v>89225</v>
      </c>
      <c r="M2007" s="1">
        <v>0</v>
      </c>
      <c r="P2007" s="1">
        <v>89225</v>
      </c>
      <c r="Q2007" s="1">
        <v>0</v>
      </c>
    </row>
    <row r="2008" spans="2:17" hidden="1" x14ac:dyDescent="0.2">
      <c r="B2008" s="1">
        <v>89226</v>
      </c>
      <c r="C2008" s="1">
        <v>0</v>
      </c>
      <c r="G2008" s="1">
        <v>89226</v>
      </c>
      <c r="H2008" s="1">
        <v>0</v>
      </c>
      <c r="L2008" s="1">
        <v>89226</v>
      </c>
      <c r="M2008" s="1">
        <v>0</v>
      </c>
      <c r="P2008" s="1">
        <v>89226</v>
      </c>
      <c r="Q2008" s="1">
        <v>0</v>
      </c>
    </row>
    <row r="2009" spans="2:17" hidden="1" x14ac:dyDescent="0.2">
      <c r="B2009" s="1">
        <v>89227</v>
      </c>
      <c r="C2009" s="1">
        <v>0</v>
      </c>
      <c r="G2009" s="1">
        <v>89227</v>
      </c>
      <c r="H2009" s="1">
        <v>0</v>
      </c>
      <c r="L2009" s="1">
        <v>89227</v>
      </c>
      <c r="M2009" s="1">
        <v>0</v>
      </c>
      <c r="P2009" s="1">
        <v>89227</v>
      </c>
      <c r="Q2009" s="1">
        <v>0</v>
      </c>
    </row>
    <row r="2010" spans="2:17" hidden="1" x14ac:dyDescent="0.2">
      <c r="B2010" s="1">
        <v>89228</v>
      </c>
      <c r="C2010" s="1">
        <v>0</v>
      </c>
      <c r="G2010" s="1">
        <v>89228</v>
      </c>
      <c r="H2010" s="1">
        <v>0</v>
      </c>
      <c r="L2010" s="1">
        <v>89228</v>
      </c>
      <c r="M2010" s="1">
        <v>0</v>
      </c>
      <c r="P2010" s="1">
        <v>89228</v>
      </c>
      <c r="Q2010" s="1">
        <v>0</v>
      </c>
    </row>
    <row r="2011" spans="2:17" hidden="1" x14ac:dyDescent="0.2">
      <c r="B2011" s="1">
        <v>89229</v>
      </c>
      <c r="C2011" s="1">
        <v>0</v>
      </c>
      <c r="G2011" s="1">
        <v>89229</v>
      </c>
      <c r="H2011" s="1">
        <v>0</v>
      </c>
      <c r="L2011" s="1">
        <v>89229</v>
      </c>
      <c r="M2011" s="1">
        <v>0</v>
      </c>
      <c r="P2011" s="1">
        <v>89229</v>
      </c>
      <c r="Q2011" s="1">
        <v>0</v>
      </c>
    </row>
    <row r="2012" spans="2:17" hidden="1" x14ac:dyDescent="0.2">
      <c r="B2012" s="1">
        <v>89230</v>
      </c>
      <c r="C2012" s="1">
        <v>0</v>
      </c>
      <c r="G2012" s="1">
        <v>89230</v>
      </c>
      <c r="H2012" s="1">
        <v>0</v>
      </c>
      <c r="L2012" s="1">
        <v>89230</v>
      </c>
      <c r="M2012" s="1">
        <v>0</v>
      </c>
      <c r="P2012" s="1">
        <v>89230</v>
      </c>
      <c r="Q2012" s="1">
        <v>0</v>
      </c>
    </row>
    <row r="2013" spans="2:17" hidden="1" x14ac:dyDescent="0.2">
      <c r="B2013" s="1">
        <v>89231</v>
      </c>
      <c r="C2013" s="1">
        <v>0</v>
      </c>
      <c r="G2013" s="1">
        <v>89231</v>
      </c>
      <c r="H2013" s="1">
        <v>0</v>
      </c>
      <c r="L2013" s="1">
        <v>89231</v>
      </c>
      <c r="M2013" s="1">
        <v>0</v>
      </c>
      <c r="P2013" s="1">
        <v>89231</v>
      </c>
      <c r="Q2013" s="1">
        <v>0</v>
      </c>
    </row>
    <row r="2014" spans="2:17" hidden="1" x14ac:dyDescent="0.2">
      <c r="B2014" s="1">
        <v>89232</v>
      </c>
      <c r="C2014" s="1">
        <v>0</v>
      </c>
      <c r="G2014" s="1">
        <v>89232</v>
      </c>
      <c r="H2014" s="1">
        <v>0</v>
      </c>
      <c r="L2014" s="1">
        <v>89232</v>
      </c>
      <c r="M2014" s="1">
        <v>0</v>
      </c>
      <c r="P2014" s="1">
        <v>89232</v>
      </c>
      <c r="Q2014" s="1">
        <v>0</v>
      </c>
    </row>
    <row r="2015" spans="2:17" hidden="1" x14ac:dyDescent="0.2">
      <c r="B2015" s="1">
        <v>90212</v>
      </c>
      <c r="C2015" s="1">
        <v>0</v>
      </c>
      <c r="G2015" s="1">
        <v>90212</v>
      </c>
      <c r="H2015" s="1">
        <v>0</v>
      </c>
      <c r="L2015" s="1">
        <v>90212</v>
      </c>
      <c r="M2015" s="1">
        <v>0</v>
      </c>
      <c r="P2015" s="1">
        <v>90212</v>
      </c>
      <c r="Q2015" s="1">
        <v>0</v>
      </c>
    </row>
    <row r="2016" spans="2:17" hidden="1" x14ac:dyDescent="0.2">
      <c r="B2016" s="1">
        <v>90213</v>
      </c>
      <c r="C2016" s="1">
        <v>0</v>
      </c>
      <c r="G2016" s="1">
        <v>90213</v>
      </c>
      <c r="H2016" s="1">
        <v>0</v>
      </c>
      <c r="L2016" s="1">
        <v>90213</v>
      </c>
      <c r="M2016" s="1">
        <v>0</v>
      </c>
      <c r="P2016" s="1">
        <v>90213</v>
      </c>
      <c r="Q2016" s="1">
        <v>0</v>
      </c>
    </row>
    <row r="2017" spans="2:17" hidden="1" x14ac:dyDescent="0.2">
      <c r="B2017" s="1">
        <v>90214</v>
      </c>
      <c r="C2017" s="1">
        <v>0</v>
      </c>
      <c r="G2017" s="1">
        <v>90214</v>
      </c>
      <c r="H2017" s="1">
        <v>0</v>
      </c>
      <c r="L2017" s="1">
        <v>90214</v>
      </c>
      <c r="M2017" s="1">
        <v>0</v>
      </c>
      <c r="P2017" s="1">
        <v>90214</v>
      </c>
      <c r="Q2017" s="1">
        <v>0</v>
      </c>
    </row>
    <row r="2018" spans="2:17" hidden="1" x14ac:dyDescent="0.2">
      <c r="B2018" s="1">
        <v>90215</v>
      </c>
      <c r="C2018" s="1">
        <v>0</v>
      </c>
      <c r="G2018" s="1">
        <v>90215</v>
      </c>
      <c r="H2018" s="1">
        <v>0</v>
      </c>
      <c r="L2018" s="1">
        <v>90215</v>
      </c>
      <c r="M2018" s="1">
        <v>0</v>
      </c>
      <c r="P2018" s="1">
        <v>90215</v>
      </c>
      <c r="Q2018" s="1">
        <v>0</v>
      </c>
    </row>
    <row r="2019" spans="2:17" hidden="1" x14ac:dyDescent="0.2">
      <c r="B2019" s="1">
        <v>90216</v>
      </c>
      <c r="C2019" s="1">
        <v>0</v>
      </c>
      <c r="G2019" s="1">
        <v>90216</v>
      </c>
      <c r="H2019" s="1">
        <v>0</v>
      </c>
      <c r="L2019" s="1">
        <v>90216</v>
      </c>
      <c r="M2019" s="1">
        <v>0</v>
      </c>
      <c r="P2019" s="1">
        <v>90216</v>
      </c>
      <c r="Q2019" s="1">
        <v>0</v>
      </c>
    </row>
    <row r="2020" spans="2:17" hidden="1" x14ac:dyDescent="0.2">
      <c r="B2020" s="1">
        <v>90217</v>
      </c>
      <c r="C2020" s="1">
        <v>0</v>
      </c>
      <c r="G2020" s="1">
        <v>90217</v>
      </c>
      <c r="H2020" s="1">
        <v>0</v>
      </c>
      <c r="L2020" s="1">
        <v>90217</v>
      </c>
      <c r="M2020" s="1">
        <v>0</v>
      </c>
      <c r="P2020" s="1">
        <v>90217</v>
      </c>
      <c r="Q2020" s="1">
        <v>0</v>
      </c>
    </row>
    <row r="2021" spans="2:17" hidden="1" x14ac:dyDescent="0.2">
      <c r="B2021" s="1">
        <v>90218</v>
      </c>
      <c r="C2021" s="1">
        <v>0</v>
      </c>
      <c r="G2021" s="1">
        <v>90218</v>
      </c>
      <c r="H2021" s="1">
        <v>0</v>
      </c>
      <c r="L2021" s="1">
        <v>90218</v>
      </c>
      <c r="M2021" s="1">
        <v>0</v>
      </c>
      <c r="P2021" s="1">
        <v>90218</v>
      </c>
      <c r="Q2021" s="1">
        <v>0</v>
      </c>
    </row>
    <row r="2022" spans="2:17" hidden="1" x14ac:dyDescent="0.2">
      <c r="B2022" s="1">
        <v>90219</v>
      </c>
      <c r="C2022" s="1">
        <v>0</v>
      </c>
      <c r="G2022" s="1">
        <v>90219</v>
      </c>
      <c r="H2022" s="1">
        <v>0</v>
      </c>
      <c r="L2022" s="1">
        <v>90219</v>
      </c>
      <c r="M2022" s="1">
        <v>0</v>
      </c>
      <c r="P2022" s="1">
        <v>90219</v>
      </c>
      <c r="Q2022" s="1">
        <v>0</v>
      </c>
    </row>
    <row r="2023" spans="2:17" hidden="1" x14ac:dyDescent="0.2">
      <c r="B2023" s="1">
        <v>90220</v>
      </c>
      <c r="C2023" s="1">
        <v>0</v>
      </c>
      <c r="G2023" s="1">
        <v>90220</v>
      </c>
      <c r="H2023" s="1">
        <v>0</v>
      </c>
      <c r="L2023" s="1">
        <v>90220</v>
      </c>
      <c r="M2023" s="1">
        <v>0</v>
      </c>
      <c r="P2023" s="1">
        <v>90220</v>
      </c>
      <c r="Q2023" s="1">
        <v>0</v>
      </c>
    </row>
    <row r="2024" spans="2:17" hidden="1" x14ac:dyDescent="0.2">
      <c r="B2024" s="1">
        <v>90221</v>
      </c>
      <c r="C2024" s="1">
        <v>0</v>
      </c>
      <c r="G2024" s="1">
        <v>90221</v>
      </c>
      <c r="H2024" s="1">
        <v>0</v>
      </c>
      <c r="L2024" s="1">
        <v>90221</v>
      </c>
      <c r="M2024" s="1">
        <v>0</v>
      </c>
      <c r="P2024" s="1">
        <v>90221</v>
      </c>
      <c r="Q2024" s="1">
        <v>0</v>
      </c>
    </row>
    <row r="2025" spans="2:17" hidden="1" x14ac:dyDescent="0.2">
      <c r="B2025" s="1">
        <v>90222</v>
      </c>
      <c r="C2025" s="1">
        <v>0</v>
      </c>
      <c r="G2025" s="1">
        <v>90222</v>
      </c>
      <c r="H2025" s="1">
        <v>0</v>
      </c>
      <c r="L2025" s="1">
        <v>90222</v>
      </c>
      <c r="M2025" s="1">
        <v>0</v>
      </c>
      <c r="P2025" s="1">
        <v>90222</v>
      </c>
      <c r="Q2025" s="1">
        <v>0</v>
      </c>
    </row>
    <row r="2026" spans="2:17" hidden="1" x14ac:dyDescent="0.2">
      <c r="B2026" s="1">
        <v>90223</v>
      </c>
      <c r="C2026" s="1">
        <v>0</v>
      </c>
      <c r="G2026" s="1">
        <v>90223</v>
      </c>
      <c r="H2026" s="1">
        <v>0</v>
      </c>
      <c r="L2026" s="1">
        <v>90223</v>
      </c>
      <c r="M2026" s="1">
        <v>0</v>
      </c>
      <c r="P2026" s="1">
        <v>90223</v>
      </c>
      <c r="Q2026" s="1">
        <v>0</v>
      </c>
    </row>
    <row r="2027" spans="2:17" hidden="1" x14ac:dyDescent="0.2">
      <c r="B2027" s="1">
        <v>90224</v>
      </c>
      <c r="C2027" s="1">
        <v>0</v>
      </c>
      <c r="G2027" s="1">
        <v>90224</v>
      </c>
      <c r="H2027" s="1">
        <v>0</v>
      </c>
      <c r="L2027" s="1">
        <v>90224</v>
      </c>
      <c r="M2027" s="1">
        <v>0</v>
      </c>
      <c r="P2027" s="1">
        <v>90224</v>
      </c>
      <c r="Q2027" s="1">
        <v>0</v>
      </c>
    </row>
    <row r="2028" spans="2:17" hidden="1" x14ac:dyDescent="0.2">
      <c r="B2028" s="1">
        <v>90225</v>
      </c>
      <c r="C2028" s="1">
        <v>0</v>
      </c>
      <c r="G2028" s="1">
        <v>90225</v>
      </c>
      <c r="H2028" s="1">
        <v>0</v>
      </c>
      <c r="L2028" s="1">
        <v>90225</v>
      </c>
      <c r="M2028" s="1">
        <v>0</v>
      </c>
      <c r="P2028" s="1">
        <v>90225</v>
      </c>
      <c r="Q2028" s="1">
        <v>0</v>
      </c>
    </row>
    <row r="2029" spans="2:17" hidden="1" x14ac:dyDescent="0.2">
      <c r="B2029" s="1">
        <v>90226</v>
      </c>
      <c r="C2029" s="1">
        <v>0</v>
      </c>
      <c r="G2029" s="1">
        <v>90226</v>
      </c>
      <c r="H2029" s="1">
        <v>0</v>
      </c>
      <c r="L2029" s="1">
        <v>90226</v>
      </c>
      <c r="M2029" s="1">
        <v>0</v>
      </c>
      <c r="P2029" s="1">
        <v>90226</v>
      </c>
      <c r="Q2029" s="1">
        <v>0</v>
      </c>
    </row>
    <row r="2030" spans="2:17" hidden="1" x14ac:dyDescent="0.2">
      <c r="B2030" s="1">
        <v>90227</v>
      </c>
      <c r="C2030" s="1">
        <v>0</v>
      </c>
      <c r="G2030" s="1">
        <v>90227</v>
      </c>
      <c r="H2030" s="1">
        <v>0</v>
      </c>
      <c r="L2030" s="1">
        <v>90227</v>
      </c>
      <c r="M2030" s="1">
        <v>0</v>
      </c>
      <c r="P2030" s="1">
        <v>90227</v>
      </c>
      <c r="Q2030" s="1">
        <v>0</v>
      </c>
    </row>
    <row r="2031" spans="2:17" hidden="1" x14ac:dyDescent="0.2">
      <c r="B2031" s="1">
        <v>90228</v>
      </c>
      <c r="C2031" s="1">
        <v>0</v>
      </c>
      <c r="G2031" s="1">
        <v>90228</v>
      </c>
      <c r="H2031" s="1">
        <v>0</v>
      </c>
      <c r="L2031" s="1">
        <v>90228</v>
      </c>
      <c r="M2031" s="1">
        <v>6.9799999999999994E-11</v>
      </c>
      <c r="P2031" s="1">
        <v>90228</v>
      </c>
      <c r="Q2031" s="1">
        <v>0</v>
      </c>
    </row>
    <row r="2032" spans="2:17" hidden="1" x14ac:dyDescent="0.2">
      <c r="B2032" s="1">
        <v>90229</v>
      </c>
      <c r="C2032" s="1">
        <v>0</v>
      </c>
      <c r="G2032" s="1">
        <v>90229</v>
      </c>
      <c r="H2032" s="1">
        <v>0</v>
      </c>
      <c r="L2032" s="1">
        <v>90229</v>
      </c>
      <c r="M2032" s="1">
        <v>1.3959999999999999E-10</v>
      </c>
      <c r="P2032" s="1">
        <v>90229</v>
      </c>
      <c r="Q2032" s="1">
        <v>0</v>
      </c>
    </row>
    <row r="2033" spans="2:17" x14ac:dyDescent="0.2">
      <c r="B2033" s="1">
        <v>90230</v>
      </c>
      <c r="C2033" s="1">
        <v>0</v>
      </c>
      <c r="G2033" s="1">
        <v>90230</v>
      </c>
      <c r="H2033" s="1">
        <v>0</v>
      </c>
      <c r="L2033" s="1">
        <v>90230</v>
      </c>
      <c r="M2033" s="1">
        <v>0</v>
      </c>
      <c r="P2033" s="1">
        <v>90230</v>
      </c>
      <c r="Q2033" s="1">
        <v>2.094E-10</v>
      </c>
    </row>
    <row r="2034" spans="2:17" x14ac:dyDescent="0.2">
      <c r="B2034" s="1">
        <v>90231</v>
      </c>
      <c r="C2034" s="1">
        <v>0</v>
      </c>
      <c r="G2034" s="1">
        <v>90231</v>
      </c>
      <c r="H2034" s="1">
        <v>0</v>
      </c>
      <c r="L2034" s="1">
        <v>90231</v>
      </c>
      <c r="M2034" s="1">
        <v>4.1879999999999999E-10</v>
      </c>
      <c r="P2034" s="1">
        <v>90231</v>
      </c>
      <c r="Q2034" s="1">
        <v>4.1879999999999999E-10</v>
      </c>
    </row>
    <row r="2035" spans="2:17" x14ac:dyDescent="0.2">
      <c r="B2035" s="1">
        <v>90232</v>
      </c>
      <c r="C2035" s="1">
        <v>0</v>
      </c>
      <c r="G2035" s="1">
        <v>90232</v>
      </c>
      <c r="H2035" s="1">
        <v>0</v>
      </c>
      <c r="L2035" s="1">
        <v>90232</v>
      </c>
      <c r="M2035" s="1">
        <v>4.8860000000000005E-10</v>
      </c>
      <c r="P2035" s="1">
        <v>90232</v>
      </c>
      <c r="Q2035" s="1">
        <v>7.6779999999999997E-10</v>
      </c>
    </row>
    <row r="2036" spans="2:17" x14ac:dyDescent="0.2">
      <c r="B2036" s="1">
        <v>90233</v>
      </c>
      <c r="C2036" s="1">
        <v>0</v>
      </c>
      <c r="G2036" s="1">
        <v>90233</v>
      </c>
      <c r="H2036" s="1">
        <v>0</v>
      </c>
      <c r="L2036" s="1">
        <v>90233</v>
      </c>
      <c r="M2036" s="1">
        <v>2.7919999999999998E-10</v>
      </c>
      <c r="P2036" s="1">
        <v>90233</v>
      </c>
      <c r="Q2036" s="1">
        <v>3.4899999999999998E-10</v>
      </c>
    </row>
    <row r="2037" spans="2:17" x14ac:dyDescent="0.2">
      <c r="B2037" s="1">
        <v>90234</v>
      </c>
      <c r="C2037" s="1">
        <v>0</v>
      </c>
      <c r="G2037" s="1">
        <v>90234</v>
      </c>
      <c r="H2037" s="1">
        <v>0</v>
      </c>
      <c r="L2037" s="1">
        <v>90234</v>
      </c>
      <c r="M2037" s="1">
        <v>1.3959999999999999E-10</v>
      </c>
      <c r="P2037" s="1">
        <v>90234</v>
      </c>
      <c r="Q2037" s="1">
        <v>2.094E-10</v>
      </c>
    </row>
    <row r="2038" spans="2:17" hidden="1" x14ac:dyDescent="0.2">
      <c r="B2038" s="1">
        <v>90235</v>
      </c>
      <c r="C2038" s="1">
        <v>0</v>
      </c>
      <c r="G2038" s="1">
        <v>90235</v>
      </c>
      <c r="H2038" s="1">
        <v>0</v>
      </c>
      <c r="L2038" s="1">
        <v>90235</v>
      </c>
      <c r="M2038" s="1">
        <v>0</v>
      </c>
      <c r="P2038" s="1">
        <v>90235</v>
      </c>
      <c r="Q2038" s="1">
        <v>0</v>
      </c>
    </row>
    <row r="2039" spans="2:17" x14ac:dyDescent="0.2">
      <c r="B2039" s="1">
        <v>90236</v>
      </c>
      <c r="C2039" s="1">
        <v>0</v>
      </c>
      <c r="G2039" s="1">
        <v>90236</v>
      </c>
      <c r="H2039" s="1">
        <v>0</v>
      </c>
      <c r="L2039" s="1">
        <v>90236</v>
      </c>
      <c r="M2039" s="1">
        <v>1.3959999999999999E-10</v>
      </c>
      <c r="P2039" s="1">
        <v>90236</v>
      </c>
      <c r="Q2039" s="1">
        <v>1.3959999999999999E-10</v>
      </c>
    </row>
    <row r="2040" spans="2:17" hidden="1" x14ac:dyDescent="0.2">
      <c r="B2040" s="1">
        <v>91215</v>
      </c>
      <c r="C2040" s="1">
        <v>0</v>
      </c>
      <c r="G2040" s="1">
        <v>91215</v>
      </c>
      <c r="H2040" s="1">
        <v>0</v>
      </c>
      <c r="L2040" s="1">
        <v>91215</v>
      </c>
      <c r="M2040" s="1">
        <v>0</v>
      </c>
      <c r="P2040" s="1">
        <v>91215</v>
      </c>
      <c r="Q2040" s="1">
        <v>0</v>
      </c>
    </row>
    <row r="2041" spans="2:17" hidden="1" x14ac:dyDescent="0.2">
      <c r="B2041" s="1">
        <v>91216</v>
      </c>
      <c r="C2041" s="1">
        <v>0</v>
      </c>
      <c r="G2041" s="1">
        <v>91216</v>
      </c>
      <c r="H2041" s="1">
        <v>0</v>
      </c>
      <c r="L2041" s="1">
        <v>91216</v>
      </c>
      <c r="M2041" s="1">
        <v>0</v>
      </c>
      <c r="P2041" s="1">
        <v>91216</v>
      </c>
      <c r="Q2041" s="1">
        <v>0</v>
      </c>
    </row>
    <row r="2042" spans="2:17" hidden="1" x14ac:dyDescent="0.2">
      <c r="B2042" s="1">
        <v>91217</v>
      </c>
      <c r="C2042" s="1">
        <v>0</v>
      </c>
      <c r="G2042" s="1">
        <v>91217</v>
      </c>
      <c r="H2042" s="1">
        <v>0</v>
      </c>
      <c r="L2042" s="1">
        <v>91217</v>
      </c>
      <c r="M2042" s="1">
        <v>0</v>
      </c>
      <c r="P2042" s="1">
        <v>91217</v>
      </c>
      <c r="Q2042" s="1">
        <v>0</v>
      </c>
    </row>
    <row r="2043" spans="2:17" hidden="1" x14ac:dyDescent="0.2">
      <c r="B2043" s="1">
        <v>91218</v>
      </c>
      <c r="C2043" s="1">
        <v>0</v>
      </c>
      <c r="G2043" s="1">
        <v>91218</v>
      </c>
      <c r="H2043" s="1">
        <v>0</v>
      </c>
      <c r="L2043" s="1">
        <v>91218</v>
      </c>
      <c r="M2043" s="1">
        <v>0</v>
      </c>
      <c r="P2043" s="1">
        <v>91218</v>
      </c>
      <c r="Q2043" s="1">
        <v>0</v>
      </c>
    </row>
    <row r="2044" spans="2:17" hidden="1" x14ac:dyDescent="0.2">
      <c r="B2044" s="1">
        <v>91219</v>
      </c>
      <c r="C2044" s="1">
        <v>0</v>
      </c>
      <c r="G2044" s="1">
        <v>91219</v>
      </c>
      <c r="H2044" s="1">
        <v>0</v>
      </c>
      <c r="L2044" s="1">
        <v>91219</v>
      </c>
      <c r="M2044" s="1">
        <v>0</v>
      </c>
      <c r="P2044" s="1">
        <v>91219</v>
      </c>
      <c r="Q2044" s="1">
        <v>0</v>
      </c>
    </row>
    <row r="2045" spans="2:17" hidden="1" x14ac:dyDescent="0.2">
      <c r="B2045" s="1">
        <v>91220</v>
      </c>
      <c r="C2045" s="1">
        <v>0</v>
      </c>
      <c r="G2045" s="1">
        <v>91220</v>
      </c>
      <c r="H2045" s="1">
        <v>0</v>
      </c>
      <c r="L2045" s="1">
        <v>91220</v>
      </c>
      <c r="M2045" s="1">
        <v>0</v>
      </c>
      <c r="P2045" s="1">
        <v>91220</v>
      </c>
      <c r="Q2045" s="1">
        <v>0</v>
      </c>
    </row>
    <row r="2046" spans="2:17" hidden="1" x14ac:dyDescent="0.2">
      <c r="B2046" s="1">
        <v>91221</v>
      </c>
      <c r="C2046" s="1">
        <v>0</v>
      </c>
      <c r="G2046" s="1">
        <v>91221</v>
      </c>
      <c r="H2046" s="1">
        <v>0</v>
      </c>
      <c r="L2046" s="1">
        <v>91221</v>
      </c>
      <c r="M2046" s="1">
        <v>0</v>
      </c>
      <c r="P2046" s="1">
        <v>91221</v>
      </c>
      <c r="Q2046" s="1">
        <v>0</v>
      </c>
    </row>
    <row r="2047" spans="2:17" hidden="1" x14ac:dyDescent="0.2">
      <c r="B2047" s="1">
        <v>91222</v>
      </c>
      <c r="C2047" s="1">
        <v>0</v>
      </c>
      <c r="G2047" s="1">
        <v>91222</v>
      </c>
      <c r="H2047" s="1">
        <v>0</v>
      </c>
      <c r="L2047" s="1">
        <v>91222</v>
      </c>
      <c r="M2047" s="1">
        <v>0</v>
      </c>
      <c r="P2047" s="1">
        <v>91222</v>
      </c>
      <c r="Q2047" s="1">
        <v>0</v>
      </c>
    </row>
    <row r="2048" spans="2:17" hidden="1" x14ac:dyDescent="0.2">
      <c r="B2048" s="1">
        <v>91223</v>
      </c>
      <c r="C2048" s="1">
        <v>0</v>
      </c>
      <c r="G2048" s="1">
        <v>91223</v>
      </c>
      <c r="H2048" s="1">
        <v>0</v>
      </c>
      <c r="L2048" s="1">
        <v>91223</v>
      </c>
      <c r="M2048" s="1">
        <v>0</v>
      </c>
      <c r="P2048" s="1">
        <v>91223</v>
      </c>
      <c r="Q2048" s="1">
        <v>0</v>
      </c>
    </row>
    <row r="2049" spans="2:17" hidden="1" x14ac:dyDescent="0.2">
      <c r="B2049" s="1">
        <v>91224</v>
      </c>
      <c r="C2049" s="1">
        <v>0</v>
      </c>
      <c r="G2049" s="1">
        <v>91224</v>
      </c>
      <c r="H2049" s="1">
        <v>0</v>
      </c>
      <c r="L2049" s="1">
        <v>91224</v>
      </c>
      <c r="M2049" s="1">
        <v>0</v>
      </c>
      <c r="P2049" s="1">
        <v>91224</v>
      </c>
      <c r="Q2049" s="1">
        <v>0</v>
      </c>
    </row>
    <row r="2050" spans="2:17" hidden="1" x14ac:dyDescent="0.2">
      <c r="B2050" s="1">
        <v>91225</v>
      </c>
      <c r="C2050" s="1">
        <v>0</v>
      </c>
      <c r="G2050" s="1">
        <v>91225</v>
      </c>
      <c r="H2050" s="1">
        <v>0</v>
      </c>
      <c r="L2050" s="1">
        <v>91225</v>
      </c>
      <c r="M2050" s="1">
        <v>0</v>
      </c>
      <c r="P2050" s="1">
        <v>91225</v>
      </c>
      <c r="Q2050" s="1">
        <v>0</v>
      </c>
    </row>
    <row r="2051" spans="2:17" hidden="1" x14ac:dyDescent="0.2">
      <c r="B2051" s="1">
        <v>91226</v>
      </c>
      <c r="C2051" s="1">
        <v>0</v>
      </c>
      <c r="G2051" s="1">
        <v>91226</v>
      </c>
      <c r="H2051" s="1">
        <v>0</v>
      </c>
      <c r="L2051" s="1">
        <v>91226</v>
      </c>
      <c r="M2051" s="1">
        <v>0</v>
      </c>
      <c r="P2051" s="1">
        <v>91226</v>
      </c>
      <c r="Q2051" s="1">
        <v>0</v>
      </c>
    </row>
    <row r="2052" spans="2:17" hidden="1" x14ac:dyDescent="0.2">
      <c r="B2052" s="1">
        <v>91227</v>
      </c>
      <c r="C2052" s="1">
        <v>0</v>
      </c>
      <c r="G2052" s="1">
        <v>91227</v>
      </c>
      <c r="H2052" s="1">
        <v>0</v>
      </c>
      <c r="L2052" s="1">
        <v>91227</v>
      </c>
      <c r="M2052" s="1">
        <v>0</v>
      </c>
      <c r="P2052" s="1">
        <v>91227</v>
      </c>
      <c r="Q2052" s="1">
        <v>0</v>
      </c>
    </row>
    <row r="2053" spans="2:17" hidden="1" x14ac:dyDescent="0.2">
      <c r="B2053" s="1">
        <v>91228</v>
      </c>
      <c r="C2053" s="1">
        <v>0</v>
      </c>
      <c r="G2053" s="1">
        <v>91228</v>
      </c>
      <c r="H2053" s="1">
        <v>0</v>
      </c>
      <c r="L2053" s="1">
        <v>91228</v>
      </c>
      <c r="M2053" s="1">
        <v>0</v>
      </c>
      <c r="P2053" s="1">
        <v>91228</v>
      </c>
      <c r="Q2053" s="1">
        <v>0</v>
      </c>
    </row>
    <row r="2054" spans="2:17" hidden="1" x14ac:dyDescent="0.2">
      <c r="B2054" s="1">
        <v>91229</v>
      </c>
      <c r="C2054" s="1">
        <v>0</v>
      </c>
      <c r="G2054" s="1">
        <v>91229</v>
      </c>
      <c r="H2054" s="1">
        <v>0</v>
      </c>
      <c r="L2054" s="1">
        <v>91229</v>
      </c>
      <c r="M2054" s="1">
        <v>0</v>
      </c>
      <c r="P2054" s="1">
        <v>91229</v>
      </c>
      <c r="Q2054" s="1">
        <v>0</v>
      </c>
    </row>
    <row r="2055" spans="2:17" x14ac:dyDescent="0.2">
      <c r="B2055" s="1">
        <v>91230</v>
      </c>
      <c r="C2055" s="1">
        <v>0</v>
      </c>
      <c r="G2055" s="1">
        <v>91230</v>
      </c>
      <c r="H2055" s="1">
        <v>0</v>
      </c>
      <c r="L2055" s="1">
        <v>91230</v>
      </c>
      <c r="M2055" s="1">
        <v>2.094E-10</v>
      </c>
      <c r="P2055" s="1">
        <v>91230</v>
      </c>
      <c r="Q2055" s="1">
        <v>2.094E-10</v>
      </c>
    </row>
    <row r="2056" spans="2:17" x14ac:dyDescent="0.2">
      <c r="B2056" s="1">
        <v>91231</v>
      </c>
      <c r="C2056" s="1">
        <v>0</v>
      </c>
      <c r="G2056" s="1">
        <v>91231</v>
      </c>
      <c r="H2056" s="1">
        <v>0</v>
      </c>
      <c r="L2056" s="1">
        <v>91231</v>
      </c>
      <c r="M2056" s="1">
        <v>3.5598000000000001E-9</v>
      </c>
      <c r="P2056" s="1">
        <v>91231</v>
      </c>
      <c r="Q2056" s="1">
        <v>3.4201999999999998E-9</v>
      </c>
    </row>
    <row r="2057" spans="2:17" x14ac:dyDescent="0.2">
      <c r="B2057" s="1">
        <v>91232</v>
      </c>
      <c r="C2057" s="1">
        <v>0</v>
      </c>
      <c r="G2057" s="1">
        <v>91232</v>
      </c>
      <c r="H2057" s="1">
        <v>0</v>
      </c>
      <c r="L2057" s="1">
        <v>91232</v>
      </c>
      <c r="M2057" s="1">
        <v>9.9115999999999996E-9</v>
      </c>
      <c r="P2057" s="1">
        <v>91232</v>
      </c>
      <c r="Q2057" s="1">
        <v>1.1447200000000001E-8</v>
      </c>
    </row>
    <row r="2058" spans="2:17" x14ac:dyDescent="0.2">
      <c r="B2058" s="1">
        <v>91233</v>
      </c>
      <c r="C2058" s="1">
        <v>0</v>
      </c>
      <c r="G2058" s="1">
        <v>91233</v>
      </c>
      <c r="H2058" s="1">
        <v>1.9999999999999999E-7</v>
      </c>
      <c r="L2058" s="1">
        <v>91233</v>
      </c>
      <c r="M2058" s="1">
        <v>4.8650600000000002E-8</v>
      </c>
      <c r="P2058" s="1">
        <v>91233</v>
      </c>
      <c r="Q2058" s="1">
        <v>6.0935400000000004E-8</v>
      </c>
    </row>
    <row r="2059" spans="2:17" x14ac:dyDescent="0.2">
      <c r="B2059" s="1">
        <v>91234</v>
      </c>
      <c r="C2059" s="1">
        <v>9.9999999999999995E-8</v>
      </c>
      <c r="G2059" s="1">
        <v>91234</v>
      </c>
      <c r="H2059" s="1">
        <v>9.9999999999999995E-8</v>
      </c>
      <c r="L2059" s="1">
        <v>91234</v>
      </c>
      <c r="M2059" s="1">
        <v>1.2326699999999999E-7</v>
      </c>
      <c r="P2059" s="1">
        <v>91234</v>
      </c>
      <c r="Q2059" s="1">
        <v>1.47557E-7</v>
      </c>
    </row>
    <row r="2060" spans="2:17" x14ac:dyDescent="0.2">
      <c r="B2060" s="1">
        <v>91235</v>
      </c>
      <c r="C2060" s="1">
        <v>4.9999999999999998E-7</v>
      </c>
      <c r="G2060" s="1">
        <v>91235</v>
      </c>
      <c r="H2060" s="1">
        <v>9.9999999999999995E-7</v>
      </c>
      <c r="L2060" s="1">
        <v>91235</v>
      </c>
      <c r="M2060" s="1">
        <v>3.51932E-7</v>
      </c>
      <c r="P2060" s="1">
        <v>91235</v>
      </c>
      <c r="Q2060" s="1">
        <v>4.2061499999999998E-7</v>
      </c>
    </row>
    <row r="2061" spans="2:17" x14ac:dyDescent="0.2">
      <c r="B2061" s="1">
        <v>91236</v>
      </c>
      <c r="C2061" s="1">
        <v>0</v>
      </c>
      <c r="G2061" s="1">
        <v>91236</v>
      </c>
      <c r="H2061" s="1">
        <v>9.9999999999999995E-8</v>
      </c>
      <c r="L2061" s="1">
        <v>91236</v>
      </c>
      <c r="M2061" s="1">
        <v>6.3064299999999996E-7</v>
      </c>
      <c r="P2061" s="1">
        <v>91236</v>
      </c>
      <c r="Q2061" s="1">
        <v>7.5998199999999996E-7</v>
      </c>
    </row>
    <row r="2062" spans="2:17" x14ac:dyDescent="0.2">
      <c r="B2062" s="1">
        <v>91237</v>
      </c>
      <c r="C2062" s="1">
        <v>2.9999999999999999E-7</v>
      </c>
      <c r="G2062" s="1">
        <v>91237</v>
      </c>
      <c r="H2062" s="1">
        <v>3.9999999999999998E-7</v>
      </c>
      <c r="L2062" s="1">
        <v>91237</v>
      </c>
      <c r="M2062" s="1">
        <v>4.2710600000000001E-7</v>
      </c>
      <c r="P2062" s="1">
        <v>91237</v>
      </c>
      <c r="Q2062" s="1">
        <v>5.42765E-7</v>
      </c>
    </row>
    <row r="2063" spans="2:17" hidden="1" x14ac:dyDescent="0.2">
      <c r="B2063" s="1">
        <v>91238</v>
      </c>
      <c r="C2063" s="1">
        <v>0</v>
      </c>
      <c r="G2063" s="1">
        <v>91238</v>
      </c>
      <c r="H2063" s="1">
        <v>0</v>
      </c>
      <c r="L2063" s="1">
        <v>91238</v>
      </c>
      <c r="M2063" s="1">
        <v>0</v>
      </c>
      <c r="P2063" s="1">
        <v>91238</v>
      </c>
      <c r="Q2063" s="1">
        <v>0</v>
      </c>
    </row>
    <row r="2064" spans="2:17" hidden="1" x14ac:dyDescent="0.2">
      <c r="B2064" s="1">
        <v>92222</v>
      </c>
      <c r="C2064" s="1">
        <v>0</v>
      </c>
      <c r="G2064" s="1">
        <v>92222</v>
      </c>
      <c r="H2064" s="1">
        <v>0</v>
      </c>
      <c r="L2064" s="1">
        <v>92222</v>
      </c>
      <c r="M2064" s="1">
        <v>0</v>
      </c>
      <c r="P2064" s="1">
        <v>92222</v>
      </c>
      <c r="Q2064" s="1">
        <v>0</v>
      </c>
    </row>
    <row r="2065" spans="2:17" hidden="1" x14ac:dyDescent="0.2">
      <c r="B2065" s="1">
        <v>92223</v>
      </c>
      <c r="C2065" s="1">
        <v>0</v>
      </c>
      <c r="G2065" s="1">
        <v>92223</v>
      </c>
      <c r="H2065" s="1">
        <v>0</v>
      </c>
      <c r="L2065" s="1">
        <v>92223</v>
      </c>
      <c r="M2065" s="1">
        <v>0</v>
      </c>
      <c r="P2065" s="1">
        <v>92223</v>
      </c>
      <c r="Q2065" s="1">
        <v>0</v>
      </c>
    </row>
    <row r="2066" spans="2:17" hidden="1" x14ac:dyDescent="0.2">
      <c r="B2066" s="1">
        <v>92224</v>
      </c>
      <c r="C2066" s="1">
        <v>0</v>
      </c>
      <c r="G2066" s="1">
        <v>92224</v>
      </c>
      <c r="H2066" s="1">
        <v>0</v>
      </c>
      <c r="L2066" s="1">
        <v>92224</v>
      </c>
      <c r="M2066" s="1">
        <v>0</v>
      </c>
      <c r="P2066" s="1">
        <v>92224</v>
      </c>
      <c r="Q2066" s="1">
        <v>0</v>
      </c>
    </row>
    <row r="2067" spans="2:17" hidden="1" x14ac:dyDescent="0.2">
      <c r="B2067" s="1">
        <v>92225</v>
      </c>
      <c r="C2067" s="1">
        <v>0</v>
      </c>
      <c r="G2067" s="1">
        <v>92225</v>
      </c>
      <c r="H2067" s="1">
        <v>0</v>
      </c>
      <c r="L2067" s="1">
        <v>92225</v>
      </c>
      <c r="M2067" s="1">
        <v>0</v>
      </c>
      <c r="P2067" s="1">
        <v>92225</v>
      </c>
      <c r="Q2067" s="1">
        <v>0</v>
      </c>
    </row>
    <row r="2068" spans="2:17" hidden="1" x14ac:dyDescent="0.2">
      <c r="B2068" s="1">
        <v>92226</v>
      </c>
      <c r="C2068" s="1">
        <v>0</v>
      </c>
      <c r="G2068" s="1">
        <v>92226</v>
      </c>
      <c r="H2068" s="1">
        <v>0</v>
      </c>
      <c r="L2068" s="1">
        <v>92226</v>
      </c>
      <c r="M2068" s="1">
        <v>0</v>
      </c>
      <c r="P2068" s="1">
        <v>92226</v>
      </c>
      <c r="Q2068" s="1">
        <v>0</v>
      </c>
    </row>
    <row r="2069" spans="2:17" hidden="1" x14ac:dyDescent="0.2">
      <c r="B2069" s="1">
        <v>92227</v>
      </c>
      <c r="C2069" s="1">
        <v>0</v>
      </c>
      <c r="G2069" s="1">
        <v>92227</v>
      </c>
      <c r="H2069" s="1">
        <v>0</v>
      </c>
      <c r="L2069" s="1">
        <v>92227</v>
      </c>
      <c r="M2069" s="1">
        <v>0</v>
      </c>
      <c r="P2069" s="1">
        <v>92227</v>
      </c>
      <c r="Q2069" s="1">
        <v>0</v>
      </c>
    </row>
    <row r="2070" spans="2:17" hidden="1" x14ac:dyDescent="0.2">
      <c r="B2070" s="1">
        <v>92228</v>
      </c>
      <c r="C2070" s="1">
        <v>0</v>
      </c>
      <c r="G2070" s="1">
        <v>92228</v>
      </c>
      <c r="H2070" s="1">
        <v>0</v>
      </c>
      <c r="L2070" s="1">
        <v>92228</v>
      </c>
      <c r="M2070" s="1">
        <v>0</v>
      </c>
      <c r="P2070" s="1">
        <v>92228</v>
      </c>
      <c r="Q2070" s="1">
        <v>0</v>
      </c>
    </row>
    <row r="2071" spans="2:17" hidden="1" x14ac:dyDescent="0.2">
      <c r="B2071" s="1">
        <v>92229</v>
      </c>
      <c r="C2071" s="1">
        <v>0</v>
      </c>
      <c r="G2071" s="1">
        <v>92229</v>
      </c>
      <c r="H2071" s="1">
        <v>0</v>
      </c>
      <c r="L2071" s="1">
        <v>92229</v>
      </c>
      <c r="M2071" s="1">
        <v>0</v>
      </c>
      <c r="P2071" s="1">
        <v>92229</v>
      </c>
      <c r="Q2071" s="1">
        <v>0</v>
      </c>
    </row>
    <row r="2072" spans="2:17" x14ac:dyDescent="0.2">
      <c r="B2072" s="1">
        <v>92230</v>
      </c>
      <c r="C2072" s="1">
        <v>0</v>
      </c>
      <c r="G2072" s="1">
        <v>92230</v>
      </c>
      <c r="H2072" s="1">
        <v>0</v>
      </c>
      <c r="L2072" s="1">
        <v>92230</v>
      </c>
      <c r="M2072" s="1">
        <v>1.7450000000000001E-9</v>
      </c>
      <c r="P2072" s="1">
        <v>92230</v>
      </c>
      <c r="Q2072" s="1">
        <v>2.6524000000000001E-9</v>
      </c>
    </row>
    <row r="2073" spans="2:17" x14ac:dyDescent="0.2">
      <c r="B2073" s="1">
        <v>92231</v>
      </c>
      <c r="C2073" s="1">
        <v>0</v>
      </c>
      <c r="G2073" s="1">
        <v>92231</v>
      </c>
      <c r="H2073" s="1">
        <v>9.9999999999999995E-8</v>
      </c>
      <c r="L2073" s="1">
        <v>92231</v>
      </c>
      <c r="M2073" s="1">
        <v>3.02234E-8</v>
      </c>
      <c r="P2073" s="1">
        <v>92231</v>
      </c>
      <c r="Q2073" s="1">
        <v>3.4201999999999997E-8</v>
      </c>
    </row>
    <row r="2074" spans="2:17" x14ac:dyDescent="0.2">
      <c r="B2074" s="1">
        <v>92232</v>
      </c>
      <c r="C2074" s="1">
        <v>5.9999999999999997E-7</v>
      </c>
      <c r="G2074" s="1">
        <v>92232</v>
      </c>
      <c r="H2074" s="1">
        <v>7.9999999999999996E-7</v>
      </c>
      <c r="L2074" s="1">
        <v>92232</v>
      </c>
      <c r="M2074" s="1">
        <v>8.3955399999999998E-7</v>
      </c>
      <c r="P2074" s="1">
        <v>92232</v>
      </c>
      <c r="Q2074" s="1">
        <v>1.1668500000000001E-6</v>
      </c>
    </row>
    <row r="2075" spans="2:17" x14ac:dyDescent="0.2">
      <c r="B2075" s="1">
        <v>92233</v>
      </c>
      <c r="C2075" s="1">
        <v>1.2E-5</v>
      </c>
      <c r="G2075" s="1">
        <v>92233</v>
      </c>
      <c r="H2075" s="1">
        <v>9.7000000000000003E-6</v>
      </c>
      <c r="L2075" s="1">
        <v>92233</v>
      </c>
      <c r="M2075" s="1">
        <v>9.0700900000000008E-6</v>
      </c>
      <c r="P2075" s="1">
        <v>92233</v>
      </c>
      <c r="Q2075" s="1">
        <v>2.3815399999999999E-5</v>
      </c>
    </row>
    <row r="2076" spans="2:17" x14ac:dyDescent="0.2">
      <c r="B2076" s="1">
        <v>92234</v>
      </c>
      <c r="C2076" s="1">
        <v>8.0000000000000007E-5</v>
      </c>
      <c r="G2076" s="1">
        <v>92234</v>
      </c>
      <c r="H2076" s="1">
        <v>6.1E-6</v>
      </c>
      <c r="L2076" s="1">
        <v>92234</v>
      </c>
      <c r="M2076" s="1">
        <v>7.2731599999999998E-6</v>
      </c>
      <c r="P2076" s="1">
        <v>92234</v>
      </c>
      <c r="Q2076" s="1">
        <v>1.3395599999999999E-4</v>
      </c>
    </row>
    <row r="2077" spans="2:17" x14ac:dyDescent="0.2">
      <c r="B2077" s="1">
        <v>92235</v>
      </c>
      <c r="C2077" s="1">
        <v>2.5299999999999998E-5</v>
      </c>
      <c r="G2077" s="1">
        <v>92235</v>
      </c>
      <c r="H2077" s="1">
        <v>4.1199999999999999E-5</v>
      </c>
      <c r="L2077" s="1">
        <v>92235</v>
      </c>
      <c r="M2077" s="1">
        <v>3.9106800000000003E-5</v>
      </c>
      <c r="P2077" s="1">
        <v>92235</v>
      </c>
      <c r="Q2077" s="1">
        <v>4.66799E-5</v>
      </c>
    </row>
    <row r="2078" spans="2:17" x14ac:dyDescent="0.2">
      <c r="B2078" s="1">
        <v>92236</v>
      </c>
      <c r="C2078" s="1">
        <v>8.3850000000000005E-4</v>
      </c>
      <c r="G2078" s="1">
        <v>92236</v>
      </c>
      <c r="H2078" s="1">
        <v>1.5837E-3</v>
      </c>
      <c r="L2078" s="1">
        <v>92236</v>
      </c>
      <c r="M2078" s="1">
        <v>1.4918500000000001E-3</v>
      </c>
      <c r="P2078" s="1">
        <v>92236</v>
      </c>
      <c r="Q2078" s="1">
        <v>1.3475200000000001E-3</v>
      </c>
    </row>
    <row r="2079" spans="2:17" x14ac:dyDescent="0.2">
      <c r="B2079" s="1">
        <v>92237</v>
      </c>
      <c r="C2079" s="1">
        <v>2.3804E-3</v>
      </c>
      <c r="G2079" s="1">
        <v>92237</v>
      </c>
      <c r="H2079" s="1">
        <v>8.1999999999999994E-6</v>
      </c>
      <c r="L2079" s="1">
        <v>92237</v>
      </c>
      <c r="M2079" s="1">
        <v>7.2702999999999997E-6</v>
      </c>
      <c r="P2079" s="1">
        <v>92237</v>
      </c>
      <c r="Q2079" s="1">
        <v>4.0387699999999997E-3</v>
      </c>
    </row>
    <row r="2080" spans="2:17" x14ac:dyDescent="0.2">
      <c r="B2080" s="1">
        <v>92238</v>
      </c>
      <c r="C2080" s="1">
        <v>1.08E-4</v>
      </c>
      <c r="G2080" s="1">
        <v>92238</v>
      </c>
      <c r="H2080" s="1">
        <v>0</v>
      </c>
      <c r="L2080" s="1">
        <v>92238</v>
      </c>
      <c r="M2080" s="1">
        <v>0</v>
      </c>
      <c r="P2080" s="1">
        <v>92238</v>
      </c>
      <c r="Q2080" s="1">
        <v>1.95415E-4</v>
      </c>
    </row>
    <row r="2081" spans="2:17" hidden="1" x14ac:dyDescent="0.2">
      <c r="B2081" s="1">
        <v>92239</v>
      </c>
      <c r="C2081" s="1">
        <v>0</v>
      </c>
      <c r="G2081" s="1">
        <v>92239</v>
      </c>
      <c r="H2081" s="1">
        <v>0</v>
      </c>
      <c r="L2081" s="1">
        <v>92239</v>
      </c>
      <c r="M2081" s="1">
        <v>0</v>
      </c>
      <c r="P2081" s="1">
        <v>92239</v>
      </c>
      <c r="Q2081" s="1">
        <v>0</v>
      </c>
    </row>
    <row r="2082" spans="2:17" hidden="1" x14ac:dyDescent="0.2">
      <c r="B2082" s="1">
        <v>92240</v>
      </c>
      <c r="C2082" s="1">
        <v>0</v>
      </c>
      <c r="G2082" s="1">
        <v>92240</v>
      </c>
      <c r="H2082" s="1">
        <v>0</v>
      </c>
      <c r="L2082" s="1">
        <v>92240</v>
      </c>
      <c r="M2082" s="1">
        <v>0</v>
      </c>
      <c r="P2082" s="1">
        <v>92240</v>
      </c>
      <c r="Q2082" s="1">
        <v>0</v>
      </c>
    </row>
    <row r="2083" spans="2:17" hidden="1" x14ac:dyDescent="0.2">
      <c r="B2083" s="1">
        <v>92241</v>
      </c>
      <c r="C2083" s="1">
        <v>0</v>
      </c>
      <c r="G2083" s="1">
        <v>92241</v>
      </c>
      <c r="H2083" s="1">
        <v>0</v>
      </c>
      <c r="L2083" s="1">
        <v>92241</v>
      </c>
      <c r="M2083" s="1">
        <v>0</v>
      </c>
      <c r="P2083" s="1">
        <v>92241</v>
      </c>
      <c r="Q2083" s="1">
        <v>0</v>
      </c>
    </row>
    <row r="2084" spans="2:17" hidden="1" x14ac:dyDescent="0.2">
      <c r="B2084" s="1">
        <v>92242</v>
      </c>
      <c r="C2084" s="1">
        <v>0</v>
      </c>
      <c r="G2084" s="1">
        <v>92242</v>
      </c>
      <c r="H2084" s="1">
        <v>0</v>
      </c>
      <c r="L2084" s="1">
        <v>92242</v>
      </c>
      <c r="M2084" s="1">
        <v>0</v>
      </c>
      <c r="P2084" s="1">
        <v>92242</v>
      </c>
      <c r="Q2084" s="1">
        <v>0</v>
      </c>
    </row>
    <row r="2085" spans="2:17" hidden="1" x14ac:dyDescent="0.2">
      <c r="B2085" s="1">
        <v>93227</v>
      </c>
      <c r="C2085" s="1">
        <v>0</v>
      </c>
      <c r="G2085" s="1">
        <v>93227</v>
      </c>
      <c r="H2085" s="1">
        <v>0</v>
      </c>
      <c r="L2085" s="1">
        <v>93227</v>
      </c>
      <c r="M2085" s="1">
        <v>0</v>
      </c>
      <c r="P2085" s="1">
        <v>93227</v>
      </c>
      <c r="Q2085" s="1">
        <v>0</v>
      </c>
    </row>
    <row r="2086" spans="2:17" hidden="1" x14ac:dyDescent="0.2">
      <c r="B2086" s="1">
        <v>93228</v>
      </c>
      <c r="C2086" s="1">
        <v>0</v>
      </c>
      <c r="G2086" s="1">
        <v>93228</v>
      </c>
      <c r="H2086" s="1">
        <v>0</v>
      </c>
      <c r="L2086" s="1">
        <v>93228</v>
      </c>
      <c r="M2086" s="1">
        <v>0</v>
      </c>
      <c r="P2086" s="1">
        <v>93228</v>
      </c>
      <c r="Q2086" s="1">
        <v>0</v>
      </c>
    </row>
    <row r="2087" spans="2:17" hidden="1" x14ac:dyDescent="0.2">
      <c r="B2087" s="1">
        <v>93229</v>
      </c>
      <c r="C2087" s="1">
        <v>0</v>
      </c>
      <c r="G2087" s="1">
        <v>93229</v>
      </c>
      <c r="H2087" s="1">
        <v>0</v>
      </c>
      <c r="L2087" s="1">
        <v>93229</v>
      </c>
      <c r="M2087" s="1">
        <v>0</v>
      </c>
      <c r="P2087" s="1">
        <v>93229</v>
      </c>
      <c r="Q2087" s="1">
        <v>0</v>
      </c>
    </row>
    <row r="2088" spans="2:17" hidden="1" x14ac:dyDescent="0.2">
      <c r="B2088" s="1">
        <v>93230</v>
      </c>
      <c r="C2088" s="1">
        <v>0</v>
      </c>
      <c r="G2088" s="1">
        <v>93230</v>
      </c>
      <c r="H2088" s="1">
        <v>0</v>
      </c>
      <c r="L2088" s="1">
        <v>93230</v>
      </c>
      <c r="M2088" s="1">
        <v>0</v>
      </c>
      <c r="P2088" s="1">
        <v>93230</v>
      </c>
      <c r="Q2088" s="1">
        <v>0</v>
      </c>
    </row>
    <row r="2089" spans="2:17" hidden="1" x14ac:dyDescent="0.2">
      <c r="B2089" s="1">
        <v>93231</v>
      </c>
      <c r="C2089" s="1">
        <v>0</v>
      </c>
      <c r="G2089" s="1">
        <v>93231</v>
      </c>
      <c r="H2089" s="1">
        <v>0</v>
      </c>
      <c r="L2089" s="1">
        <v>93231</v>
      </c>
      <c r="M2089" s="1">
        <v>0</v>
      </c>
      <c r="P2089" s="1">
        <v>93231</v>
      </c>
      <c r="Q2089" s="1">
        <v>0</v>
      </c>
    </row>
    <row r="2090" spans="2:17" hidden="1" x14ac:dyDescent="0.2">
      <c r="B2090" s="1">
        <v>93232</v>
      </c>
      <c r="C2090" s="1">
        <v>0</v>
      </c>
      <c r="G2090" s="1">
        <v>93232</v>
      </c>
      <c r="H2090" s="1">
        <v>0</v>
      </c>
      <c r="L2090" s="1">
        <v>93232</v>
      </c>
      <c r="M2090" s="1">
        <v>0</v>
      </c>
      <c r="P2090" s="1">
        <v>93232</v>
      </c>
      <c r="Q2090" s="1">
        <v>0</v>
      </c>
    </row>
    <row r="2091" spans="2:17" hidden="1" x14ac:dyDescent="0.2">
      <c r="B2091" s="1">
        <v>93233</v>
      </c>
      <c r="C2091" s="1">
        <v>0</v>
      </c>
      <c r="G2091" s="1">
        <v>93233</v>
      </c>
      <c r="H2091" s="1">
        <v>0</v>
      </c>
      <c r="L2091" s="1">
        <v>93233</v>
      </c>
      <c r="M2091" s="1">
        <v>0</v>
      </c>
      <c r="P2091" s="1">
        <v>93233</v>
      </c>
      <c r="Q2091" s="1">
        <v>0</v>
      </c>
    </row>
    <row r="2092" spans="2:17" hidden="1" x14ac:dyDescent="0.2">
      <c r="B2092" s="1">
        <v>93234</v>
      </c>
      <c r="C2092" s="1">
        <v>0</v>
      </c>
      <c r="G2092" s="1">
        <v>93234</v>
      </c>
      <c r="H2092" s="1">
        <v>0</v>
      </c>
      <c r="L2092" s="1">
        <v>93234</v>
      </c>
      <c r="M2092" s="1">
        <v>0</v>
      </c>
      <c r="P2092" s="1">
        <v>93234</v>
      </c>
      <c r="Q2092" s="1">
        <v>0</v>
      </c>
    </row>
    <row r="2093" spans="2:17" hidden="1" x14ac:dyDescent="0.2">
      <c r="B2093" s="1">
        <v>93235</v>
      </c>
      <c r="C2093" s="1">
        <v>0</v>
      </c>
      <c r="G2093" s="1">
        <v>93235</v>
      </c>
      <c r="H2093" s="1">
        <v>0</v>
      </c>
      <c r="L2093" s="1">
        <v>93235</v>
      </c>
      <c r="M2093" s="1">
        <v>0</v>
      </c>
      <c r="P2093" s="1">
        <v>93235</v>
      </c>
      <c r="Q2093" s="1">
        <v>0</v>
      </c>
    </row>
    <row r="2094" spans="2:17" hidden="1" x14ac:dyDescent="0.2">
      <c r="B2094" s="1">
        <v>93236</v>
      </c>
      <c r="C2094" s="1">
        <v>0</v>
      </c>
      <c r="G2094" s="1">
        <v>93236</v>
      </c>
      <c r="H2094" s="1">
        <v>0</v>
      </c>
      <c r="L2094" s="1">
        <v>93236</v>
      </c>
      <c r="M2094" s="1">
        <v>0</v>
      </c>
      <c r="P2094" s="1">
        <v>93236</v>
      </c>
      <c r="Q2094" s="1">
        <v>0</v>
      </c>
    </row>
    <row r="2095" spans="2:17" hidden="1" x14ac:dyDescent="0.2">
      <c r="B2095" s="1">
        <v>93237</v>
      </c>
      <c r="C2095" s="1">
        <v>0</v>
      </c>
      <c r="G2095" s="1">
        <v>93237</v>
      </c>
      <c r="H2095" s="1">
        <v>0</v>
      </c>
      <c r="L2095" s="1">
        <v>93237</v>
      </c>
      <c r="M2095" s="1">
        <v>0</v>
      </c>
      <c r="P2095" s="1">
        <v>93237</v>
      </c>
      <c r="Q2095" s="1">
        <v>0</v>
      </c>
    </row>
    <row r="2096" spans="2:17" hidden="1" x14ac:dyDescent="0.2">
      <c r="B2096" s="1">
        <v>93238</v>
      </c>
      <c r="C2096" s="1">
        <v>0</v>
      </c>
      <c r="G2096" s="1">
        <v>93238</v>
      </c>
      <c r="H2096" s="1">
        <v>0</v>
      </c>
      <c r="L2096" s="1">
        <v>93238</v>
      </c>
      <c r="M2096" s="1">
        <v>0</v>
      </c>
      <c r="P2096" s="1">
        <v>93238</v>
      </c>
      <c r="Q2096" s="1">
        <v>0</v>
      </c>
    </row>
    <row r="2097" spans="2:17" hidden="1" x14ac:dyDescent="0.2">
      <c r="B2097" s="1">
        <v>93239</v>
      </c>
      <c r="C2097" s="1">
        <v>0</v>
      </c>
      <c r="G2097" s="1">
        <v>93239</v>
      </c>
      <c r="H2097" s="1">
        <v>0</v>
      </c>
      <c r="L2097" s="1">
        <v>93239</v>
      </c>
      <c r="M2097" s="1">
        <v>0</v>
      </c>
      <c r="P2097" s="1">
        <v>93239</v>
      </c>
      <c r="Q2097" s="1">
        <v>0</v>
      </c>
    </row>
    <row r="2098" spans="2:17" hidden="1" x14ac:dyDescent="0.2">
      <c r="B2098" s="1">
        <v>93240</v>
      </c>
      <c r="C2098" s="1">
        <v>0</v>
      </c>
      <c r="G2098" s="1">
        <v>93240</v>
      </c>
      <c r="H2098" s="1">
        <v>0</v>
      </c>
      <c r="L2098" s="1">
        <v>93240</v>
      </c>
      <c r="M2098" s="1">
        <v>0</v>
      </c>
      <c r="P2098" s="1">
        <v>93240</v>
      </c>
      <c r="Q2098" s="1">
        <v>0</v>
      </c>
    </row>
    <row r="2099" spans="2:17" hidden="1" x14ac:dyDescent="0.2">
      <c r="B2099" s="1">
        <v>93241</v>
      </c>
      <c r="C2099" s="1">
        <v>0</v>
      </c>
      <c r="G2099" s="1">
        <v>93241</v>
      </c>
      <c r="H2099" s="1">
        <v>0</v>
      </c>
      <c r="L2099" s="1">
        <v>93241</v>
      </c>
      <c r="M2099" s="1">
        <v>0</v>
      </c>
      <c r="P2099" s="1">
        <v>93241</v>
      </c>
      <c r="Q2099" s="1">
        <v>0</v>
      </c>
    </row>
    <row r="2100" spans="2:17" hidden="1" x14ac:dyDescent="0.2">
      <c r="B2100" s="1">
        <v>93242</v>
      </c>
      <c r="C2100" s="1">
        <v>0</v>
      </c>
      <c r="G2100" s="1">
        <v>93242</v>
      </c>
      <c r="H2100" s="1">
        <v>0</v>
      </c>
      <c r="L2100" s="1">
        <v>93242</v>
      </c>
      <c r="M2100" s="1">
        <v>0</v>
      </c>
      <c r="P2100" s="1">
        <v>93242</v>
      </c>
      <c r="Q2100" s="1">
        <v>0</v>
      </c>
    </row>
    <row r="2101" spans="2:17" hidden="1" x14ac:dyDescent="0.2">
      <c r="B2101" s="1">
        <v>94232</v>
      </c>
      <c r="C2101" s="1">
        <v>0</v>
      </c>
      <c r="G2101" s="1">
        <v>94232</v>
      </c>
      <c r="H2101" s="1">
        <v>0</v>
      </c>
      <c r="L2101" s="1">
        <v>94232</v>
      </c>
      <c r="M2101" s="1">
        <v>0</v>
      </c>
      <c r="P2101" s="1">
        <v>94232</v>
      </c>
      <c r="Q2101" s="1">
        <v>0</v>
      </c>
    </row>
    <row r="2102" spans="2:17" hidden="1" x14ac:dyDescent="0.2">
      <c r="B2102" s="1">
        <v>94233</v>
      </c>
      <c r="C2102" s="1">
        <v>0</v>
      </c>
      <c r="G2102" s="1">
        <v>94233</v>
      </c>
      <c r="H2102" s="1">
        <v>0</v>
      </c>
      <c r="L2102" s="1">
        <v>94233</v>
      </c>
      <c r="M2102" s="1">
        <v>0</v>
      </c>
      <c r="P2102" s="1">
        <v>94233</v>
      </c>
      <c r="Q2102" s="1">
        <v>0</v>
      </c>
    </row>
    <row r="2103" spans="2:17" hidden="1" x14ac:dyDescent="0.2">
      <c r="B2103" s="1">
        <v>94234</v>
      </c>
      <c r="C2103" s="1">
        <v>0</v>
      </c>
      <c r="G2103" s="1">
        <v>94234</v>
      </c>
      <c r="H2103" s="1">
        <v>0</v>
      </c>
      <c r="L2103" s="1">
        <v>94234</v>
      </c>
      <c r="M2103" s="1">
        <v>0</v>
      </c>
      <c r="P2103" s="1">
        <v>94234</v>
      </c>
      <c r="Q2103" s="1">
        <v>0</v>
      </c>
    </row>
    <row r="2104" spans="2:17" hidden="1" x14ac:dyDescent="0.2">
      <c r="B2104" s="1">
        <v>94235</v>
      </c>
      <c r="C2104" s="1">
        <v>0</v>
      </c>
      <c r="G2104" s="1">
        <v>94235</v>
      </c>
      <c r="H2104" s="1">
        <v>0</v>
      </c>
      <c r="L2104" s="1">
        <v>94235</v>
      </c>
      <c r="M2104" s="1">
        <v>0</v>
      </c>
      <c r="P2104" s="1">
        <v>94235</v>
      </c>
      <c r="Q2104" s="1">
        <v>0</v>
      </c>
    </row>
    <row r="2105" spans="2:17" hidden="1" x14ac:dyDescent="0.2">
      <c r="B2105" s="1">
        <v>94236</v>
      </c>
      <c r="C2105" s="1">
        <v>0</v>
      </c>
      <c r="G2105" s="1">
        <v>94236</v>
      </c>
      <c r="H2105" s="1">
        <v>0</v>
      </c>
      <c r="L2105" s="1">
        <v>94236</v>
      </c>
      <c r="M2105" s="1">
        <v>0</v>
      </c>
      <c r="P2105" s="1">
        <v>94236</v>
      </c>
      <c r="Q2105" s="1">
        <v>0</v>
      </c>
    </row>
    <row r="2106" spans="2:17" hidden="1" x14ac:dyDescent="0.2">
      <c r="B2106" s="1">
        <v>94237</v>
      </c>
      <c r="C2106" s="1">
        <v>0</v>
      </c>
      <c r="G2106" s="1">
        <v>94237</v>
      </c>
      <c r="H2106" s="1">
        <v>0</v>
      </c>
      <c r="L2106" s="1">
        <v>94237</v>
      </c>
      <c r="M2106" s="1">
        <v>0</v>
      </c>
      <c r="P2106" s="1">
        <v>94237</v>
      </c>
      <c r="Q2106" s="1">
        <v>0</v>
      </c>
    </row>
    <row r="2107" spans="2:17" hidden="1" x14ac:dyDescent="0.2">
      <c r="B2107" s="1">
        <v>94238</v>
      </c>
      <c r="C2107" s="1">
        <v>0</v>
      </c>
      <c r="G2107" s="1">
        <v>94238</v>
      </c>
      <c r="H2107" s="1">
        <v>0</v>
      </c>
      <c r="L2107" s="1">
        <v>94238</v>
      </c>
      <c r="M2107" s="1">
        <v>0</v>
      </c>
      <c r="P2107" s="1">
        <v>94238</v>
      </c>
      <c r="Q2107" s="1">
        <v>0</v>
      </c>
    </row>
    <row r="2108" spans="2:17" hidden="1" x14ac:dyDescent="0.2">
      <c r="B2108" s="1">
        <v>94239</v>
      </c>
      <c r="C2108" s="1">
        <v>0</v>
      </c>
      <c r="G2108" s="1">
        <v>94239</v>
      </c>
      <c r="H2108" s="1">
        <v>0</v>
      </c>
      <c r="L2108" s="1">
        <v>94239</v>
      </c>
      <c r="M2108" s="1">
        <v>0</v>
      </c>
      <c r="P2108" s="1">
        <v>94239</v>
      </c>
      <c r="Q2108" s="1">
        <v>0</v>
      </c>
    </row>
    <row r="2109" spans="2:17" hidden="1" x14ac:dyDescent="0.2">
      <c r="B2109" s="1">
        <v>94240</v>
      </c>
      <c r="C2109" s="1">
        <v>0</v>
      </c>
      <c r="G2109" s="1">
        <v>94240</v>
      </c>
      <c r="H2109" s="1">
        <v>0</v>
      </c>
      <c r="L2109" s="1">
        <v>94240</v>
      </c>
      <c r="M2109" s="1">
        <v>0</v>
      </c>
      <c r="P2109" s="1">
        <v>94240</v>
      </c>
      <c r="Q2109" s="1">
        <v>0</v>
      </c>
    </row>
    <row r="2110" spans="2:17" hidden="1" x14ac:dyDescent="0.2">
      <c r="B2110" s="1">
        <v>94241</v>
      </c>
      <c r="C2110" s="1">
        <v>0</v>
      </c>
      <c r="G2110" s="1">
        <v>94241</v>
      </c>
      <c r="H2110" s="1">
        <v>0</v>
      </c>
      <c r="L2110" s="1">
        <v>94241</v>
      </c>
      <c r="M2110" s="1">
        <v>0</v>
      </c>
      <c r="P2110" s="1">
        <v>94241</v>
      </c>
      <c r="Q2110" s="1">
        <v>0</v>
      </c>
    </row>
    <row r="2111" spans="2:17" hidden="1" x14ac:dyDescent="0.2">
      <c r="B2111" s="1">
        <v>94242</v>
      </c>
      <c r="C2111" s="1">
        <v>0</v>
      </c>
      <c r="G2111" s="1">
        <v>94242</v>
      </c>
      <c r="H2111" s="1">
        <v>0</v>
      </c>
      <c r="L2111" s="1">
        <v>94242</v>
      </c>
      <c r="M2111" s="1">
        <v>0</v>
      </c>
      <c r="P2111" s="1">
        <v>94242</v>
      </c>
      <c r="Q2111" s="1">
        <v>0</v>
      </c>
    </row>
    <row r="2112" spans="2:17" hidden="1" x14ac:dyDescent="0.2">
      <c r="B2112" s="1">
        <v>94243</v>
      </c>
      <c r="C2112" s="1">
        <v>0</v>
      </c>
      <c r="G2112" s="1">
        <v>94243</v>
      </c>
      <c r="H2112" s="1">
        <v>0</v>
      </c>
      <c r="L2112" s="1">
        <v>94243</v>
      </c>
      <c r="M2112" s="1">
        <v>0</v>
      </c>
      <c r="P2112" s="1">
        <v>94243</v>
      </c>
      <c r="Q2112" s="1">
        <v>0</v>
      </c>
    </row>
    <row r="2113" spans="2:17" hidden="1" x14ac:dyDescent="0.2">
      <c r="B2113" s="1">
        <v>94244</v>
      </c>
      <c r="C2113" s="1">
        <v>0</v>
      </c>
      <c r="G2113" s="1">
        <v>94244</v>
      </c>
      <c r="H2113" s="1">
        <v>0</v>
      </c>
      <c r="L2113" s="1">
        <v>94244</v>
      </c>
      <c r="M2113" s="1">
        <v>0</v>
      </c>
      <c r="P2113" s="1">
        <v>94244</v>
      </c>
      <c r="Q2113" s="1">
        <v>0</v>
      </c>
    </row>
    <row r="2114" spans="2:17" hidden="1" x14ac:dyDescent="0.2">
      <c r="B2114" s="1">
        <v>94245</v>
      </c>
      <c r="C2114" s="1">
        <v>0</v>
      </c>
      <c r="G2114" s="1">
        <v>94245</v>
      </c>
      <c r="H2114" s="1">
        <v>0</v>
      </c>
      <c r="L2114" s="1">
        <v>94245</v>
      </c>
      <c r="M2114" s="1">
        <v>0</v>
      </c>
      <c r="P2114" s="1">
        <v>94245</v>
      </c>
      <c r="Q2114" s="1">
        <v>0</v>
      </c>
    </row>
    <row r="2115" spans="2:17" hidden="1" x14ac:dyDescent="0.2">
      <c r="B2115" s="1">
        <v>94246</v>
      </c>
      <c r="C2115" s="1">
        <v>0</v>
      </c>
      <c r="G2115" s="1">
        <v>94246</v>
      </c>
      <c r="H2115" s="1">
        <v>0</v>
      </c>
      <c r="L2115" s="1">
        <v>94246</v>
      </c>
      <c r="M2115" s="1">
        <v>0</v>
      </c>
      <c r="P2115" s="1">
        <v>94246</v>
      </c>
      <c r="Q2115" s="1">
        <v>0</v>
      </c>
    </row>
    <row r="2116" spans="2:17" hidden="1" x14ac:dyDescent="0.2">
      <c r="B2116" s="1">
        <v>95232</v>
      </c>
      <c r="C2116" s="1">
        <v>0</v>
      </c>
      <c r="G2116" s="1">
        <v>95232</v>
      </c>
      <c r="H2116" s="1">
        <v>0</v>
      </c>
      <c r="L2116" s="1">
        <v>95232</v>
      </c>
      <c r="M2116" s="1">
        <v>0</v>
      </c>
      <c r="P2116" s="1">
        <v>95232</v>
      </c>
      <c r="Q2116" s="1">
        <v>0</v>
      </c>
    </row>
    <row r="2117" spans="2:17" hidden="1" x14ac:dyDescent="0.2">
      <c r="B2117" s="1">
        <v>95233</v>
      </c>
      <c r="C2117" s="1">
        <v>0</v>
      </c>
      <c r="G2117" s="1">
        <v>95233</v>
      </c>
      <c r="H2117" s="1">
        <v>0</v>
      </c>
      <c r="L2117" s="1">
        <v>95233</v>
      </c>
      <c r="M2117" s="1">
        <v>0</v>
      </c>
      <c r="P2117" s="1">
        <v>95233</v>
      </c>
      <c r="Q2117" s="1">
        <v>0</v>
      </c>
    </row>
    <row r="2118" spans="2:17" hidden="1" x14ac:dyDescent="0.2">
      <c r="B2118" s="1">
        <v>95234</v>
      </c>
      <c r="C2118" s="1">
        <v>0</v>
      </c>
      <c r="G2118" s="1">
        <v>95234</v>
      </c>
      <c r="H2118" s="1">
        <v>0</v>
      </c>
      <c r="L2118" s="1">
        <v>95234</v>
      </c>
      <c r="M2118" s="1">
        <v>0</v>
      </c>
      <c r="P2118" s="1">
        <v>95234</v>
      </c>
      <c r="Q2118" s="1">
        <v>0</v>
      </c>
    </row>
    <row r="2119" spans="2:17" hidden="1" x14ac:dyDescent="0.2">
      <c r="B2119" s="1">
        <v>95235</v>
      </c>
      <c r="C2119" s="1">
        <v>0</v>
      </c>
      <c r="G2119" s="1">
        <v>95235</v>
      </c>
      <c r="H2119" s="1">
        <v>0</v>
      </c>
      <c r="L2119" s="1">
        <v>95235</v>
      </c>
      <c r="M2119" s="1">
        <v>0</v>
      </c>
      <c r="P2119" s="1">
        <v>95235</v>
      </c>
      <c r="Q2119" s="1">
        <v>0</v>
      </c>
    </row>
    <row r="2120" spans="2:17" hidden="1" x14ac:dyDescent="0.2">
      <c r="B2120" s="1">
        <v>95236</v>
      </c>
      <c r="C2120" s="1">
        <v>0</v>
      </c>
      <c r="G2120" s="1">
        <v>95236</v>
      </c>
      <c r="H2120" s="1">
        <v>0</v>
      </c>
      <c r="L2120" s="1">
        <v>95236</v>
      </c>
      <c r="M2120" s="1">
        <v>0</v>
      </c>
      <c r="P2120" s="1">
        <v>95236</v>
      </c>
      <c r="Q2120" s="1">
        <v>0</v>
      </c>
    </row>
    <row r="2121" spans="2:17" hidden="1" x14ac:dyDescent="0.2">
      <c r="B2121" s="1">
        <v>95237</v>
      </c>
      <c r="C2121" s="1">
        <v>0</v>
      </c>
      <c r="G2121" s="1">
        <v>95237</v>
      </c>
      <c r="H2121" s="1">
        <v>0</v>
      </c>
      <c r="L2121" s="1">
        <v>95237</v>
      </c>
      <c r="M2121" s="1">
        <v>0</v>
      </c>
      <c r="P2121" s="1">
        <v>95237</v>
      </c>
      <c r="Q2121" s="1">
        <v>0</v>
      </c>
    </row>
    <row r="2122" spans="2:17" hidden="1" x14ac:dyDescent="0.2">
      <c r="B2122" s="1">
        <v>95238</v>
      </c>
      <c r="C2122" s="1">
        <v>0</v>
      </c>
      <c r="G2122" s="1">
        <v>95238</v>
      </c>
      <c r="H2122" s="1">
        <v>0</v>
      </c>
      <c r="L2122" s="1">
        <v>95238</v>
      </c>
      <c r="M2122" s="1">
        <v>0</v>
      </c>
      <c r="P2122" s="1">
        <v>95238</v>
      </c>
      <c r="Q2122" s="1">
        <v>0</v>
      </c>
    </row>
    <row r="2123" spans="2:17" hidden="1" x14ac:dyDescent="0.2">
      <c r="B2123" s="1">
        <v>95239</v>
      </c>
      <c r="C2123" s="1">
        <v>0</v>
      </c>
      <c r="G2123" s="1">
        <v>95239</v>
      </c>
      <c r="H2123" s="1">
        <v>0</v>
      </c>
      <c r="L2123" s="1">
        <v>95239</v>
      </c>
      <c r="M2123" s="1">
        <v>0</v>
      </c>
      <c r="P2123" s="1">
        <v>95239</v>
      </c>
      <c r="Q2123" s="1">
        <v>0</v>
      </c>
    </row>
    <row r="2124" spans="2:17" hidden="1" x14ac:dyDescent="0.2">
      <c r="B2124" s="1">
        <v>95240</v>
      </c>
      <c r="C2124" s="1">
        <v>0</v>
      </c>
      <c r="G2124" s="1">
        <v>95240</v>
      </c>
      <c r="H2124" s="1">
        <v>0</v>
      </c>
      <c r="L2124" s="1">
        <v>95240</v>
      </c>
      <c r="M2124" s="1">
        <v>0</v>
      </c>
      <c r="P2124" s="1">
        <v>95240</v>
      </c>
      <c r="Q2124" s="1">
        <v>0</v>
      </c>
    </row>
    <row r="2125" spans="2:17" hidden="1" x14ac:dyDescent="0.2">
      <c r="B2125" s="1">
        <v>95241</v>
      </c>
      <c r="C2125" s="1">
        <v>0</v>
      </c>
      <c r="G2125" s="1">
        <v>95241</v>
      </c>
      <c r="H2125" s="1">
        <v>0</v>
      </c>
      <c r="L2125" s="1">
        <v>95241</v>
      </c>
      <c r="M2125" s="1">
        <v>0</v>
      </c>
      <c r="P2125" s="1">
        <v>95241</v>
      </c>
      <c r="Q2125" s="1">
        <v>0</v>
      </c>
    </row>
    <row r="2126" spans="2:17" hidden="1" x14ac:dyDescent="0.2">
      <c r="B2126" s="1">
        <v>95242</v>
      </c>
      <c r="C2126" s="1">
        <v>0</v>
      </c>
      <c r="G2126" s="1">
        <v>95242</v>
      </c>
      <c r="H2126" s="1">
        <v>0</v>
      </c>
      <c r="L2126" s="1">
        <v>95242</v>
      </c>
      <c r="M2126" s="1">
        <v>0</v>
      </c>
      <c r="P2126" s="1">
        <v>95242</v>
      </c>
      <c r="Q2126" s="1">
        <v>0</v>
      </c>
    </row>
    <row r="2127" spans="2:17" hidden="1" x14ac:dyDescent="0.2">
      <c r="B2127" s="1">
        <v>95243</v>
      </c>
      <c r="C2127" s="1">
        <v>0</v>
      </c>
      <c r="G2127" s="1">
        <v>95243</v>
      </c>
      <c r="H2127" s="1">
        <v>0</v>
      </c>
      <c r="L2127" s="1">
        <v>95243</v>
      </c>
      <c r="M2127" s="1">
        <v>0</v>
      </c>
      <c r="P2127" s="1">
        <v>95243</v>
      </c>
      <c r="Q2127" s="1">
        <v>0</v>
      </c>
    </row>
    <row r="2128" spans="2:17" hidden="1" x14ac:dyDescent="0.2">
      <c r="B2128" s="1">
        <v>95244</v>
      </c>
      <c r="C2128" s="1">
        <v>0</v>
      </c>
      <c r="G2128" s="1">
        <v>95244</v>
      </c>
      <c r="H2128" s="1">
        <v>0</v>
      </c>
      <c r="L2128" s="1">
        <v>95244</v>
      </c>
      <c r="M2128" s="1">
        <v>0</v>
      </c>
      <c r="P2128" s="1">
        <v>95244</v>
      </c>
      <c r="Q2128" s="1">
        <v>0</v>
      </c>
    </row>
    <row r="2129" spans="2:17" hidden="1" x14ac:dyDescent="0.2">
      <c r="B2129" s="1">
        <v>95245</v>
      </c>
      <c r="C2129" s="1">
        <v>0</v>
      </c>
      <c r="G2129" s="1">
        <v>95245</v>
      </c>
      <c r="H2129" s="1">
        <v>0</v>
      </c>
      <c r="L2129" s="1">
        <v>95245</v>
      </c>
      <c r="M2129" s="1">
        <v>0</v>
      </c>
      <c r="P2129" s="1">
        <v>95245</v>
      </c>
      <c r="Q2129" s="1">
        <v>0</v>
      </c>
    </row>
    <row r="2130" spans="2:17" hidden="1" x14ac:dyDescent="0.2">
      <c r="B2130" s="1">
        <v>95246</v>
      </c>
      <c r="C2130" s="1">
        <v>0</v>
      </c>
      <c r="G2130" s="1">
        <v>95246</v>
      </c>
      <c r="H2130" s="1">
        <v>0</v>
      </c>
      <c r="L2130" s="1">
        <v>95246</v>
      </c>
      <c r="M2130" s="1">
        <v>0</v>
      </c>
      <c r="P2130" s="1">
        <v>95246</v>
      </c>
      <c r="Q2130" s="1">
        <v>0</v>
      </c>
    </row>
    <row r="2131" spans="2:17" hidden="1" x14ac:dyDescent="0.2">
      <c r="B2131" s="1">
        <v>95247</v>
      </c>
      <c r="C2131" s="1">
        <v>0</v>
      </c>
      <c r="G2131" s="1">
        <v>95247</v>
      </c>
      <c r="H2131" s="1">
        <v>0</v>
      </c>
      <c r="L2131" s="1">
        <v>95247</v>
      </c>
      <c r="M2131" s="1">
        <v>0</v>
      </c>
      <c r="P2131" s="1">
        <v>95247</v>
      </c>
      <c r="Q2131" s="1">
        <v>0</v>
      </c>
    </row>
    <row r="2132" spans="2:17" hidden="1" x14ac:dyDescent="0.2">
      <c r="B2132" s="1">
        <v>96238</v>
      </c>
      <c r="C2132" s="1">
        <v>0</v>
      </c>
      <c r="G2132" s="1">
        <v>96238</v>
      </c>
      <c r="H2132" s="1">
        <v>0</v>
      </c>
      <c r="L2132" s="1">
        <v>96238</v>
      </c>
      <c r="M2132" s="1">
        <v>0</v>
      </c>
      <c r="P2132" s="1">
        <v>96238</v>
      </c>
      <c r="Q2132" s="1">
        <v>0</v>
      </c>
    </row>
    <row r="2133" spans="2:17" hidden="1" x14ac:dyDescent="0.2">
      <c r="B2133" s="1">
        <v>96239</v>
      </c>
      <c r="C2133" s="1">
        <v>0</v>
      </c>
      <c r="G2133" s="1">
        <v>96239</v>
      </c>
      <c r="H2133" s="1">
        <v>0</v>
      </c>
      <c r="L2133" s="1">
        <v>96239</v>
      </c>
      <c r="M2133" s="1">
        <v>0</v>
      </c>
      <c r="P2133" s="1">
        <v>96239</v>
      </c>
      <c r="Q2133" s="1">
        <v>0</v>
      </c>
    </row>
    <row r="2134" spans="2:17" hidden="1" x14ac:dyDescent="0.2">
      <c r="B2134" s="1">
        <v>96240</v>
      </c>
      <c r="C2134" s="1">
        <v>0</v>
      </c>
      <c r="G2134" s="1">
        <v>96240</v>
      </c>
      <c r="H2134" s="1">
        <v>0</v>
      </c>
      <c r="L2134" s="1">
        <v>96240</v>
      </c>
      <c r="M2134" s="1">
        <v>0</v>
      </c>
      <c r="P2134" s="1">
        <v>96240</v>
      </c>
      <c r="Q2134" s="1">
        <v>0</v>
      </c>
    </row>
    <row r="2135" spans="2:17" hidden="1" x14ac:dyDescent="0.2">
      <c r="B2135" s="1">
        <v>96241</v>
      </c>
      <c r="C2135" s="1">
        <v>0</v>
      </c>
      <c r="G2135" s="1">
        <v>96241</v>
      </c>
      <c r="H2135" s="1">
        <v>0</v>
      </c>
      <c r="L2135" s="1">
        <v>96241</v>
      </c>
      <c r="M2135" s="1">
        <v>0</v>
      </c>
      <c r="P2135" s="1">
        <v>96241</v>
      </c>
      <c r="Q2135" s="1">
        <v>0</v>
      </c>
    </row>
    <row r="2136" spans="2:17" hidden="1" x14ac:dyDescent="0.2">
      <c r="B2136" s="1">
        <v>96242</v>
      </c>
      <c r="C2136" s="1">
        <v>0</v>
      </c>
      <c r="G2136" s="1">
        <v>96242</v>
      </c>
      <c r="H2136" s="1">
        <v>0</v>
      </c>
      <c r="L2136" s="1">
        <v>96242</v>
      </c>
      <c r="M2136" s="1">
        <v>0</v>
      </c>
      <c r="P2136" s="1">
        <v>96242</v>
      </c>
      <c r="Q2136" s="1">
        <v>0</v>
      </c>
    </row>
    <row r="2137" spans="2:17" hidden="1" x14ac:dyDescent="0.2">
      <c r="B2137" s="1">
        <v>96243</v>
      </c>
      <c r="C2137" s="1">
        <v>0</v>
      </c>
      <c r="G2137" s="1">
        <v>96243</v>
      </c>
      <c r="H2137" s="1">
        <v>0</v>
      </c>
      <c r="L2137" s="1">
        <v>96243</v>
      </c>
      <c r="M2137" s="1">
        <v>0</v>
      </c>
      <c r="P2137" s="1">
        <v>96243</v>
      </c>
      <c r="Q2137" s="1">
        <v>0</v>
      </c>
    </row>
    <row r="2138" spans="2:17" hidden="1" x14ac:dyDescent="0.2">
      <c r="B2138" s="1">
        <v>96244</v>
      </c>
      <c r="C2138" s="1">
        <v>0</v>
      </c>
      <c r="G2138" s="1">
        <v>96244</v>
      </c>
      <c r="H2138" s="1">
        <v>0</v>
      </c>
      <c r="L2138" s="1">
        <v>96244</v>
      </c>
      <c r="M2138" s="1">
        <v>0</v>
      </c>
      <c r="P2138" s="1">
        <v>96244</v>
      </c>
      <c r="Q2138" s="1">
        <v>0</v>
      </c>
    </row>
    <row r="2139" spans="2:17" hidden="1" x14ac:dyDescent="0.2">
      <c r="B2139" s="1">
        <v>96245</v>
      </c>
      <c r="C2139" s="1">
        <v>0</v>
      </c>
      <c r="G2139" s="1">
        <v>96245</v>
      </c>
      <c r="H2139" s="1">
        <v>0</v>
      </c>
      <c r="L2139" s="1">
        <v>96245</v>
      </c>
      <c r="M2139" s="1">
        <v>0</v>
      </c>
      <c r="P2139" s="1">
        <v>96245</v>
      </c>
      <c r="Q2139" s="1">
        <v>0</v>
      </c>
    </row>
    <row r="2140" spans="2:17" hidden="1" x14ac:dyDescent="0.2">
      <c r="B2140" s="1">
        <v>96246</v>
      </c>
      <c r="C2140" s="1">
        <v>0</v>
      </c>
      <c r="G2140" s="1">
        <v>96246</v>
      </c>
      <c r="H2140" s="1">
        <v>0</v>
      </c>
      <c r="L2140" s="1">
        <v>96246</v>
      </c>
      <c r="M2140" s="1">
        <v>0</v>
      </c>
      <c r="P2140" s="1">
        <v>96246</v>
      </c>
      <c r="Q2140" s="1">
        <v>0</v>
      </c>
    </row>
    <row r="2141" spans="2:17" hidden="1" x14ac:dyDescent="0.2">
      <c r="B2141" s="1">
        <v>96247</v>
      </c>
      <c r="C2141" s="1">
        <v>0</v>
      </c>
      <c r="G2141" s="1">
        <v>96247</v>
      </c>
      <c r="H2141" s="1">
        <v>0</v>
      </c>
      <c r="L2141" s="1">
        <v>96247</v>
      </c>
      <c r="M2141" s="1">
        <v>0</v>
      </c>
      <c r="P2141" s="1">
        <v>96247</v>
      </c>
      <c r="Q2141" s="1">
        <v>0</v>
      </c>
    </row>
    <row r="2142" spans="2:17" hidden="1" x14ac:dyDescent="0.2">
      <c r="B2142" s="1">
        <v>96248</v>
      </c>
      <c r="C2142" s="1">
        <v>0</v>
      </c>
      <c r="G2142" s="1">
        <v>96248</v>
      </c>
      <c r="H2142" s="1">
        <v>0</v>
      </c>
      <c r="L2142" s="1">
        <v>96248</v>
      </c>
      <c r="M2142" s="1">
        <v>0</v>
      </c>
      <c r="P2142" s="1">
        <v>96248</v>
      </c>
      <c r="Q2142" s="1">
        <v>0</v>
      </c>
    </row>
    <row r="2143" spans="2:17" hidden="1" x14ac:dyDescent="0.2">
      <c r="B2143" s="1">
        <v>96249</v>
      </c>
      <c r="C2143" s="1">
        <v>0</v>
      </c>
      <c r="G2143" s="1">
        <v>96249</v>
      </c>
      <c r="H2143" s="1">
        <v>0</v>
      </c>
      <c r="L2143" s="1">
        <v>96249</v>
      </c>
      <c r="M2143" s="1">
        <v>0</v>
      </c>
      <c r="P2143" s="1">
        <v>96249</v>
      </c>
      <c r="Q2143" s="1">
        <v>0</v>
      </c>
    </row>
    <row r="2144" spans="2:17" hidden="1" x14ac:dyDescent="0.2">
      <c r="B2144" s="1">
        <v>96250</v>
      </c>
      <c r="C2144" s="1">
        <v>0</v>
      </c>
      <c r="G2144" s="1">
        <v>96250</v>
      </c>
      <c r="H2144" s="1">
        <v>0</v>
      </c>
      <c r="L2144" s="1">
        <v>96250</v>
      </c>
      <c r="M2144" s="1">
        <v>0</v>
      </c>
      <c r="P2144" s="1">
        <v>96250</v>
      </c>
      <c r="Q2144" s="1">
        <v>0</v>
      </c>
    </row>
    <row r="2145" spans="2:17" hidden="1" x14ac:dyDescent="0.2">
      <c r="B2145" s="1">
        <v>96251</v>
      </c>
      <c r="C2145" s="1">
        <v>0</v>
      </c>
      <c r="G2145" s="1">
        <v>96251</v>
      </c>
      <c r="H2145" s="1">
        <v>0</v>
      </c>
      <c r="L2145" s="1">
        <v>96251</v>
      </c>
      <c r="M2145" s="1">
        <v>0</v>
      </c>
      <c r="P2145" s="1">
        <v>96251</v>
      </c>
      <c r="Q2145" s="1">
        <v>0</v>
      </c>
    </row>
    <row r="2146" spans="2:17" hidden="1" x14ac:dyDescent="0.2">
      <c r="B2146" s="1">
        <v>97240</v>
      </c>
      <c r="C2146" s="1">
        <v>0</v>
      </c>
      <c r="G2146" s="1">
        <v>97240</v>
      </c>
      <c r="H2146" s="1">
        <v>0</v>
      </c>
      <c r="L2146" s="1">
        <v>97240</v>
      </c>
      <c r="M2146" s="1">
        <v>0</v>
      </c>
      <c r="P2146" s="1">
        <v>97240</v>
      </c>
      <c r="Q2146" s="1">
        <v>0</v>
      </c>
    </row>
    <row r="2147" spans="2:17" hidden="1" x14ac:dyDescent="0.2">
      <c r="B2147" s="1">
        <v>97241</v>
      </c>
      <c r="C2147" s="1">
        <v>0</v>
      </c>
      <c r="G2147" s="1">
        <v>97241</v>
      </c>
      <c r="H2147" s="1">
        <v>0</v>
      </c>
      <c r="L2147" s="1">
        <v>97241</v>
      </c>
      <c r="M2147" s="1">
        <v>0</v>
      </c>
      <c r="P2147" s="1">
        <v>97241</v>
      </c>
      <c r="Q2147" s="1">
        <v>0</v>
      </c>
    </row>
    <row r="2148" spans="2:17" hidden="1" x14ac:dyDescent="0.2">
      <c r="B2148" s="1">
        <v>97242</v>
      </c>
      <c r="C2148" s="1">
        <v>0</v>
      </c>
      <c r="G2148" s="1">
        <v>97242</v>
      </c>
      <c r="H2148" s="1">
        <v>0</v>
      </c>
      <c r="L2148" s="1">
        <v>97242</v>
      </c>
      <c r="M2148" s="1">
        <v>0</v>
      </c>
      <c r="P2148" s="1">
        <v>97242</v>
      </c>
      <c r="Q2148" s="1">
        <v>0</v>
      </c>
    </row>
    <row r="2149" spans="2:17" hidden="1" x14ac:dyDescent="0.2">
      <c r="B2149" s="1">
        <v>97243</v>
      </c>
      <c r="C2149" s="1">
        <v>0</v>
      </c>
      <c r="G2149" s="1">
        <v>97243</v>
      </c>
      <c r="H2149" s="1">
        <v>0</v>
      </c>
      <c r="L2149" s="1">
        <v>97243</v>
      </c>
      <c r="M2149" s="1">
        <v>0</v>
      </c>
      <c r="P2149" s="1">
        <v>97243</v>
      </c>
      <c r="Q2149" s="1">
        <v>0</v>
      </c>
    </row>
    <row r="2150" spans="2:17" hidden="1" x14ac:dyDescent="0.2">
      <c r="B2150" s="1">
        <v>97244</v>
      </c>
      <c r="C2150" s="1">
        <v>0</v>
      </c>
      <c r="G2150" s="1">
        <v>97244</v>
      </c>
      <c r="H2150" s="1">
        <v>0</v>
      </c>
      <c r="L2150" s="1">
        <v>97244</v>
      </c>
      <c r="M2150" s="1">
        <v>0</v>
      </c>
      <c r="P2150" s="1">
        <v>97244</v>
      </c>
      <c r="Q2150" s="1">
        <v>0</v>
      </c>
    </row>
    <row r="2151" spans="2:17" hidden="1" x14ac:dyDescent="0.2">
      <c r="B2151" s="1">
        <v>97245</v>
      </c>
      <c r="C2151" s="1">
        <v>0</v>
      </c>
      <c r="G2151" s="1">
        <v>97245</v>
      </c>
      <c r="H2151" s="1">
        <v>0</v>
      </c>
      <c r="L2151" s="1">
        <v>97245</v>
      </c>
      <c r="M2151" s="1">
        <v>0</v>
      </c>
      <c r="P2151" s="1">
        <v>97245</v>
      </c>
      <c r="Q2151" s="1">
        <v>0</v>
      </c>
    </row>
    <row r="2152" spans="2:17" hidden="1" x14ac:dyDescent="0.2">
      <c r="B2152" s="1">
        <v>97246</v>
      </c>
      <c r="C2152" s="1">
        <v>0</v>
      </c>
      <c r="G2152" s="1">
        <v>97246</v>
      </c>
      <c r="H2152" s="1">
        <v>0</v>
      </c>
      <c r="L2152" s="1">
        <v>97246</v>
      </c>
      <c r="M2152" s="1">
        <v>0</v>
      </c>
      <c r="P2152" s="1">
        <v>97246</v>
      </c>
      <c r="Q2152" s="1">
        <v>0</v>
      </c>
    </row>
    <row r="2153" spans="2:17" hidden="1" x14ac:dyDescent="0.2">
      <c r="B2153" s="1">
        <v>97247</v>
      </c>
      <c r="C2153" s="1">
        <v>0</v>
      </c>
      <c r="G2153" s="1">
        <v>97247</v>
      </c>
      <c r="H2153" s="1">
        <v>0</v>
      </c>
      <c r="L2153" s="1">
        <v>97247</v>
      </c>
      <c r="M2153" s="1">
        <v>0</v>
      </c>
      <c r="P2153" s="1">
        <v>97247</v>
      </c>
      <c r="Q2153" s="1">
        <v>0</v>
      </c>
    </row>
    <row r="2154" spans="2:17" hidden="1" x14ac:dyDescent="0.2">
      <c r="B2154" s="1">
        <v>97248</v>
      </c>
      <c r="C2154" s="1">
        <v>0</v>
      </c>
      <c r="G2154" s="1">
        <v>97248</v>
      </c>
      <c r="H2154" s="1">
        <v>0</v>
      </c>
      <c r="L2154" s="1">
        <v>97248</v>
      </c>
      <c r="M2154" s="1">
        <v>0</v>
      </c>
      <c r="P2154" s="1">
        <v>97248</v>
      </c>
      <c r="Q2154" s="1">
        <v>0</v>
      </c>
    </row>
    <row r="2155" spans="2:17" hidden="1" x14ac:dyDescent="0.2">
      <c r="B2155" s="1">
        <v>97249</v>
      </c>
      <c r="C2155" s="1">
        <v>0</v>
      </c>
      <c r="G2155" s="1">
        <v>97249</v>
      </c>
      <c r="H2155" s="1">
        <v>0</v>
      </c>
      <c r="L2155" s="1">
        <v>97249</v>
      </c>
      <c r="M2155" s="1">
        <v>0</v>
      </c>
      <c r="P2155" s="1">
        <v>97249</v>
      </c>
      <c r="Q2155" s="1">
        <v>0</v>
      </c>
    </row>
    <row r="2156" spans="2:17" hidden="1" x14ac:dyDescent="0.2">
      <c r="B2156" s="1">
        <v>97250</v>
      </c>
      <c r="C2156" s="1">
        <v>0</v>
      </c>
      <c r="G2156" s="1">
        <v>97250</v>
      </c>
      <c r="H2156" s="1">
        <v>0</v>
      </c>
      <c r="L2156" s="1">
        <v>97250</v>
      </c>
      <c r="M2156" s="1">
        <v>0</v>
      </c>
      <c r="P2156" s="1">
        <v>97250</v>
      </c>
      <c r="Q2156" s="1">
        <v>0</v>
      </c>
    </row>
    <row r="2157" spans="2:17" hidden="1" x14ac:dyDescent="0.2">
      <c r="B2157" s="1">
        <v>97251</v>
      </c>
      <c r="C2157" s="1">
        <v>0</v>
      </c>
      <c r="G2157" s="1">
        <v>97251</v>
      </c>
      <c r="H2157" s="1">
        <v>0</v>
      </c>
      <c r="L2157" s="1">
        <v>97251</v>
      </c>
      <c r="M2157" s="1">
        <v>0</v>
      </c>
      <c r="P2157" s="1">
        <v>97251</v>
      </c>
      <c r="Q2157" s="1">
        <v>0</v>
      </c>
    </row>
    <row r="2158" spans="2:17" hidden="1" x14ac:dyDescent="0.2">
      <c r="B2158" s="1">
        <v>98239</v>
      </c>
      <c r="C2158" s="1">
        <v>0</v>
      </c>
      <c r="G2158" s="1">
        <v>98239</v>
      </c>
      <c r="H2158" s="1">
        <v>0</v>
      </c>
      <c r="L2158" s="1">
        <v>98239</v>
      </c>
      <c r="M2158" s="1">
        <v>0</v>
      </c>
      <c r="P2158" s="1">
        <v>98239</v>
      </c>
      <c r="Q2158" s="1">
        <v>0</v>
      </c>
    </row>
    <row r="2159" spans="2:17" hidden="1" x14ac:dyDescent="0.2">
      <c r="B2159" s="1">
        <v>98240</v>
      </c>
      <c r="C2159" s="1">
        <v>0</v>
      </c>
      <c r="G2159" s="1">
        <v>98240</v>
      </c>
      <c r="H2159" s="1">
        <v>0</v>
      </c>
      <c r="L2159" s="1">
        <v>98240</v>
      </c>
      <c r="M2159" s="1">
        <v>0</v>
      </c>
      <c r="P2159" s="1">
        <v>98240</v>
      </c>
      <c r="Q2159" s="1">
        <v>0</v>
      </c>
    </row>
    <row r="2160" spans="2:17" hidden="1" x14ac:dyDescent="0.2">
      <c r="B2160" s="1">
        <v>98241</v>
      </c>
      <c r="C2160" s="1">
        <v>0</v>
      </c>
      <c r="G2160" s="1">
        <v>98241</v>
      </c>
      <c r="H2160" s="1">
        <v>0</v>
      </c>
      <c r="L2160" s="1">
        <v>98241</v>
      </c>
      <c r="M2160" s="1">
        <v>0</v>
      </c>
      <c r="P2160" s="1">
        <v>98241</v>
      </c>
      <c r="Q2160" s="1">
        <v>0</v>
      </c>
    </row>
    <row r="2161" spans="2:17" hidden="1" x14ac:dyDescent="0.2">
      <c r="B2161" s="1">
        <v>98242</v>
      </c>
      <c r="C2161" s="1">
        <v>0</v>
      </c>
      <c r="G2161" s="1">
        <v>98242</v>
      </c>
      <c r="H2161" s="1">
        <v>0</v>
      </c>
      <c r="L2161" s="1">
        <v>98242</v>
      </c>
      <c r="M2161" s="1">
        <v>0</v>
      </c>
      <c r="P2161" s="1">
        <v>98242</v>
      </c>
      <c r="Q2161" s="1">
        <v>0</v>
      </c>
    </row>
    <row r="2162" spans="2:17" hidden="1" x14ac:dyDescent="0.2">
      <c r="B2162" s="1">
        <v>98243</v>
      </c>
      <c r="C2162" s="1">
        <v>0</v>
      </c>
      <c r="G2162" s="1">
        <v>98243</v>
      </c>
      <c r="H2162" s="1">
        <v>0</v>
      </c>
      <c r="L2162" s="1">
        <v>98243</v>
      </c>
      <c r="M2162" s="1">
        <v>0</v>
      </c>
      <c r="P2162" s="1">
        <v>98243</v>
      </c>
      <c r="Q2162" s="1">
        <v>0</v>
      </c>
    </row>
    <row r="2163" spans="2:17" hidden="1" x14ac:dyDescent="0.2">
      <c r="B2163" s="1">
        <v>98244</v>
      </c>
      <c r="C2163" s="1">
        <v>0</v>
      </c>
      <c r="G2163" s="1">
        <v>98244</v>
      </c>
      <c r="H2163" s="1">
        <v>0</v>
      </c>
      <c r="L2163" s="1">
        <v>98244</v>
      </c>
      <c r="M2163" s="1">
        <v>0</v>
      </c>
      <c r="P2163" s="1">
        <v>98244</v>
      </c>
      <c r="Q2163" s="1">
        <v>0</v>
      </c>
    </row>
    <row r="2164" spans="2:17" hidden="1" x14ac:dyDescent="0.2">
      <c r="B2164" s="1">
        <v>98245</v>
      </c>
      <c r="C2164" s="1">
        <v>0</v>
      </c>
      <c r="G2164" s="1">
        <v>98245</v>
      </c>
      <c r="H2164" s="1">
        <v>0</v>
      </c>
      <c r="L2164" s="1">
        <v>98245</v>
      </c>
      <c r="M2164" s="1">
        <v>0</v>
      </c>
      <c r="P2164" s="1">
        <v>98245</v>
      </c>
      <c r="Q2164" s="1">
        <v>0</v>
      </c>
    </row>
    <row r="2165" spans="2:17" hidden="1" x14ac:dyDescent="0.2">
      <c r="B2165" s="1">
        <v>98246</v>
      </c>
      <c r="C2165" s="1">
        <v>0</v>
      </c>
      <c r="G2165" s="1">
        <v>98246</v>
      </c>
      <c r="H2165" s="1">
        <v>0</v>
      </c>
      <c r="L2165" s="1">
        <v>98246</v>
      </c>
      <c r="M2165" s="1">
        <v>0</v>
      </c>
      <c r="P2165" s="1">
        <v>98246</v>
      </c>
      <c r="Q2165" s="1">
        <v>0</v>
      </c>
    </row>
    <row r="2166" spans="2:17" hidden="1" x14ac:dyDescent="0.2">
      <c r="B2166" s="1">
        <v>98247</v>
      </c>
      <c r="C2166" s="1">
        <v>0</v>
      </c>
      <c r="G2166" s="1">
        <v>98247</v>
      </c>
      <c r="H2166" s="1">
        <v>0</v>
      </c>
      <c r="L2166" s="1">
        <v>98247</v>
      </c>
      <c r="M2166" s="1">
        <v>0</v>
      </c>
      <c r="P2166" s="1">
        <v>98247</v>
      </c>
      <c r="Q2166" s="1">
        <v>0</v>
      </c>
    </row>
    <row r="2167" spans="2:17" hidden="1" x14ac:dyDescent="0.2">
      <c r="B2167" s="1">
        <v>98248</v>
      </c>
      <c r="C2167" s="1">
        <v>0</v>
      </c>
      <c r="G2167" s="1">
        <v>98248</v>
      </c>
      <c r="H2167" s="1">
        <v>0</v>
      </c>
      <c r="L2167" s="1">
        <v>98248</v>
      </c>
      <c r="M2167" s="1">
        <v>0</v>
      </c>
      <c r="P2167" s="1">
        <v>98248</v>
      </c>
      <c r="Q2167" s="1">
        <v>0</v>
      </c>
    </row>
    <row r="2168" spans="2:17" hidden="1" x14ac:dyDescent="0.2">
      <c r="B2168" s="1">
        <v>98249</v>
      </c>
      <c r="C2168" s="1">
        <v>0</v>
      </c>
      <c r="G2168" s="1">
        <v>98249</v>
      </c>
      <c r="H2168" s="1">
        <v>0</v>
      </c>
      <c r="L2168" s="1">
        <v>98249</v>
      </c>
      <c r="M2168" s="1">
        <v>0</v>
      </c>
      <c r="P2168" s="1">
        <v>98249</v>
      </c>
      <c r="Q2168" s="1">
        <v>0</v>
      </c>
    </row>
    <row r="2169" spans="2:17" hidden="1" x14ac:dyDescent="0.2">
      <c r="B2169" s="1">
        <v>98250</v>
      </c>
      <c r="C2169" s="1">
        <v>0</v>
      </c>
      <c r="G2169" s="1">
        <v>98250</v>
      </c>
      <c r="H2169" s="1">
        <v>0</v>
      </c>
      <c r="L2169" s="1">
        <v>98250</v>
      </c>
      <c r="M2169" s="1">
        <v>0</v>
      </c>
      <c r="P2169" s="1">
        <v>98250</v>
      </c>
      <c r="Q2169" s="1">
        <v>0</v>
      </c>
    </row>
    <row r="2170" spans="2:17" hidden="1" x14ac:dyDescent="0.2">
      <c r="B2170" s="1">
        <v>98251</v>
      </c>
      <c r="C2170" s="1">
        <v>0</v>
      </c>
      <c r="G2170" s="1">
        <v>98251</v>
      </c>
      <c r="H2170" s="1">
        <v>0</v>
      </c>
      <c r="L2170" s="1">
        <v>98251</v>
      </c>
      <c r="M2170" s="1">
        <v>0</v>
      </c>
      <c r="P2170" s="1">
        <v>98251</v>
      </c>
      <c r="Q2170" s="1">
        <v>0</v>
      </c>
    </row>
    <row r="2171" spans="2:17" hidden="1" x14ac:dyDescent="0.2">
      <c r="B2171" s="1">
        <v>98252</v>
      </c>
      <c r="C2171" s="1">
        <v>0</v>
      </c>
      <c r="G2171" s="1">
        <v>98252</v>
      </c>
      <c r="H2171" s="1">
        <v>0</v>
      </c>
      <c r="L2171" s="1">
        <v>98252</v>
      </c>
      <c r="M2171" s="1">
        <v>0</v>
      </c>
      <c r="P2171" s="1">
        <v>98252</v>
      </c>
      <c r="Q2171" s="1">
        <v>0</v>
      </c>
    </row>
    <row r="2172" spans="2:17" hidden="1" x14ac:dyDescent="0.2">
      <c r="B2172" s="1">
        <v>98253</v>
      </c>
      <c r="C2172" s="1">
        <v>0</v>
      </c>
      <c r="G2172" s="1">
        <v>98253</v>
      </c>
      <c r="H2172" s="1">
        <v>0</v>
      </c>
      <c r="L2172" s="1">
        <v>98253</v>
      </c>
      <c r="M2172" s="1">
        <v>0</v>
      </c>
      <c r="P2172" s="1">
        <v>98253</v>
      </c>
      <c r="Q2172" s="1">
        <v>0</v>
      </c>
    </row>
    <row r="2173" spans="2:17" hidden="1" x14ac:dyDescent="0.2">
      <c r="B2173" s="1">
        <v>98254</v>
      </c>
      <c r="C2173" s="1">
        <v>0</v>
      </c>
      <c r="G2173" s="1">
        <v>98254</v>
      </c>
      <c r="H2173" s="1">
        <v>0</v>
      </c>
      <c r="L2173" s="1">
        <v>98254</v>
      </c>
      <c r="M2173" s="1">
        <v>0</v>
      </c>
      <c r="P2173" s="1">
        <v>98254</v>
      </c>
      <c r="Q2173" s="1">
        <v>0</v>
      </c>
    </row>
    <row r="2174" spans="2:17" hidden="1" x14ac:dyDescent="0.2">
      <c r="B2174" s="1">
        <v>98255</v>
      </c>
      <c r="C2174" s="1">
        <v>0</v>
      </c>
      <c r="G2174" s="1">
        <v>98255</v>
      </c>
      <c r="H2174" s="1">
        <v>0</v>
      </c>
      <c r="L2174" s="1">
        <v>98255</v>
      </c>
      <c r="M2174" s="1">
        <v>0</v>
      </c>
      <c r="P2174" s="1">
        <v>98255</v>
      </c>
      <c r="Q2174" s="1">
        <v>0</v>
      </c>
    </row>
    <row r="2175" spans="2:17" hidden="1" x14ac:dyDescent="0.2">
      <c r="B2175" s="1">
        <v>98256</v>
      </c>
      <c r="C2175" s="1">
        <v>0</v>
      </c>
      <c r="G2175" s="1">
        <v>98256</v>
      </c>
      <c r="H2175" s="1">
        <v>0</v>
      </c>
      <c r="L2175" s="1">
        <v>98256</v>
      </c>
      <c r="M2175" s="1">
        <v>0</v>
      </c>
      <c r="P2175" s="1">
        <v>98256</v>
      </c>
      <c r="Q2175" s="1">
        <v>0</v>
      </c>
    </row>
    <row r="2176" spans="2:17" hidden="1" x14ac:dyDescent="0.2">
      <c r="B2176" s="1">
        <v>99243</v>
      </c>
      <c r="C2176" s="1">
        <v>0</v>
      </c>
      <c r="G2176" s="1">
        <v>99243</v>
      </c>
      <c r="H2176" s="1">
        <v>0</v>
      </c>
      <c r="L2176" s="1">
        <v>99243</v>
      </c>
      <c r="M2176" s="1">
        <v>0</v>
      </c>
      <c r="P2176" s="1">
        <v>99243</v>
      </c>
      <c r="Q2176" s="1">
        <v>0</v>
      </c>
    </row>
    <row r="2177" spans="2:17" hidden="1" x14ac:dyDescent="0.2">
      <c r="B2177" s="1">
        <v>99244</v>
      </c>
      <c r="C2177" s="1">
        <v>0</v>
      </c>
      <c r="G2177" s="1">
        <v>99244</v>
      </c>
      <c r="H2177" s="1">
        <v>0</v>
      </c>
      <c r="L2177" s="1">
        <v>99244</v>
      </c>
      <c r="M2177" s="1">
        <v>0</v>
      </c>
      <c r="P2177" s="1">
        <v>99244</v>
      </c>
      <c r="Q2177" s="1">
        <v>0</v>
      </c>
    </row>
    <row r="2178" spans="2:17" hidden="1" x14ac:dyDescent="0.2">
      <c r="B2178" s="1">
        <v>99245</v>
      </c>
      <c r="C2178" s="1">
        <v>0</v>
      </c>
      <c r="G2178" s="1">
        <v>99245</v>
      </c>
      <c r="H2178" s="1">
        <v>0</v>
      </c>
      <c r="L2178" s="1">
        <v>99245</v>
      </c>
      <c r="M2178" s="1">
        <v>0</v>
      </c>
      <c r="P2178" s="1">
        <v>99245</v>
      </c>
      <c r="Q2178" s="1">
        <v>0</v>
      </c>
    </row>
    <row r="2179" spans="2:17" hidden="1" x14ac:dyDescent="0.2">
      <c r="B2179" s="1">
        <v>99246</v>
      </c>
      <c r="C2179" s="1">
        <v>0</v>
      </c>
      <c r="G2179" s="1">
        <v>99246</v>
      </c>
      <c r="H2179" s="1">
        <v>0</v>
      </c>
      <c r="L2179" s="1">
        <v>99246</v>
      </c>
      <c r="M2179" s="1">
        <v>0</v>
      </c>
      <c r="P2179" s="1">
        <v>99246</v>
      </c>
      <c r="Q2179" s="1">
        <v>0</v>
      </c>
    </row>
    <row r="2180" spans="2:17" hidden="1" x14ac:dyDescent="0.2">
      <c r="B2180" s="1">
        <v>99247</v>
      </c>
      <c r="C2180" s="1">
        <v>0</v>
      </c>
      <c r="G2180" s="1">
        <v>99247</v>
      </c>
      <c r="H2180" s="1">
        <v>0</v>
      </c>
      <c r="L2180" s="1">
        <v>99247</v>
      </c>
      <c r="M2180" s="1">
        <v>0</v>
      </c>
      <c r="P2180" s="1">
        <v>99247</v>
      </c>
      <c r="Q2180" s="1">
        <v>0</v>
      </c>
    </row>
    <row r="2181" spans="2:17" hidden="1" x14ac:dyDescent="0.2">
      <c r="B2181" s="1">
        <v>99248</v>
      </c>
      <c r="C2181" s="1">
        <v>0</v>
      </c>
      <c r="G2181" s="1">
        <v>99248</v>
      </c>
      <c r="H2181" s="1">
        <v>0</v>
      </c>
      <c r="L2181" s="1">
        <v>99248</v>
      </c>
      <c r="M2181" s="1">
        <v>0</v>
      </c>
      <c r="P2181" s="1">
        <v>99248</v>
      </c>
      <c r="Q2181" s="1">
        <v>0</v>
      </c>
    </row>
    <row r="2182" spans="2:17" hidden="1" x14ac:dyDescent="0.2">
      <c r="B2182" s="1">
        <v>99249</v>
      </c>
      <c r="C2182" s="1">
        <v>0</v>
      </c>
      <c r="G2182" s="1">
        <v>99249</v>
      </c>
      <c r="H2182" s="1">
        <v>0</v>
      </c>
      <c r="L2182" s="1">
        <v>99249</v>
      </c>
      <c r="M2182" s="1">
        <v>0</v>
      </c>
      <c r="P2182" s="1">
        <v>99249</v>
      </c>
      <c r="Q2182" s="1">
        <v>0</v>
      </c>
    </row>
    <row r="2183" spans="2:17" hidden="1" x14ac:dyDescent="0.2">
      <c r="B2183" s="1">
        <v>99250</v>
      </c>
      <c r="C2183" s="1">
        <v>0</v>
      </c>
      <c r="G2183" s="1">
        <v>99250</v>
      </c>
      <c r="H2183" s="1">
        <v>0</v>
      </c>
      <c r="L2183" s="1">
        <v>99250</v>
      </c>
      <c r="M2183" s="1">
        <v>0</v>
      </c>
      <c r="P2183" s="1">
        <v>99250</v>
      </c>
      <c r="Q2183" s="1">
        <v>0</v>
      </c>
    </row>
    <row r="2184" spans="2:17" hidden="1" x14ac:dyDescent="0.2">
      <c r="B2184" s="1">
        <v>99251</v>
      </c>
      <c r="C2184" s="1">
        <v>0</v>
      </c>
      <c r="G2184" s="1">
        <v>99251</v>
      </c>
      <c r="H2184" s="1">
        <v>0</v>
      </c>
      <c r="L2184" s="1">
        <v>99251</v>
      </c>
      <c r="M2184" s="1">
        <v>0</v>
      </c>
      <c r="P2184" s="1">
        <v>99251</v>
      </c>
      <c r="Q2184" s="1">
        <v>0</v>
      </c>
    </row>
    <row r="2185" spans="2:17" hidden="1" x14ac:dyDescent="0.2">
      <c r="B2185" s="1">
        <v>99252</v>
      </c>
      <c r="C2185" s="1">
        <v>0</v>
      </c>
      <c r="G2185" s="1">
        <v>99252</v>
      </c>
      <c r="H2185" s="1">
        <v>0</v>
      </c>
      <c r="L2185" s="1">
        <v>99252</v>
      </c>
      <c r="M2185" s="1">
        <v>0</v>
      </c>
      <c r="P2185" s="1">
        <v>99252</v>
      </c>
      <c r="Q2185" s="1">
        <v>0</v>
      </c>
    </row>
    <row r="2186" spans="2:17" hidden="1" x14ac:dyDescent="0.2">
      <c r="B2186" s="1">
        <v>99253</v>
      </c>
      <c r="C2186" s="1">
        <v>0</v>
      </c>
      <c r="G2186" s="1">
        <v>99253</v>
      </c>
      <c r="H2186" s="1">
        <v>0</v>
      </c>
      <c r="L2186" s="1">
        <v>99253</v>
      </c>
      <c r="M2186" s="1">
        <v>0</v>
      </c>
      <c r="P2186" s="1">
        <v>99253</v>
      </c>
      <c r="Q2186" s="1">
        <v>0</v>
      </c>
    </row>
    <row r="2187" spans="2:17" hidden="1" x14ac:dyDescent="0.2">
      <c r="B2187" s="1">
        <v>99254</v>
      </c>
      <c r="C2187" s="1">
        <v>0</v>
      </c>
      <c r="G2187" s="1">
        <v>99254</v>
      </c>
      <c r="H2187" s="1">
        <v>0</v>
      </c>
      <c r="L2187" s="1">
        <v>99254</v>
      </c>
      <c r="M2187" s="1">
        <v>0</v>
      </c>
      <c r="P2187" s="1">
        <v>99254</v>
      </c>
      <c r="Q2187" s="1">
        <v>0</v>
      </c>
    </row>
    <row r="2188" spans="2:17" hidden="1" x14ac:dyDescent="0.2">
      <c r="B2188" s="1">
        <v>99255</v>
      </c>
      <c r="C2188" s="1">
        <v>0</v>
      </c>
      <c r="G2188" s="1">
        <v>99255</v>
      </c>
      <c r="H2188" s="1">
        <v>0</v>
      </c>
      <c r="L2188" s="1">
        <v>99255</v>
      </c>
      <c r="M2188" s="1">
        <v>0</v>
      </c>
      <c r="P2188" s="1">
        <v>99255</v>
      </c>
      <c r="Q2188" s="1">
        <v>0</v>
      </c>
    </row>
    <row r="2189" spans="2:17" hidden="1" x14ac:dyDescent="0.2">
      <c r="B2189" s="1">
        <v>99256</v>
      </c>
      <c r="C2189" s="1">
        <v>0</v>
      </c>
      <c r="G2189" s="1">
        <v>99256</v>
      </c>
      <c r="H2189" s="1">
        <v>0</v>
      </c>
      <c r="L2189" s="1">
        <v>99256</v>
      </c>
      <c r="M2189" s="1">
        <v>0</v>
      </c>
      <c r="P2189" s="1">
        <v>99256</v>
      </c>
      <c r="Q2189" s="1">
        <v>0</v>
      </c>
    </row>
    <row r="2190" spans="2:17" hidden="1" x14ac:dyDescent="0.2">
      <c r="B2190" s="1">
        <v>100240</v>
      </c>
      <c r="C2190" s="1">
        <v>0</v>
      </c>
      <c r="G2190" s="1">
        <v>100240</v>
      </c>
      <c r="H2190" s="1">
        <v>0</v>
      </c>
      <c r="L2190" s="1">
        <v>100240</v>
      </c>
      <c r="M2190" s="1">
        <v>0</v>
      </c>
      <c r="P2190" s="1">
        <v>100240</v>
      </c>
      <c r="Q2190" s="1">
        <v>0</v>
      </c>
    </row>
    <row r="2191" spans="2:17" hidden="1" x14ac:dyDescent="0.2">
      <c r="B2191" s="1">
        <v>100240</v>
      </c>
      <c r="C2191" s="1">
        <v>0</v>
      </c>
      <c r="G2191" s="1">
        <v>100240</v>
      </c>
      <c r="H2191" s="1">
        <v>0</v>
      </c>
      <c r="L2191" s="1">
        <v>100240</v>
      </c>
      <c r="M2191" s="1">
        <v>0</v>
      </c>
      <c r="P2191" s="1">
        <v>100240</v>
      </c>
      <c r="Q2191" s="1">
        <v>0</v>
      </c>
    </row>
    <row r="2192" spans="2:17" hidden="1" x14ac:dyDescent="0.2">
      <c r="B2192" s="1">
        <v>100240</v>
      </c>
      <c r="C2192" s="1">
        <v>0</v>
      </c>
      <c r="G2192" s="1">
        <v>100240</v>
      </c>
      <c r="H2192" s="1">
        <v>0</v>
      </c>
      <c r="L2192" s="1">
        <v>100240</v>
      </c>
      <c r="M2192" s="1">
        <v>0</v>
      </c>
      <c r="P2192" s="1">
        <v>100240</v>
      </c>
      <c r="Q2192" s="1">
        <v>0</v>
      </c>
    </row>
    <row r="2193" spans="2:17" hidden="1" x14ac:dyDescent="0.2">
      <c r="B2193" s="1">
        <v>100240</v>
      </c>
      <c r="C2193" s="1">
        <v>0</v>
      </c>
      <c r="G2193" s="1">
        <v>100240</v>
      </c>
      <c r="H2193" s="1">
        <v>0</v>
      </c>
      <c r="L2193" s="1">
        <v>100240</v>
      </c>
      <c r="M2193" s="1">
        <v>0</v>
      </c>
      <c r="P2193" s="1">
        <v>100240</v>
      </c>
      <c r="Q2193" s="1">
        <v>0</v>
      </c>
    </row>
    <row r="2194" spans="2:17" hidden="1" x14ac:dyDescent="0.2">
      <c r="B2194" s="1">
        <v>100250</v>
      </c>
      <c r="C2194" s="1">
        <v>0</v>
      </c>
      <c r="G2194" s="1">
        <v>100250</v>
      </c>
      <c r="H2194" s="1">
        <v>0</v>
      </c>
      <c r="L2194" s="1">
        <v>100250</v>
      </c>
      <c r="M2194" s="1">
        <v>0</v>
      </c>
      <c r="P2194" s="1">
        <v>100250</v>
      </c>
      <c r="Q2194" s="1">
        <v>0</v>
      </c>
    </row>
    <row r="2195" spans="2:17" hidden="1" x14ac:dyDescent="0.2">
      <c r="B2195" s="1">
        <v>100250</v>
      </c>
      <c r="C2195" s="1">
        <v>0</v>
      </c>
      <c r="G2195" s="1">
        <v>100250</v>
      </c>
      <c r="H2195" s="1">
        <v>0</v>
      </c>
      <c r="L2195" s="1">
        <v>100250</v>
      </c>
      <c r="M2195" s="1">
        <v>0</v>
      </c>
      <c r="P2195" s="1">
        <v>100250</v>
      </c>
      <c r="Q2195" s="1">
        <v>0</v>
      </c>
    </row>
    <row r="2196" spans="2:17" hidden="1" x14ac:dyDescent="0.2">
      <c r="B2196" s="1">
        <v>100250</v>
      </c>
      <c r="C2196" s="1">
        <v>0</v>
      </c>
      <c r="G2196" s="1">
        <v>100250</v>
      </c>
      <c r="H2196" s="1">
        <v>0</v>
      </c>
      <c r="L2196" s="1">
        <v>100250</v>
      </c>
      <c r="M2196" s="1">
        <v>0</v>
      </c>
      <c r="P2196" s="1">
        <v>100250</v>
      </c>
      <c r="Q2196" s="1">
        <v>0</v>
      </c>
    </row>
    <row r="2197" spans="2:17" hidden="1" x14ac:dyDescent="0.2">
      <c r="B2197" s="1">
        <v>100250</v>
      </c>
      <c r="C2197" s="1">
        <v>0</v>
      </c>
      <c r="G2197" s="1">
        <v>100250</v>
      </c>
      <c r="H2197" s="1">
        <v>0</v>
      </c>
      <c r="L2197" s="1">
        <v>100250</v>
      </c>
      <c r="M2197" s="1">
        <v>0</v>
      </c>
      <c r="P2197" s="1">
        <v>100250</v>
      </c>
      <c r="Q2197" s="1">
        <v>0</v>
      </c>
    </row>
    <row r="2198" spans="2:17" hidden="1" x14ac:dyDescent="0.2">
      <c r="B2198" s="1">
        <v>100250</v>
      </c>
      <c r="C2198" s="1">
        <v>0</v>
      </c>
      <c r="G2198" s="1">
        <v>100250</v>
      </c>
      <c r="H2198" s="1">
        <v>0</v>
      </c>
      <c r="L2198" s="1">
        <v>100250</v>
      </c>
      <c r="M2198" s="1">
        <v>0</v>
      </c>
      <c r="P2198" s="1">
        <v>100250</v>
      </c>
      <c r="Q2198" s="1">
        <v>0</v>
      </c>
    </row>
    <row r="2199" spans="2:17" hidden="1" x14ac:dyDescent="0.2">
      <c r="B2199" s="1">
        <v>100250</v>
      </c>
      <c r="C2199" s="1">
        <v>0</v>
      </c>
      <c r="G2199" s="1">
        <v>100250</v>
      </c>
      <c r="H2199" s="1">
        <v>0</v>
      </c>
      <c r="L2199" s="1">
        <v>100250</v>
      </c>
      <c r="M2199" s="1">
        <v>0</v>
      </c>
      <c r="P2199" s="1">
        <v>100250</v>
      </c>
      <c r="Q2199" s="1">
        <v>0</v>
      </c>
    </row>
    <row r="2200" spans="2:17" hidden="1" x14ac:dyDescent="0.2">
      <c r="B2200" s="1">
        <v>100250</v>
      </c>
      <c r="C2200" s="1">
        <v>0</v>
      </c>
      <c r="G2200" s="1">
        <v>100250</v>
      </c>
      <c r="H2200" s="1">
        <v>0</v>
      </c>
      <c r="L2200" s="1">
        <v>100250</v>
      </c>
      <c r="M2200" s="1">
        <v>0</v>
      </c>
      <c r="P2200" s="1">
        <v>100250</v>
      </c>
      <c r="Q2200" s="1">
        <v>0</v>
      </c>
    </row>
    <row r="2201" spans="2:17" hidden="1" x14ac:dyDescent="0.2">
      <c r="B2201" s="1">
        <v>100250</v>
      </c>
      <c r="C2201" s="1">
        <v>0</v>
      </c>
      <c r="G2201" s="1">
        <v>100250</v>
      </c>
      <c r="H2201" s="1">
        <v>0</v>
      </c>
      <c r="L2201" s="1">
        <v>100250</v>
      </c>
      <c r="M2201" s="1">
        <v>0</v>
      </c>
      <c r="P2201" s="1">
        <v>100250</v>
      </c>
      <c r="Q2201" s="1">
        <v>0</v>
      </c>
    </row>
    <row r="2202" spans="2:17" hidden="1" x14ac:dyDescent="0.2">
      <c r="B2202" s="1">
        <v>100250</v>
      </c>
      <c r="C2202" s="1">
        <v>0</v>
      </c>
      <c r="G2202" s="1">
        <v>100250</v>
      </c>
      <c r="H2202" s="1">
        <v>0</v>
      </c>
      <c r="L2202" s="1">
        <v>100250</v>
      </c>
      <c r="M2202" s="1">
        <v>0</v>
      </c>
      <c r="P2202" s="1">
        <v>100250</v>
      </c>
      <c r="Q2202" s="1">
        <v>0</v>
      </c>
    </row>
    <row r="2203" spans="2:17" hidden="1" x14ac:dyDescent="0.2">
      <c r="B2203" s="1">
        <v>100260</v>
      </c>
      <c r="C2203" s="1">
        <v>0</v>
      </c>
      <c r="G2203" s="1">
        <v>100260</v>
      </c>
      <c r="H2203" s="1">
        <v>0</v>
      </c>
      <c r="L2203" s="1">
        <v>100260</v>
      </c>
      <c r="M2203" s="1">
        <v>0</v>
      </c>
      <c r="P2203" s="1">
        <v>100260</v>
      </c>
      <c r="Q2203" s="1">
        <v>0</v>
      </c>
    </row>
    <row r="2204" spans="2:17" hidden="1" x14ac:dyDescent="0.2">
      <c r="B2204" s="1">
        <v>100260</v>
      </c>
      <c r="C2204" s="1">
        <v>0</v>
      </c>
      <c r="G2204" s="1">
        <v>100260</v>
      </c>
      <c r="H2204" s="1">
        <v>0</v>
      </c>
      <c r="L2204" s="1">
        <v>100260</v>
      </c>
      <c r="M2204" s="1">
        <v>0</v>
      </c>
      <c r="P2204" s="1">
        <v>100260</v>
      </c>
      <c r="Q2204" s="1">
        <v>0</v>
      </c>
    </row>
    <row r="2205" spans="2:17" hidden="1" x14ac:dyDescent="0.2">
      <c r="B2205" s="1">
        <v>100260</v>
      </c>
      <c r="C2205" s="1">
        <v>0</v>
      </c>
      <c r="G2205" s="1">
        <v>100260</v>
      </c>
      <c r="H2205" s="1">
        <v>0</v>
      </c>
      <c r="L2205" s="1">
        <v>100260</v>
      </c>
      <c r="M2205" s="1">
        <v>0</v>
      </c>
      <c r="P2205" s="1">
        <v>100260</v>
      </c>
      <c r="Q2205" s="1">
        <v>0</v>
      </c>
    </row>
    <row r="2206" spans="2:17" hidden="1" x14ac:dyDescent="0.2">
      <c r="B2206" s="1">
        <v>100260</v>
      </c>
      <c r="C2206" s="1">
        <v>0</v>
      </c>
      <c r="G2206" s="1">
        <v>100260</v>
      </c>
      <c r="H2206" s="1">
        <v>0</v>
      </c>
      <c r="L2206" s="1">
        <v>100260</v>
      </c>
      <c r="M2206" s="1">
        <v>0</v>
      </c>
      <c r="P2206" s="1">
        <v>100260</v>
      </c>
      <c r="Q2206" s="1">
        <v>0</v>
      </c>
    </row>
    <row r="2207" spans="2:17" hidden="1" x14ac:dyDescent="0.2">
      <c r="B2207" s="1">
        <v>100260</v>
      </c>
      <c r="C2207" s="1">
        <v>0</v>
      </c>
      <c r="G2207" s="1">
        <v>100260</v>
      </c>
      <c r="H2207" s="1">
        <v>0</v>
      </c>
      <c r="L2207" s="1">
        <v>100260</v>
      </c>
      <c r="M2207" s="1">
        <v>0</v>
      </c>
      <c r="P2207" s="1">
        <v>100260</v>
      </c>
      <c r="Q2207" s="1">
        <v>0</v>
      </c>
    </row>
  </sheetData>
  <autoFilter ref="P1:Q2207" xr:uid="{00000000-0001-0000-0100-000000000000}">
    <filterColumn colId="1">
      <filters blank="1">
        <filter val="1.01E-07"/>
        <filter val="1.01E-08"/>
        <filter val="1.02E-06"/>
        <filter val="1.03E-06"/>
        <filter val="1.04E-05"/>
        <filter val="1.04E-06"/>
        <filter val="1.04E-07"/>
        <filter val="1.04E-08"/>
        <filter val="1.05E-06"/>
        <filter val="1.05E-08"/>
        <filter val="1.05E-09"/>
        <filter val="1.06E-08"/>
        <filter val="1.07E-05"/>
        <filter val="1.07E-06"/>
        <filter val="1.07E-07"/>
        <filter val="1.07E-08"/>
        <filter val="1.09E-05"/>
        <filter val="1.10E-08"/>
        <filter val="1.12E-09"/>
        <filter val="1.13E-05"/>
        <filter val="1.13E-06"/>
        <filter val="1.13E-08"/>
        <filter val="1.14E-05"/>
        <filter val="1.14E-08"/>
        <filter val="1.15E-05"/>
        <filter val="1.15E-07"/>
        <filter val="1.16E-05"/>
        <filter val="1.16E-06"/>
        <filter val="1.17E-05"/>
        <filter val="1.17E-06"/>
        <filter val="1.17E-08"/>
        <filter val="1.18E-08"/>
        <filter val="1.19E-05"/>
        <filter val="1.19E-06"/>
        <filter val="1.19E-07"/>
        <filter val="1.19E-08"/>
        <filter val="1.19E-09"/>
        <filter val="1.20E-05"/>
        <filter val="1.21E-06"/>
        <filter val="1.22E-05"/>
        <filter val="1.23E-07"/>
        <filter val="1.24E-05"/>
        <filter val="1.24E-07"/>
        <filter val="1.25E-06"/>
        <filter val="1.26E-05"/>
        <filter val="1.26E-09"/>
        <filter val="1.27E-06"/>
        <filter val="1.27E-08"/>
        <filter val="1.28E-05"/>
        <filter val="1.29E-05"/>
        <filter val="1.30E-06"/>
        <filter val="1.31E-08"/>
        <filter val="1.32E-05"/>
        <filter val="1.33E-06"/>
        <filter val="1.33E-09"/>
        <filter val="1.34E-04"/>
        <filter val="1.34E-08"/>
        <filter val="1.35E-03"/>
        <filter val="1.35E-07"/>
        <filter val="1.35E-08"/>
        <filter val="1.36E-06"/>
        <filter val="1.37E-05"/>
        <filter val="1.37E-07"/>
        <filter val="1.38E-06"/>
        <filter val="1.40E-05"/>
        <filter val="1.40E-08"/>
        <filter val="1.40E-09"/>
        <filter val="1.40E-10"/>
        <filter val="1.41E-05"/>
        <filter val="1.41E-06"/>
        <filter val="1.42E-05"/>
        <filter val="1.42E-08"/>
        <filter val="1.43E-05"/>
        <filter val="1.44E-06"/>
        <filter val="1.44E-07"/>
        <filter val="1.44E-08"/>
        <filter val="1.45E-05"/>
        <filter val="1.45E-08"/>
        <filter val="1.46E-08"/>
        <filter val="1.47E-06"/>
        <filter val="1.47E-08"/>
        <filter val="1.47E-09"/>
        <filter val="1.48E-06"/>
        <filter val="1.48E-07"/>
        <filter val="1.49E-06"/>
        <filter val="1.49E-08"/>
        <filter val="1.50E-07"/>
        <filter val="1.51E-06"/>
        <filter val="1.51E-08"/>
        <filter val="1.52E-05"/>
        <filter val="1.52E-06"/>
        <filter val="1.52E-08"/>
        <filter val="1.53E-05"/>
        <filter val="1.53E-06"/>
        <filter val="1.54E-06"/>
        <filter val="1.54E-07"/>
        <filter val="1.54E-09"/>
        <filter val="1.55E-07"/>
        <filter val="1.56E-06"/>
        <filter val="1.56E-07"/>
        <filter val="1.57E-07"/>
        <filter val="1.57E-08"/>
        <filter val="1.58E-08"/>
        <filter val="1.59E-06"/>
        <filter val="1.61E-06"/>
        <filter val="1.61E-08"/>
        <filter val="1.61E-09"/>
        <filter val="1.62E-05"/>
        <filter val="1.62E-06"/>
        <filter val="1.62E-07"/>
        <filter val="1.62E-08"/>
        <filter val="1.63E-08"/>
        <filter val="1.66E-06"/>
        <filter val="1.67E-08"/>
        <filter val="1.68E-09"/>
        <filter val="1.70E-05"/>
        <filter val="1.71E-07"/>
        <filter val="1.71E-08"/>
        <filter val="1.73E-05"/>
        <filter val="1.75E-09"/>
        <filter val="1.76E-05"/>
        <filter val="1.76E-06"/>
        <filter val="1.76E-07"/>
        <filter val="1.77E-08"/>
        <filter val="1.78E-05"/>
        <filter val="1.79E-05"/>
        <filter val="1.81E-08"/>
        <filter val="1.81E-09"/>
        <filter val="1.82E-06"/>
        <filter val="1.83E-05"/>
        <filter val="1.83E-08"/>
        <filter val="1.84E-05"/>
        <filter val="1.84E-07"/>
        <filter val="1.85E-05"/>
        <filter val="1.85E-08"/>
        <filter val="1.86E-05"/>
        <filter val="1.86E-07"/>
        <filter val="1.87E-06"/>
        <filter val="1.88E-06"/>
        <filter val="1.88E-08"/>
        <filter val="1.88E-09"/>
        <filter val="1.89E-07"/>
        <filter val="1.90E-06"/>
        <filter val="1.90E-07"/>
        <filter val="1.91E-08"/>
        <filter val="1.92E-05"/>
        <filter val="1.92E-06"/>
        <filter val="1.94E-06"/>
        <filter val="1.95E-04"/>
        <filter val="1.95E-07"/>
        <filter val="1.95E-09"/>
        <filter val="1.96E-07"/>
        <filter val="1.97E-05"/>
        <filter val="1.97E-06"/>
        <filter val="1.97E-08"/>
        <filter val="1.98E-06"/>
        <filter val="1.99E-06"/>
        <filter val="2.00E-05"/>
        <filter val="2.00E-06"/>
        <filter val="2.00E-07"/>
        <filter val="2.01E-07"/>
        <filter val="2.02E-08"/>
        <filter val="2.02E-09"/>
        <filter val="2.03E-05"/>
        <filter val="2.05E-06"/>
        <filter val="2.05E-08"/>
        <filter val="2.07E-05"/>
        <filter val="2.07E-08"/>
        <filter val="2.08E-05"/>
        <filter val="2.08E-06"/>
        <filter val="2.09E-07"/>
        <filter val="2.09E-09"/>
        <filter val="2.09E-10"/>
        <filter val="2.10E-07"/>
        <filter val="2.10E-08"/>
        <filter val="2.12E-06"/>
        <filter val="2.12E-07"/>
        <filter val="2.13E-07"/>
        <filter val="2.14E-06"/>
        <filter val="2.14E-08"/>
        <filter val="2.16E-09"/>
        <filter val="2.17E-06"/>
        <filter val="2.18E-06"/>
        <filter val="2.21E-05"/>
        <filter val="2.23E-05"/>
        <filter val="2.25E-06"/>
        <filter val="2.25E-08"/>
        <filter val="2.26E-07"/>
        <filter val="2.27E-05"/>
        <filter val="2.29E-07"/>
        <filter val="2.30E-07"/>
        <filter val="2.30E-09"/>
        <filter val="2.31E-07"/>
        <filter val="2.31E-08"/>
        <filter val="2.33E-06"/>
        <filter val="2.35E-06"/>
        <filter val="2.36E-05"/>
        <filter val="2.37E-07"/>
        <filter val="2.37E-08"/>
        <filter val="2.37E-09"/>
        <filter val="2.38E-05"/>
        <filter val="2.39E-05"/>
        <filter val="2.39E-06"/>
        <filter val="2.39E-07"/>
        <filter val="2.40E-06"/>
        <filter val="2.42E-08"/>
        <filter val="2.43E-05"/>
        <filter val="2.44E-09"/>
        <filter val="2.45E-05"/>
        <filter val="2.46E-05"/>
        <filter val="2.46E-07"/>
        <filter val="2.46E-08"/>
        <filter val="2.48E-05"/>
        <filter val="2.48E-06"/>
        <filter val="2.50E-07"/>
        <filter val="2.51E-09"/>
        <filter val="2.52E-08"/>
        <filter val="2.57E-07"/>
        <filter val="2.58E-09"/>
        <filter val="2.59E-08"/>
        <filter val="2.60E-05"/>
        <filter val="2.61E-08"/>
        <filter val="2.65E-05"/>
        <filter val="2.65E-09"/>
        <filter val="2.66E-06"/>
        <filter val="2.66E-07"/>
        <filter val="2.67E-05"/>
        <filter val="2.69E-05"/>
        <filter val="2.69E-06"/>
        <filter val="2.69E-08"/>
        <filter val="2.70E-06"/>
        <filter val="2.71E-07"/>
        <filter val="2.72E-05"/>
        <filter val="2.72E-07"/>
        <filter val="2.72E-09"/>
        <filter val="2.75E-06"/>
        <filter val="2.76E-05"/>
        <filter val="2.78E-06"/>
        <filter val="2.79E-06"/>
        <filter val="2.79E-07"/>
        <filter val="2.79E-09"/>
        <filter val="2.79E-10"/>
        <filter val="2.80E-06"/>
        <filter val="2.82E-07"/>
        <filter val="2.83E-07"/>
        <filter val="2.84E-07"/>
        <filter val="2.84E-08"/>
        <filter val="2.85E-06"/>
        <filter val="2.85E-07"/>
        <filter val="2.86E-05"/>
        <filter val="2.86E-07"/>
        <filter val="2.86E-09"/>
        <filter val="2.88E-08"/>
        <filter val="2.90E-07"/>
        <filter val="2.90E-08"/>
        <filter val="2.92E-07"/>
        <filter val="2.92E-08"/>
        <filter val="2.93E-09"/>
        <filter val="2.94E-06"/>
        <filter val="2.94E-07"/>
        <filter val="2.96E-06"/>
        <filter val="2.96E-08"/>
        <filter val="2.99E-08"/>
        <filter val="3.00E-06"/>
        <filter val="3.00E-07"/>
        <filter val="3.00E-09"/>
        <filter val="3.01E-06"/>
        <filter val="3.02E-05"/>
        <filter val="3.02E-07"/>
        <filter val="3.06E-08"/>
        <filter val="3.08E-07"/>
        <filter val="3.08E-08"/>
        <filter val="3.09E-06"/>
        <filter val="3.10E-06"/>
        <filter val="3.14E-09"/>
        <filter val="3.17E-05"/>
        <filter val="3.17E-08"/>
        <filter val="3.21E-06"/>
        <filter val="3.21E-07"/>
        <filter val="3.21E-08"/>
        <filter val="3.21E-09"/>
        <filter val="3.22E-06"/>
        <filter val="3.25E-06"/>
        <filter val="3.26E-05"/>
        <filter val="3.26E-07"/>
        <filter val="3.27E-06"/>
        <filter val="3.27E-08"/>
        <filter val="3.28E-08"/>
        <filter val="3.28E-09"/>
        <filter val="3.32E-05"/>
        <filter val="3.34E-07"/>
        <filter val="3.34E-08"/>
        <filter val="3.35E-09"/>
        <filter val="3.39E-06"/>
        <filter val="3.39E-07"/>
        <filter val="3.40E-06"/>
        <filter val="3.42E-08"/>
        <filter val="3.42E-09"/>
        <filter val="3.44E-08"/>
        <filter val="3.46E-08"/>
        <filter val="3.47E-05"/>
        <filter val="3.49E-09"/>
        <filter val="3.49E-10"/>
        <filter val="3.51E-06"/>
        <filter val="3.54E-07"/>
        <filter val="3.55E-07"/>
        <filter val="3.58E-06"/>
        <filter val="3.59E-06"/>
        <filter val="3.61E-06"/>
        <filter val="3.63E-09"/>
        <filter val="3.64E-07"/>
        <filter val="3.65E-08"/>
        <filter val="3.66E-07"/>
        <filter val="3.67E-06"/>
        <filter val="3.71E-08"/>
        <filter val="3.72E-08"/>
        <filter val="3.75E-07"/>
        <filter val="3.77E-08"/>
        <filter val="3.77E-09"/>
        <filter val="3.78E-08"/>
        <filter val="3.79E-06"/>
        <filter val="3.80E-08"/>
        <filter val="3.84E-06"/>
        <filter val="3.84E-09"/>
        <filter val="3.85E-07"/>
        <filter val="3.86E-05"/>
        <filter val="3.88E-08"/>
        <filter val="3.91E-06"/>
        <filter val="3.92E-06"/>
        <filter val="3.93E-06"/>
        <filter val="3.96E-06"/>
        <filter val="3.96E-08"/>
        <filter val="3.98E-09"/>
        <filter val="3.99E-06"/>
        <filter val="4.04E-03"/>
        <filter val="4.04E-07"/>
        <filter val="4.05E-09"/>
        <filter val="4.08E-06"/>
        <filter val="4.09E-06"/>
        <filter val="4.10E-08"/>
        <filter val="4.12E-06"/>
        <filter val="4.12E-09"/>
        <filter val="4.13E-06"/>
        <filter val="4.13E-08"/>
        <filter val="4.14E-08"/>
        <filter val="4.19E-09"/>
        <filter val="4.19E-10"/>
        <filter val="4.20E-06"/>
        <filter val="4.21E-07"/>
        <filter val="4.23E-06"/>
        <filter val="4.26E-08"/>
        <filter val="4.33E-07"/>
        <filter val="4.36E-06"/>
        <filter val="4.40E-07"/>
        <filter val="4.46E-06"/>
        <filter val="4.47E-09"/>
        <filter val="4.48E-06"/>
        <filter val="4.50E-06"/>
        <filter val="4.50E-08"/>
        <filter val="4.51E-07"/>
        <filter val="4.53E-07"/>
        <filter val="4.54E-09"/>
        <filter val="4.56E-08"/>
        <filter val="4.57E-06"/>
        <filter val="4.58E-07"/>
        <filter val="4.60E-06"/>
        <filter val="4.61E-06"/>
        <filter val="4.61E-09"/>
        <filter val="4.65E-07"/>
        <filter val="4.67E-05"/>
        <filter val="4.67E-06"/>
        <filter val="4.75E-07"/>
        <filter val="4.75E-08"/>
        <filter val="4.75E-09"/>
        <filter val="4.81E-06"/>
        <filter val="4.81E-08"/>
        <filter val="4.82E-07"/>
        <filter val="4.84E-07"/>
        <filter val="4.89E-09"/>
        <filter val="4.89E-10"/>
        <filter val="4.90E-07"/>
        <filter val="4.93E-07"/>
        <filter val="4.95E-06"/>
        <filter val="4.96E-06"/>
        <filter val="4.96E-09"/>
        <filter val="5.04E-08"/>
        <filter val="5.05E-06"/>
        <filter val="5.07E-08"/>
        <filter val="5.10E-09"/>
        <filter val="5.11E-07"/>
        <filter val="5.16E-07"/>
        <filter val="5.17E-09"/>
        <filter val="5.21E-08"/>
        <filter val="5.24E-09"/>
        <filter val="5.30E-07"/>
        <filter val="5.30E-09"/>
        <filter val="5.31E-06"/>
        <filter val="5.32E-07"/>
        <filter val="5.36E-08"/>
        <filter val="5.38E-06"/>
        <filter val="5.40E-06"/>
        <filter val="5.40E-07"/>
        <filter val="5.41E-06"/>
        <filter val="5.43E-07"/>
        <filter val="5.44E-09"/>
        <filter val="5.46E-07"/>
        <filter val="5.51E-09"/>
        <filter val="5.52E-06"/>
        <filter val="5.53E-07"/>
        <filter val="5.56E-06"/>
        <filter val="5.58E-10"/>
        <filter val="5.59E-07"/>
        <filter val="5.59E-08"/>
        <filter val="5.63E-06"/>
        <filter val="5.65E-06"/>
        <filter val="5.71E-07"/>
        <filter val="5.72E-09"/>
        <filter val="5.73E-08"/>
        <filter val="5.82E-06"/>
        <filter val="5.83E-06"/>
        <filter val="5.85E-08"/>
        <filter val="5.86E-06"/>
        <filter val="5.86E-07"/>
        <filter val="5.86E-08"/>
        <filter val="5.88E-07"/>
        <filter val="5.89E-08"/>
        <filter val="5.91E-08"/>
        <filter val="5.96E-06"/>
        <filter val="5.96E-07"/>
        <filter val="6.02E-07"/>
        <filter val="6.07E-06"/>
        <filter val="6.09E-08"/>
        <filter val="6.10E-07"/>
        <filter val="6.10E-08"/>
        <filter val="6.14E-08"/>
        <filter val="6.21E-06"/>
        <filter val="6.22E-06"/>
        <filter val="6.23E-07"/>
        <filter val="6.28E-10"/>
        <filter val="6.33E-06"/>
        <filter val="6.33E-08"/>
        <filter val="6.35E-09"/>
        <filter val="6.37E-07"/>
        <filter val="6.38E-06"/>
        <filter val="6.38E-08"/>
        <filter val="6.41E-06"/>
        <filter val="6.41E-07"/>
        <filter val="6.42E-07"/>
        <filter val="6.42E-08"/>
        <filter val="6.44E-08"/>
        <filter val="6.45E-07"/>
        <filter val="6.49E-08"/>
        <filter val="6.49E-09"/>
        <filter val="6.57E-06"/>
        <filter val="6.60E-08"/>
        <filter val="6.61E-06"/>
        <filter val="6.63E-09"/>
        <filter val="6.68E-07"/>
        <filter val="6.69E-08"/>
        <filter val="6.70E-06"/>
        <filter val="6.73E-08"/>
        <filter val="6.77E-09"/>
        <filter val="6.78E-07"/>
        <filter val="6.81E-06"/>
        <filter val="6.86E-08"/>
        <filter val="6.92E-08"/>
        <filter val="6.98E-09"/>
        <filter val="6.98E-10"/>
        <filter val="6.98E-11"/>
        <filter val="7.00E-07"/>
        <filter val="7.02E-06"/>
        <filter val="7.05E-09"/>
        <filter val="7.07E-07"/>
        <filter val="7.07E-08"/>
        <filter val="7.10E-06"/>
        <filter val="7.13E-07"/>
        <filter val="7.15E-08"/>
        <filter val="7.16E-07"/>
        <filter val="7.17E-07"/>
        <filter val="7.24E-06"/>
        <filter val="7.31E-07"/>
        <filter val="7.33E-07"/>
        <filter val="7.33E-09"/>
        <filter val="7.34E-07"/>
        <filter val="7.36E-06"/>
        <filter val="7.40E-09"/>
        <filter val="7.47E-06"/>
        <filter val="7.48E-08"/>
        <filter val="7.49E-07"/>
        <filter val="7.50E-08"/>
        <filter val="7.53E-08"/>
        <filter val="7.54E-06"/>
        <filter val="7.58E-06"/>
        <filter val="7.60E-07"/>
        <filter val="7.61E-09"/>
        <filter val="7.67E-06"/>
        <filter val="7.68E-09"/>
        <filter val="7.68E-10"/>
        <filter val="7.72E-07"/>
        <filter val="7.73E-07"/>
        <filter val="7.77E-06"/>
        <filter val="7.82E-09"/>
        <filter val="7.83E-07"/>
        <filter val="7.84E-07"/>
        <filter val="7.84E-08"/>
        <filter val="7.85E-06"/>
        <filter val="7.85E-07"/>
        <filter val="7.86E-06"/>
        <filter val="7.96E-09"/>
        <filter val="7.99E-07"/>
        <filter val="8.03E-08"/>
        <filter val="8.05E-07"/>
        <filter val="8.07E-06"/>
        <filter val="8.10E-09"/>
        <filter val="8.16E-06"/>
        <filter val="8.17E-08"/>
        <filter val="8.19E-08"/>
        <filter val="8.21E-06"/>
        <filter val="8.31E-09"/>
        <filter val="8.33E-08"/>
        <filter val="8.34E-07"/>
        <filter val="8.37E-06"/>
        <filter val="8.38E-09"/>
        <filter val="8.38E-10"/>
        <filter val="8.42E-08"/>
        <filter val="8.51E-07"/>
        <filter val="8.54E-08"/>
        <filter val="8.55E-06"/>
        <filter val="8.56E-08"/>
        <filter val="8.59E-08"/>
        <filter val="8.63E-07"/>
        <filter val="8.66E-07"/>
        <filter val="8.68E-06"/>
        <filter val="8.68E-08"/>
        <filter val="8.75E-08"/>
        <filter val="8.77E-08"/>
        <filter val="8.79E-07"/>
        <filter val="8.86E-09"/>
        <filter val="8.90E-08"/>
        <filter val="8.91E-07"/>
        <filter val="8.93E-06"/>
        <filter val="8.93E-09"/>
        <filter val="9.04E-08"/>
        <filter val="9.07E-10"/>
        <filter val="9.09E-06"/>
        <filter val="9.09E-07"/>
        <filter val="9.11E-07"/>
        <filter val="9.21E-08"/>
        <filter val="9.24E-07"/>
        <filter val="9.30E-07"/>
        <filter val="9.35E-09"/>
        <filter val="9.40E-07"/>
        <filter val="9.41E-06"/>
        <filter val="9.42E-06"/>
        <filter val="9.42E-07"/>
        <filter val="9.42E-08"/>
        <filter val="9.50E-06"/>
        <filter val="9.52E-08"/>
        <filter val="9.56E-06"/>
        <filter val="9.63E-08"/>
        <filter val="9.63E-09"/>
        <filter val="9.72E-07"/>
        <filter val="9.75E-07"/>
        <filter val="9.76E-06"/>
        <filter val="9.76E-08"/>
        <filter val="9.77E-09"/>
        <filter val="9.77E-10"/>
        <filter val="9.78E-06"/>
        <filter val="9.82E-07"/>
        <filter val="9.91E-09"/>
        <filter val="9.93E-07"/>
        <filter val="9.94E-07"/>
        <filter val="9.99E-06"/>
      </filters>
    </filterColumn>
  </autoFilter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F850"/>
  <sheetViews>
    <sheetView topLeftCell="L805" workbookViewId="0">
      <selection activeCell="R821" sqref="R821"/>
    </sheetView>
  </sheetViews>
  <sheetFormatPr defaultRowHeight="14.25" x14ac:dyDescent="0.2"/>
  <sheetData>
    <row r="2" spans="2:32" x14ac:dyDescent="0.2">
      <c r="C2" t="s">
        <v>3282</v>
      </c>
      <c r="J2" t="s">
        <v>3283</v>
      </c>
      <c r="R2" s="16" t="s">
        <v>3285</v>
      </c>
      <c r="S2" s="16"/>
      <c r="T2" s="16"/>
      <c r="U2" s="16"/>
      <c r="V2" s="16"/>
      <c r="W2" s="16"/>
      <c r="Z2" t="s">
        <v>3287</v>
      </c>
    </row>
    <row r="3" spans="2:32" x14ac:dyDescent="0.2">
      <c r="B3">
        <v>29062</v>
      </c>
      <c r="C3" s="1">
        <v>9.9999999999999995E-8</v>
      </c>
      <c r="D3" t="str">
        <f>VLOOKUP(B3,Nuclides!A:E,5,FALSE)</f>
        <v>Cu62</v>
      </c>
      <c r="E3">
        <f>VLOOKUP(Sheet2!B3,Nuclides!A:E,2,FALSE)</f>
        <v>33</v>
      </c>
      <c r="F3">
        <f>VLOOKUP(B3,Nuclides!A:E,3,FALSE)</f>
        <v>29</v>
      </c>
      <c r="G3" s="1">
        <f>C3*12480000000000000</f>
        <v>1248000000</v>
      </c>
      <c r="H3">
        <f>VLOOKUP(B3,Nuclides!A:E,4,FALSE)</f>
        <v>580.38</v>
      </c>
      <c r="J3" s="1">
        <v>30073</v>
      </c>
      <c r="K3" s="1">
        <v>9.9999999999999995E-8</v>
      </c>
      <c r="L3" t="str">
        <f>VLOOKUP(J3,Nuclides!A:E,5,FALSE)</f>
        <v>Zn73</v>
      </c>
      <c r="M3">
        <f>VLOOKUP(Sheet2!J3,Nuclides!A:E,2,FALSE)</f>
        <v>43</v>
      </c>
      <c r="N3">
        <f>VLOOKUP(J3,Nuclides!A:E,3,FALSE)</f>
        <v>30</v>
      </c>
      <c r="O3" s="1">
        <f>K3*12480000000000000</f>
        <v>1248000000</v>
      </c>
      <c r="R3" s="1">
        <v>24051</v>
      </c>
      <c r="S3" s="1">
        <v>6.9799999999999994E-11</v>
      </c>
      <c r="T3" t="str">
        <f>VLOOKUP(R3,Nuclides!A:E,5,FALSE)</f>
        <v>Cr51</v>
      </c>
      <c r="U3">
        <f>VLOOKUP(Sheet2!R3,Nuclides!A:E,2,FALSE)</f>
        <v>27</v>
      </c>
      <c r="V3">
        <f>VLOOKUP(R3,Nuclides!A:E,3,FALSE)</f>
        <v>24</v>
      </c>
      <c r="W3" s="1">
        <f>S3*12480000000000000</f>
        <v>871103.99999999988</v>
      </c>
      <c r="X3" t="s">
        <v>525</v>
      </c>
      <c r="Z3" s="1">
        <v>2006</v>
      </c>
      <c r="AA3" s="1">
        <v>3.4899999999999998E-10</v>
      </c>
      <c r="AB3" t="str">
        <f>VLOOKUP(Z3,Nuclides!A:E,5,FALSE)</f>
        <v>He6</v>
      </c>
      <c r="AC3">
        <f>VLOOKUP(Sheet2!Z3,Nuclides!A:E,2,FALSE)</f>
        <v>4</v>
      </c>
      <c r="AD3">
        <f>VLOOKUP(Z3,Nuclides!A:E,3,FALSE)</f>
        <v>2</v>
      </c>
      <c r="AE3" s="1">
        <f>AA3*12480000000000000</f>
        <v>4355520</v>
      </c>
      <c r="AF3" t="s">
        <v>19</v>
      </c>
    </row>
    <row r="4" spans="2:32" x14ac:dyDescent="0.2">
      <c r="B4">
        <v>29073</v>
      </c>
      <c r="C4" s="1">
        <v>9.9999999999999995E-8</v>
      </c>
      <c r="D4" t="str">
        <f>VLOOKUP(B4,Nuclides!A:E,5,FALSE)</f>
        <v>Cu73</v>
      </c>
      <c r="E4">
        <f>VLOOKUP(Sheet2!B4,Nuclides!A:E,2,FALSE)</f>
        <v>44</v>
      </c>
      <c r="F4">
        <f>VLOOKUP(B4,Nuclides!A:E,3,FALSE)</f>
        <v>29</v>
      </c>
      <c r="G4" s="1">
        <f t="shared" ref="G4:G67" si="0">C4*12480000000000000</f>
        <v>1248000000</v>
      </c>
      <c r="H4">
        <f>VLOOKUP(B4,Nuclides!A:E,4,FALSE)</f>
        <v>4.2</v>
      </c>
      <c r="J4" s="1">
        <v>30074</v>
      </c>
      <c r="K4" s="1">
        <v>9.9999999999999995E-8</v>
      </c>
      <c r="L4" t="str">
        <f>VLOOKUP(J4,Nuclides!A:E,5,FALSE)</f>
        <v>Zn74</v>
      </c>
      <c r="M4">
        <f>VLOOKUP(Sheet2!J4,Nuclides!A:E,2,FALSE)</f>
        <v>44</v>
      </c>
      <c r="N4">
        <f>VLOOKUP(J4,Nuclides!A:E,3,FALSE)</f>
        <v>30</v>
      </c>
      <c r="O4" s="1">
        <f t="shared" ref="O4:O67" si="1">K4*12480000000000000</f>
        <v>1248000000</v>
      </c>
      <c r="R4" s="1">
        <v>25050</v>
      </c>
      <c r="S4" s="1">
        <v>6.9799999999999994E-11</v>
      </c>
      <c r="T4" t="str">
        <f>VLOOKUP(R4,Nuclides!A:E,5,FALSE)</f>
        <v>Mn50</v>
      </c>
      <c r="U4">
        <f>VLOOKUP(Sheet2!R4,Nuclides!A:E,2,FALSE)</f>
        <v>25</v>
      </c>
      <c r="V4">
        <f>VLOOKUP(R4,Nuclides!A:E,3,FALSE)</f>
        <v>25</v>
      </c>
      <c r="W4" s="1">
        <f t="shared" ref="W4:W67" si="2">S4*12480000000000000</f>
        <v>871103.99999999988</v>
      </c>
      <c r="X4" t="s">
        <v>546</v>
      </c>
      <c r="Z4" s="1">
        <v>3006</v>
      </c>
      <c r="AA4" s="1">
        <v>1.4398299999999999E-6</v>
      </c>
      <c r="AB4" t="str">
        <f>VLOOKUP(Z4,Nuclides!A:E,5,FALSE)</f>
        <v>Li6</v>
      </c>
      <c r="AC4">
        <f>VLOOKUP(Sheet2!Z4,Nuclides!A:E,2,FALSE)</f>
        <v>3</v>
      </c>
      <c r="AD4">
        <f>VLOOKUP(Z4,Nuclides!A:E,3,FALSE)</f>
        <v>3</v>
      </c>
      <c r="AE4" s="1">
        <f t="shared" ref="AE4:AE67" si="3">AA4*12480000000000000</f>
        <v>17969078400</v>
      </c>
      <c r="AF4" t="s">
        <v>31</v>
      </c>
    </row>
    <row r="5" spans="2:32" x14ac:dyDescent="0.2">
      <c r="B5">
        <v>30058</v>
      </c>
      <c r="C5" s="1">
        <v>9.9999999999999995E-8</v>
      </c>
      <c r="D5" t="str">
        <f>VLOOKUP(B5,Nuclides!A:E,5,FALSE)</f>
        <v>Zn58</v>
      </c>
      <c r="E5">
        <f>VLOOKUP(Sheet2!B5,Nuclides!A:E,2,FALSE)</f>
        <v>28</v>
      </c>
      <c r="F5">
        <f>VLOOKUP(B5,Nuclides!A:E,3,FALSE)</f>
        <v>30</v>
      </c>
      <c r="G5" s="1">
        <f t="shared" si="0"/>
        <v>1248000000</v>
      </c>
      <c r="H5">
        <f>VLOOKUP(B5,Nuclides!A:E,4,FALSE)</f>
        <v>8.5999999999999993E-2</v>
      </c>
      <c r="J5" s="1">
        <v>30075</v>
      </c>
      <c r="K5" s="1">
        <v>3.9999999999999998E-7</v>
      </c>
      <c r="L5" t="str">
        <f>VLOOKUP(J5,Nuclides!A:E,5,FALSE)</f>
        <v>Zn75</v>
      </c>
      <c r="M5">
        <f>VLOOKUP(Sheet2!J5,Nuclides!A:E,2,FALSE)</f>
        <v>45</v>
      </c>
      <c r="N5">
        <f>VLOOKUP(J5,Nuclides!A:E,3,FALSE)</f>
        <v>30</v>
      </c>
      <c r="O5" s="1">
        <f t="shared" si="1"/>
        <v>4992000000</v>
      </c>
      <c r="R5" s="1">
        <v>25053</v>
      </c>
      <c r="S5" s="1">
        <v>6.9799999999999994E-11</v>
      </c>
      <c r="T5" t="str">
        <f>VLOOKUP(R5,Nuclides!A:E,5,FALSE)</f>
        <v>Mn53</v>
      </c>
      <c r="U5">
        <f>VLOOKUP(Sheet2!R5,Nuclides!A:E,2,FALSE)</f>
        <v>28</v>
      </c>
      <c r="V5">
        <f>VLOOKUP(R5,Nuclides!A:E,3,FALSE)</f>
        <v>25</v>
      </c>
      <c r="W5" s="1">
        <f t="shared" si="2"/>
        <v>871103.99999999988</v>
      </c>
      <c r="X5" t="s">
        <v>549</v>
      </c>
      <c r="Z5" s="1">
        <v>3007</v>
      </c>
      <c r="AA5" s="1">
        <v>9.0914499999999998E-7</v>
      </c>
      <c r="AB5" t="str">
        <f>VLOOKUP(Z5,Nuclides!A:E,5,FALSE)</f>
        <v>Li7</v>
      </c>
      <c r="AC5">
        <f>VLOOKUP(Sheet2!Z5,Nuclides!A:E,2,FALSE)</f>
        <v>4</v>
      </c>
      <c r="AD5">
        <f>VLOOKUP(Z5,Nuclides!A:E,3,FALSE)</f>
        <v>3</v>
      </c>
      <c r="AE5" s="1">
        <f t="shared" si="3"/>
        <v>11346129600</v>
      </c>
      <c r="AF5" t="s">
        <v>33</v>
      </c>
    </row>
    <row r="6" spans="2:32" x14ac:dyDescent="0.2">
      <c r="B6">
        <v>30073</v>
      </c>
      <c r="C6" s="1">
        <v>2.9999999999999999E-7</v>
      </c>
      <c r="D6" t="str">
        <f>VLOOKUP(B6,Nuclides!A:E,5,FALSE)</f>
        <v>Zn73</v>
      </c>
      <c r="E6">
        <f>VLOOKUP(Sheet2!B6,Nuclides!A:E,2,FALSE)</f>
        <v>43</v>
      </c>
      <c r="F6">
        <f>VLOOKUP(B6,Nuclides!A:E,3,FALSE)</f>
        <v>30</v>
      </c>
      <c r="G6" s="1">
        <f t="shared" si="0"/>
        <v>3744000000</v>
      </c>
      <c r="H6">
        <f>VLOOKUP(B6,Nuclides!A:E,4,FALSE)</f>
        <v>23.5</v>
      </c>
      <c r="J6" s="1">
        <v>30077</v>
      </c>
      <c r="K6" s="1">
        <v>1.9999999999999999E-7</v>
      </c>
      <c r="L6" t="str">
        <f>VLOOKUP(J6,Nuclides!A:E,5,FALSE)</f>
        <v>Zn77</v>
      </c>
      <c r="M6">
        <f>VLOOKUP(Sheet2!J6,Nuclides!A:E,2,FALSE)</f>
        <v>47</v>
      </c>
      <c r="N6">
        <f>VLOOKUP(J6,Nuclides!A:E,3,FALSE)</f>
        <v>30</v>
      </c>
      <c r="O6" s="1">
        <f t="shared" si="1"/>
        <v>2496000000</v>
      </c>
      <c r="R6" s="1">
        <v>25060</v>
      </c>
      <c r="S6" s="1">
        <v>6.9799999999999994E-11</v>
      </c>
      <c r="T6" t="str">
        <f>VLOOKUP(R6,Nuclides!A:E,5,FALSE)</f>
        <v>Mn60</v>
      </c>
      <c r="U6">
        <f>VLOOKUP(Sheet2!R6,Nuclides!A:E,2,FALSE)</f>
        <v>35</v>
      </c>
      <c r="V6">
        <f>VLOOKUP(R6,Nuclides!A:E,3,FALSE)</f>
        <v>25</v>
      </c>
      <c r="W6" s="1">
        <f t="shared" si="2"/>
        <v>871103.99999999988</v>
      </c>
      <c r="X6" t="s">
        <v>556</v>
      </c>
      <c r="Z6" s="1">
        <v>3008</v>
      </c>
      <c r="AA6" s="1">
        <v>2.094E-10</v>
      </c>
      <c r="AB6" t="str">
        <f>VLOOKUP(Z6,Nuclides!A:E,5,FALSE)</f>
        <v>Li8</v>
      </c>
      <c r="AC6">
        <f>VLOOKUP(Sheet2!Z6,Nuclides!A:E,2,FALSE)</f>
        <v>5</v>
      </c>
      <c r="AD6">
        <f>VLOOKUP(Z6,Nuclides!A:E,3,FALSE)</f>
        <v>3</v>
      </c>
      <c r="AE6" s="1">
        <f t="shared" si="3"/>
        <v>2613312</v>
      </c>
      <c r="AF6" t="s">
        <v>35</v>
      </c>
    </row>
    <row r="7" spans="2:32" x14ac:dyDescent="0.2">
      <c r="B7">
        <v>30076</v>
      </c>
      <c r="C7" s="1">
        <v>9.9999999999999995E-8</v>
      </c>
      <c r="D7" t="str">
        <f>VLOOKUP(B7,Nuclides!A:E,5,FALSE)</f>
        <v>Zn76</v>
      </c>
      <c r="E7">
        <f>VLOOKUP(Sheet2!B7,Nuclides!A:E,2,FALSE)</f>
        <v>46</v>
      </c>
      <c r="F7">
        <f>VLOOKUP(B7,Nuclides!A:E,3,FALSE)</f>
        <v>30</v>
      </c>
      <c r="G7" s="1">
        <f t="shared" si="0"/>
        <v>1248000000</v>
      </c>
      <c r="H7">
        <f>VLOOKUP(B7,Nuclides!A:E,4,FALSE)</f>
        <v>5.7</v>
      </c>
      <c r="J7" s="1">
        <v>30078</v>
      </c>
      <c r="K7" s="1">
        <v>1.9999999999999999E-7</v>
      </c>
      <c r="L7" t="str">
        <f>VLOOKUP(J7,Nuclides!A:E,5,FALSE)</f>
        <v>Zn78</v>
      </c>
      <c r="M7">
        <f>VLOOKUP(Sheet2!J7,Nuclides!A:E,2,FALSE)</f>
        <v>48</v>
      </c>
      <c r="N7">
        <f>VLOOKUP(J7,Nuclides!A:E,3,FALSE)</f>
        <v>30</v>
      </c>
      <c r="O7" s="1">
        <f t="shared" si="1"/>
        <v>2496000000</v>
      </c>
      <c r="R7" s="1">
        <v>26052</v>
      </c>
      <c r="S7" s="1">
        <v>6.9799999999999994E-11</v>
      </c>
      <c r="T7" t="str">
        <f>VLOOKUP(R7,Nuclides!A:E,5,FALSE)</f>
        <v>Fe52</v>
      </c>
      <c r="U7">
        <f>VLOOKUP(Sheet2!R7,Nuclides!A:E,2,FALSE)</f>
        <v>26</v>
      </c>
      <c r="V7">
        <f>VLOOKUP(R7,Nuclides!A:E,3,FALSE)</f>
        <v>26</v>
      </c>
      <c r="W7" s="1">
        <f t="shared" si="2"/>
        <v>871103.99999999988</v>
      </c>
      <c r="X7" t="s">
        <v>575</v>
      </c>
      <c r="Z7" s="1">
        <v>4007</v>
      </c>
      <c r="AA7" s="1">
        <v>3.3959800000000001E-6</v>
      </c>
      <c r="AB7" t="str">
        <f>VLOOKUP(Z7,Nuclides!A:E,5,FALSE)</f>
        <v>Be7</v>
      </c>
      <c r="AC7">
        <f>VLOOKUP(Sheet2!Z7,Nuclides!A:E,2,FALSE)</f>
        <v>3</v>
      </c>
      <c r="AD7">
        <f>VLOOKUP(Z7,Nuclides!A:E,3,FALSE)</f>
        <v>4</v>
      </c>
      <c r="AE7" s="1">
        <f t="shared" si="3"/>
        <v>42381830400</v>
      </c>
      <c r="AF7" t="s">
        <v>43</v>
      </c>
    </row>
    <row r="8" spans="2:32" x14ac:dyDescent="0.2">
      <c r="B8">
        <v>30077</v>
      </c>
      <c r="C8" s="1">
        <v>9.9999999999999995E-8</v>
      </c>
      <c r="D8" t="str">
        <f>VLOOKUP(B8,Nuclides!A:E,5,FALSE)</f>
        <v>Zn77</v>
      </c>
      <c r="E8">
        <f>VLOOKUP(Sheet2!B8,Nuclides!A:E,2,FALSE)</f>
        <v>47</v>
      </c>
      <c r="F8">
        <f>VLOOKUP(B8,Nuclides!A:E,3,FALSE)</f>
        <v>30</v>
      </c>
      <c r="G8" s="1">
        <f t="shared" si="0"/>
        <v>1248000000</v>
      </c>
      <c r="H8">
        <f>VLOOKUP(B8,Nuclides!A:E,4,FALSE)</f>
        <v>2.08</v>
      </c>
      <c r="J8" s="1">
        <v>31075</v>
      </c>
      <c r="K8" s="1">
        <v>1.9999999999999999E-7</v>
      </c>
      <c r="L8" t="str">
        <f>VLOOKUP(J8,Nuclides!A:E,5,FALSE)</f>
        <v>Ga75</v>
      </c>
      <c r="M8">
        <f>VLOOKUP(Sheet2!J8,Nuclides!A:E,2,FALSE)</f>
        <v>44</v>
      </c>
      <c r="N8">
        <f>VLOOKUP(J8,Nuclides!A:E,3,FALSE)</f>
        <v>31</v>
      </c>
      <c r="O8" s="1">
        <f t="shared" si="1"/>
        <v>2496000000</v>
      </c>
      <c r="R8" s="1">
        <v>26053</v>
      </c>
      <c r="S8" s="1">
        <v>1.3959999999999999E-10</v>
      </c>
      <c r="T8" t="str">
        <f>VLOOKUP(R8,Nuclides!A:E,5,FALSE)</f>
        <v>Fe53</v>
      </c>
      <c r="U8">
        <f>VLOOKUP(Sheet2!R8,Nuclides!A:E,2,FALSE)</f>
        <v>27</v>
      </c>
      <c r="V8">
        <f>VLOOKUP(R8,Nuclides!A:E,3,FALSE)</f>
        <v>26</v>
      </c>
      <c r="W8" s="1">
        <f t="shared" si="2"/>
        <v>1742207.9999999998</v>
      </c>
      <c r="X8" t="s">
        <v>576</v>
      </c>
      <c r="Z8" s="1">
        <v>4009</v>
      </c>
      <c r="AA8" s="1">
        <v>7.8490100000000002E-7</v>
      </c>
      <c r="AB8" t="str">
        <f>VLOOKUP(Z8,Nuclides!A:E,5,FALSE)</f>
        <v>Be9</v>
      </c>
      <c r="AC8">
        <f>VLOOKUP(Sheet2!Z8,Nuclides!A:E,2,FALSE)</f>
        <v>5</v>
      </c>
      <c r="AD8">
        <f>VLOOKUP(Z8,Nuclides!A:E,3,FALSE)</f>
        <v>4</v>
      </c>
      <c r="AE8" s="1">
        <f t="shared" si="3"/>
        <v>9795564480</v>
      </c>
      <c r="AF8" t="s">
        <v>47</v>
      </c>
    </row>
    <row r="9" spans="2:32" x14ac:dyDescent="0.2">
      <c r="B9">
        <v>30078</v>
      </c>
      <c r="C9" s="1">
        <v>1.9999999999999999E-7</v>
      </c>
      <c r="D9" t="str">
        <f>VLOOKUP(B9,Nuclides!A:E,5,FALSE)</f>
        <v>Zn78</v>
      </c>
      <c r="E9">
        <f>VLOOKUP(Sheet2!B9,Nuclides!A:E,2,FALSE)</f>
        <v>48</v>
      </c>
      <c r="F9">
        <f>VLOOKUP(B9,Nuclides!A:E,3,FALSE)</f>
        <v>30</v>
      </c>
      <c r="G9" s="1">
        <f t="shared" si="0"/>
        <v>2496000000</v>
      </c>
      <c r="H9">
        <f>VLOOKUP(B9,Nuclides!A:E,4,FALSE)</f>
        <v>1.47</v>
      </c>
      <c r="J9" s="1">
        <v>31077</v>
      </c>
      <c r="K9" s="1">
        <v>1.9999999999999999E-7</v>
      </c>
      <c r="L9" t="str">
        <f>VLOOKUP(J9,Nuclides!A:E,5,FALSE)</f>
        <v>Ga77</v>
      </c>
      <c r="M9">
        <f>VLOOKUP(Sheet2!J9,Nuclides!A:E,2,FALSE)</f>
        <v>46</v>
      </c>
      <c r="N9">
        <f>VLOOKUP(J9,Nuclides!A:E,3,FALSE)</f>
        <v>31</v>
      </c>
      <c r="O9" s="1">
        <f t="shared" si="1"/>
        <v>2496000000</v>
      </c>
      <c r="R9" s="1">
        <v>26061</v>
      </c>
      <c r="S9" s="1">
        <v>6.9799999999999994E-11</v>
      </c>
      <c r="T9" t="str">
        <f>VLOOKUP(R9,Nuclides!A:E,5,FALSE)</f>
        <v>Fe61</v>
      </c>
      <c r="U9">
        <f>VLOOKUP(Sheet2!R9,Nuclides!A:E,2,FALSE)</f>
        <v>35</v>
      </c>
      <c r="V9">
        <f>VLOOKUP(R9,Nuclides!A:E,3,FALSE)</f>
        <v>26</v>
      </c>
      <c r="W9" s="1">
        <f t="shared" si="2"/>
        <v>871103.99999999988</v>
      </c>
      <c r="X9" t="s">
        <v>584</v>
      </c>
      <c r="Z9" s="1">
        <v>4010</v>
      </c>
      <c r="AA9" s="1">
        <v>1.2319699999999999E-7</v>
      </c>
      <c r="AB9" t="str">
        <f>VLOOKUP(Z9,Nuclides!A:E,5,FALSE)</f>
        <v>Be10</v>
      </c>
      <c r="AC9">
        <f>VLOOKUP(Sheet2!Z9,Nuclides!A:E,2,FALSE)</f>
        <v>6</v>
      </c>
      <c r="AD9">
        <f>VLOOKUP(Z9,Nuclides!A:E,3,FALSE)</f>
        <v>4</v>
      </c>
      <c r="AE9" s="1">
        <f t="shared" si="3"/>
        <v>1537498559.9999998</v>
      </c>
      <c r="AF9" t="s">
        <v>49</v>
      </c>
    </row>
    <row r="10" spans="2:32" x14ac:dyDescent="0.2">
      <c r="B10">
        <v>31063</v>
      </c>
      <c r="C10" s="1">
        <v>9.9999999999999995E-8</v>
      </c>
      <c r="D10" t="str">
        <f>VLOOKUP(B10,Nuclides!A:E,5,FALSE)</f>
        <v>Ga63</v>
      </c>
      <c r="E10">
        <f>VLOOKUP(Sheet2!B10,Nuclides!A:E,2,FALSE)</f>
        <v>32</v>
      </c>
      <c r="F10">
        <f>VLOOKUP(B10,Nuclides!A:E,3,FALSE)</f>
        <v>31</v>
      </c>
      <c r="G10" s="1">
        <f t="shared" si="0"/>
        <v>1248000000</v>
      </c>
      <c r="H10">
        <f>VLOOKUP(B10,Nuclides!A:E,4,FALSE)</f>
        <v>32.4</v>
      </c>
      <c r="J10" s="1">
        <v>31078</v>
      </c>
      <c r="K10" s="1">
        <v>9.9999999999999995E-8</v>
      </c>
      <c r="L10" t="str">
        <f>VLOOKUP(J10,Nuclides!A:E,5,FALSE)</f>
        <v>Ga78</v>
      </c>
      <c r="M10">
        <f>VLOOKUP(Sheet2!J10,Nuclides!A:E,2,FALSE)</f>
        <v>47</v>
      </c>
      <c r="N10">
        <f>VLOOKUP(J10,Nuclides!A:E,3,FALSE)</f>
        <v>31</v>
      </c>
      <c r="O10" s="1">
        <f t="shared" si="1"/>
        <v>1248000000</v>
      </c>
      <c r="R10" s="1">
        <v>26064</v>
      </c>
      <c r="S10" s="1">
        <v>6.9799999999999994E-11</v>
      </c>
      <c r="T10" t="str">
        <f>VLOOKUP(R10,Nuclides!A:E,5,FALSE)</f>
        <v>Fe64</v>
      </c>
      <c r="U10">
        <f>VLOOKUP(Sheet2!R10,Nuclides!A:E,2,FALSE)</f>
        <v>38</v>
      </c>
      <c r="V10">
        <f>VLOOKUP(R10,Nuclides!A:E,3,FALSE)</f>
        <v>26</v>
      </c>
      <c r="W10" s="1">
        <f t="shared" si="2"/>
        <v>871103.99999999988</v>
      </c>
      <c r="X10" t="s">
        <v>587</v>
      </c>
      <c r="Z10" s="1">
        <v>5008</v>
      </c>
      <c r="AA10" s="1">
        <v>5.5839999999999995E-10</v>
      </c>
      <c r="AB10" t="str">
        <f>VLOOKUP(Z10,Nuclides!A:E,5,FALSE)</f>
        <v>B8</v>
      </c>
      <c r="AC10">
        <f>VLOOKUP(Sheet2!Z10,Nuclides!A:E,2,FALSE)</f>
        <v>3</v>
      </c>
      <c r="AD10">
        <f>VLOOKUP(Z10,Nuclides!A:E,3,FALSE)</f>
        <v>5</v>
      </c>
      <c r="AE10" s="1">
        <f t="shared" si="3"/>
        <v>6968831.9999999991</v>
      </c>
      <c r="AF10" t="s">
        <v>65</v>
      </c>
    </row>
    <row r="11" spans="2:32" x14ac:dyDescent="0.2">
      <c r="B11">
        <v>31077</v>
      </c>
      <c r="C11" s="1">
        <v>1.9999999999999999E-7</v>
      </c>
      <c r="D11" t="str">
        <f>VLOOKUP(B11,Nuclides!A:E,5,FALSE)</f>
        <v>Ga77</v>
      </c>
      <c r="E11">
        <f>VLOOKUP(Sheet2!B11,Nuclides!A:E,2,FALSE)</f>
        <v>46</v>
      </c>
      <c r="F11">
        <f>VLOOKUP(B11,Nuclides!A:E,3,FALSE)</f>
        <v>31</v>
      </c>
      <c r="G11" s="1">
        <f t="shared" si="0"/>
        <v>2496000000</v>
      </c>
      <c r="H11">
        <f>VLOOKUP(B11,Nuclides!A:E,4,FALSE)</f>
        <v>13.2</v>
      </c>
      <c r="J11" s="1">
        <v>31079</v>
      </c>
      <c r="K11" s="1">
        <v>3.9999999999999998E-7</v>
      </c>
      <c r="L11" t="str">
        <f>VLOOKUP(J11,Nuclides!A:E,5,FALSE)</f>
        <v>Ga79</v>
      </c>
      <c r="M11">
        <f>VLOOKUP(Sheet2!J11,Nuclides!A:E,2,FALSE)</f>
        <v>48</v>
      </c>
      <c r="N11">
        <f>VLOOKUP(J11,Nuclides!A:E,3,FALSE)</f>
        <v>31</v>
      </c>
      <c r="O11" s="1">
        <f t="shared" si="1"/>
        <v>4992000000</v>
      </c>
      <c r="R11" s="1">
        <v>27053</v>
      </c>
      <c r="S11" s="1">
        <v>1.3959999999999999E-10</v>
      </c>
      <c r="T11" t="str">
        <f>VLOOKUP(R11,Nuclides!A:E,5,FALSE)</f>
        <v>Co53</v>
      </c>
      <c r="U11">
        <f>VLOOKUP(Sheet2!R11,Nuclides!A:E,2,FALSE)</f>
        <v>26</v>
      </c>
      <c r="V11">
        <f>VLOOKUP(R11,Nuclides!A:E,3,FALSE)</f>
        <v>27</v>
      </c>
      <c r="W11" s="1">
        <f t="shared" si="2"/>
        <v>1742207.9999999998</v>
      </c>
      <c r="X11" t="s">
        <v>601</v>
      </c>
      <c r="Z11" s="1">
        <v>5010</v>
      </c>
      <c r="AA11" s="1">
        <v>6.3307199999999999E-6</v>
      </c>
      <c r="AB11" t="str">
        <f>VLOOKUP(Z11,Nuclides!A:E,5,FALSE)</f>
        <v>B10</v>
      </c>
      <c r="AC11">
        <f>VLOOKUP(Sheet2!Z11,Nuclides!A:E,2,FALSE)</f>
        <v>5</v>
      </c>
      <c r="AD11">
        <f>VLOOKUP(Z11,Nuclides!A:E,3,FALSE)</f>
        <v>5</v>
      </c>
      <c r="AE11" s="1">
        <f t="shared" si="3"/>
        <v>79007385600</v>
      </c>
      <c r="AF11" t="s">
        <v>69</v>
      </c>
    </row>
    <row r="12" spans="2:32" x14ac:dyDescent="0.2">
      <c r="B12">
        <v>31079</v>
      </c>
      <c r="C12" s="1">
        <v>6.9999999999999997E-7</v>
      </c>
      <c r="D12" t="str">
        <f>VLOOKUP(B12,Nuclides!A:E,5,FALSE)</f>
        <v>Ga79</v>
      </c>
      <c r="E12">
        <f>VLOOKUP(Sheet2!B12,Nuclides!A:E,2,FALSE)</f>
        <v>48</v>
      </c>
      <c r="F12">
        <f>VLOOKUP(B12,Nuclides!A:E,3,FALSE)</f>
        <v>31</v>
      </c>
      <c r="G12" s="1">
        <f t="shared" si="0"/>
        <v>8736000000</v>
      </c>
      <c r="H12">
        <f>VLOOKUP(B12,Nuclides!A:E,4,FALSE)</f>
        <v>2.847</v>
      </c>
      <c r="J12" s="1">
        <v>31080</v>
      </c>
      <c r="K12" s="1">
        <v>1.9999999999999999E-7</v>
      </c>
      <c r="L12" t="str">
        <f>VLOOKUP(J12,Nuclides!A:E,5,FALSE)</f>
        <v>Ga80</v>
      </c>
      <c r="M12">
        <f>VLOOKUP(Sheet2!J12,Nuclides!A:E,2,FALSE)</f>
        <v>49</v>
      </c>
      <c r="N12">
        <f>VLOOKUP(J12,Nuclides!A:E,3,FALSE)</f>
        <v>31</v>
      </c>
      <c r="O12" s="1">
        <f t="shared" si="1"/>
        <v>2496000000</v>
      </c>
      <c r="R12" s="1">
        <v>27054</v>
      </c>
      <c r="S12" s="1">
        <v>2.7919999999999998E-10</v>
      </c>
      <c r="T12" t="str">
        <f>VLOOKUP(R12,Nuclides!A:E,5,FALSE)</f>
        <v>Co54</v>
      </c>
      <c r="U12">
        <f>VLOOKUP(Sheet2!R12,Nuclides!A:E,2,FALSE)</f>
        <v>27</v>
      </c>
      <c r="V12">
        <f>VLOOKUP(R12,Nuclides!A:E,3,FALSE)</f>
        <v>27</v>
      </c>
      <c r="W12" s="1">
        <f t="shared" si="2"/>
        <v>3484415.9999999995</v>
      </c>
      <c r="X12" t="s">
        <v>602</v>
      </c>
      <c r="Z12" s="1">
        <v>5011</v>
      </c>
      <c r="AA12" s="1">
        <v>3.3235899999999998E-5</v>
      </c>
      <c r="AB12" t="str">
        <f>VLOOKUP(Z12,Nuclides!A:E,5,FALSE)</f>
        <v>B11</v>
      </c>
      <c r="AC12">
        <f>VLOOKUP(Sheet2!Z12,Nuclides!A:E,2,FALSE)</f>
        <v>6</v>
      </c>
      <c r="AD12">
        <f>VLOOKUP(Z12,Nuclides!A:E,3,FALSE)</f>
        <v>5</v>
      </c>
      <c r="AE12" s="1">
        <f t="shared" si="3"/>
        <v>414784032000</v>
      </c>
      <c r="AF12" t="s">
        <v>71</v>
      </c>
    </row>
    <row r="13" spans="2:32" x14ac:dyDescent="0.2">
      <c r="B13">
        <v>31080</v>
      </c>
      <c r="C13" s="1">
        <v>9.9999999999999995E-8</v>
      </c>
      <c r="D13" t="str">
        <f>VLOOKUP(B13,Nuclides!A:E,5,FALSE)</f>
        <v>Ga80</v>
      </c>
      <c r="E13">
        <f>VLOOKUP(Sheet2!B13,Nuclides!A:E,2,FALSE)</f>
        <v>49</v>
      </c>
      <c r="F13">
        <f>VLOOKUP(B13,Nuclides!A:E,3,FALSE)</f>
        <v>31</v>
      </c>
      <c r="G13" s="1">
        <f t="shared" si="0"/>
        <v>1248000000</v>
      </c>
      <c r="H13">
        <f>VLOOKUP(B13,Nuclides!A:E,4,FALSE)</f>
        <v>1.9</v>
      </c>
      <c r="J13" s="1">
        <v>31081</v>
      </c>
      <c r="K13" s="1">
        <v>1.9999999999999999E-7</v>
      </c>
      <c r="L13" t="str">
        <f>VLOOKUP(J13,Nuclides!A:E,5,FALSE)</f>
        <v>Ga81</v>
      </c>
      <c r="M13">
        <f>VLOOKUP(Sheet2!J13,Nuclides!A:E,2,FALSE)</f>
        <v>50</v>
      </c>
      <c r="N13">
        <f>VLOOKUP(J13,Nuclides!A:E,3,FALSE)</f>
        <v>31</v>
      </c>
      <c r="O13" s="1">
        <f t="shared" si="1"/>
        <v>2496000000</v>
      </c>
      <c r="R13" s="1">
        <v>27055</v>
      </c>
      <c r="S13" s="1">
        <v>6.9799999999999994E-11</v>
      </c>
      <c r="T13" t="str">
        <f>VLOOKUP(R13,Nuclides!A:E,5,FALSE)</f>
        <v>Co55</v>
      </c>
      <c r="U13">
        <f>VLOOKUP(Sheet2!R13,Nuclides!A:E,2,FALSE)</f>
        <v>28</v>
      </c>
      <c r="V13">
        <f>VLOOKUP(R13,Nuclides!A:E,3,FALSE)</f>
        <v>27</v>
      </c>
      <c r="W13" s="1">
        <f t="shared" si="2"/>
        <v>871103.99999999988</v>
      </c>
      <c r="X13" t="s">
        <v>603</v>
      </c>
      <c r="Z13" s="1">
        <v>6010</v>
      </c>
      <c r="AA13" s="1">
        <v>1.43788E-8</v>
      </c>
      <c r="AB13" t="str">
        <f>VLOOKUP(Z13,Nuclides!A:E,5,FALSE)</f>
        <v>C10</v>
      </c>
      <c r="AC13">
        <f>VLOOKUP(Sheet2!Z13,Nuclides!A:E,2,FALSE)</f>
        <v>4</v>
      </c>
      <c r="AD13">
        <f>VLOOKUP(Z13,Nuclides!A:E,3,FALSE)</f>
        <v>6</v>
      </c>
      <c r="AE13" s="1">
        <f t="shared" si="3"/>
        <v>179447424</v>
      </c>
      <c r="AF13" t="s">
        <v>89</v>
      </c>
    </row>
    <row r="14" spans="2:32" x14ac:dyDescent="0.2">
      <c r="B14">
        <v>31081</v>
      </c>
      <c r="C14" s="1">
        <v>1.3E-6</v>
      </c>
      <c r="D14" t="str">
        <f>VLOOKUP(B14,Nuclides!A:E,5,FALSE)</f>
        <v>Ga81</v>
      </c>
      <c r="E14">
        <f>VLOOKUP(Sheet2!B14,Nuclides!A:E,2,FALSE)</f>
        <v>50</v>
      </c>
      <c r="F14">
        <f>VLOOKUP(B14,Nuclides!A:E,3,FALSE)</f>
        <v>31</v>
      </c>
      <c r="G14" s="1">
        <f t="shared" si="0"/>
        <v>16224000000</v>
      </c>
      <c r="H14">
        <f>VLOOKUP(B14,Nuclides!A:E,4,FALSE)</f>
        <v>1.2170000000000001</v>
      </c>
      <c r="J14" s="1">
        <v>32075</v>
      </c>
      <c r="K14" s="1">
        <v>1.9999999999999999E-7</v>
      </c>
      <c r="L14" t="str">
        <f>VLOOKUP(J14,Nuclides!A:E,5,FALSE)</f>
        <v>Ge75</v>
      </c>
      <c r="M14">
        <f>VLOOKUP(Sheet2!J14,Nuclides!A:E,2,FALSE)</f>
        <v>43</v>
      </c>
      <c r="N14">
        <f>VLOOKUP(J14,Nuclides!A:E,3,FALSE)</f>
        <v>32</v>
      </c>
      <c r="O14" s="1">
        <f t="shared" si="1"/>
        <v>2496000000</v>
      </c>
      <c r="R14" s="1">
        <v>27056</v>
      </c>
      <c r="S14" s="1">
        <v>2.7919999999999998E-10</v>
      </c>
      <c r="T14" t="str">
        <f>VLOOKUP(R14,Nuclides!A:E,5,FALSE)</f>
        <v>Co56</v>
      </c>
      <c r="U14">
        <f>VLOOKUP(Sheet2!R14,Nuclides!A:E,2,FALSE)</f>
        <v>29</v>
      </c>
      <c r="V14">
        <f>VLOOKUP(R14,Nuclides!A:E,3,FALSE)</f>
        <v>27</v>
      </c>
      <c r="W14" s="1">
        <f t="shared" si="2"/>
        <v>3484415.9999999995</v>
      </c>
      <c r="X14" t="s">
        <v>604</v>
      </c>
      <c r="Z14" s="1">
        <v>6011</v>
      </c>
      <c r="AA14" s="1">
        <v>8.1646499999999998E-6</v>
      </c>
      <c r="AB14" t="str">
        <f>VLOOKUP(Z14,Nuclides!A:E,5,FALSE)</f>
        <v>C11</v>
      </c>
      <c r="AC14">
        <f>VLOOKUP(Sheet2!Z14,Nuclides!A:E,2,FALSE)</f>
        <v>5</v>
      </c>
      <c r="AD14">
        <f>VLOOKUP(Z14,Nuclides!A:E,3,FALSE)</f>
        <v>6</v>
      </c>
      <c r="AE14" s="1">
        <f t="shared" si="3"/>
        <v>101894832000</v>
      </c>
      <c r="AF14" t="s">
        <v>91</v>
      </c>
    </row>
    <row r="15" spans="2:32" x14ac:dyDescent="0.2">
      <c r="B15">
        <v>31082</v>
      </c>
      <c r="C15" s="1">
        <v>2.9999999999999999E-7</v>
      </c>
      <c r="D15" t="str">
        <f>VLOOKUP(B15,Nuclides!A:E,5,FALSE)</f>
        <v>Ga82</v>
      </c>
      <c r="E15">
        <f>VLOOKUP(Sheet2!B15,Nuclides!A:E,2,FALSE)</f>
        <v>51</v>
      </c>
      <c r="F15">
        <f>VLOOKUP(B15,Nuclides!A:E,3,FALSE)</f>
        <v>31</v>
      </c>
      <c r="G15" s="1">
        <f t="shared" si="0"/>
        <v>3744000000</v>
      </c>
      <c r="H15">
        <f>VLOOKUP(B15,Nuclides!A:E,4,FALSE)</f>
        <v>0.59899999999999998</v>
      </c>
      <c r="J15" s="1">
        <v>32076</v>
      </c>
      <c r="K15" s="1">
        <v>9.9999999999999995E-8</v>
      </c>
      <c r="L15" t="str">
        <f>VLOOKUP(J15,Nuclides!A:E,5,FALSE)</f>
        <v>Ge76</v>
      </c>
      <c r="M15">
        <f>VLOOKUP(Sheet2!J15,Nuclides!A:E,2,FALSE)</f>
        <v>44</v>
      </c>
      <c r="N15">
        <f>VLOOKUP(J15,Nuclides!A:E,3,FALSE)</f>
        <v>32</v>
      </c>
      <c r="O15" s="1">
        <f t="shared" si="1"/>
        <v>1248000000</v>
      </c>
      <c r="R15" s="1">
        <v>27057</v>
      </c>
      <c r="S15" s="1">
        <v>1.3959999999999999E-10</v>
      </c>
      <c r="T15" t="str">
        <f>VLOOKUP(R15,Nuclides!A:E,5,FALSE)</f>
        <v>Co57</v>
      </c>
      <c r="U15">
        <f>VLOOKUP(Sheet2!R15,Nuclides!A:E,2,FALSE)</f>
        <v>30</v>
      </c>
      <c r="V15">
        <f>VLOOKUP(R15,Nuclides!A:E,3,FALSE)</f>
        <v>27</v>
      </c>
      <c r="W15" s="1">
        <f t="shared" si="2"/>
        <v>1742207.9999999998</v>
      </c>
      <c r="X15" t="s">
        <v>605</v>
      </c>
      <c r="Z15" s="1">
        <v>24045</v>
      </c>
      <c r="AA15" s="1">
        <v>6.9799999999999994E-11</v>
      </c>
      <c r="AB15" t="str">
        <f>VLOOKUP(Z15,Nuclides!A:E,5,FALSE)</f>
        <v>Cr45</v>
      </c>
      <c r="AC15">
        <f>VLOOKUP(Sheet2!Z15,Nuclides!A:E,2,FALSE)</f>
        <v>21</v>
      </c>
      <c r="AD15">
        <f>VLOOKUP(Z15,Nuclides!A:E,3,FALSE)</f>
        <v>24</v>
      </c>
      <c r="AE15" s="1">
        <f t="shared" si="3"/>
        <v>871103.99999999988</v>
      </c>
      <c r="AF15" t="s">
        <v>519</v>
      </c>
    </row>
    <row r="16" spans="2:32" x14ac:dyDescent="0.2">
      <c r="B16">
        <v>32061</v>
      </c>
      <c r="C16" s="1">
        <v>1.9999999999999999E-7</v>
      </c>
      <c r="D16" t="str">
        <f>VLOOKUP(B16,Nuclides!A:E,5,FALSE)</f>
        <v>Ge61</v>
      </c>
      <c r="E16">
        <f>VLOOKUP(Sheet2!B16,Nuclides!A:E,2,FALSE)</f>
        <v>29</v>
      </c>
      <c r="F16">
        <f>VLOOKUP(B16,Nuclides!A:E,3,FALSE)</f>
        <v>32</v>
      </c>
      <c r="G16" s="1">
        <f t="shared" si="0"/>
        <v>2496000000</v>
      </c>
      <c r="H16">
        <f>VLOOKUP(B16,Nuclides!A:E,4,FALSE)</f>
        <v>4.3999999999999997E-2</v>
      </c>
      <c r="J16" s="1">
        <v>32077</v>
      </c>
      <c r="K16" s="1">
        <v>9.9999999999999995E-8</v>
      </c>
      <c r="L16" t="str">
        <f>VLOOKUP(J16,Nuclides!A:E,5,FALSE)</f>
        <v>Ge77</v>
      </c>
      <c r="M16">
        <f>VLOOKUP(Sheet2!J16,Nuclides!A:E,2,FALSE)</f>
        <v>45</v>
      </c>
      <c r="N16">
        <f>VLOOKUP(J16,Nuclides!A:E,3,FALSE)</f>
        <v>32</v>
      </c>
      <c r="O16" s="1">
        <f t="shared" si="1"/>
        <v>1248000000</v>
      </c>
      <c r="R16" s="1">
        <v>27058</v>
      </c>
      <c r="S16" s="1">
        <v>6.9799999999999994E-11</v>
      </c>
      <c r="T16" t="str">
        <f>VLOOKUP(R16,Nuclides!A:E,5,FALSE)</f>
        <v>Co58</v>
      </c>
      <c r="U16">
        <f>VLOOKUP(Sheet2!R16,Nuclides!A:E,2,FALSE)</f>
        <v>31</v>
      </c>
      <c r="V16">
        <f>VLOOKUP(R16,Nuclides!A:E,3,FALSE)</f>
        <v>27</v>
      </c>
      <c r="W16" s="1">
        <f t="shared" si="2"/>
        <v>871103.99999999988</v>
      </c>
      <c r="X16" t="s">
        <v>606</v>
      </c>
      <c r="Z16" s="1">
        <v>24051</v>
      </c>
      <c r="AA16" s="1">
        <v>6.9799999999999994E-11</v>
      </c>
      <c r="AB16" t="str">
        <f>VLOOKUP(Z16,Nuclides!A:E,5,FALSE)</f>
        <v>Cr51</v>
      </c>
      <c r="AC16">
        <f>VLOOKUP(Sheet2!Z16,Nuclides!A:E,2,FALSE)</f>
        <v>27</v>
      </c>
      <c r="AD16">
        <f>VLOOKUP(Z16,Nuclides!A:E,3,FALSE)</f>
        <v>24</v>
      </c>
      <c r="AE16" s="1">
        <f t="shared" si="3"/>
        <v>871103.99999999988</v>
      </c>
      <c r="AF16" t="s">
        <v>525</v>
      </c>
    </row>
    <row r="17" spans="2:32" x14ac:dyDescent="0.2">
      <c r="B17">
        <v>32080</v>
      </c>
      <c r="C17" s="1">
        <v>3.9999999999999998E-7</v>
      </c>
      <c r="D17" t="str">
        <f>VLOOKUP(B17,Nuclides!A:E,5,FALSE)</f>
        <v>Ge80</v>
      </c>
      <c r="E17">
        <f>VLOOKUP(Sheet2!B17,Nuclides!A:E,2,FALSE)</f>
        <v>48</v>
      </c>
      <c r="F17">
        <f>VLOOKUP(B17,Nuclides!A:E,3,FALSE)</f>
        <v>32</v>
      </c>
      <c r="G17" s="1">
        <f t="shared" si="0"/>
        <v>4992000000</v>
      </c>
      <c r="H17">
        <f>VLOOKUP(B17,Nuclides!A:E,4,FALSE)</f>
        <v>29.5</v>
      </c>
      <c r="J17" s="1">
        <v>32078</v>
      </c>
      <c r="K17" s="1">
        <v>1.9999999999999999E-7</v>
      </c>
      <c r="L17" t="str">
        <f>VLOOKUP(J17,Nuclides!A:E,5,FALSE)</f>
        <v>Ge78</v>
      </c>
      <c r="M17">
        <f>VLOOKUP(Sheet2!J17,Nuclides!A:E,2,FALSE)</f>
        <v>46</v>
      </c>
      <c r="N17">
        <f>VLOOKUP(J17,Nuclides!A:E,3,FALSE)</f>
        <v>32</v>
      </c>
      <c r="O17" s="1">
        <f t="shared" si="1"/>
        <v>2496000000</v>
      </c>
      <c r="R17" s="1">
        <v>27059</v>
      </c>
      <c r="S17" s="1">
        <v>6.9799999999999994E-11</v>
      </c>
      <c r="T17" t="str">
        <f>VLOOKUP(R17,Nuclides!A:E,5,FALSE)</f>
        <v>Co59</v>
      </c>
      <c r="U17">
        <f>VLOOKUP(Sheet2!R17,Nuclides!A:E,2,FALSE)</f>
        <v>32</v>
      </c>
      <c r="V17">
        <f>VLOOKUP(R17,Nuclides!A:E,3,FALSE)</f>
        <v>27</v>
      </c>
      <c r="W17" s="1">
        <f t="shared" si="2"/>
        <v>871103.99999999988</v>
      </c>
      <c r="X17" t="s">
        <v>607</v>
      </c>
      <c r="Z17" s="1">
        <v>25050</v>
      </c>
      <c r="AA17" s="1">
        <v>6.9799999999999994E-11</v>
      </c>
      <c r="AB17" t="str">
        <f>VLOOKUP(Z17,Nuclides!A:E,5,FALSE)</f>
        <v>Mn50</v>
      </c>
      <c r="AC17">
        <f>VLOOKUP(Sheet2!Z17,Nuclides!A:E,2,FALSE)</f>
        <v>25</v>
      </c>
      <c r="AD17">
        <f>VLOOKUP(Z17,Nuclides!A:E,3,FALSE)</f>
        <v>25</v>
      </c>
      <c r="AE17" s="1">
        <f t="shared" si="3"/>
        <v>871103.99999999988</v>
      </c>
      <c r="AF17" t="s">
        <v>546</v>
      </c>
    </row>
    <row r="18" spans="2:32" x14ac:dyDescent="0.2">
      <c r="B18">
        <v>32081</v>
      </c>
      <c r="C18" s="1">
        <v>1.3E-6</v>
      </c>
      <c r="D18" t="str">
        <f>VLOOKUP(B18,Nuclides!A:E,5,FALSE)</f>
        <v>Ge81</v>
      </c>
      <c r="E18">
        <f>VLOOKUP(Sheet2!B18,Nuclides!A:E,2,FALSE)</f>
        <v>49</v>
      </c>
      <c r="F18">
        <f>VLOOKUP(B18,Nuclides!A:E,3,FALSE)</f>
        <v>32</v>
      </c>
      <c r="G18" s="1">
        <f t="shared" si="0"/>
        <v>16224000000</v>
      </c>
      <c r="H18">
        <f>VLOOKUP(B18,Nuclides!A:E,4,FALSE)</f>
        <v>7.6</v>
      </c>
      <c r="J18" s="1">
        <v>32079</v>
      </c>
      <c r="K18" s="1">
        <v>9.9999999999999995E-7</v>
      </c>
      <c r="L18" t="str">
        <f>VLOOKUP(J18,Nuclides!A:E,5,FALSE)</f>
        <v>Ge79</v>
      </c>
      <c r="M18">
        <f>VLOOKUP(Sheet2!J18,Nuclides!A:E,2,FALSE)</f>
        <v>47</v>
      </c>
      <c r="N18">
        <f>VLOOKUP(J18,Nuclides!A:E,3,FALSE)</f>
        <v>32</v>
      </c>
      <c r="O18" s="1">
        <f t="shared" si="1"/>
        <v>12480000000</v>
      </c>
      <c r="R18" s="1">
        <v>28053</v>
      </c>
      <c r="S18" s="1">
        <v>6.9799999999999994E-11</v>
      </c>
      <c r="T18" t="str">
        <f>VLOOKUP(R18,Nuclides!A:E,5,FALSE)</f>
        <v>Ni53</v>
      </c>
      <c r="U18">
        <f>VLOOKUP(Sheet2!R18,Nuclides!A:E,2,FALSE)</f>
        <v>25</v>
      </c>
      <c r="V18">
        <f>VLOOKUP(R18,Nuclides!A:E,3,FALSE)</f>
        <v>28</v>
      </c>
      <c r="W18" s="1">
        <f t="shared" si="2"/>
        <v>871103.99999999988</v>
      </c>
      <c r="X18" t="s">
        <v>631</v>
      </c>
      <c r="Z18" s="1">
        <v>25051</v>
      </c>
      <c r="AA18" s="1">
        <v>6.9799999999999994E-11</v>
      </c>
      <c r="AB18" t="str">
        <f>VLOOKUP(Z18,Nuclides!A:E,5,FALSE)</f>
        <v>Mn51</v>
      </c>
      <c r="AC18">
        <f>VLOOKUP(Sheet2!Z18,Nuclides!A:E,2,FALSE)</f>
        <v>26</v>
      </c>
      <c r="AD18">
        <f>VLOOKUP(Z18,Nuclides!A:E,3,FALSE)</f>
        <v>25</v>
      </c>
      <c r="AE18" s="1">
        <f t="shared" si="3"/>
        <v>871103.99999999988</v>
      </c>
      <c r="AF18" t="s">
        <v>547</v>
      </c>
    </row>
    <row r="19" spans="2:32" x14ac:dyDescent="0.2">
      <c r="B19">
        <v>32082</v>
      </c>
      <c r="C19" s="1">
        <v>1.9999999999999999E-6</v>
      </c>
      <c r="D19" t="str">
        <f>VLOOKUP(B19,Nuclides!A:E,5,FALSE)</f>
        <v>Ge82</v>
      </c>
      <c r="E19">
        <f>VLOOKUP(Sheet2!B19,Nuclides!A:E,2,FALSE)</f>
        <v>50</v>
      </c>
      <c r="F19">
        <f>VLOOKUP(B19,Nuclides!A:E,3,FALSE)</f>
        <v>32</v>
      </c>
      <c r="G19" s="1">
        <f t="shared" si="0"/>
        <v>24960000000</v>
      </c>
      <c r="H19">
        <f>VLOOKUP(B19,Nuclides!A:E,4,FALSE)</f>
        <v>4.5599999999999996</v>
      </c>
      <c r="J19" s="1">
        <v>32080</v>
      </c>
      <c r="K19" s="1">
        <v>1.9999999999999999E-6</v>
      </c>
      <c r="L19" t="str">
        <f>VLOOKUP(J19,Nuclides!A:E,5,FALSE)</f>
        <v>Ge80</v>
      </c>
      <c r="M19">
        <f>VLOOKUP(Sheet2!J19,Nuclides!A:E,2,FALSE)</f>
        <v>48</v>
      </c>
      <c r="N19">
        <f>VLOOKUP(J19,Nuclides!A:E,3,FALSE)</f>
        <v>32</v>
      </c>
      <c r="O19" s="1">
        <f t="shared" si="1"/>
        <v>24960000000</v>
      </c>
      <c r="R19" s="1">
        <v>28054</v>
      </c>
      <c r="S19" s="1">
        <v>1.3959999999999999E-10</v>
      </c>
      <c r="T19" t="str">
        <f>VLOOKUP(R19,Nuclides!A:E,5,FALSE)</f>
        <v>Ni54</v>
      </c>
      <c r="U19">
        <f>VLOOKUP(Sheet2!R19,Nuclides!A:E,2,FALSE)</f>
        <v>26</v>
      </c>
      <c r="V19">
        <f>VLOOKUP(R19,Nuclides!A:E,3,FALSE)</f>
        <v>28</v>
      </c>
      <c r="W19" s="1">
        <f t="shared" si="2"/>
        <v>1742207.9999999998</v>
      </c>
      <c r="X19" t="s">
        <v>632</v>
      </c>
      <c r="Z19" s="1">
        <v>25053</v>
      </c>
      <c r="AA19" s="1">
        <v>6.9799999999999994E-11</v>
      </c>
      <c r="AB19" t="str">
        <f>VLOOKUP(Z19,Nuclides!A:E,5,FALSE)</f>
        <v>Mn53</v>
      </c>
      <c r="AC19">
        <f>VLOOKUP(Sheet2!Z19,Nuclides!A:E,2,FALSE)</f>
        <v>28</v>
      </c>
      <c r="AD19">
        <f>VLOOKUP(Z19,Nuclides!A:E,3,FALSE)</f>
        <v>25</v>
      </c>
      <c r="AE19" s="1">
        <f t="shared" si="3"/>
        <v>871103.99999999988</v>
      </c>
      <c r="AF19" t="s">
        <v>549</v>
      </c>
    </row>
    <row r="20" spans="2:32" x14ac:dyDescent="0.2">
      <c r="B20">
        <v>32083</v>
      </c>
      <c r="C20" s="1">
        <v>7.9999999999999996E-7</v>
      </c>
      <c r="D20" t="str">
        <f>VLOOKUP(B20,Nuclides!A:E,5,FALSE)</f>
        <v>Ge83</v>
      </c>
      <c r="E20">
        <f>VLOOKUP(Sheet2!B20,Nuclides!A:E,2,FALSE)</f>
        <v>51</v>
      </c>
      <c r="F20">
        <f>VLOOKUP(B20,Nuclides!A:E,3,FALSE)</f>
        <v>32</v>
      </c>
      <c r="G20" s="1">
        <f t="shared" si="0"/>
        <v>9984000000</v>
      </c>
      <c r="H20">
        <f>VLOOKUP(B20,Nuclides!A:E,4,FALSE)</f>
        <v>1.85</v>
      </c>
      <c r="J20" s="1">
        <v>32081</v>
      </c>
      <c r="K20" s="1">
        <v>1.9999999999999999E-6</v>
      </c>
      <c r="L20" t="str">
        <f>VLOOKUP(J20,Nuclides!A:E,5,FALSE)</f>
        <v>Ge81</v>
      </c>
      <c r="M20">
        <f>VLOOKUP(Sheet2!J20,Nuclides!A:E,2,FALSE)</f>
        <v>49</v>
      </c>
      <c r="N20">
        <f>VLOOKUP(J20,Nuclides!A:E,3,FALSE)</f>
        <v>32</v>
      </c>
      <c r="O20" s="1">
        <f t="shared" si="1"/>
        <v>24960000000</v>
      </c>
      <c r="R20" s="1">
        <v>28055</v>
      </c>
      <c r="S20" s="1">
        <v>4.1879999999999999E-10</v>
      </c>
      <c r="T20" t="str">
        <f>VLOOKUP(R20,Nuclides!A:E,5,FALSE)</f>
        <v>Ni55</v>
      </c>
      <c r="U20">
        <f>VLOOKUP(Sheet2!R20,Nuclides!A:E,2,FALSE)</f>
        <v>27</v>
      </c>
      <c r="V20">
        <f>VLOOKUP(R20,Nuclides!A:E,3,FALSE)</f>
        <v>28</v>
      </c>
      <c r="W20" s="1">
        <f t="shared" si="2"/>
        <v>5226624</v>
      </c>
      <c r="X20" t="s">
        <v>633</v>
      </c>
      <c r="Z20" s="1">
        <v>26049</v>
      </c>
      <c r="AA20" s="1">
        <v>6.9799999999999994E-11</v>
      </c>
      <c r="AB20" t="str">
        <f>VLOOKUP(Z20,Nuclides!A:E,5,FALSE)</f>
        <v>Fe49</v>
      </c>
      <c r="AC20">
        <f>VLOOKUP(Sheet2!Z20,Nuclides!A:E,2,FALSE)</f>
        <v>23</v>
      </c>
      <c r="AD20">
        <f>VLOOKUP(Z20,Nuclides!A:E,3,FALSE)</f>
        <v>26</v>
      </c>
      <c r="AE20" s="1">
        <f t="shared" si="3"/>
        <v>871103.99999999988</v>
      </c>
      <c r="AF20" t="s">
        <v>572</v>
      </c>
    </row>
    <row r="21" spans="2:32" x14ac:dyDescent="0.2">
      <c r="B21">
        <v>32084</v>
      </c>
      <c r="C21" s="1">
        <v>1.1000000000000001E-6</v>
      </c>
      <c r="D21" t="str">
        <f>VLOOKUP(B21,Nuclides!A:E,5,FALSE)</f>
        <v>Ge84</v>
      </c>
      <c r="E21">
        <f>VLOOKUP(Sheet2!B21,Nuclides!A:E,2,FALSE)</f>
        <v>52</v>
      </c>
      <c r="F21">
        <f>VLOOKUP(B21,Nuclides!A:E,3,FALSE)</f>
        <v>32</v>
      </c>
      <c r="G21" s="1">
        <f t="shared" si="0"/>
        <v>13728000000</v>
      </c>
      <c r="H21">
        <f>VLOOKUP(B21,Nuclides!A:E,4,FALSE)</f>
        <v>0.95399999999999996</v>
      </c>
      <c r="J21" s="1">
        <v>32082</v>
      </c>
      <c r="K21" s="1">
        <v>1.5999999999999999E-6</v>
      </c>
      <c r="L21" t="str">
        <f>VLOOKUP(J21,Nuclides!A:E,5,FALSE)</f>
        <v>Ge82</v>
      </c>
      <c r="M21">
        <f>VLOOKUP(Sheet2!J21,Nuclides!A:E,2,FALSE)</f>
        <v>50</v>
      </c>
      <c r="N21">
        <f>VLOOKUP(J21,Nuclides!A:E,3,FALSE)</f>
        <v>32</v>
      </c>
      <c r="O21" s="1">
        <f t="shared" si="1"/>
        <v>19968000000</v>
      </c>
      <c r="R21" s="1">
        <v>28056</v>
      </c>
      <c r="S21" s="1">
        <v>3.4899999999999998E-10</v>
      </c>
      <c r="T21" t="str">
        <f>VLOOKUP(R21,Nuclides!A:E,5,FALSE)</f>
        <v>Ni56</v>
      </c>
      <c r="U21">
        <f>VLOOKUP(Sheet2!R21,Nuclides!A:E,2,FALSE)</f>
        <v>28</v>
      </c>
      <c r="V21">
        <f>VLOOKUP(R21,Nuclides!A:E,3,FALSE)</f>
        <v>28</v>
      </c>
      <c r="W21" s="1">
        <f t="shared" si="2"/>
        <v>4355520</v>
      </c>
      <c r="X21" t="s">
        <v>634</v>
      </c>
      <c r="Z21" s="1">
        <v>26050</v>
      </c>
      <c r="AA21" s="1">
        <v>1.3959999999999999E-10</v>
      </c>
      <c r="AB21" t="str">
        <f>VLOOKUP(Z21,Nuclides!A:E,5,FALSE)</f>
        <v>Fe50</v>
      </c>
      <c r="AC21">
        <f>VLOOKUP(Sheet2!Z21,Nuclides!A:E,2,FALSE)</f>
        <v>24</v>
      </c>
      <c r="AD21">
        <f>VLOOKUP(Z21,Nuclides!A:E,3,FALSE)</f>
        <v>26</v>
      </c>
      <c r="AE21" s="1">
        <f t="shared" si="3"/>
        <v>1742207.9999999998</v>
      </c>
      <c r="AF21" t="s">
        <v>573</v>
      </c>
    </row>
    <row r="22" spans="2:32" x14ac:dyDescent="0.2">
      <c r="B22">
        <v>33066</v>
      </c>
      <c r="C22" s="1">
        <v>1.9999999999999999E-7</v>
      </c>
      <c r="D22" t="str">
        <f>VLOOKUP(B22,Nuclides!A:E,5,FALSE)</f>
        <v>As66</v>
      </c>
      <c r="E22">
        <f>VLOOKUP(Sheet2!B22,Nuclides!A:E,2,FALSE)</f>
        <v>33</v>
      </c>
      <c r="F22">
        <f>VLOOKUP(B22,Nuclides!A:E,3,FALSE)</f>
        <v>33</v>
      </c>
      <c r="G22" s="1">
        <f t="shared" si="0"/>
        <v>2496000000</v>
      </c>
      <c r="H22">
        <f>VLOOKUP(B22,Nuclides!A:E,4,FALSE)</f>
        <v>9.5769999999999994E-2</v>
      </c>
      <c r="J22" s="1">
        <v>32083</v>
      </c>
      <c r="K22" s="1">
        <v>2.9999999999999999E-7</v>
      </c>
      <c r="L22" t="str">
        <f>VLOOKUP(J22,Nuclides!A:E,5,FALSE)</f>
        <v>Ge83</v>
      </c>
      <c r="M22">
        <f>VLOOKUP(Sheet2!J22,Nuclides!A:E,2,FALSE)</f>
        <v>51</v>
      </c>
      <c r="N22">
        <f>VLOOKUP(J22,Nuclides!A:E,3,FALSE)</f>
        <v>32</v>
      </c>
      <c r="O22" s="1">
        <f t="shared" si="1"/>
        <v>3744000000</v>
      </c>
      <c r="R22" s="1">
        <v>28057</v>
      </c>
      <c r="S22" s="1">
        <v>1.047E-9</v>
      </c>
      <c r="T22" t="str">
        <f>VLOOKUP(R22,Nuclides!A:E,5,FALSE)</f>
        <v>Ni57</v>
      </c>
      <c r="U22">
        <f>VLOOKUP(Sheet2!R22,Nuclides!A:E,2,FALSE)</f>
        <v>29</v>
      </c>
      <c r="V22">
        <f>VLOOKUP(R22,Nuclides!A:E,3,FALSE)</f>
        <v>28</v>
      </c>
      <c r="W22" s="1">
        <f t="shared" si="2"/>
        <v>13066560</v>
      </c>
      <c r="X22" t="s">
        <v>635</v>
      </c>
      <c r="Z22" s="1">
        <v>26052</v>
      </c>
      <c r="AA22" s="1">
        <v>1.3959999999999999E-10</v>
      </c>
      <c r="AB22" t="str">
        <f>VLOOKUP(Z22,Nuclides!A:E,5,FALSE)</f>
        <v>Fe52</v>
      </c>
      <c r="AC22">
        <f>VLOOKUP(Sheet2!Z22,Nuclides!A:E,2,FALSE)</f>
        <v>26</v>
      </c>
      <c r="AD22">
        <f>VLOOKUP(Z22,Nuclides!A:E,3,FALSE)</f>
        <v>26</v>
      </c>
      <c r="AE22" s="1">
        <f t="shared" si="3"/>
        <v>1742207.9999999998</v>
      </c>
      <c r="AF22" t="s">
        <v>575</v>
      </c>
    </row>
    <row r="23" spans="2:32" x14ac:dyDescent="0.2">
      <c r="B23">
        <v>33067</v>
      </c>
      <c r="C23" s="1">
        <v>1.9999999999999999E-7</v>
      </c>
      <c r="D23" t="str">
        <f>VLOOKUP(B23,Nuclides!A:E,5,FALSE)</f>
        <v>As67</v>
      </c>
      <c r="E23">
        <f>VLOOKUP(Sheet2!B23,Nuclides!A:E,2,FALSE)</f>
        <v>34</v>
      </c>
      <c r="F23">
        <f>VLOOKUP(B23,Nuclides!A:E,3,FALSE)</f>
        <v>33</v>
      </c>
      <c r="G23" s="1">
        <f t="shared" si="0"/>
        <v>2496000000</v>
      </c>
      <c r="H23">
        <f>VLOOKUP(B23,Nuclides!A:E,4,FALSE)</f>
        <v>42.5</v>
      </c>
      <c r="J23" s="1">
        <v>32084</v>
      </c>
      <c r="K23" s="1">
        <v>3.9999999999999998E-7</v>
      </c>
      <c r="L23" t="str">
        <f>VLOOKUP(J23,Nuclides!A:E,5,FALSE)</f>
        <v>Ge84</v>
      </c>
      <c r="M23">
        <f>VLOOKUP(Sheet2!J23,Nuclides!A:E,2,FALSE)</f>
        <v>52</v>
      </c>
      <c r="N23">
        <f>VLOOKUP(J23,Nuclides!A:E,3,FALSE)</f>
        <v>32</v>
      </c>
      <c r="O23" s="1">
        <f t="shared" si="1"/>
        <v>4992000000</v>
      </c>
      <c r="R23" s="1">
        <v>28058</v>
      </c>
      <c r="S23" s="1">
        <v>8.3759999999999998E-10</v>
      </c>
      <c r="T23" t="str">
        <f>VLOOKUP(R23,Nuclides!A:E,5,FALSE)</f>
        <v>Ni58</v>
      </c>
      <c r="U23">
        <f>VLOOKUP(Sheet2!R23,Nuclides!A:E,2,FALSE)</f>
        <v>30</v>
      </c>
      <c r="V23">
        <f>VLOOKUP(R23,Nuclides!A:E,3,FALSE)</f>
        <v>28</v>
      </c>
      <c r="W23" s="1">
        <f t="shared" si="2"/>
        <v>10453248</v>
      </c>
      <c r="X23" t="s">
        <v>636</v>
      </c>
      <c r="Z23" s="1">
        <v>26053</v>
      </c>
      <c r="AA23" s="1">
        <v>2.094E-10</v>
      </c>
      <c r="AB23" t="str">
        <f>VLOOKUP(Z23,Nuclides!A:E,5,FALSE)</f>
        <v>Fe53</v>
      </c>
      <c r="AC23">
        <f>VLOOKUP(Sheet2!Z23,Nuclides!A:E,2,FALSE)</f>
        <v>27</v>
      </c>
      <c r="AD23">
        <f>VLOOKUP(Z23,Nuclides!A:E,3,FALSE)</f>
        <v>26</v>
      </c>
      <c r="AE23" s="1">
        <f t="shared" si="3"/>
        <v>2613312</v>
      </c>
      <c r="AF23" t="s">
        <v>576</v>
      </c>
    </row>
    <row r="24" spans="2:32" x14ac:dyDescent="0.2">
      <c r="B24">
        <v>33068</v>
      </c>
      <c r="C24" s="1">
        <v>9.9999999999999995E-8</v>
      </c>
      <c r="D24" t="str">
        <f>VLOOKUP(B24,Nuclides!A:E,5,FALSE)</f>
        <v>As68</v>
      </c>
      <c r="E24">
        <f>VLOOKUP(Sheet2!B24,Nuclides!A:E,2,FALSE)</f>
        <v>35</v>
      </c>
      <c r="F24">
        <f>VLOOKUP(B24,Nuclides!A:E,3,FALSE)</f>
        <v>33</v>
      </c>
      <c r="G24" s="1">
        <f t="shared" si="0"/>
        <v>1248000000</v>
      </c>
      <c r="H24">
        <f>VLOOKUP(B24,Nuclides!A:E,4,FALSE)</f>
        <v>151.6</v>
      </c>
      <c r="J24" s="1">
        <v>33066</v>
      </c>
      <c r="K24" s="1">
        <v>1.9999999999999999E-7</v>
      </c>
      <c r="L24" t="str">
        <f>VLOOKUP(J24,Nuclides!A:E,5,FALSE)</f>
        <v>As66</v>
      </c>
      <c r="M24">
        <f>VLOOKUP(Sheet2!J24,Nuclides!A:E,2,FALSE)</f>
        <v>33</v>
      </c>
      <c r="N24">
        <f>VLOOKUP(J24,Nuclides!A:E,3,FALSE)</f>
        <v>33</v>
      </c>
      <c r="O24" s="1">
        <f t="shared" si="1"/>
        <v>2496000000</v>
      </c>
      <c r="R24" s="1">
        <v>28059</v>
      </c>
      <c r="S24" s="1">
        <v>1.047E-9</v>
      </c>
      <c r="T24" t="str">
        <f>VLOOKUP(R24,Nuclides!A:E,5,FALSE)</f>
        <v>Ni59</v>
      </c>
      <c r="U24">
        <f>VLOOKUP(Sheet2!R24,Nuclides!A:E,2,FALSE)</f>
        <v>31</v>
      </c>
      <c r="V24">
        <f>VLOOKUP(R24,Nuclides!A:E,3,FALSE)</f>
        <v>28</v>
      </c>
      <c r="W24" s="1">
        <f t="shared" si="2"/>
        <v>13066560</v>
      </c>
      <c r="X24" t="s">
        <v>637</v>
      </c>
      <c r="Z24" s="1">
        <v>26054</v>
      </c>
      <c r="AA24" s="1">
        <v>6.9799999999999994E-11</v>
      </c>
      <c r="AB24" t="str">
        <f>VLOOKUP(Z24,Nuclides!A:E,5,FALSE)</f>
        <v>Fe54</v>
      </c>
      <c r="AC24">
        <f>VLOOKUP(Sheet2!Z24,Nuclides!A:E,2,FALSE)</f>
        <v>28</v>
      </c>
      <c r="AD24">
        <f>VLOOKUP(Z24,Nuclides!A:E,3,FALSE)</f>
        <v>26</v>
      </c>
      <c r="AE24" s="1">
        <f t="shared" si="3"/>
        <v>871103.99999999988</v>
      </c>
      <c r="AF24" t="s">
        <v>577</v>
      </c>
    </row>
    <row r="25" spans="2:32" x14ac:dyDescent="0.2">
      <c r="B25">
        <v>33069</v>
      </c>
      <c r="C25" s="1">
        <v>9.9999999999999995E-8</v>
      </c>
      <c r="D25" t="str">
        <f>VLOOKUP(B25,Nuclides!A:E,5,FALSE)</f>
        <v>As69</v>
      </c>
      <c r="E25">
        <f>VLOOKUP(Sheet2!B25,Nuclides!A:E,2,FALSE)</f>
        <v>36</v>
      </c>
      <c r="F25">
        <f>VLOOKUP(B25,Nuclides!A:E,3,FALSE)</f>
        <v>33</v>
      </c>
      <c r="G25" s="1">
        <f t="shared" si="0"/>
        <v>1248000000</v>
      </c>
      <c r="H25">
        <f>VLOOKUP(B25,Nuclides!A:E,4,FALSE)</f>
        <v>912</v>
      </c>
      <c r="J25" s="1">
        <v>33077</v>
      </c>
      <c r="K25" s="1">
        <v>9.9999999999999995E-8</v>
      </c>
      <c r="L25" t="str">
        <f>VLOOKUP(J25,Nuclides!A:E,5,FALSE)</f>
        <v>As77</v>
      </c>
      <c r="M25">
        <f>VLOOKUP(Sheet2!J25,Nuclides!A:E,2,FALSE)</f>
        <v>44</v>
      </c>
      <c r="N25">
        <f>VLOOKUP(J25,Nuclides!A:E,3,FALSE)</f>
        <v>33</v>
      </c>
      <c r="O25" s="1">
        <f t="shared" si="1"/>
        <v>1248000000</v>
      </c>
      <c r="R25" s="1">
        <v>28060</v>
      </c>
      <c r="S25" s="1">
        <v>2.7919999999999998E-10</v>
      </c>
      <c r="T25" t="str">
        <f>VLOOKUP(R25,Nuclides!A:E,5,FALSE)</f>
        <v>Ni60</v>
      </c>
      <c r="U25">
        <f>VLOOKUP(Sheet2!R25,Nuclides!A:E,2,FALSE)</f>
        <v>32</v>
      </c>
      <c r="V25">
        <f>VLOOKUP(R25,Nuclides!A:E,3,FALSE)</f>
        <v>28</v>
      </c>
      <c r="W25" s="1">
        <f t="shared" si="2"/>
        <v>3484415.9999999995</v>
      </c>
      <c r="X25" t="s">
        <v>638</v>
      </c>
      <c r="Z25" s="1">
        <v>26055</v>
      </c>
      <c r="AA25" s="1">
        <v>1.3959999999999999E-10</v>
      </c>
      <c r="AB25" t="str">
        <f>VLOOKUP(Z25,Nuclides!A:E,5,FALSE)</f>
        <v>Fe55</v>
      </c>
      <c r="AC25">
        <f>VLOOKUP(Sheet2!Z25,Nuclides!A:E,2,FALSE)</f>
        <v>29</v>
      </c>
      <c r="AD25">
        <f>VLOOKUP(Z25,Nuclides!A:E,3,FALSE)</f>
        <v>26</v>
      </c>
      <c r="AE25" s="1">
        <f t="shared" si="3"/>
        <v>1742207.9999999998</v>
      </c>
      <c r="AF25" t="s">
        <v>578</v>
      </c>
    </row>
    <row r="26" spans="2:32" x14ac:dyDescent="0.2">
      <c r="B26">
        <v>33079</v>
      </c>
      <c r="C26" s="1">
        <v>1.9999999999999999E-7</v>
      </c>
      <c r="D26" t="str">
        <f>VLOOKUP(B26,Nuclides!A:E,5,FALSE)</f>
        <v>As79</v>
      </c>
      <c r="E26">
        <f>VLOOKUP(Sheet2!B26,Nuclides!A:E,2,FALSE)</f>
        <v>46</v>
      </c>
      <c r="F26">
        <f>VLOOKUP(B26,Nuclides!A:E,3,FALSE)</f>
        <v>33</v>
      </c>
      <c r="G26" s="1">
        <f t="shared" si="0"/>
        <v>2496000000</v>
      </c>
      <c r="H26">
        <f>VLOOKUP(B26,Nuclides!A:E,4,FALSE)</f>
        <v>540.6</v>
      </c>
      <c r="J26" s="1">
        <v>33079</v>
      </c>
      <c r="K26" s="1">
        <v>9.9999999999999995E-8</v>
      </c>
      <c r="L26" t="str">
        <f>VLOOKUP(J26,Nuclides!A:E,5,FALSE)</f>
        <v>As79</v>
      </c>
      <c r="M26">
        <f>VLOOKUP(Sheet2!J26,Nuclides!A:E,2,FALSE)</f>
        <v>46</v>
      </c>
      <c r="N26">
        <f>VLOOKUP(J26,Nuclides!A:E,3,FALSE)</f>
        <v>33</v>
      </c>
      <c r="O26" s="1">
        <f t="shared" si="1"/>
        <v>1248000000</v>
      </c>
      <c r="R26" s="1">
        <v>28061</v>
      </c>
      <c r="S26" s="1">
        <v>2.094E-10</v>
      </c>
      <c r="T26" t="str">
        <f>VLOOKUP(R26,Nuclides!A:E,5,FALSE)</f>
        <v>Ni61</v>
      </c>
      <c r="U26">
        <f>VLOOKUP(Sheet2!R26,Nuclides!A:E,2,FALSE)</f>
        <v>33</v>
      </c>
      <c r="V26">
        <f>VLOOKUP(R26,Nuclides!A:E,3,FALSE)</f>
        <v>28</v>
      </c>
      <c r="W26" s="1">
        <f t="shared" si="2"/>
        <v>2613312</v>
      </c>
      <c r="X26" t="s">
        <v>639</v>
      </c>
      <c r="Z26" s="1">
        <v>26063</v>
      </c>
      <c r="AA26" s="1">
        <v>6.9799999999999994E-11</v>
      </c>
      <c r="AB26" t="str">
        <f>VLOOKUP(Z26,Nuclides!A:E,5,FALSE)</f>
        <v>Fe63</v>
      </c>
      <c r="AC26">
        <f>VLOOKUP(Sheet2!Z26,Nuclides!A:E,2,FALSE)</f>
        <v>37</v>
      </c>
      <c r="AD26">
        <f>VLOOKUP(Z26,Nuclides!A:E,3,FALSE)</f>
        <v>26</v>
      </c>
      <c r="AE26" s="1">
        <f t="shared" si="3"/>
        <v>871103.99999999988</v>
      </c>
      <c r="AF26" t="s">
        <v>586</v>
      </c>
    </row>
    <row r="27" spans="2:32" x14ac:dyDescent="0.2">
      <c r="B27">
        <v>33080</v>
      </c>
      <c r="C27" s="1">
        <v>2.9999999999999999E-7</v>
      </c>
      <c r="D27" t="str">
        <f>VLOOKUP(B27,Nuclides!A:E,5,FALSE)</f>
        <v>As80</v>
      </c>
      <c r="E27">
        <f>VLOOKUP(Sheet2!B27,Nuclides!A:E,2,FALSE)</f>
        <v>47</v>
      </c>
      <c r="F27">
        <f>VLOOKUP(B27,Nuclides!A:E,3,FALSE)</f>
        <v>33</v>
      </c>
      <c r="G27" s="1">
        <f t="shared" si="0"/>
        <v>3744000000</v>
      </c>
      <c r="H27">
        <f>VLOOKUP(B27,Nuclides!A:E,4,FALSE)</f>
        <v>15.2</v>
      </c>
      <c r="J27" s="1">
        <v>33080</v>
      </c>
      <c r="K27" s="1">
        <v>2.9999999999999999E-7</v>
      </c>
      <c r="L27" t="str">
        <f>VLOOKUP(J27,Nuclides!A:E,5,FALSE)</f>
        <v>As80</v>
      </c>
      <c r="M27">
        <f>VLOOKUP(Sheet2!J27,Nuclides!A:E,2,FALSE)</f>
        <v>47</v>
      </c>
      <c r="N27">
        <f>VLOOKUP(J27,Nuclides!A:E,3,FALSE)</f>
        <v>33</v>
      </c>
      <c r="O27" s="1">
        <f t="shared" si="1"/>
        <v>3744000000</v>
      </c>
      <c r="R27" s="1">
        <v>28062</v>
      </c>
      <c r="S27" s="1">
        <v>1.3959999999999999E-10</v>
      </c>
      <c r="T27" t="str">
        <f>VLOOKUP(R27,Nuclides!A:E,5,FALSE)</f>
        <v>Ni62</v>
      </c>
      <c r="U27">
        <f>VLOOKUP(Sheet2!R27,Nuclides!A:E,2,FALSE)</f>
        <v>34</v>
      </c>
      <c r="V27">
        <f>VLOOKUP(R27,Nuclides!A:E,3,FALSE)</f>
        <v>28</v>
      </c>
      <c r="W27" s="1">
        <f t="shared" si="2"/>
        <v>1742207.9999999998</v>
      </c>
      <c r="X27" t="s">
        <v>640</v>
      </c>
      <c r="Z27" s="1">
        <v>26064</v>
      </c>
      <c r="AA27" s="1">
        <v>1.3959999999999999E-10</v>
      </c>
      <c r="AB27" t="str">
        <f>VLOOKUP(Z27,Nuclides!A:E,5,FALSE)</f>
        <v>Fe64</v>
      </c>
      <c r="AC27">
        <f>VLOOKUP(Sheet2!Z27,Nuclides!A:E,2,FALSE)</f>
        <v>38</v>
      </c>
      <c r="AD27">
        <f>VLOOKUP(Z27,Nuclides!A:E,3,FALSE)</f>
        <v>26</v>
      </c>
      <c r="AE27" s="1">
        <f t="shared" si="3"/>
        <v>1742207.9999999998</v>
      </c>
      <c r="AF27" t="s">
        <v>587</v>
      </c>
    </row>
    <row r="28" spans="2:32" x14ac:dyDescent="0.2">
      <c r="B28">
        <v>33081</v>
      </c>
      <c r="C28" s="1">
        <v>1.9999999999999999E-7</v>
      </c>
      <c r="D28" t="str">
        <f>VLOOKUP(B28,Nuclides!A:E,5,FALSE)</f>
        <v>As81</v>
      </c>
      <c r="E28">
        <f>VLOOKUP(Sheet2!B28,Nuclides!A:E,2,FALSE)</f>
        <v>48</v>
      </c>
      <c r="F28">
        <f>VLOOKUP(B28,Nuclides!A:E,3,FALSE)</f>
        <v>33</v>
      </c>
      <c r="G28" s="1">
        <f t="shared" si="0"/>
        <v>2496000000</v>
      </c>
      <c r="H28">
        <f>VLOOKUP(B28,Nuclides!A:E,4,FALSE)</f>
        <v>33.299999999999997</v>
      </c>
      <c r="J28" s="1">
        <v>33081</v>
      </c>
      <c r="K28" s="1">
        <v>1.9E-6</v>
      </c>
      <c r="L28" t="str">
        <f>VLOOKUP(J28,Nuclides!A:E,5,FALSE)</f>
        <v>As81</v>
      </c>
      <c r="M28">
        <f>VLOOKUP(Sheet2!J28,Nuclides!A:E,2,FALSE)</f>
        <v>48</v>
      </c>
      <c r="N28">
        <f>VLOOKUP(J28,Nuclides!A:E,3,FALSE)</f>
        <v>33</v>
      </c>
      <c r="O28" s="1">
        <f t="shared" si="1"/>
        <v>23712000000</v>
      </c>
      <c r="R28" s="1">
        <v>28063</v>
      </c>
      <c r="S28" s="1">
        <v>1.3959999999999999E-10</v>
      </c>
      <c r="T28" t="str">
        <f>VLOOKUP(R28,Nuclides!A:E,5,FALSE)</f>
        <v>Ni63</v>
      </c>
      <c r="U28">
        <f>VLOOKUP(Sheet2!R28,Nuclides!A:E,2,FALSE)</f>
        <v>35</v>
      </c>
      <c r="V28">
        <f>VLOOKUP(R28,Nuclides!A:E,3,FALSE)</f>
        <v>28</v>
      </c>
      <c r="W28" s="1">
        <f t="shared" si="2"/>
        <v>1742207.9999999998</v>
      </c>
      <c r="X28" t="s">
        <v>641</v>
      </c>
      <c r="Z28" s="1">
        <v>27053</v>
      </c>
      <c r="AA28" s="1">
        <v>2.094E-10</v>
      </c>
      <c r="AB28" t="str">
        <f>VLOOKUP(Z28,Nuclides!A:E,5,FALSE)</f>
        <v>Co53</v>
      </c>
      <c r="AC28">
        <f>VLOOKUP(Sheet2!Z28,Nuclides!A:E,2,FALSE)</f>
        <v>26</v>
      </c>
      <c r="AD28">
        <f>VLOOKUP(Z28,Nuclides!A:E,3,FALSE)</f>
        <v>27</v>
      </c>
      <c r="AE28" s="1">
        <f t="shared" si="3"/>
        <v>2613312</v>
      </c>
      <c r="AF28" t="s">
        <v>601</v>
      </c>
    </row>
    <row r="29" spans="2:32" x14ac:dyDescent="0.2">
      <c r="B29">
        <v>33082</v>
      </c>
      <c r="C29" s="1">
        <v>9.9999999999999995E-7</v>
      </c>
      <c r="D29" t="str">
        <f>VLOOKUP(B29,Nuclides!A:E,5,FALSE)</f>
        <v>As82</v>
      </c>
      <c r="E29">
        <f>VLOOKUP(Sheet2!B29,Nuclides!A:E,2,FALSE)</f>
        <v>49</v>
      </c>
      <c r="F29">
        <f>VLOOKUP(B29,Nuclides!A:E,3,FALSE)</f>
        <v>33</v>
      </c>
      <c r="G29" s="1">
        <f t="shared" si="0"/>
        <v>12480000000</v>
      </c>
      <c r="H29">
        <f>VLOOKUP(B29,Nuclides!A:E,4,FALSE)</f>
        <v>19.100000000000001</v>
      </c>
      <c r="J29" s="1">
        <v>33082</v>
      </c>
      <c r="K29" s="1">
        <v>1.7999999999999999E-6</v>
      </c>
      <c r="L29" t="str">
        <f>VLOOKUP(J29,Nuclides!A:E,5,FALSE)</f>
        <v>As82</v>
      </c>
      <c r="M29">
        <f>VLOOKUP(Sheet2!J29,Nuclides!A:E,2,FALSE)</f>
        <v>49</v>
      </c>
      <c r="N29">
        <f>VLOOKUP(J29,Nuclides!A:E,3,FALSE)</f>
        <v>33</v>
      </c>
      <c r="O29" s="1">
        <f t="shared" si="1"/>
        <v>22464000000</v>
      </c>
      <c r="R29" s="1">
        <v>28065</v>
      </c>
      <c r="S29" s="1">
        <v>1.3959999999999999E-10</v>
      </c>
      <c r="T29" t="str">
        <f>VLOOKUP(R29,Nuclides!A:E,5,FALSE)</f>
        <v>Ni65</v>
      </c>
      <c r="U29">
        <f>VLOOKUP(Sheet2!R29,Nuclides!A:E,2,FALSE)</f>
        <v>37</v>
      </c>
      <c r="V29">
        <f>VLOOKUP(R29,Nuclides!A:E,3,FALSE)</f>
        <v>28</v>
      </c>
      <c r="W29" s="1">
        <f t="shared" si="2"/>
        <v>1742207.9999999998</v>
      </c>
      <c r="X29" t="s">
        <v>643</v>
      </c>
      <c r="Z29" s="1">
        <v>27054</v>
      </c>
      <c r="AA29" s="1">
        <v>6.9799999999999997E-10</v>
      </c>
      <c r="AB29" t="str">
        <f>VLOOKUP(Z29,Nuclides!A:E,5,FALSE)</f>
        <v>Co54</v>
      </c>
      <c r="AC29">
        <f>VLOOKUP(Sheet2!Z29,Nuclides!A:E,2,FALSE)</f>
        <v>27</v>
      </c>
      <c r="AD29">
        <f>VLOOKUP(Z29,Nuclides!A:E,3,FALSE)</f>
        <v>27</v>
      </c>
      <c r="AE29" s="1">
        <f t="shared" si="3"/>
        <v>8711040</v>
      </c>
      <c r="AF29" t="s">
        <v>602</v>
      </c>
    </row>
    <row r="30" spans="2:32" x14ac:dyDescent="0.2">
      <c r="B30">
        <v>33083</v>
      </c>
      <c r="C30" s="1">
        <v>3.1E-6</v>
      </c>
      <c r="D30" t="str">
        <f>VLOOKUP(B30,Nuclides!A:E,5,FALSE)</f>
        <v>As83</v>
      </c>
      <c r="E30">
        <f>VLOOKUP(Sheet2!B30,Nuclides!A:E,2,FALSE)</f>
        <v>50</v>
      </c>
      <c r="F30">
        <f>VLOOKUP(B30,Nuclides!A:E,3,FALSE)</f>
        <v>33</v>
      </c>
      <c r="G30" s="1">
        <f t="shared" si="0"/>
        <v>38688000000</v>
      </c>
      <c r="H30">
        <f>VLOOKUP(B30,Nuclides!A:E,4,FALSE)</f>
        <v>13.4</v>
      </c>
      <c r="J30" s="1">
        <v>33083</v>
      </c>
      <c r="K30" s="1">
        <v>5.5999999999999997E-6</v>
      </c>
      <c r="L30" t="str">
        <f>VLOOKUP(J30,Nuclides!A:E,5,FALSE)</f>
        <v>As83</v>
      </c>
      <c r="M30">
        <f>VLOOKUP(Sheet2!J30,Nuclides!A:E,2,FALSE)</f>
        <v>50</v>
      </c>
      <c r="N30">
        <f>VLOOKUP(J30,Nuclides!A:E,3,FALSE)</f>
        <v>33</v>
      </c>
      <c r="O30" s="1">
        <f t="shared" si="1"/>
        <v>69888000000</v>
      </c>
      <c r="R30" s="1">
        <v>28066</v>
      </c>
      <c r="S30" s="1">
        <v>2.7919999999999998E-10</v>
      </c>
      <c r="T30" t="str">
        <f>VLOOKUP(R30,Nuclides!A:E,5,FALSE)</f>
        <v>Ni66</v>
      </c>
      <c r="U30">
        <f>VLOOKUP(Sheet2!R30,Nuclides!A:E,2,FALSE)</f>
        <v>38</v>
      </c>
      <c r="V30">
        <f>VLOOKUP(R30,Nuclides!A:E,3,FALSE)</f>
        <v>28</v>
      </c>
      <c r="W30" s="1">
        <f t="shared" si="2"/>
        <v>3484415.9999999995</v>
      </c>
      <c r="X30" t="s">
        <v>644</v>
      </c>
      <c r="Z30" s="1">
        <v>27055</v>
      </c>
      <c r="AA30" s="1">
        <v>8.3759999999999998E-10</v>
      </c>
      <c r="AB30" t="str">
        <f>VLOOKUP(Z30,Nuclides!A:E,5,FALSE)</f>
        <v>Co55</v>
      </c>
      <c r="AC30">
        <f>VLOOKUP(Sheet2!Z30,Nuclides!A:E,2,FALSE)</f>
        <v>28</v>
      </c>
      <c r="AD30">
        <f>VLOOKUP(Z30,Nuclides!A:E,3,FALSE)</f>
        <v>27</v>
      </c>
      <c r="AE30" s="1">
        <f t="shared" si="3"/>
        <v>10453248</v>
      </c>
      <c r="AF30" t="s">
        <v>603</v>
      </c>
    </row>
    <row r="31" spans="2:32" x14ac:dyDescent="0.2">
      <c r="B31">
        <v>33084</v>
      </c>
      <c r="C31" s="1">
        <v>1.3999999999999999E-6</v>
      </c>
      <c r="D31" t="str">
        <f>VLOOKUP(B31,Nuclides!A:E,5,FALSE)</f>
        <v>As84</v>
      </c>
      <c r="E31">
        <f>VLOOKUP(Sheet2!B31,Nuclides!A:E,2,FALSE)</f>
        <v>51</v>
      </c>
      <c r="F31">
        <f>VLOOKUP(B31,Nuclides!A:E,3,FALSE)</f>
        <v>33</v>
      </c>
      <c r="G31" s="1">
        <f t="shared" si="0"/>
        <v>17472000000</v>
      </c>
      <c r="H31">
        <f>VLOOKUP(B31,Nuclides!A:E,4,FALSE)</f>
        <v>4.0199999999999996</v>
      </c>
      <c r="J31" s="1">
        <v>33084</v>
      </c>
      <c r="K31" s="1">
        <v>4.4000000000000002E-6</v>
      </c>
      <c r="L31" t="str">
        <f>VLOOKUP(J31,Nuclides!A:E,5,FALSE)</f>
        <v>As84</v>
      </c>
      <c r="M31">
        <f>VLOOKUP(Sheet2!J31,Nuclides!A:E,2,FALSE)</f>
        <v>51</v>
      </c>
      <c r="N31">
        <f>VLOOKUP(J31,Nuclides!A:E,3,FALSE)</f>
        <v>33</v>
      </c>
      <c r="O31" s="1">
        <f t="shared" si="1"/>
        <v>54912000000</v>
      </c>
      <c r="R31" s="1">
        <v>28067</v>
      </c>
      <c r="S31" s="1">
        <v>8.3759999999999998E-10</v>
      </c>
      <c r="T31" t="str">
        <f>VLOOKUP(R31,Nuclides!A:E,5,FALSE)</f>
        <v>Ni67</v>
      </c>
      <c r="U31">
        <f>VLOOKUP(Sheet2!R31,Nuclides!A:E,2,FALSE)</f>
        <v>39</v>
      </c>
      <c r="V31">
        <f>VLOOKUP(R31,Nuclides!A:E,3,FALSE)</f>
        <v>28</v>
      </c>
      <c r="W31" s="1">
        <f t="shared" si="2"/>
        <v>10453248</v>
      </c>
      <c r="X31" t="s">
        <v>645</v>
      </c>
      <c r="Z31" s="1">
        <v>27056</v>
      </c>
      <c r="AA31" s="1">
        <v>1.3959999999999999E-9</v>
      </c>
      <c r="AB31" t="str">
        <f>VLOOKUP(Z31,Nuclides!A:E,5,FALSE)</f>
        <v>Co56</v>
      </c>
      <c r="AC31">
        <f>VLOOKUP(Sheet2!Z31,Nuclides!A:E,2,FALSE)</f>
        <v>29</v>
      </c>
      <c r="AD31">
        <f>VLOOKUP(Z31,Nuclides!A:E,3,FALSE)</f>
        <v>27</v>
      </c>
      <c r="AE31" s="1">
        <f t="shared" si="3"/>
        <v>17422080</v>
      </c>
      <c r="AF31" t="s">
        <v>604</v>
      </c>
    </row>
    <row r="32" spans="2:32" x14ac:dyDescent="0.2">
      <c r="B32">
        <v>33085</v>
      </c>
      <c r="C32" s="1">
        <v>2.3999999999999999E-6</v>
      </c>
      <c r="D32" t="str">
        <f>VLOOKUP(B32,Nuclides!A:E,5,FALSE)</f>
        <v>As85</v>
      </c>
      <c r="E32">
        <f>VLOOKUP(Sheet2!B32,Nuclides!A:E,2,FALSE)</f>
        <v>52</v>
      </c>
      <c r="F32">
        <f>VLOOKUP(B32,Nuclides!A:E,3,FALSE)</f>
        <v>33</v>
      </c>
      <c r="G32" s="1">
        <f t="shared" si="0"/>
        <v>29952000000</v>
      </c>
      <c r="H32">
        <f>VLOOKUP(B32,Nuclides!A:E,4,FALSE)</f>
        <v>2.0209999999999999</v>
      </c>
      <c r="J32" s="1">
        <v>33085</v>
      </c>
      <c r="K32" s="1">
        <v>2.7E-6</v>
      </c>
      <c r="L32" t="str">
        <f>VLOOKUP(J32,Nuclides!A:E,5,FALSE)</f>
        <v>As85</v>
      </c>
      <c r="M32">
        <f>VLOOKUP(Sheet2!J32,Nuclides!A:E,2,FALSE)</f>
        <v>52</v>
      </c>
      <c r="N32">
        <f>VLOOKUP(J32,Nuclides!A:E,3,FALSE)</f>
        <v>33</v>
      </c>
      <c r="O32" s="1">
        <f t="shared" si="1"/>
        <v>33696000000</v>
      </c>
      <c r="R32" s="1">
        <v>28068</v>
      </c>
      <c r="S32" s="1">
        <v>1.9544000000000002E-9</v>
      </c>
      <c r="T32" t="str">
        <f>VLOOKUP(R32,Nuclides!A:E,5,FALSE)</f>
        <v>Ni68</v>
      </c>
      <c r="U32">
        <f>VLOOKUP(Sheet2!R32,Nuclides!A:E,2,FALSE)</f>
        <v>40</v>
      </c>
      <c r="V32">
        <f>VLOOKUP(R32,Nuclides!A:E,3,FALSE)</f>
        <v>28</v>
      </c>
      <c r="W32" s="1">
        <f t="shared" si="2"/>
        <v>24390912.000000004</v>
      </c>
      <c r="X32" t="s">
        <v>646</v>
      </c>
      <c r="Z32" s="1">
        <v>27057</v>
      </c>
      <c r="AA32" s="1">
        <v>6.2819999999999996E-10</v>
      </c>
      <c r="AB32" t="str">
        <f>VLOOKUP(Z32,Nuclides!A:E,5,FALSE)</f>
        <v>Co57</v>
      </c>
      <c r="AC32">
        <f>VLOOKUP(Sheet2!Z32,Nuclides!A:E,2,FALSE)</f>
        <v>30</v>
      </c>
      <c r="AD32">
        <f>VLOOKUP(Z32,Nuclides!A:E,3,FALSE)</f>
        <v>27</v>
      </c>
      <c r="AE32" s="1">
        <f t="shared" si="3"/>
        <v>7839935.9999999991</v>
      </c>
      <c r="AF32" t="s">
        <v>605</v>
      </c>
    </row>
    <row r="33" spans="2:32" x14ac:dyDescent="0.2">
      <c r="B33">
        <v>33086</v>
      </c>
      <c r="C33" s="1">
        <v>1.5E-6</v>
      </c>
      <c r="D33" t="str">
        <f>VLOOKUP(B33,Nuclides!A:E,5,FALSE)</f>
        <v>As86</v>
      </c>
      <c r="E33">
        <f>VLOOKUP(Sheet2!B33,Nuclides!A:E,2,FALSE)</f>
        <v>53</v>
      </c>
      <c r="F33">
        <f>VLOOKUP(B33,Nuclides!A:E,3,FALSE)</f>
        <v>33</v>
      </c>
      <c r="G33" s="1">
        <f t="shared" si="0"/>
        <v>18720000000</v>
      </c>
      <c r="H33">
        <f>VLOOKUP(B33,Nuclides!A:E,4,FALSE)</f>
        <v>0.94499999999999995</v>
      </c>
      <c r="J33" s="1">
        <v>33086</v>
      </c>
      <c r="K33" s="1">
        <v>1.3999999999999999E-6</v>
      </c>
      <c r="L33" t="str">
        <f>VLOOKUP(J33,Nuclides!A:E,5,FALSE)</f>
        <v>As86</v>
      </c>
      <c r="M33">
        <f>VLOOKUP(Sheet2!J33,Nuclides!A:E,2,FALSE)</f>
        <v>53</v>
      </c>
      <c r="N33">
        <f>VLOOKUP(J33,Nuclides!A:E,3,FALSE)</f>
        <v>33</v>
      </c>
      <c r="O33" s="1">
        <f t="shared" si="1"/>
        <v>17472000000</v>
      </c>
      <c r="R33" s="1">
        <v>29057</v>
      </c>
      <c r="S33" s="1">
        <v>3.3503999999999999E-9</v>
      </c>
      <c r="T33" t="str">
        <f>VLOOKUP(R33,Nuclides!A:E,5,FALSE)</f>
        <v>Cu57</v>
      </c>
      <c r="U33">
        <f>VLOOKUP(Sheet2!R33,Nuclides!A:E,2,FALSE)</f>
        <v>28</v>
      </c>
      <c r="V33">
        <f>VLOOKUP(R33,Nuclides!A:E,3,FALSE)</f>
        <v>29</v>
      </c>
      <c r="W33" s="1">
        <f t="shared" si="2"/>
        <v>41812992</v>
      </c>
      <c r="X33" t="s">
        <v>661</v>
      </c>
      <c r="Z33" s="1">
        <v>27058</v>
      </c>
      <c r="AA33" s="1">
        <v>8.3759999999999998E-10</v>
      </c>
      <c r="AB33" t="str">
        <f>VLOOKUP(Z33,Nuclides!A:E,5,FALSE)</f>
        <v>Co58</v>
      </c>
      <c r="AC33">
        <f>VLOOKUP(Sheet2!Z33,Nuclides!A:E,2,FALSE)</f>
        <v>31</v>
      </c>
      <c r="AD33">
        <f>VLOOKUP(Z33,Nuclides!A:E,3,FALSE)</f>
        <v>27</v>
      </c>
      <c r="AE33" s="1">
        <f t="shared" si="3"/>
        <v>10453248</v>
      </c>
      <c r="AF33" t="s">
        <v>606</v>
      </c>
    </row>
    <row r="34" spans="2:32" x14ac:dyDescent="0.2">
      <c r="B34">
        <v>33087</v>
      </c>
      <c r="C34" s="1">
        <v>1.9E-6</v>
      </c>
      <c r="D34" t="str">
        <f>VLOOKUP(B34,Nuclides!A:E,5,FALSE)</f>
        <v>As87</v>
      </c>
      <c r="E34">
        <f>VLOOKUP(Sheet2!B34,Nuclides!A:E,2,FALSE)</f>
        <v>54</v>
      </c>
      <c r="F34">
        <f>VLOOKUP(B34,Nuclides!A:E,3,FALSE)</f>
        <v>33</v>
      </c>
      <c r="G34" s="1">
        <f t="shared" si="0"/>
        <v>23712000000</v>
      </c>
      <c r="H34">
        <f>VLOOKUP(B34,Nuclides!A:E,4,FALSE)</f>
        <v>0.48399999999999999</v>
      </c>
      <c r="J34" s="1">
        <v>33087</v>
      </c>
      <c r="K34" s="1">
        <v>1.9999999999999999E-7</v>
      </c>
      <c r="L34" t="str">
        <f>VLOOKUP(J34,Nuclides!A:E,5,FALSE)</f>
        <v>As87</v>
      </c>
      <c r="M34">
        <f>VLOOKUP(Sheet2!J34,Nuclides!A:E,2,FALSE)</f>
        <v>54</v>
      </c>
      <c r="N34">
        <f>VLOOKUP(J34,Nuclides!A:E,3,FALSE)</f>
        <v>33</v>
      </c>
      <c r="O34" s="1">
        <f t="shared" si="1"/>
        <v>2496000000</v>
      </c>
      <c r="R34" s="1">
        <v>29058</v>
      </c>
      <c r="S34" s="1">
        <v>1.04002E-8</v>
      </c>
      <c r="T34" t="str">
        <f>VLOOKUP(R34,Nuclides!A:E,5,FALSE)</f>
        <v>Cu58</v>
      </c>
      <c r="U34">
        <f>VLOOKUP(Sheet2!R34,Nuclides!A:E,2,FALSE)</f>
        <v>29</v>
      </c>
      <c r="V34">
        <f>VLOOKUP(R34,Nuclides!A:E,3,FALSE)</f>
        <v>29</v>
      </c>
      <c r="W34" s="1">
        <f t="shared" si="2"/>
        <v>129794496</v>
      </c>
      <c r="X34" t="s">
        <v>662</v>
      </c>
      <c r="Z34" s="1">
        <v>27059</v>
      </c>
      <c r="AA34" s="1">
        <v>3.4899999999999998E-10</v>
      </c>
      <c r="AB34" t="str">
        <f>VLOOKUP(Z34,Nuclides!A:E,5,FALSE)</f>
        <v>Co59</v>
      </c>
      <c r="AC34">
        <f>VLOOKUP(Sheet2!Z34,Nuclides!A:E,2,FALSE)</f>
        <v>32</v>
      </c>
      <c r="AD34">
        <f>VLOOKUP(Z34,Nuclides!A:E,3,FALSE)</f>
        <v>27</v>
      </c>
      <c r="AE34" s="1">
        <f t="shared" si="3"/>
        <v>4355520</v>
      </c>
      <c r="AF34" t="s">
        <v>607</v>
      </c>
    </row>
    <row r="35" spans="2:32" x14ac:dyDescent="0.2">
      <c r="B35">
        <v>34068</v>
      </c>
      <c r="C35" s="1">
        <v>7.9999999999999996E-7</v>
      </c>
      <c r="D35" t="str">
        <f>VLOOKUP(B35,Nuclides!A:E,5,FALSE)</f>
        <v>Se68</v>
      </c>
      <c r="E35">
        <f>VLOOKUP(Sheet2!B35,Nuclides!A:E,2,FALSE)</f>
        <v>34</v>
      </c>
      <c r="F35">
        <f>VLOOKUP(B35,Nuclides!A:E,3,FALSE)</f>
        <v>34</v>
      </c>
      <c r="G35" s="1">
        <f t="shared" si="0"/>
        <v>9984000000</v>
      </c>
      <c r="H35">
        <f>VLOOKUP(B35,Nuclides!A:E,4,FALSE)</f>
        <v>35.5</v>
      </c>
      <c r="J35" s="1">
        <v>34068</v>
      </c>
      <c r="K35" s="1">
        <v>2.9999999999999999E-7</v>
      </c>
      <c r="L35" t="str">
        <f>VLOOKUP(J35,Nuclides!A:E,5,FALSE)</f>
        <v>Se68</v>
      </c>
      <c r="M35">
        <f>VLOOKUP(Sheet2!J35,Nuclides!A:E,2,FALSE)</f>
        <v>34</v>
      </c>
      <c r="N35">
        <f>VLOOKUP(J35,Nuclides!A:E,3,FALSE)</f>
        <v>34</v>
      </c>
      <c r="O35" s="1">
        <f t="shared" si="1"/>
        <v>3744000000</v>
      </c>
      <c r="R35" s="1">
        <v>29059</v>
      </c>
      <c r="S35" s="1">
        <v>9.4928000000000001E-9</v>
      </c>
      <c r="T35" t="str">
        <f>VLOOKUP(R35,Nuclides!A:E,5,FALSE)</f>
        <v>Cu59</v>
      </c>
      <c r="U35">
        <f>VLOOKUP(Sheet2!R35,Nuclides!A:E,2,FALSE)</f>
        <v>30</v>
      </c>
      <c r="V35">
        <f>VLOOKUP(R35,Nuclides!A:E,3,FALSE)</f>
        <v>29</v>
      </c>
      <c r="W35" s="1">
        <f t="shared" si="2"/>
        <v>118470144</v>
      </c>
      <c r="X35" t="s">
        <v>663</v>
      </c>
      <c r="Z35" s="1">
        <v>27060</v>
      </c>
      <c r="AA35" s="1">
        <v>1.3959999999999999E-10</v>
      </c>
      <c r="AB35" t="str">
        <f>VLOOKUP(Z35,Nuclides!A:E,5,FALSE)</f>
        <v>Co60</v>
      </c>
      <c r="AC35">
        <f>VLOOKUP(Sheet2!Z35,Nuclides!A:E,2,FALSE)</f>
        <v>33</v>
      </c>
      <c r="AD35">
        <f>VLOOKUP(Z35,Nuclides!A:E,3,FALSE)</f>
        <v>27</v>
      </c>
      <c r="AE35" s="1">
        <f t="shared" si="3"/>
        <v>1742207.9999999998</v>
      </c>
      <c r="AF35" t="s">
        <v>608</v>
      </c>
    </row>
    <row r="36" spans="2:32" x14ac:dyDescent="0.2">
      <c r="B36">
        <v>34069</v>
      </c>
      <c r="C36" s="1">
        <v>5.9999999999999997E-7</v>
      </c>
      <c r="D36" t="str">
        <f>VLOOKUP(B36,Nuclides!A:E,5,FALSE)</f>
        <v>Se69</v>
      </c>
      <c r="E36">
        <f>VLOOKUP(Sheet2!B36,Nuclides!A:E,2,FALSE)</f>
        <v>35</v>
      </c>
      <c r="F36">
        <f>VLOOKUP(B36,Nuclides!A:E,3,FALSE)</f>
        <v>34</v>
      </c>
      <c r="G36" s="1">
        <f t="shared" si="0"/>
        <v>7488000000</v>
      </c>
      <c r="H36">
        <f>VLOOKUP(B36,Nuclides!A:E,4,FALSE)</f>
        <v>27.4</v>
      </c>
      <c r="J36" s="1">
        <v>34081</v>
      </c>
      <c r="K36" s="1">
        <v>3.9999999999999998E-7</v>
      </c>
      <c r="L36" t="str">
        <f>VLOOKUP(J36,Nuclides!A:E,5,FALSE)</f>
        <v>Se81</v>
      </c>
      <c r="M36">
        <f>VLOOKUP(Sheet2!J36,Nuclides!A:E,2,FALSE)</f>
        <v>47</v>
      </c>
      <c r="N36">
        <f>VLOOKUP(J36,Nuclides!A:E,3,FALSE)</f>
        <v>34</v>
      </c>
      <c r="O36" s="1">
        <f t="shared" si="1"/>
        <v>4992000000</v>
      </c>
      <c r="R36" s="1">
        <v>29060</v>
      </c>
      <c r="S36" s="1">
        <v>1.26338E-8</v>
      </c>
      <c r="T36" t="str">
        <f>VLOOKUP(R36,Nuclides!A:E,5,FALSE)</f>
        <v>Cu60</v>
      </c>
      <c r="U36">
        <f>VLOOKUP(Sheet2!R36,Nuclides!A:E,2,FALSE)</f>
        <v>31</v>
      </c>
      <c r="V36">
        <f>VLOOKUP(R36,Nuclides!A:E,3,FALSE)</f>
        <v>29</v>
      </c>
      <c r="W36" s="1">
        <f t="shared" si="2"/>
        <v>157669824</v>
      </c>
      <c r="X36" t="s">
        <v>664</v>
      </c>
      <c r="Z36" s="1">
        <v>27062</v>
      </c>
      <c r="AA36" s="1">
        <v>6.9799999999999994E-11</v>
      </c>
      <c r="AB36" t="str">
        <f>VLOOKUP(Z36,Nuclides!A:E,5,FALSE)</f>
        <v>Co62</v>
      </c>
      <c r="AC36">
        <f>VLOOKUP(Sheet2!Z36,Nuclides!A:E,2,FALSE)</f>
        <v>35</v>
      </c>
      <c r="AD36">
        <f>VLOOKUP(Z36,Nuclides!A:E,3,FALSE)</f>
        <v>27</v>
      </c>
      <c r="AE36" s="1">
        <f t="shared" si="3"/>
        <v>871103.99999999988</v>
      </c>
      <c r="AF36" t="s">
        <v>610</v>
      </c>
    </row>
    <row r="37" spans="2:32" x14ac:dyDescent="0.2">
      <c r="B37">
        <v>34071</v>
      </c>
      <c r="C37" s="1">
        <v>9.9999999999999995E-8</v>
      </c>
      <c r="D37" t="str">
        <f>VLOOKUP(B37,Nuclides!A:E,5,FALSE)</f>
        <v>Se71</v>
      </c>
      <c r="E37">
        <f>VLOOKUP(Sheet2!B37,Nuclides!A:E,2,FALSE)</f>
        <v>37</v>
      </c>
      <c r="F37">
        <f>VLOOKUP(B37,Nuclides!A:E,3,FALSE)</f>
        <v>34</v>
      </c>
      <c r="G37" s="1">
        <f t="shared" si="0"/>
        <v>1248000000</v>
      </c>
      <c r="H37">
        <f>VLOOKUP(B37,Nuclides!A:E,4,FALSE)</f>
        <v>284.39999999999998</v>
      </c>
      <c r="J37" s="1">
        <v>34082</v>
      </c>
      <c r="K37" s="1">
        <v>1.5E-6</v>
      </c>
      <c r="L37" t="str">
        <f>VLOOKUP(J37,Nuclides!A:E,5,FALSE)</f>
        <v>Se82</v>
      </c>
      <c r="M37">
        <f>VLOOKUP(Sheet2!J37,Nuclides!A:E,2,FALSE)</f>
        <v>48</v>
      </c>
      <c r="N37">
        <f>VLOOKUP(J37,Nuclides!A:E,3,FALSE)</f>
        <v>34</v>
      </c>
      <c r="O37" s="1">
        <f t="shared" si="1"/>
        <v>18720000000</v>
      </c>
      <c r="R37" s="1">
        <v>29061</v>
      </c>
      <c r="S37" s="1">
        <v>6.4216000000000002E-9</v>
      </c>
      <c r="T37" t="str">
        <f>VLOOKUP(R37,Nuclides!A:E,5,FALSE)</f>
        <v>Cu61</v>
      </c>
      <c r="U37">
        <f>VLOOKUP(Sheet2!R37,Nuclides!A:E,2,FALSE)</f>
        <v>32</v>
      </c>
      <c r="V37">
        <f>VLOOKUP(R37,Nuclides!A:E,3,FALSE)</f>
        <v>29</v>
      </c>
      <c r="W37" s="1">
        <f t="shared" si="2"/>
        <v>80141568</v>
      </c>
      <c r="X37" t="s">
        <v>665</v>
      </c>
      <c r="Z37" s="1">
        <v>28053</v>
      </c>
      <c r="AA37" s="1">
        <v>6.9799999999999994E-11</v>
      </c>
      <c r="AB37" t="str">
        <f>VLOOKUP(Z37,Nuclides!A:E,5,FALSE)</f>
        <v>Ni53</v>
      </c>
      <c r="AC37">
        <f>VLOOKUP(Sheet2!Z37,Nuclides!A:E,2,FALSE)</f>
        <v>25</v>
      </c>
      <c r="AD37">
        <f>VLOOKUP(Z37,Nuclides!A:E,3,FALSE)</f>
        <v>28</v>
      </c>
      <c r="AE37" s="1">
        <f t="shared" si="3"/>
        <v>871103.99999999988</v>
      </c>
      <c r="AF37" t="s">
        <v>631</v>
      </c>
    </row>
    <row r="38" spans="2:32" x14ac:dyDescent="0.2">
      <c r="B38">
        <v>34082</v>
      </c>
      <c r="C38" s="1">
        <v>2.9999999999999999E-7</v>
      </c>
      <c r="D38" t="str">
        <f>VLOOKUP(B38,Nuclides!A:E,5,FALSE)</f>
        <v>Se82</v>
      </c>
      <c r="E38">
        <f>VLOOKUP(Sheet2!B38,Nuclides!A:E,2,FALSE)</f>
        <v>48</v>
      </c>
      <c r="F38">
        <f>VLOOKUP(B38,Nuclides!A:E,3,FALSE)</f>
        <v>34</v>
      </c>
      <c r="G38" s="1">
        <f t="shared" si="0"/>
        <v>3744000000</v>
      </c>
      <c r="H38" t="str">
        <f>VLOOKUP(B38,Nuclides!A:E,4,FALSE)</f>
        <v>STABLE</v>
      </c>
      <c r="J38" s="1">
        <v>34083</v>
      </c>
      <c r="K38" s="1">
        <v>4.1999999999999996E-6</v>
      </c>
      <c r="L38" t="str">
        <f>VLOOKUP(J38,Nuclides!A:E,5,FALSE)</f>
        <v>Se83</v>
      </c>
      <c r="M38">
        <f>VLOOKUP(Sheet2!J38,Nuclides!A:E,2,FALSE)</f>
        <v>49</v>
      </c>
      <c r="N38">
        <f>VLOOKUP(J38,Nuclides!A:E,3,FALSE)</f>
        <v>34</v>
      </c>
      <c r="O38" s="1">
        <f t="shared" si="1"/>
        <v>52415999999.999992</v>
      </c>
      <c r="R38" s="1">
        <v>29062</v>
      </c>
      <c r="S38" s="1">
        <v>5.4443999999999999E-9</v>
      </c>
      <c r="T38" t="str">
        <f>VLOOKUP(R38,Nuclides!A:E,5,FALSE)</f>
        <v>Cu62</v>
      </c>
      <c r="U38">
        <f>VLOOKUP(Sheet2!R38,Nuclides!A:E,2,FALSE)</f>
        <v>33</v>
      </c>
      <c r="V38">
        <f>VLOOKUP(R38,Nuclides!A:E,3,FALSE)</f>
        <v>29</v>
      </c>
      <c r="W38" s="1">
        <f t="shared" si="2"/>
        <v>67946112</v>
      </c>
      <c r="X38" t="s">
        <v>666</v>
      </c>
      <c r="Z38" s="1">
        <v>28054</v>
      </c>
      <c r="AA38" s="1">
        <v>3.4899999999999998E-10</v>
      </c>
      <c r="AB38" t="str">
        <f>VLOOKUP(Z38,Nuclides!A:E,5,FALSE)</f>
        <v>Ni54</v>
      </c>
      <c r="AC38">
        <f>VLOOKUP(Sheet2!Z38,Nuclides!A:E,2,FALSE)</f>
        <v>26</v>
      </c>
      <c r="AD38">
        <f>VLOOKUP(Z38,Nuclides!A:E,3,FALSE)</f>
        <v>28</v>
      </c>
      <c r="AE38" s="1">
        <f t="shared" si="3"/>
        <v>4355520</v>
      </c>
      <c r="AF38" t="s">
        <v>632</v>
      </c>
    </row>
    <row r="39" spans="2:32" x14ac:dyDescent="0.2">
      <c r="B39">
        <v>34083</v>
      </c>
      <c r="C39" s="1">
        <v>8.9999999999999996E-7</v>
      </c>
      <c r="D39" t="str">
        <f>VLOOKUP(B39,Nuclides!A:E,5,FALSE)</f>
        <v>Se83</v>
      </c>
      <c r="E39">
        <f>VLOOKUP(Sheet2!B39,Nuclides!A:E,2,FALSE)</f>
        <v>49</v>
      </c>
      <c r="F39">
        <f>VLOOKUP(B39,Nuclides!A:E,3,FALSE)</f>
        <v>34</v>
      </c>
      <c r="G39" s="1">
        <f t="shared" si="0"/>
        <v>11232000000</v>
      </c>
      <c r="H39">
        <f>VLOOKUP(B39,Nuclides!A:E,4,FALSE)</f>
        <v>1335</v>
      </c>
      <c r="J39" s="1">
        <v>34084</v>
      </c>
      <c r="K39" s="1">
        <v>8.8999999999999995E-6</v>
      </c>
      <c r="L39" t="str">
        <f>VLOOKUP(J39,Nuclides!A:E,5,FALSE)</f>
        <v>Se84</v>
      </c>
      <c r="M39">
        <f>VLOOKUP(Sheet2!J39,Nuclides!A:E,2,FALSE)</f>
        <v>50</v>
      </c>
      <c r="N39">
        <f>VLOOKUP(J39,Nuclides!A:E,3,FALSE)</f>
        <v>34</v>
      </c>
      <c r="O39" s="1">
        <f t="shared" si="1"/>
        <v>111072000000</v>
      </c>
      <c r="R39" s="1">
        <v>29063</v>
      </c>
      <c r="S39" s="1">
        <v>1.5355999999999999E-9</v>
      </c>
      <c r="T39" t="str">
        <f>VLOOKUP(R39,Nuclides!A:E,5,FALSE)</f>
        <v>Cu63</v>
      </c>
      <c r="U39">
        <f>VLOOKUP(Sheet2!R39,Nuclides!A:E,2,FALSE)</f>
        <v>34</v>
      </c>
      <c r="V39">
        <f>VLOOKUP(R39,Nuclides!A:E,3,FALSE)</f>
        <v>29</v>
      </c>
      <c r="W39" s="1">
        <f t="shared" si="2"/>
        <v>19164288</v>
      </c>
      <c r="X39" t="s">
        <v>667</v>
      </c>
      <c r="Z39" s="1">
        <v>28055</v>
      </c>
      <c r="AA39" s="1">
        <v>6.2819999999999996E-10</v>
      </c>
      <c r="AB39" t="str">
        <f>VLOOKUP(Z39,Nuclides!A:E,5,FALSE)</f>
        <v>Ni55</v>
      </c>
      <c r="AC39">
        <f>VLOOKUP(Sheet2!Z39,Nuclides!A:E,2,FALSE)</f>
        <v>27</v>
      </c>
      <c r="AD39">
        <f>VLOOKUP(Z39,Nuclides!A:E,3,FALSE)</f>
        <v>28</v>
      </c>
      <c r="AE39" s="1">
        <f t="shared" si="3"/>
        <v>7839935.9999999991</v>
      </c>
      <c r="AF39" t="s">
        <v>633</v>
      </c>
    </row>
    <row r="40" spans="2:32" x14ac:dyDescent="0.2">
      <c r="B40">
        <v>34084</v>
      </c>
      <c r="C40" s="1">
        <v>1.9E-6</v>
      </c>
      <c r="D40" t="str">
        <f>VLOOKUP(B40,Nuclides!A:E,5,FALSE)</f>
        <v>Se84</v>
      </c>
      <c r="E40">
        <f>VLOOKUP(Sheet2!B40,Nuclides!A:E,2,FALSE)</f>
        <v>50</v>
      </c>
      <c r="F40">
        <f>VLOOKUP(B40,Nuclides!A:E,3,FALSE)</f>
        <v>34</v>
      </c>
      <c r="G40" s="1">
        <f t="shared" si="0"/>
        <v>23712000000</v>
      </c>
      <c r="H40">
        <f>VLOOKUP(B40,Nuclides!A:E,4,FALSE)</f>
        <v>195.6</v>
      </c>
      <c r="J40" s="1">
        <v>34085</v>
      </c>
      <c r="K40" s="1">
        <v>1.3699999999999999E-5</v>
      </c>
      <c r="L40" t="str">
        <f>VLOOKUP(J40,Nuclides!A:E,5,FALSE)</f>
        <v>Se85</v>
      </c>
      <c r="M40">
        <f>VLOOKUP(Sheet2!J40,Nuclides!A:E,2,FALSE)</f>
        <v>51</v>
      </c>
      <c r="N40">
        <f>VLOOKUP(J40,Nuclides!A:E,3,FALSE)</f>
        <v>34</v>
      </c>
      <c r="O40" s="1">
        <f t="shared" si="1"/>
        <v>170976000000</v>
      </c>
      <c r="R40" s="1">
        <v>29064</v>
      </c>
      <c r="S40" s="1">
        <v>1.2563999999999999E-9</v>
      </c>
      <c r="T40" t="str">
        <f>VLOOKUP(R40,Nuclides!A:E,5,FALSE)</f>
        <v>Cu64</v>
      </c>
      <c r="U40">
        <f>VLOOKUP(Sheet2!R40,Nuclides!A:E,2,FALSE)</f>
        <v>35</v>
      </c>
      <c r="V40">
        <f>VLOOKUP(R40,Nuclides!A:E,3,FALSE)</f>
        <v>29</v>
      </c>
      <c r="W40" s="1">
        <f t="shared" si="2"/>
        <v>15679871.999999998</v>
      </c>
      <c r="X40" t="s">
        <v>668</v>
      </c>
      <c r="Z40" s="1">
        <v>28056</v>
      </c>
      <c r="AA40" s="1">
        <v>1.1866E-9</v>
      </c>
      <c r="AB40" t="str">
        <f>VLOOKUP(Z40,Nuclides!A:E,5,FALSE)</f>
        <v>Ni56</v>
      </c>
      <c r="AC40">
        <f>VLOOKUP(Sheet2!Z40,Nuclides!A:E,2,FALSE)</f>
        <v>28</v>
      </c>
      <c r="AD40">
        <f>VLOOKUP(Z40,Nuclides!A:E,3,FALSE)</f>
        <v>28</v>
      </c>
      <c r="AE40" s="1">
        <f t="shared" si="3"/>
        <v>14808768</v>
      </c>
      <c r="AF40" t="s">
        <v>634</v>
      </c>
    </row>
    <row r="41" spans="2:32" x14ac:dyDescent="0.2">
      <c r="B41">
        <v>34085</v>
      </c>
      <c r="C41" s="1">
        <v>2.5000000000000002E-6</v>
      </c>
      <c r="D41" t="str">
        <f>VLOOKUP(B41,Nuclides!A:E,5,FALSE)</f>
        <v>Se85</v>
      </c>
      <c r="E41">
        <f>VLOOKUP(Sheet2!B41,Nuclides!A:E,2,FALSE)</f>
        <v>51</v>
      </c>
      <c r="F41">
        <f>VLOOKUP(B41,Nuclides!A:E,3,FALSE)</f>
        <v>34</v>
      </c>
      <c r="G41" s="1">
        <f t="shared" si="0"/>
        <v>31200000000.000004</v>
      </c>
      <c r="H41">
        <f>VLOOKUP(B41,Nuclides!A:E,4,FALSE)</f>
        <v>32.9</v>
      </c>
      <c r="J41" s="1">
        <v>34086</v>
      </c>
      <c r="K41" s="1">
        <v>1.7399999999999999E-5</v>
      </c>
      <c r="L41" t="str">
        <f>VLOOKUP(J41,Nuclides!A:E,5,FALSE)</f>
        <v>Se86</v>
      </c>
      <c r="M41">
        <f>VLOOKUP(Sheet2!J41,Nuclides!A:E,2,FALSE)</f>
        <v>52</v>
      </c>
      <c r="N41">
        <f>VLOOKUP(J41,Nuclides!A:E,3,FALSE)</f>
        <v>34</v>
      </c>
      <c r="O41" s="1">
        <f t="shared" si="1"/>
        <v>217152000000</v>
      </c>
      <c r="R41" s="1">
        <v>29065</v>
      </c>
      <c r="S41" s="1">
        <v>2.7919999999999998E-10</v>
      </c>
      <c r="T41" t="str">
        <f>VLOOKUP(R41,Nuclides!A:E,5,FALSE)</f>
        <v>Cu65</v>
      </c>
      <c r="U41">
        <f>VLOOKUP(Sheet2!R41,Nuclides!A:E,2,FALSE)</f>
        <v>36</v>
      </c>
      <c r="V41">
        <f>VLOOKUP(R41,Nuclides!A:E,3,FALSE)</f>
        <v>29</v>
      </c>
      <c r="W41" s="1">
        <f t="shared" si="2"/>
        <v>3484415.9999999995</v>
      </c>
      <c r="X41" t="s">
        <v>669</v>
      </c>
      <c r="Z41" s="1">
        <v>28057</v>
      </c>
      <c r="AA41" s="1">
        <v>3.1409999999999998E-9</v>
      </c>
      <c r="AB41" t="str">
        <f>VLOOKUP(Z41,Nuclides!A:E,5,FALSE)</f>
        <v>Ni57</v>
      </c>
      <c r="AC41">
        <f>VLOOKUP(Sheet2!Z41,Nuclides!A:E,2,FALSE)</f>
        <v>29</v>
      </c>
      <c r="AD41">
        <f>VLOOKUP(Z41,Nuclides!A:E,3,FALSE)</f>
        <v>28</v>
      </c>
      <c r="AE41" s="1">
        <f t="shared" si="3"/>
        <v>39199680</v>
      </c>
      <c r="AF41" t="s">
        <v>635</v>
      </c>
    </row>
    <row r="42" spans="2:32" x14ac:dyDescent="0.2">
      <c r="B42">
        <v>34086</v>
      </c>
      <c r="C42" s="1">
        <v>5.2000000000000002E-6</v>
      </c>
      <c r="D42" t="str">
        <f>VLOOKUP(B42,Nuclides!A:E,5,FALSE)</f>
        <v>Se86</v>
      </c>
      <c r="E42">
        <f>VLOOKUP(Sheet2!B42,Nuclides!A:E,2,FALSE)</f>
        <v>52</v>
      </c>
      <c r="F42">
        <f>VLOOKUP(B42,Nuclides!A:E,3,FALSE)</f>
        <v>34</v>
      </c>
      <c r="G42" s="1">
        <f t="shared" si="0"/>
        <v>64896000000</v>
      </c>
      <c r="H42">
        <f>VLOOKUP(B42,Nuclides!A:E,4,FALSE)</f>
        <v>14.3</v>
      </c>
      <c r="J42" s="1">
        <v>34087</v>
      </c>
      <c r="K42" s="1">
        <v>8.6999999999999997E-6</v>
      </c>
      <c r="L42" t="str">
        <f>VLOOKUP(J42,Nuclides!A:E,5,FALSE)</f>
        <v>Se87</v>
      </c>
      <c r="M42">
        <f>VLOOKUP(Sheet2!J42,Nuclides!A:E,2,FALSE)</f>
        <v>53</v>
      </c>
      <c r="N42">
        <f>VLOOKUP(J42,Nuclides!A:E,3,FALSE)</f>
        <v>34</v>
      </c>
      <c r="O42" s="1">
        <f t="shared" si="1"/>
        <v>108576000000</v>
      </c>
      <c r="R42" s="1">
        <v>29066</v>
      </c>
      <c r="S42" s="1">
        <v>1.3959999999999999E-10</v>
      </c>
      <c r="T42" t="str">
        <f>VLOOKUP(R42,Nuclides!A:E,5,FALSE)</f>
        <v>Cu66</v>
      </c>
      <c r="U42">
        <f>VLOOKUP(Sheet2!R42,Nuclides!A:E,2,FALSE)</f>
        <v>37</v>
      </c>
      <c r="V42">
        <f>VLOOKUP(R42,Nuclides!A:E,3,FALSE)</f>
        <v>29</v>
      </c>
      <c r="W42" s="1">
        <f t="shared" si="2"/>
        <v>1742207.9999999998</v>
      </c>
      <c r="X42" t="s">
        <v>670</v>
      </c>
      <c r="Z42" s="1">
        <v>28058</v>
      </c>
      <c r="AA42" s="1">
        <v>3.8389999999999997E-9</v>
      </c>
      <c r="AB42" t="str">
        <f>VLOOKUP(Z42,Nuclides!A:E,5,FALSE)</f>
        <v>Ni58</v>
      </c>
      <c r="AC42">
        <f>VLOOKUP(Sheet2!Z42,Nuclides!A:E,2,FALSE)</f>
        <v>30</v>
      </c>
      <c r="AD42">
        <f>VLOOKUP(Z42,Nuclides!A:E,3,FALSE)</f>
        <v>28</v>
      </c>
      <c r="AE42" s="1">
        <f t="shared" si="3"/>
        <v>47910719.999999993</v>
      </c>
      <c r="AF42" t="s">
        <v>636</v>
      </c>
    </row>
    <row r="43" spans="2:32" x14ac:dyDescent="0.2">
      <c r="B43">
        <v>34087</v>
      </c>
      <c r="C43" s="1">
        <v>5.2000000000000002E-6</v>
      </c>
      <c r="D43" t="str">
        <f>VLOOKUP(B43,Nuclides!A:E,5,FALSE)</f>
        <v>Se87</v>
      </c>
      <c r="E43">
        <f>VLOOKUP(Sheet2!B43,Nuclides!A:E,2,FALSE)</f>
        <v>53</v>
      </c>
      <c r="F43">
        <f>VLOOKUP(B43,Nuclides!A:E,3,FALSE)</f>
        <v>34</v>
      </c>
      <c r="G43" s="1">
        <f t="shared" si="0"/>
        <v>64896000000</v>
      </c>
      <c r="H43">
        <f>VLOOKUP(B43,Nuclides!A:E,4,FALSE)</f>
        <v>5.5</v>
      </c>
      <c r="J43" s="1">
        <v>34088</v>
      </c>
      <c r="K43" s="1">
        <v>5.6999999999999996E-6</v>
      </c>
      <c r="L43" t="str">
        <f>VLOOKUP(J43,Nuclides!A:E,5,FALSE)</f>
        <v>Se88</v>
      </c>
      <c r="M43">
        <f>VLOOKUP(Sheet2!J43,Nuclides!A:E,2,FALSE)</f>
        <v>54</v>
      </c>
      <c r="N43">
        <f>VLOOKUP(J43,Nuclides!A:E,3,FALSE)</f>
        <v>34</v>
      </c>
      <c r="O43" s="1">
        <f t="shared" si="1"/>
        <v>71136000000</v>
      </c>
      <c r="R43" s="1">
        <v>29067</v>
      </c>
      <c r="S43" s="1">
        <v>6.9799999999999994E-11</v>
      </c>
      <c r="T43" t="str">
        <f>VLOOKUP(R43,Nuclides!A:E,5,FALSE)</f>
        <v>Cu67</v>
      </c>
      <c r="U43">
        <f>VLOOKUP(Sheet2!R43,Nuclides!A:E,2,FALSE)</f>
        <v>38</v>
      </c>
      <c r="V43">
        <f>VLOOKUP(R43,Nuclides!A:E,3,FALSE)</f>
        <v>29</v>
      </c>
      <c r="W43" s="1">
        <f t="shared" si="2"/>
        <v>871103.99999999988</v>
      </c>
      <c r="X43" t="s">
        <v>671</v>
      </c>
      <c r="Z43" s="1">
        <v>28059</v>
      </c>
      <c r="AA43" s="1">
        <v>5.4443999999999999E-9</v>
      </c>
      <c r="AB43" t="str">
        <f>VLOOKUP(Z43,Nuclides!A:E,5,FALSE)</f>
        <v>Ni59</v>
      </c>
      <c r="AC43">
        <f>VLOOKUP(Sheet2!Z43,Nuclides!A:E,2,FALSE)</f>
        <v>31</v>
      </c>
      <c r="AD43">
        <f>VLOOKUP(Z43,Nuclides!A:E,3,FALSE)</f>
        <v>28</v>
      </c>
      <c r="AE43" s="1">
        <f t="shared" si="3"/>
        <v>67946112</v>
      </c>
      <c r="AF43" t="s">
        <v>637</v>
      </c>
    </row>
    <row r="44" spans="2:32" x14ac:dyDescent="0.2">
      <c r="B44">
        <v>34088</v>
      </c>
      <c r="C44" s="1">
        <v>5.5999999999999997E-6</v>
      </c>
      <c r="D44" t="str">
        <f>VLOOKUP(B44,Nuclides!A:E,5,FALSE)</f>
        <v>Se88</v>
      </c>
      <c r="E44">
        <f>VLOOKUP(Sheet2!B44,Nuclides!A:E,2,FALSE)</f>
        <v>54</v>
      </c>
      <c r="F44">
        <f>VLOOKUP(B44,Nuclides!A:E,3,FALSE)</f>
        <v>34</v>
      </c>
      <c r="G44" s="1">
        <f t="shared" si="0"/>
        <v>69888000000</v>
      </c>
      <c r="H44">
        <f>VLOOKUP(B44,Nuclides!A:E,4,FALSE)</f>
        <v>1.53</v>
      </c>
      <c r="J44" s="1">
        <v>34089</v>
      </c>
      <c r="K44" s="1">
        <v>2.2000000000000001E-6</v>
      </c>
      <c r="L44" t="str">
        <f>VLOOKUP(J44,Nuclides!A:E,5,FALSE)</f>
        <v>Se89</v>
      </c>
      <c r="M44">
        <f>VLOOKUP(Sheet2!J44,Nuclides!A:E,2,FALSE)</f>
        <v>55</v>
      </c>
      <c r="N44">
        <f>VLOOKUP(J44,Nuclides!A:E,3,FALSE)</f>
        <v>34</v>
      </c>
      <c r="O44" s="1">
        <f t="shared" si="1"/>
        <v>27456000000</v>
      </c>
      <c r="R44" s="1">
        <v>29068</v>
      </c>
      <c r="S44" s="1">
        <v>2.094E-10</v>
      </c>
      <c r="T44" t="str">
        <f>VLOOKUP(R44,Nuclides!A:E,5,FALSE)</f>
        <v>Cu68</v>
      </c>
      <c r="U44">
        <f>VLOOKUP(Sheet2!R44,Nuclides!A:E,2,FALSE)</f>
        <v>39</v>
      </c>
      <c r="V44">
        <f>VLOOKUP(R44,Nuclides!A:E,3,FALSE)</f>
        <v>29</v>
      </c>
      <c r="W44" s="1">
        <f t="shared" si="2"/>
        <v>2613312</v>
      </c>
      <c r="X44" t="s">
        <v>672</v>
      </c>
      <c r="Z44" s="1">
        <v>28060</v>
      </c>
      <c r="AA44" s="1">
        <v>3.7691999999999998E-9</v>
      </c>
      <c r="AB44" t="str">
        <f>VLOOKUP(Z44,Nuclides!A:E,5,FALSE)</f>
        <v>Ni60</v>
      </c>
      <c r="AC44">
        <f>VLOOKUP(Sheet2!Z44,Nuclides!A:E,2,FALSE)</f>
        <v>32</v>
      </c>
      <c r="AD44">
        <f>VLOOKUP(Z44,Nuclides!A:E,3,FALSE)</f>
        <v>28</v>
      </c>
      <c r="AE44" s="1">
        <f t="shared" si="3"/>
        <v>47039616</v>
      </c>
      <c r="AF44" t="s">
        <v>638</v>
      </c>
    </row>
    <row r="45" spans="2:32" x14ac:dyDescent="0.2">
      <c r="B45">
        <v>34089</v>
      </c>
      <c r="C45" s="1">
        <v>3.8E-6</v>
      </c>
      <c r="D45" t="str">
        <f>VLOOKUP(B45,Nuclides!A:E,5,FALSE)</f>
        <v>Se89</v>
      </c>
      <c r="E45">
        <f>VLOOKUP(Sheet2!B45,Nuclides!A:E,2,FALSE)</f>
        <v>55</v>
      </c>
      <c r="F45">
        <f>VLOOKUP(B45,Nuclides!A:E,3,FALSE)</f>
        <v>34</v>
      </c>
      <c r="G45" s="1">
        <f t="shared" si="0"/>
        <v>47424000000</v>
      </c>
      <c r="H45">
        <f>VLOOKUP(B45,Nuclides!A:E,4,FALSE)</f>
        <v>0.43</v>
      </c>
      <c r="J45" s="1">
        <v>34090</v>
      </c>
      <c r="K45" s="1">
        <v>8.9999999999999996E-7</v>
      </c>
      <c r="L45" t="str">
        <f>VLOOKUP(J45,Nuclides!A:E,5,FALSE)</f>
        <v>Se90</v>
      </c>
      <c r="M45">
        <f>VLOOKUP(Sheet2!J45,Nuclides!A:E,2,FALSE)</f>
        <v>56</v>
      </c>
      <c r="N45">
        <f>VLOOKUP(J45,Nuclides!A:E,3,FALSE)</f>
        <v>34</v>
      </c>
      <c r="O45" s="1">
        <f t="shared" si="1"/>
        <v>11232000000</v>
      </c>
      <c r="R45" s="1">
        <v>29069</v>
      </c>
      <c r="S45" s="1">
        <v>5.5839999999999995E-10</v>
      </c>
      <c r="T45" t="str">
        <f>VLOOKUP(R45,Nuclides!A:E,5,FALSE)</f>
        <v>Cu69</v>
      </c>
      <c r="U45">
        <f>VLOOKUP(Sheet2!R45,Nuclides!A:E,2,FALSE)</f>
        <v>40</v>
      </c>
      <c r="V45">
        <f>VLOOKUP(R45,Nuclides!A:E,3,FALSE)</f>
        <v>29</v>
      </c>
      <c r="W45" s="1">
        <f t="shared" si="2"/>
        <v>6968831.9999999991</v>
      </c>
      <c r="X45" t="s">
        <v>673</v>
      </c>
      <c r="Z45" s="1">
        <v>28061</v>
      </c>
      <c r="AA45" s="1">
        <v>2.7919999999999999E-9</v>
      </c>
      <c r="AB45" t="str">
        <f>VLOOKUP(Z45,Nuclides!A:E,5,FALSE)</f>
        <v>Ni61</v>
      </c>
      <c r="AC45">
        <f>VLOOKUP(Sheet2!Z45,Nuclides!A:E,2,FALSE)</f>
        <v>33</v>
      </c>
      <c r="AD45">
        <f>VLOOKUP(Z45,Nuclides!A:E,3,FALSE)</f>
        <v>28</v>
      </c>
      <c r="AE45" s="1">
        <f t="shared" si="3"/>
        <v>34844160</v>
      </c>
      <c r="AF45" t="s">
        <v>639</v>
      </c>
    </row>
    <row r="46" spans="2:32" x14ac:dyDescent="0.2">
      <c r="B46">
        <v>34090</v>
      </c>
      <c r="C46" s="1">
        <v>3.4000000000000001E-6</v>
      </c>
      <c r="D46" t="str">
        <f>VLOOKUP(B46,Nuclides!A:E,5,FALSE)</f>
        <v>Se90</v>
      </c>
      <c r="E46">
        <f>VLOOKUP(Sheet2!B46,Nuclides!A:E,2,FALSE)</f>
        <v>56</v>
      </c>
      <c r="F46">
        <f>VLOOKUP(B46,Nuclides!A:E,3,FALSE)</f>
        <v>34</v>
      </c>
      <c r="G46" s="1">
        <f t="shared" si="0"/>
        <v>42432000000</v>
      </c>
      <c r="H46">
        <f>VLOOKUP(B46,Nuclides!A:E,4,FALSE)</f>
        <v>0.19500000000000001</v>
      </c>
      <c r="J46" s="1">
        <v>34091</v>
      </c>
      <c r="K46" s="1">
        <v>1.9999999999999999E-7</v>
      </c>
      <c r="L46" t="str">
        <f>VLOOKUP(J46,Nuclides!A:E,5,FALSE)</f>
        <v>Se91</v>
      </c>
      <c r="M46">
        <f>VLOOKUP(Sheet2!J46,Nuclides!A:E,2,FALSE)</f>
        <v>57</v>
      </c>
      <c r="N46">
        <f>VLOOKUP(J46,Nuclides!A:E,3,FALSE)</f>
        <v>34</v>
      </c>
      <c r="O46" s="1">
        <f t="shared" si="1"/>
        <v>2496000000</v>
      </c>
      <c r="R46" s="1">
        <v>29070</v>
      </c>
      <c r="S46" s="1">
        <v>2.094E-9</v>
      </c>
      <c r="T46" t="str">
        <f>VLOOKUP(R46,Nuclides!A:E,5,FALSE)</f>
        <v>Cu70</v>
      </c>
      <c r="U46">
        <f>VLOOKUP(Sheet2!R46,Nuclides!A:E,2,FALSE)</f>
        <v>41</v>
      </c>
      <c r="V46">
        <f>VLOOKUP(R46,Nuclides!A:E,3,FALSE)</f>
        <v>29</v>
      </c>
      <c r="W46" s="1">
        <f t="shared" si="2"/>
        <v>26133120</v>
      </c>
      <c r="X46" t="s">
        <v>674</v>
      </c>
      <c r="Z46" s="1">
        <v>28062</v>
      </c>
      <c r="AA46" s="1">
        <v>9.772000000000001E-10</v>
      </c>
      <c r="AB46" t="str">
        <f>VLOOKUP(Z46,Nuclides!A:E,5,FALSE)</f>
        <v>Ni62</v>
      </c>
      <c r="AC46">
        <f>VLOOKUP(Sheet2!Z46,Nuclides!A:E,2,FALSE)</f>
        <v>34</v>
      </c>
      <c r="AD46">
        <f>VLOOKUP(Z46,Nuclides!A:E,3,FALSE)</f>
        <v>28</v>
      </c>
      <c r="AE46" s="1">
        <f t="shared" si="3"/>
        <v>12195456.000000002</v>
      </c>
      <c r="AF46" t="s">
        <v>640</v>
      </c>
    </row>
    <row r="47" spans="2:32" x14ac:dyDescent="0.2">
      <c r="B47">
        <v>34091</v>
      </c>
      <c r="C47" s="1">
        <v>9.9999999999999995E-7</v>
      </c>
      <c r="D47" t="str">
        <f>VLOOKUP(B47,Nuclides!A:E,5,FALSE)</f>
        <v>Se91</v>
      </c>
      <c r="E47">
        <f>VLOOKUP(Sheet2!B47,Nuclides!A:E,2,FALSE)</f>
        <v>57</v>
      </c>
      <c r="F47">
        <f>VLOOKUP(B47,Nuclides!A:E,3,FALSE)</f>
        <v>34</v>
      </c>
      <c r="G47" s="1">
        <f t="shared" si="0"/>
        <v>12480000000</v>
      </c>
      <c r="H47">
        <f>VLOOKUP(B47,Nuclides!A:E,4,FALSE)</f>
        <v>0.27</v>
      </c>
      <c r="J47" s="1">
        <v>35070</v>
      </c>
      <c r="K47" s="1">
        <v>9.9999999999999995E-8</v>
      </c>
      <c r="L47" t="str">
        <f>VLOOKUP(J47,Nuclides!A:E,5,FALSE)</f>
        <v>Br70</v>
      </c>
      <c r="M47">
        <f>VLOOKUP(Sheet2!J47,Nuclides!A:E,2,FALSE)</f>
        <v>35</v>
      </c>
      <c r="N47">
        <f>VLOOKUP(J47,Nuclides!A:E,3,FALSE)</f>
        <v>35</v>
      </c>
      <c r="O47" s="1">
        <f t="shared" si="1"/>
        <v>1248000000</v>
      </c>
      <c r="R47" s="1">
        <v>29071</v>
      </c>
      <c r="S47" s="1">
        <v>6.9102000000000004E-9</v>
      </c>
      <c r="T47" t="str">
        <f>VLOOKUP(R47,Nuclides!A:E,5,FALSE)</f>
        <v>Cu71</v>
      </c>
      <c r="U47">
        <f>VLOOKUP(Sheet2!R47,Nuclides!A:E,2,FALSE)</f>
        <v>42</v>
      </c>
      <c r="V47">
        <f>VLOOKUP(R47,Nuclides!A:E,3,FALSE)</f>
        <v>29</v>
      </c>
      <c r="W47" s="1">
        <f t="shared" si="2"/>
        <v>86239296</v>
      </c>
      <c r="X47" t="s">
        <v>675</v>
      </c>
      <c r="Z47" s="1">
        <v>28063</v>
      </c>
      <c r="AA47" s="1">
        <v>9.0739999999999999E-10</v>
      </c>
      <c r="AB47" t="str">
        <f>VLOOKUP(Z47,Nuclides!A:E,5,FALSE)</f>
        <v>Ni63</v>
      </c>
      <c r="AC47">
        <f>VLOOKUP(Sheet2!Z47,Nuclides!A:E,2,FALSE)</f>
        <v>35</v>
      </c>
      <c r="AD47">
        <f>VLOOKUP(Z47,Nuclides!A:E,3,FALSE)</f>
        <v>28</v>
      </c>
      <c r="AE47" s="1">
        <f t="shared" si="3"/>
        <v>11324352</v>
      </c>
      <c r="AF47" t="s">
        <v>641</v>
      </c>
    </row>
    <row r="48" spans="2:32" x14ac:dyDescent="0.2">
      <c r="B48">
        <v>35070</v>
      </c>
      <c r="C48" s="1">
        <v>6.9999999999999997E-7</v>
      </c>
      <c r="D48" t="str">
        <f>VLOOKUP(B48,Nuclides!A:E,5,FALSE)</f>
        <v>Br70</v>
      </c>
      <c r="E48">
        <f>VLOOKUP(Sheet2!B48,Nuclides!A:E,2,FALSE)</f>
        <v>35</v>
      </c>
      <c r="F48">
        <f>VLOOKUP(B48,Nuclides!A:E,3,FALSE)</f>
        <v>35</v>
      </c>
      <c r="G48" s="1">
        <f t="shared" si="0"/>
        <v>8736000000</v>
      </c>
      <c r="H48">
        <f>VLOOKUP(B48,Nuclides!A:E,4,FALSE)</f>
        <v>7.9099999999999906E-2</v>
      </c>
      <c r="J48" s="1">
        <v>35084</v>
      </c>
      <c r="K48" s="1">
        <v>2.0999999999999998E-6</v>
      </c>
      <c r="L48" t="str">
        <f>VLOOKUP(J48,Nuclides!A:E,5,FALSE)</f>
        <v>Br84</v>
      </c>
      <c r="M48">
        <f>VLOOKUP(Sheet2!J48,Nuclides!A:E,2,FALSE)</f>
        <v>49</v>
      </c>
      <c r="N48">
        <f>VLOOKUP(J48,Nuclides!A:E,3,FALSE)</f>
        <v>35</v>
      </c>
      <c r="O48" s="1">
        <f t="shared" si="1"/>
        <v>26207999999.999996</v>
      </c>
      <c r="R48" s="1">
        <v>29072</v>
      </c>
      <c r="S48" s="1">
        <v>1.10284E-8</v>
      </c>
      <c r="T48" t="str">
        <f>VLOOKUP(R48,Nuclides!A:E,5,FALSE)</f>
        <v>Cu72</v>
      </c>
      <c r="U48">
        <f>VLOOKUP(Sheet2!R48,Nuclides!A:E,2,FALSE)</f>
        <v>43</v>
      </c>
      <c r="V48">
        <f>VLOOKUP(R48,Nuclides!A:E,3,FALSE)</f>
        <v>29</v>
      </c>
      <c r="W48" s="1">
        <f t="shared" si="2"/>
        <v>137634432</v>
      </c>
      <c r="X48" t="s">
        <v>676</v>
      </c>
      <c r="Z48" s="1">
        <v>28064</v>
      </c>
      <c r="AA48" s="1">
        <v>6.9799999999999994E-11</v>
      </c>
      <c r="AB48" t="str">
        <f>VLOOKUP(Z48,Nuclides!A:E,5,FALSE)</f>
        <v>Ni64</v>
      </c>
      <c r="AC48">
        <f>VLOOKUP(Sheet2!Z48,Nuclides!A:E,2,FALSE)</f>
        <v>36</v>
      </c>
      <c r="AD48">
        <f>VLOOKUP(Z48,Nuclides!A:E,3,FALSE)</f>
        <v>28</v>
      </c>
      <c r="AE48" s="1">
        <f t="shared" si="3"/>
        <v>871103.99999999988</v>
      </c>
      <c r="AF48" t="s">
        <v>642</v>
      </c>
    </row>
    <row r="49" spans="2:32" x14ac:dyDescent="0.2">
      <c r="B49">
        <v>35072</v>
      </c>
      <c r="C49" s="1">
        <v>1.9999999999999999E-7</v>
      </c>
      <c r="D49" t="str">
        <f>VLOOKUP(B49,Nuclides!A:E,5,FALSE)</f>
        <v>Br72</v>
      </c>
      <c r="E49">
        <f>VLOOKUP(Sheet2!B49,Nuclides!A:E,2,FALSE)</f>
        <v>37</v>
      </c>
      <c r="F49">
        <f>VLOOKUP(B49,Nuclides!A:E,3,FALSE)</f>
        <v>35</v>
      </c>
      <c r="G49" s="1">
        <f t="shared" si="0"/>
        <v>2496000000</v>
      </c>
      <c r="H49">
        <f>VLOOKUP(B49,Nuclides!A:E,4,FALSE)</f>
        <v>78.599999999999994</v>
      </c>
      <c r="J49" s="1">
        <v>35085</v>
      </c>
      <c r="K49" s="1">
        <v>6.4999999999999996E-6</v>
      </c>
      <c r="L49" t="str">
        <f>VLOOKUP(J49,Nuclides!A:E,5,FALSE)</f>
        <v>Br85</v>
      </c>
      <c r="M49">
        <f>VLOOKUP(Sheet2!J49,Nuclides!A:E,2,FALSE)</f>
        <v>50</v>
      </c>
      <c r="N49">
        <f>VLOOKUP(J49,Nuclides!A:E,3,FALSE)</f>
        <v>35</v>
      </c>
      <c r="O49" s="1">
        <f t="shared" si="1"/>
        <v>81120000000</v>
      </c>
      <c r="R49" s="1">
        <v>29073</v>
      </c>
      <c r="S49" s="1">
        <v>2.8897200000000001E-8</v>
      </c>
      <c r="T49" t="str">
        <f>VLOOKUP(R49,Nuclides!A:E,5,FALSE)</f>
        <v>Cu73</v>
      </c>
      <c r="U49">
        <f>VLOOKUP(Sheet2!R49,Nuclides!A:E,2,FALSE)</f>
        <v>44</v>
      </c>
      <c r="V49">
        <f>VLOOKUP(R49,Nuclides!A:E,3,FALSE)</f>
        <v>29</v>
      </c>
      <c r="W49" s="1">
        <f t="shared" si="2"/>
        <v>360637056</v>
      </c>
      <c r="X49" t="s">
        <v>677</v>
      </c>
      <c r="Z49" s="1">
        <v>28067</v>
      </c>
      <c r="AA49" s="1">
        <v>6.9799999999999994E-11</v>
      </c>
      <c r="AB49" t="str">
        <f>VLOOKUP(Z49,Nuclides!A:E,5,FALSE)</f>
        <v>Ni67</v>
      </c>
      <c r="AC49">
        <f>VLOOKUP(Sheet2!Z49,Nuclides!A:E,2,FALSE)</f>
        <v>39</v>
      </c>
      <c r="AD49">
        <f>VLOOKUP(Z49,Nuclides!A:E,3,FALSE)</f>
        <v>28</v>
      </c>
      <c r="AE49" s="1">
        <f t="shared" si="3"/>
        <v>871103.99999999988</v>
      </c>
      <c r="AF49" t="s">
        <v>645</v>
      </c>
    </row>
    <row r="50" spans="2:32" x14ac:dyDescent="0.2">
      <c r="B50">
        <v>35083</v>
      </c>
      <c r="C50" s="1">
        <v>9.9999999999999995E-8</v>
      </c>
      <c r="D50" t="str">
        <f>VLOOKUP(B50,Nuclides!A:E,5,FALSE)</f>
        <v>Br83</v>
      </c>
      <c r="E50">
        <f>VLOOKUP(Sheet2!B50,Nuclides!A:E,2,FALSE)</f>
        <v>48</v>
      </c>
      <c r="F50">
        <f>VLOOKUP(B50,Nuclides!A:E,3,FALSE)</f>
        <v>35</v>
      </c>
      <c r="G50" s="1">
        <f t="shared" si="0"/>
        <v>1248000000</v>
      </c>
      <c r="H50">
        <f>VLOOKUP(B50,Nuclides!A:E,4,FALSE)</f>
        <v>8546.4</v>
      </c>
      <c r="J50" s="1">
        <v>35086</v>
      </c>
      <c r="K50" s="1">
        <v>1.22E-5</v>
      </c>
      <c r="L50" t="str">
        <f>VLOOKUP(J50,Nuclides!A:E,5,FALSE)</f>
        <v>Br86</v>
      </c>
      <c r="M50">
        <f>VLOOKUP(Sheet2!J50,Nuclides!A:E,2,FALSE)</f>
        <v>51</v>
      </c>
      <c r="N50">
        <f>VLOOKUP(J50,Nuclides!A:E,3,FALSE)</f>
        <v>35</v>
      </c>
      <c r="O50" s="1">
        <f t="shared" si="1"/>
        <v>152256000000</v>
      </c>
      <c r="R50" s="1">
        <v>30057</v>
      </c>
      <c r="S50" s="1">
        <v>2.3313199999999999E-8</v>
      </c>
      <c r="T50" t="str">
        <f>VLOOKUP(R50,Nuclides!A:E,5,FALSE)</f>
        <v>Zn57</v>
      </c>
      <c r="U50">
        <f>VLOOKUP(Sheet2!R50,Nuclides!A:E,2,FALSE)</f>
        <v>27</v>
      </c>
      <c r="V50">
        <f>VLOOKUP(R50,Nuclides!A:E,3,FALSE)</f>
        <v>30</v>
      </c>
      <c r="W50" s="1">
        <f t="shared" si="2"/>
        <v>290948736</v>
      </c>
      <c r="X50" t="s">
        <v>690</v>
      </c>
      <c r="Z50" s="1">
        <v>28068</v>
      </c>
      <c r="AA50" s="1">
        <v>4.1879999999999999E-10</v>
      </c>
      <c r="AB50" t="str">
        <f>VLOOKUP(Z50,Nuclides!A:E,5,FALSE)</f>
        <v>Ni68</v>
      </c>
      <c r="AC50">
        <f>VLOOKUP(Sheet2!Z50,Nuclides!A:E,2,FALSE)</f>
        <v>40</v>
      </c>
      <c r="AD50">
        <f>VLOOKUP(Z50,Nuclides!A:E,3,FALSE)</f>
        <v>28</v>
      </c>
      <c r="AE50" s="1">
        <f t="shared" si="3"/>
        <v>5226624</v>
      </c>
      <c r="AF50" t="s">
        <v>646</v>
      </c>
    </row>
    <row r="51" spans="2:32" x14ac:dyDescent="0.2">
      <c r="B51">
        <v>35084</v>
      </c>
      <c r="C51" s="1">
        <v>2.9999999999999999E-7</v>
      </c>
      <c r="D51" t="str">
        <f>VLOOKUP(B51,Nuclides!A:E,5,FALSE)</f>
        <v>Br84</v>
      </c>
      <c r="E51">
        <f>VLOOKUP(Sheet2!B51,Nuclides!A:E,2,FALSE)</f>
        <v>49</v>
      </c>
      <c r="F51">
        <f>VLOOKUP(B51,Nuclides!A:E,3,FALSE)</f>
        <v>35</v>
      </c>
      <c r="G51" s="1">
        <f t="shared" si="0"/>
        <v>3744000000</v>
      </c>
      <c r="H51">
        <f>VLOOKUP(B51,Nuclides!A:E,4,FALSE)</f>
        <v>1905.6</v>
      </c>
      <c r="J51" s="1">
        <v>35087</v>
      </c>
      <c r="K51" s="1">
        <v>2.2500000000000001E-5</v>
      </c>
      <c r="L51" t="str">
        <f>VLOOKUP(J51,Nuclides!A:E,5,FALSE)</f>
        <v>Br87</v>
      </c>
      <c r="M51">
        <f>VLOOKUP(Sheet2!J51,Nuclides!A:E,2,FALSE)</f>
        <v>52</v>
      </c>
      <c r="N51">
        <f>VLOOKUP(J51,Nuclides!A:E,3,FALSE)</f>
        <v>35</v>
      </c>
      <c r="O51" s="1">
        <f t="shared" si="1"/>
        <v>280800000000</v>
      </c>
      <c r="R51" s="1">
        <v>30058</v>
      </c>
      <c r="S51" s="1">
        <v>2.7082399999999999E-8</v>
      </c>
      <c r="T51" t="str">
        <f>VLOOKUP(R51,Nuclides!A:E,5,FALSE)</f>
        <v>Zn58</v>
      </c>
      <c r="U51">
        <f>VLOOKUP(Sheet2!R51,Nuclides!A:E,2,FALSE)</f>
        <v>28</v>
      </c>
      <c r="V51">
        <f>VLOOKUP(R51,Nuclides!A:E,3,FALSE)</f>
        <v>30</v>
      </c>
      <c r="W51" s="1">
        <f t="shared" si="2"/>
        <v>337988352</v>
      </c>
      <c r="X51" t="s">
        <v>691</v>
      </c>
      <c r="Z51" s="1">
        <v>29057</v>
      </c>
      <c r="AA51" s="1">
        <v>2.094E-9</v>
      </c>
      <c r="AB51" t="str">
        <f>VLOOKUP(Z51,Nuclides!A:E,5,FALSE)</f>
        <v>Cu57</v>
      </c>
      <c r="AC51">
        <f>VLOOKUP(Sheet2!Z51,Nuclides!A:E,2,FALSE)</f>
        <v>28</v>
      </c>
      <c r="AD51">
        <f>VLOOKUP(Z51,Nuclides!A:E,3,FALSE)</f>
        <v>29</v>
      </c>
      <c r="AE51" s="1">
        <f t="shared" si="3"/>
        <v>26133120</v>
      </c>
      <c r="AF51" t="s">
        <v>661</v>
      </c>
    </row>
    <row r="52" spans="2:32" x14ac:dyDescent="0.2">
      <c r="B52">
        <v>35085</v>
      </c>
      <c r="C52" s="1">
        <v>1.1999999999999999E-6</v>
      </c>
      <c r="D52" t="str">
        <f>VLOOKUP(B52,Nuclides!A:E,5,FALSE)</f>
        <v>Br85</v>
      </c>
      <c r="E52">
        <f>VLOOKUP(Sheet2!B52,Nuclides!A:E,2,FALSE)</f>
        <v>50</v>
      </c>
      <c r="F52">
        <f>VLOOKUP(B52,Nuclides!A:E,3,FALSE)</f>
        <v>35</v>
      </c>
      <c r="G52" s="1">
        <f t="shared" si="0"/>
        <v>14976000000</v>
      </c>
      <c r="H52">
        <f>VLOOKUP(B52,Nuclides!A:E,4,FALSE)</f>
        <v>174</v>
      </c>
      <c r="J52" s="1">
        <v>35088</v>
      </c>
      <c r="K52" s="1">
        <v>2.0400000000000001E-5</v>
      </c>
      <c r="L52" t="str">
        <f>VLOOKUP(J52,Nuclides!A:E,5,FALSE)</f>
        <v>Br88</v>
      </c>
      <c r="M52">
        <f>VLOOKUP(Sheet2!J52,Nuclides!A:E,2,FALSE)</f>
        <v>53</v>
      </c>
      <c r="N52">
        <f>VLOOKUP(J52,Nuclides!A:E,3,FALSE)</f>
        <v>35</v>
      </c>
      <c r="O52" s="1">
        <f t="shared" si="1"/>
        <v>254592000000</v>
      </c>
      <c r="R52" s="1">
        <v>30059</v>
      </c>
      <c r="S52" s="1">
        <v>1.1167999999999999E-8</v>
      </c>
      <c r="T52" t="str">
        <f>VLOOKUP(R52,Nuclides!A:E,5,FALSE)</f>
        <v>Zn59</v>
      </c>
      <c r="U52">
        <f>VLOOKUP(Sheet2!R52,Nuclides!A:E,2,FALSE)</f>
        <v>29</v>
      </c>
      <c r="V52">
        <f>VLOOKUP(R52,Nuclides!A:E,3,FALSE)</f>
        <v>30</v>
      </c>
      <c r="W52" s="1">
        <f t="shared" si="2"/>
        <v>139376640</v>
      </c>
      <c r="X52" t="s">
        <v>692</v>
      </c>
      <c r="Z52" s="1">
        <v>29058</v>
      </c>
      <c r="AA52" s="1">
        <v>5.1652000000000003E-9</v>
      </c>
      <c r="AB52" t="str">
        <f>VLOOKUP(Z52,Nuclides!A:E,5,FALSE)</f>
        <v>Cu58</v>
      </c>
      <c r="AC52">
        <f>VLOOKUP(Sheet2!Z52,Nuclides!A:E,2,FALSE)</f>
        <v>29</v>
      </c>
      <c r="AD52">
        <f>VLOOKUP(Z52,Nuclides!A:E,3,FALSE)</f>
        <v>29</v>
      </c>
      <c r="AE52" s="1">
        <f t="shared" si="3"/>
        <v>64461696.000000007</v>
      </c>
      <c r="AF52" t="s">
        <v>662</v>
      </c>
    </row>
    <row r="53" spans="2:32" x14ac:dyDescent="0.2">
      <c r="B53">
        <v>35086</v>
      </c>
      <c r="C53" s="1">
        <v>3.0000000000000001E-6</v>
      </c>
      <c r="D53" t="str">
        <f>VLOOKUP(B53,Nuclides!A:E,5,FALSE)</f>
        <v>Br86</v>
      </c>
      <c r="E53">
        <f>VLOOKUP(Sheet2!B53,Nuclides!A:E,2,FALSE)</f>
        <v>51</v>
      </c>
      <c r="F53">
        <f>VLOOKUP(B53,Nuclides!A:E,3,FALSE)</f>
        <v>35</v>
      </c>
      <c r="G53" s="1">
        <f t="shared" si="0"/>
        <v>37440000000</v>
      </c>
      <c r="H53">
        <f>VLOOKUP(B53,Nuclides!A:E,4,FALSE)</f>
        <v>55.1</v>
      </c>
      <c r="J53" s="1">
        <v>35089</v>
      </c>
      <c r="K53" s="1">
        <v>2.1999999999999999E-5</v>
      </c>
      <c r="L53" t="str">
        <f>VLOOKUP(J53,Nuclides!A:E,5,FALSE)</f>
        <v>Br89</v>
      </c>
      <c r="M53">
        <f>VLOOKUP(Sheet2!J53,Nuclides!A:E,2,FALSE)</f>
        <v>54</v>
      </c>
      <c r="N53">
        <f>VLOOKUP(J53,Nuclides!A:E,3,FALSE)</f>
        <v>35</v>
      </c>
      <c r="O53" s="1">
        <f t="shared" si="1"/>
        <v>274560000000</v>
      </c>
      <c r="R53" s="1">
        <v>30060</v>
      </c>
      <c r="S53" s="1">
        <v>8.5155999999999998E-9</v>
      </c>
      <c r="T53" t="str">
        <f>VLOOKUP(R53,Nuclides!A:E,5,FALSE)</f>
        <v>Zn60</v>
      </c>
      <c r="U53">
        <f>VLOOKUP(Sheet2!R53,Nuclides!A:E,2,FALSE)</f>
        <v>30</v>
      </c>
      <c r="V53">
        <f>VLOOKUP(R53,Nuclides!A:E,3,FALSE)</f>
        <v>30</v>
      </c>
      <c r="W53" s="1">
        <f t="shared" si="2"/>
        <v>106274688</v>
      </c>
      <c r="X53" t="s">
        <v>693</v>
      </c>
      <c r="Z53" s="1">
        <v>29059</v>
      </c>
      <c r="AA53" s="1">
        <v>7.8176000000000008E-9</v>
      </c>
      <c r="AB53" t="str">
        <f>VLOOKUP(Z53,Nuclides!A:E,5,FALSE)</f>
        <v>Cu59</v>
      </c>
      <c r="AC53">
        <f>VLOOKUP(Sheet2!Z53,Nuclides!A:E,2,FALSE)</f>
        <v>30</v>
      </c>
      <c r="AD53">
        <f>VLOOKUP(Z53,Nuclides!A:E,3,FALSE)</f>
        <v>29</v>
      </c>
      <c r="AE53" s="1">
        <f t="shared" si="3"/>
        <v>97563648.000000015</v>
      </c>
      <c r="AF53" t="s">
        <v>663</v>
      </c>
    </row>
    <row r="54" spans="2:32" x14ac:dyDescent="0.2">
      <c r="B54">
        <v>35087</v>
      </c>
      <c r="C54" s="1">
        <v>5.9000000000000003E-6</v>
      </c>
      <c r="D54" t="str">
        <f>VLOOKUP(B54,Nuclides!A:E,5,FALSE)</f>
        <v>Br87</v>
      </c>
      <c r="E54">
        <f>VLOOKUP(Sheet2!B54,Nuclides!A:E,2,FALSE)</f>
        <v>52</v>
      </c>
      <c r="F54">
        <f>VLOOKUP(B54,Nuclides!A:E,3,FALSE)</f>
        <v>35</v>
      </c>
      <c r="G54" s="1">
        <f t="shared" si="0"/>
        <v>73632000000</v>
      </c>
      <c r="H54">
        <f>VLOOKUP(B54,Nuclides!A:E,4,FALSE)</f>
        <v>55.65</v>
      </c>
      <c r="J54" s="1">
        <v>35090</v>
      </c>
      <c r="K54" s="1">
        <v>1.06E-5</v>
      </c>
      <c r="L54" t="str">
        <f>VLOOKUP(J54,Nuclides!A:E,5,FALSE)</f>
        <v>Br90</v>
      </c>
      <c r="M54">
        <f>VLOOKUP(Sheet2!J54,Nuclides!A:E,2,FALSE)</f>
        <v>55</v>
      </c>
      <c r="N54">
        <f>VLOOKUP(J54,Nuclides!A:E,3,FALSE)</f>
        <v>35</v>
      </c>
      <c r="O54" s="1">
        <f t="shared" si="1"/>
        <v>132288000000</v>
      </c>
      <c r="R54" s="1">
        <v>30061</v>
      </c>
      <c r="S54" s="1">
        <v>3.1409999999999998E-9</v>
      </c>
      <c r="T54" t="str">
        <f>VLOOKUP(R54,Nuclides!A:E,5,FALSE)</f>
        <v>Zn61</v>
      </c>
      <c r="U54">
        <f>VLOOKUP(Sheet2!R54,Nuclides!A:E,2,FALSE)</f>
        <v>31</v>
      </c>
      <c r="V54">
        <f>VLOOKUP(R54,Nuclides!A:E,3,FALSE)</f>
        <v>30</v>
      </c>
      <c r="W54" s="1">
        <f t="shared" si="2"/>
        <v>39199680</v>
      </c>
      <c r="X54" t="s">
        <v>694</v>
      </c>
      <c r="Z54" s="1">
        <v>29060</v>
      </c>
      <c r="AA54" s="1">
        <v>2.0451400000000001E-8</v>
      </c>
      <c r="AB54" t="str">
        <f>VLOOKUP(Z54,Nuclides!A:E,5,FALSE)</f>
        <v>Cu60</v>
      </c>
      <c r="AC54">
        <f>VLOOKUP(Sheet2!Z54,Nuclides!A:E,2,FALSE)</f>
        <v>31</v>
      </c>
      <c r="AD54">
        <f>VLOOKUP(Z54,Nuclides!A:E,3,FALSE)</f>
        <v>29</v>
      </c>
      <c r="AE54" s="1">
        <f t="shared" si="3"/>
        <v>255233472</v>
      </c>
      <c r="AF54" t="s">
        <v>664</v>
      </c>
    </row>
    <row r="55" spans="2:32" x14ac:dyDescent="0.2">
      <c r="B55">
        <v>35088</v>
      </c>
      <c r="C55" s="1">
        <v>7.9999999999999996E-6</v>
      </c>
      <c r="D55" t="str">
        <f>VLOOKUP(B55,Nuclides!A:E,5,FALSE)</f>
        <v>Br88</v>
      </c>
      <c r="E55">
        <f>VLOOKUP(Sheet2!B55,Nuclides!A:E,2,FALSE)</f>
        <v>53</v>
      </c>
      <c r="F55">
        <f>VLOOKUP(B55,Nuclides!A:E,3,FALSE)</f>
        <v>35</v>
      </c>
      <c r="G55" s="1">
        <f t="shared" si="0"/>
        <v>99840000000</v>
      </c>
      <c r="H55">
        <f>VLOOKUP(B55,Nuclides!A:E,4,FALSE)</f>
        <v>16.34</v>
      </c>
      <c r="J55" s="1">
        <v>35091</v>
      </c>
      <c r="K55" s="1">
        <v>6.6000000000000003E-6</v>
      </c>
      <c r="L55" t="str">
        <f>VLOOKUP(J55,Nuclides!A:E,5,FALSE)</f>
        <v>Br91</v>
      </c>
      <c r="M55">
        <f>VLOOKUP(Sheet2!J55,Nuclides!A:E,2,FALSE)</f>
        <v>56</v>
      </c>
      <c r="N55">
        <f>VLOOKUP(J55,Nuclides!A:E,3,FALSE)</f>
        <v>35</v>
      </c>
      <c r="O55" s="1">
        <f t="shared" si="1"/>
        <v>82368000000</v>
      </c>
      <c r="R55" s="1">
        <v>30062</v>
      </c>
      <c r="S55" s="1">
        <v>2.3034000000000001E-9</v>
      </c>
      <c r="T55" t="str">
        <f>VLOOKUP(R55,Nuclides!A:E,5,FALSE)</f>
        <v>Zn62</v>
      </c>
      <c r="U55">
        <f>VLOOKUP(Sheet2!R55,Nuclides!A:E,2,FALSE)</f>
        <v>32</v>
      </c>
      <c r="V55">
        <f>VLOOKUP(R55,Nuclides!A:E,3,FALSE)</f>
        <v>30</v>
      </c>
      <c r="W55" s="1">
        <f t="shared" si="2"/>
        <v>28746432</v>
      </c>
      <c r="X55" t="s">
        <v>695</v>
      </c>
      <c r="Z55" s="1">
        <v>29061</v>
      </c>
      <c r="AA55" s="1">
        <v>1.6193600000000001E-8</v>
      </c>
      <c r="AB55" t="str">
        <f>VLOOKUP(Z55,Nuclides!A:E,5,FALSE)</f>
        <v>Cu61</v>
      </c>
      <c r="AC55">
        <f>VLOOKUP(Sheet2!Z55,Nuclides!A:E,2,FALSE)</f>
        <v>32</v>
      </c>
      <c r="AD55">
        <f>VLOOKUP(Z55,Nuclides!A:E,3,FALSE)</f>
        <v>29</v>
      </c>
      <c r="AE55" s="1">
        <f t="shared" si="3"/>
        <v>202096128</v>
      </c>
      <c r="AF55" t="s">
        <v>665</v>
      </c>
    </row>
    <row r="56" spans="2:32" x14ac:dyDescent="0.2">
      <c r="B56">
        <v>35089</v>
      </c>
      <c r="C56" s="1">
        <v>1.2099999999999999E-5</v>
      </c>
      <c r="D56" t="str">
        <f>VLOOKUP(B56,Nuclides!A:E,5,FALSE)</f>
        <v>Br89</v>
      </c>
      <c r="E56">
        <f>VLOOKUP(Sheet2!B56,Nuclides!A:E,2,FALSE)</f>
        <v>54</v>
      </c>
      <c r="F56">
        <f>VLOOKUP(B56,Nuclides!A:E,3,FALSE)</f>
        <v>35</v>
      </c>
      <c r="G56" s="1">
        <f t="shared" si="0"/>
        <v>151008000000</v>
      </c>
      <c r="H56">
        <f>VLOOKUP(B56,Nuclides!A:E,4,FALSE)</f>
        <v>4.3570000000000002</v>
      </c>
      <c r="J56" s="1">
        <v>35092</v>
      </c>
      <c r="K56" s="1">
        <v>2.7999999999999999E-6</v>
      </c>
      <c r="L56" t="str">
        <f>VLOOKUP(J56,Nuclides!A:E,5,FALSE)</f>
        <v>Br92</v>
      </c>
      <c r="M56">
        <f>VLOOKUP(Sheet2!J56,Nuclides!A:E,2,FALSE)</f>
        <v>57</v>
      </c>
      <c r="N56">
        <f>VLOOKUP(J56,Nuclides!A:E,3,FALSE)</f>
        <v>35</v>
      </c>
      <c r="O56" s="1">
        <f t="shared" si="1"/>
        <v>34944000000</v>
      </c>
      <c r="R56" s="1">
        <v>30063</v>
      </c>
      <c r="S56" s="1">
        <v>3.4899999999999998E-10</v>
      </c>
      <c r="T56" t="str">
        <f>VLOOKUP(R56,Nuclides!A:E,5,FALSE)</f>
        <v>Zn63</v>
      </c>
      <c r="U56">
        <f>VLOOKUP(Sheet2!R56,Nuclides!A:E,2,FALSE)</f>
        <v>33</v>
      </c>
      <c r="V56">
        <f>VLOOKUP(R56,Nuclides!A:E,3,FALSE)</f>
        <v>30</v>
      </c>
      <c r="W56" s="1">
        <f t="shared" si="2"/>
        <v>4355520</v>
      </c>
      <c r="X56" t="s">
        <v>696</v>
      </c>
      <c r="Z56" s="1">
        <v>29062</v>
      </c>
      <c r="AA56" s="1">
        <v>2.3732E-8</v>
      </c>
      <c r="AB56" t="str">
        <f>VLOOKUP(Z56,Nuclides!A:E,5,FALSE)</f>
        <v>Cu62</v>
      </c>
      <c r="AC56">
        <f>VLOOKUP(Sheet2!Z56,Nuclides!A:E,2,FALSE)</f>
        <v>33</v>
      </c>
      <c r="AD56">
        <f>VLOOKUP(Z56,Nuclides!A:E,3,FALSE)</f>
        <v>29</v>
      </c>
      <c r="AE56" s="1">
        <f t="shared" si="3"/>
        <v>296175360</v>
      </c>
      <c r="AF56" t="s">
        <v>666</v>
      </c>
    </row>
    <row r="57" spans="2:32" x14ac:dyDescent="0.2">
      <c r="B57">
        <v>35090</v>
      </c>
      <c r="C57" s="1">
        <v>9.2E-6</v>
      </c>
      <c r="D57" t="str">
        <f>VLOOKUP(B57,Nuclides!A:E,5,FALSE)</f>
        <v>Br90</v>
      </c>
      <c r="E57">
        <f>VLOOKUP(Sheet2!B57,Nuclides!A:E,2,FALSE)</f>
        <v>55</v>
      </c>
      <c r="F57">
        <f>VLOOKUP(B57,Nuclides!A:E,3,FALSE)</f>
        <v>35</v>
      </c>
      <c r="G57" s="1">
        <f t="shared" si="0"/>
        <v>114816000000</v>
      </c>
      <c r="H57">
        <f>VLOOKUP(B57,Nuclides!A:E,4,FALSE)</f>
        <v>1.92</v>
      </c>
      <c r="J57" s="1">
        <v>36071</v>
      </c>
      <c r="K57" s="1">
        <v>4.9999999999999998E-7</v>
      </c>
      <c r="L57" t="str">
        <f>VLOOKUP(J57,Nuclides!A:E,5,FALSE)</f>
        <v>Kr71</v>
      </c>
      <c r="M57">
        <f>VLOOKUP(Sheet2!J57,Nuclides!A:E,2,FALSE)</f>
        <v>35</v>
      </c>
      <c r="N57">
        <f>VLOOKUP(J57,Nuclides!A:E,3,FALSE)</f>
        <v>36</v>
      </c>
      <c r="O57" s="1">
        <f t="shared" si="1"/>
        <v>6240000000</v>
      </c>
      <c r="R57" s="1">
        <v>30064</v>
      </c>
      <c r="S57" s="1">
        <v>3.4899999999999998E-10</v>
      </c>
      <c r="T57" t="str">
        <f>VLOOKUP(R57,Nuclides!A:E,5,FALSE)</f>
        <v>Zn64</v>
      </c>
      <c r="U57">
        <f>VLOOKUP(Sheet2!R57,Nuclides!A:E,2,FALSE)</f>
        <v>34</v>
      </c>
      <c r="V57">
        <f>VLOOKUP(R57,Nuclides!A:E,3,FALSE)</f>
        <v>30</v>
      </c>
      <c r="W57" s="1">
        <f t="shared" si="2"/>
        <v>4355520</v>
      </c>
      <c r="X57" t="s">
        <v>697</v>
      </c>
      <c r="Z57" s="1">
        <v>29063</v>
      </c>
      <c r="AA57" s="1">
        <v>1.10284E-8</v>
      </c>
      <c r="AB57" t="str">
        <f>VLOOKUP(Z57,Nuclides!A:E,5,FALSE)</f>
        <v>Cu63</v>
      </c>
      <c r="AC57">
        <f>VLOOKUP(Sheet2!Z57,Nuclides!A:E,2,FALSE)</f>
        <v>34</v>
      </c>
      <c r="AD57">
        <f>VLOOKUP(Z57,Nuclides!A:E,3,FALSE)</f>
        <v>29</v>
      </c>
      <c r="AE57" s="1">
        <f t="shared" si="3"/>
        <v>137634432</v>
      </c>
      <c r="AF57" t="s">
        <v>667</v>
      </c>
    </row>
    <row r="58" spans="2:32" x14ac:dyDescent="0.2">
      <c r="B58">
        <v>35091</v>
      </c>
      <c r="C58" s="1">
        <v>8.3000000000000002E-6</v>
      </c>
      <c r="D58" t="str">
        <f>VLOOKUP(B58,Nuclides!A:E,5,FALSE)</f>
        <v>Br91</v>
      </c>
      <c r="E58">
        <f>VLOOKUP(Sheet2!B58,Nuclides!A:E,2,FALSE)</f>
        <v>56</v>
      </c>
      <c r="F58">
        <f>VLOOKUP(B58,Nuclides!A:E,3,FALSE)</f>
        <v>35</v>
      </c>
      <c r="G58" s="1">
        <f t="shared" si="0"/>
        <v>103584000000</v>
      </c>
      <c r="H58">
        <f>VLOOKUP(B58,Nuclides!A:E,4,FALSE)</f>
        <v>0.54300000000000004</v>
      </c>
      <c r="J58" s="1">
        <v>36073</v>
      </c>
      <c r="K58" s="1">
        <v>9.9999999999999995E-8</v>
      </c>
      <c r="L58" t="str">
        <f>VLOOKUP(J58,Nuclides!A:E,5,FALSE)</f>
        <v>Kr73</v>
      </c>
      <c r="M58">
        <f>VLOOKUP(Sheet2!J58,Nuclides!A:E,2,FALSE)</f>
        <v>37</v>
      </c>
      <c r="N58">
        <f>VLOOKUP(J58,Nuclides!A:E,3,FALSE)</f>
        <v>36</v>
      </c>
      <c r="O58" s="1">
        <f t="shared" si="1"/>
        <v>1248000000</v>
      </c>
      <c r="R58" s="1">
        <v>30065</v>
      </c>
      <c r="S58" s="1">
        <v>6.9799999999999994E-11</v>
      </c>
      <c r="T58" t="str">
        <f>VLOOKUP(R58,Nuclides!A:E,5,FALSE)</f>
        <v>Zn65</v>
      </c>
      <c r="U58">
        <f>VLOOKUP(Sheet2!R58,Nuclides!A:E,2,FALSE)</f>
        <v>35</v>
      </c>
      <c r="V58">
        <f>VLOOKUP(R58,Nuclides!A:E,3,FALSE)</f>
        <v>30</v>
      </c>
      <c r="W58" s="1">
        <f t="shared" si="2"/>
        <v>871103.99999999988</v>
      </c>
      <c r="X58" t="s">
        <v>698</v>
      </c>
      <c r="Z58" s="1">
        <v>29064</v>
      </c>
      <c r="AA58" s="1">
        <v>1.0679399999999999E-8</v>
      </c>
      <c r="AB58" t="str">
        <f>VLOOKUP(Z58,Nuclides!A:E,5,FALSE)</f>
        <v>Cu64</v>
      </c>
      <c r="AC58">
        <f>VLOOKUP(Sheet2!Z58,Nuclides!A:E,2,FALSE)</f>
        <v>35</v>
      </c>
      <c r="AD58">
        <f>VLOOKUP(Z58,Nuclides!A:E,3,FALSE)</f>
        <v>29</v>
      </c>
      <c r="AE58" s="1">
        <f t="shared" si="3"/>
        <v>133278911.99999999</v>
      </c>
      <c r="AF58" t="s">
        <v>668</v>
      </c>
    </row>
    <row r="59" spans="2:32" x14ac:dyDescent="0.2">
      <c r="B59">
        <v>35092</v>
      </c>
      <c r="C59" s="1">
        <v>2.9000000000000002E-6</v>
      </c>
      <c r="D59" t="str">
        <f>VLOOKUP(B59,Nuclides!A:E,5,FALSE)</f>
        <v>Br92</v>
      </c>
      <c r="E59">
        <f>VLOOKUP(Sheet2!B59,Nuclides!A:E,2,FALSE)</f>
        <v>57</v>
      </c>
      <c r="F59">
        <f>VLOOKUP(B59,Nuclides!A:E,3,FALSE)</f>
        <v>35</v>
      </c>
      <c r="G59" s="1">
        <f t="shared" si="0"/>
        <v>36192000000</v>
      </c>
      <c r="H59">
        <f>VLOOKUP(B59,Nuclides!A:E,4,FALSE)</f>
        <v>0.314</v>
      </c>
      <c r="J59" s="1">
        <v>36085</v>
      </c>
      <c r="K59" s="1">
        <v>2.9999999999999999E-7</v>
      </c>
      <c r="L59" t="str">
        <f>VLOOKUP(J59,Nuclides!A:E,5,FALSE)</f>
        <v>Kr85</v>
      </c>
      <c r="M59">
        <f>VLOOKUP(Sheet2!J59,Nuclides!A:E,2,FALSE)</f>
        <v>49</v>
      </c>
      <c r="N59">
        <f>VLOOKUP(J59,Nuclides!A:E,3,FALSE)</f>
        <v>36</v>
      </c>
      <c r="O59" s="1">
        <f t="shared" si="1"/>
        <v>3744000000</v>
      </c>
      <c r="R59" s="1">
        <v>30069</v>
      </c>
      <c r="S59" s="1">
        <v>3.4899999999999998E-10</v>
      </c>
      <c r="T59" t="str">
        <f>VLOOKUP(R59,Nuclides!A:E,5,FALSE)</f>
        <v>Zn69</v>
      </c>
      <c r="U59">
        <f>VLOOKUP(Sheet2!R59,Nuclides!A:E,2,FALSE)</f>
        <v>39</v>
      </c>
      <c r="V59">
        <f>VLOOKUP(R59,Nuclides!A:E,3,FALSE)</f>
        <v>30</v>
      </c>
      <c r="W59" s="1">
        <f t="shared" si="2"/>
        <v>4355520</v>
      </c>
      <c r="X59" t="s">
        <v>702</v>
      </c>
      <c r="Z59" s="1">
        <v>29065</v>
      </c>
      <c r="AA59" s="1">
        <v>3.4900000000000001E-9</v>
      </c>
      <c r="AB59" t="str">
        <f>VLOOKUP(Z59,Nuclides!A:E,5,FALSE)</f>
        <v>Cu65</v>
      </c>
      <c r="AC59">
        <f>VLOOKUP(Sheet2!Z59,Nuclides!A:E,2,FALSE)</f>
        <v>36</v>
      </c>
      <c r="AD59">
        <f>VLOOKUP(Z59,Nuclides!A:E,3,FALSE)</f>
        <v>29</v>
      </c>
      <c r="AE59" s="1">
        <f t="shared" si="3"/>
        <v>43555200</v>
      </c>
      <c r="AF59" t="s">
        <v>669</v>
      </c>
    </row>
    <row r="60" spans="2:32" x14ac:dyDescent="0.2">
      <c r="B60">
        <v>36071</v>
      </c>
      <c r="C60" s="1">
        <v>2.7E-6</v>
      </c>
      <c r="D60" t="str">
        <f>VLOOKUP(B60,Nuclides!A:E,5,FALSE)</f>
        <v>Kr71</v>
      </c>
      <c r="E60">
        <f>VLOOKUP(Sheet2!B60,Nuclides!A:E,2,FALSE)</f>
        <v>35</v>
      </c>
      <c r="F60">
        <f>VLOOKUP(B60,Nuclides!A:E,3,FALSE)</f>
        <v>36</v>
      </c>
      <c r="G60" s="1">
        <f t="shared" si="0"/>
        <v>33696000000</v>
      </c>
      <c r="H60">
        <f>VLOOKUP(B60,Nuclides!A:E,4,FALSE)</f>
        <v>0.1</v>
      </c>
      <c r="J60" s="1">
        <v>36086</v>
      </c>
      <c r="K60" s="1">
        <v>3.0000000000000001E-6</v>
      </c>
      <c r="L60" t="str">
        <f>VLOOKUP(J60,Nuclides!A:E,5,FALSE)</f>
        <v>Kr86</v>
      </c>
      <c r="M60">
        <f>VLOOKUP(Sheet2!J60,Nuclides!A:E,2,FALSE)</f>
        <v>50</v>
      </c>
      <c r="N60">
        <f>VLOOKUP(J60,Nuclides!A:E,3,FALSE)</f>
        <v>36</v>
      </c>
      <c r="O60" s="1">
        <f t="shared" si="1"/>
        <v>37440000000</v>
      </c>
      <c r="R60" s="1">
        <v>30070</v>
      </c>
      <c r="S60" s="1">
        <v>2.0242000000000001E-9</v>
      </c>
      <c r="T60" t="str">
        <f>VLOOKUP(R60,Nuclides!A:E,5,FALSE)</f>
        <v>Zn70</v>
      </c>
      <c r="U60">
        <f>VLOOKUP(Sheet2!R60,Nuclides!A:E,2,FALSE)</f>
        <v>40</v>
      </c>
      <c r="V60">
        <f>VLOOKUP(R60,Nuclides!A:E,3,FALSE)</f>
        <v>30</v>
      </c>
      <c r="W60" s="1">
        <f t="shared" si="2"/>
        <v>25262016</v>
      </c>
      <c r="X60" t="s">
        <v>703</v>
      </c>
      <c r="Z60" s="1">
        <v>29066</v>
      </c>
      <c r="AA60" s="1">
        <v>1.9544000000000002E-9</v>
      </c>
      <c r="AB60" t="str">
        <f>VLOOKUP(Z60,Nuclides!A:E,5,FALSE)</f>
        <v>Cu66</v>
      </c>
      <c r="AC60">
        <f>VLOOKUP(Sheet2!Z60,Nuclides!A:E,2,FALSE)</f>
        <v>37</v>
      </c>
      <c r="AD60">
        <f>VLOOKUP(Z60,Nuclides!A:E,3,FALSE)</f>
        <v>29</v>
      </c>
      <c r="AE60" s="1">
        <f t="shared" si="3"/>
        <v>24390912.000000004</v>
      </c>
      <c r="AF60" t="s">
        <v>670</v>
      </c>
    </row>
    <row r="61" spans="2:32" x14ac:dyDescent="0.2">
      <c r="B61">
        <v>36072</v>
      </c>
      <c r="C61" s="1">
        <v>1.5E-6</v>
      </c>
      <c r="D61" t="str">
        <f>VLOOKUP(B61,Nuclides!A:E,5,FALSE)</f>
        <v>Kr72</v>
      </c>
      <c r="E61">
        <f>VLOOKUP(Sheet2!B61,Nuclides!A:E,2,FALSE)</f>
        <v>36</v>
      </c>
      <c r="F61">
        <f>VLOOKUP(B61,Nuclides!A:E,3,FALSE)</f>
        <v>36</v>
      </c>
      <c r="G61" s="1">
        <f t="shared" si="0"/>
        <v>18720000000</v>
      </c>
      <c r="H61">
        <f>VLOOKUP(B61,Nuclides!A:E,4,FALSE)</f>
        <v>17.100000000000001</v>
      </c>
      <c r="J61" s="1">
        <v>36087</v>
      </c>
      <c r="K61" s="1">
        <v>6.9E-6</v>
      </c>
      <c r="L61" t="str">
        <f>VLOOKUP(J61,Nuclides!A:E,5,FALSE)</f>
        <v>Kr87</v>
      </c>
      <c r="M61">
        <f>VLOOKUP(Sheet2!J61,Nuclides!A:E,2,FALSE)</f>
        <v>51</v>
      </c>
      <c r="N61">
        <f>VLOOKUP(J61,Nuclides!A:E,3,FALSE)</f>
        <v>36</v>
      </c>
      <c r="O61" s="1">
        <f t="shared" si="1"/>
        <v>86112000000</v>
      </c>
      <c r="R61" s="1">
        <v>30071</v>
      </c>
      <c r="S61" s="1">
        <v>7.4686000000000005E-9</v>
      </c>
      <c r="T61" t="str">
        <f>VLOOKUP(R61,Nuclides!A:E,5,FALSE)</f>
        <v>Zn71</v>
      </c>
      <c r="U61">
        <f>VLOOKUP(Sheet2!R61,Nuclides!A:E,2,FALSE)</f>
        <v>41</v>
      </c>
      <c r="V61">
        <f>VLOOKUP(R61,Nuclides!A:E,3,FALSE)</f>
        <v>30</v>
      </c>
      <c r="W61" s="1">
        <f t="shared" si="2"/>
        <v>93208128</v>
      </c>
      <c r="X61" t="s">
        <v>704</v>
      </c>
      <c r="Z61" s="1">
        <v>29067</v>
      </c>
      <c r="AA61" s="1">
        <v>2.094E-10</v>
      </c>
      <c r="AB61" t="str">
        <f>VLOOKUP(Z61,Nuclides!A:E,5,FALSE)</f>
        <v>Cu67</v>
      </c>
      <c r="AC61">
        <f>VLOOKUP(Sheet2!Z61,Nuclides!A:E,2,FALSE)</f>
        <v>38</v>
      </c>
      <c r="AD61">
        <f>VLOOKUP(Z61,Nuclides!A:E,3,FALSE)</f>
        <v>29</v>
      </c>
      <c r="AE61" s="1">
        <f t="shared" si="3"/>
        <v>2613312</v>
      </c>
      <c r="AF61" t="s">
        <v>671</v>
      </c>
    </row>
    <row r="62" spans="2:32" x14ac:dyDescent="0.2">
      <c r="B62">
        <v>36073</v>
      </c>
      <c r="C62" s="1">
        <v>4.9999999999999998E-7</v>
      </c>
      <c r="D62" t="str">
        <f>VLOOKUP(B62,Nuclides!A:E,5,FALSE)</f>
        <v>Kr73</v>
      </c>
      <c r="E62">
        <f>VLOOKUP(Sheet2!B62,Nuclides!A:E,2,FALSE)</f>
        <v>37</v>
      </c>
      <c r="F62">
        <f>VLOOKUP(B62,Nuclides!A:E,3,FALSE)</f>
        <v>36</v>
      </c>
      <c r="G62" s="1">
        <f t="shared" si="0"/>
        <v>6240000000</v>
      </c>
      <c r="H62">
        <f>VLOOKUP(B62,Nuclides!A:E,4,FALSE)</f>
        <v>27.3</v>
      </c>
      <c r="J62" s="1">
        <v>36088</v>
      </c>
      <c r="K62" s="1">
        <v>1.8600000000000001E-5</v>
      </c>
      <c r="L62" t="str">
        <f>VLOOKUP(J62,Nuclides!A:E,5,FALSE)</f>
        <v>Kr88</v>
      </c>
      <c r="M62">
        <f>VLOOKUP(Sheet2!J62,Nuclides!A:E,2,FALSE)</f>
        <v>52</v>
      </c>
      <c r="N62">
        <f>VLOOKUP(J62,Nuclides!A:E,3,FALSE)</f>
        <v>36</v>
      </c>
      <c r="O62" s="1">
        <f t="shared" si="1"/>
        <v>232128000000.00003</v>
      </c>
      <c r="R62" s="1">
        <v>30072</v>
      </c>
      <c r="S62" s="1">
        <v>1.9055399999999999E-8</v>
      </c>
      <c r="T62" t="str">
        <f>VLOOKUP(R62,Nuclides!A:E,5,FALSE)</f>
        <v>Zn72</v>
      </c>
      <c r="U62">
        <f>VLOOKUP(Sheet2!R62,Nuclides!A:E,2,FALSE)</f>
        <v>42</v>
      </c>
      <c r="V62">
        <f>VLOOKUP(R62,Nuclides!A:E,3,FALSE)</f>
        <v>30</v>
      </c>
      <c r="W62" s="1">
        <f t="shared" si="2"/>
        <v>237811392</v>
      </c>
      <c r="X62" t="s">
        <v>705</v>
      </c>
      <c r="Z62" s="1">
        <v>29068</v>
      </c>
      <c r="AA62" s="1">
        <v>1.3959999999999999E-10</v>
      </c>
      <c r="AB62" t="str">
        <f>VLOOKUP(Z62,Nuclides!A:E,5,FALSE)</f>
        <v>Cu68</v>
      </c>
      <c r="AC62">
        <f>VLOOKUP(Sheet2!Z62,Nuclides!A:E,2,FALSE)</f>
        <v>39</v>
      </c>
      <c r="AD62">
        <f>VLOOKUP(Z62,Nuclides!A:E,3,FALSE)</f>
        <v>29</v>
      </c>
      <c r="AE62" s="1">
        <f t="shared" si="3"/>
        <v>1742207.9999999998</v>
      </c>
      <c r="AF62" t="s">
        <v>672</v>
      </c>
    </row>
    <row r="63" spans="2:32" x14ac:dyDescent="0.2">
      <c r="B63">
        <v>36074</v>
      </c>
      <c r="C63" s="1">
        <v>2.9999999999999999E-7</v>
      </c>
      <c r="D63" t="str">
        <f>VLOOKUP(B63,Nuclides!A:E,5,FALSE)</f>
        <v>Kr74</v>
      </c>
      <c r="E63">
        <f>VLOOKUP(Sheet2!B63,Nuclides!A:E,2,FALSE)</f>
        <v>38</v>
      </c>
      <c r="F63">
        <f>VLOOKUP(B63,Nuclides!A:E,3,FALSE)</f>
        <v>36</v>
      </c>
      <c r="G63" s="1">
        <f t="shared" si="0"/>
        <v>3744000000</v>
      </c>
      <c r="H63">
        <f>VLOOKUP(B63,Nuclides!A:E,4,FALSE)</f>
        <v>690</v>
      </c>
      <c r="J63" s="1">
        <v>36089</v>
      </c>
      <c r="K63" s="1">
        <v>3.3200000000000001E-5</v>
      </c>
      <c r="L63" t="str">
        <f>VLOOKUP(J63,Nuclides!A:E,5,FALSE)</f>
        <v>Kr89</v>
      </c>
      <c r="M63">
        <f>VLOOKUP(Sheet2!J63,Nuclides!A:E,2,FALSE)</f>
        <v>53</v>
      </c>
      <c r="N63">
        <f>VLOOKUP(J63,Nuclides!A:E,3,FALSE)</f>
        <v>36</v>
      </c>
      <c r="O63" s="1">
        <f t="shared" si="1"/>
        <v>414336000000</v>
      </c>
      <c r="R63" s="1">
        <v>30073</v>
      </c>
      <c r="S63" s="1">
        <v>3.7133599999999998E-8</v>
      </c>
      <c r="T63" t="str">
        <f>VLOOKUP(R63,Nuclides!A:E,5,FALSE)</f>
        <v>Zn73</v>
      </c>
      <c r="U63">
        <f>VLOOKUP(Sheet2!R63,Nuclides!A:E,2,FALSE)</f>
        <v>43</v>
      </c>
      <c r="V63">
        <f>VLOOKUP(R63,Nuclides!A:E,3,FALSE)</f>
        <v>30</v>
      </c>
      <c r="W63" s="1">
        <f t="shared" si="2"/>
        <v>463427328</v>
      </c>
      <c r="X63" t="s">
        <v>706</v>
      </c>
      <c r="Z63" s="1">
        <v>29069</v>
      </c>
      <c r="AA63" s="1">
        <v>9.0739999999999999E-10</v>
      </c>
      <c r="AB63" t="str">
        <f>VLOOKUP(Z63,Nuclides!A:E,5,FALSE)</f>
        <v>Cu69</v>
      </c>
      <c r="AC63">
        <f>VLOOKUP(Sheet2!Z63,Nuclides!A:E,2,FALSE)</f>
        <v>40</v>
      </c>
      <c r="AD63">
        <f>VLOOKUP(Z63,Nuclides!A:E,3,FALSE)</f>
        <v>29</v>
      </c>
      <c r="AE63" s="1">
        <f t="shared" si="3"/>
        <v>11324352</v>
      </c>
      <c r="AF63" t="s">
        <v>673</v>
      </c>
    </row>
    <row r="64" spans="2:32" x14ac:dyDescent="0.2">
      <c r="B64">
        <v>36085</v>
      </c>
      <c r="C64" s="1">
        <v>9.9999999999999995E-8</v>
      </c>
      <c r="D64" t="str">
        <f>VLOOKUP(B64,Nuclides!A:E,5,FALSE)</f>
        <v>Kr85</v>
      </c>
      <c r="E64">
        <f>VLOOKUP(Sheet2!B64,Nuclides!A:E,2,FALSE)</f>
        <v>49</v>
      </c>
      <c r="F64">
        <f>VLOOKUP(B64,Nuclides!A:E,3,FALSE)</f>
        <v>36</v>
      </c>
      <c r="G64" s="1">
        <f t="shared" si="0"/>
        <v>1248000000</v>
      </c>
      <c r="H64">
        <f>VLOOKUP(B64,Nuclides!A:E,4,FALSE)</f>
        <v>338897066.39999998</v>
      </c>
      <c r="J64" s="1">
        <v>36090</v>
      </c>
      <c r="K64" s="1">
        <v>5.1199999999999998E-5</v>
      </c>
      <c r="L64" t="str">
        <f>VLOOKUP(J64,Nuclides!A:E,5,FALSE)</f>
        <v>Kr90</v>
      </c>
      <c r="M64">
        <f>VLOOKUP(Sheet2!J64,Nuclides!A:E,2,FALSE)</f>
        <v>54</v>
      </c>
      <c r="N64">
        <f>VLOOKUP(J64,Nuclides!A:E,3,FALSE)</f>
        <v>36</v>
      </c>
      <c r="O64" s="1">
        <f t="shared" si="1"/>
        <v>638976000000</v>
      </c>
      <c r="R64" s="1">
        <v>30074</v>
      </c>
      <c r="S64" s="1">
        <v>9.1856800000000002E-8</v>
      </c>
      <c r="T64" t="str">
        <f>VLOOKUP(R64,Nuclides!A:E,5,FALSE)</f>
        <v>Zn74</v>
      </c>
      <c r="U64">
        <f>VLOOKUP(Sheet2!R64,Nuclides!A:E,2,FALSE)</f>
        <v>44</v>
      </c>
      <c r="V64">
        <f>VLOOKUP(R64,Nuclides!A:E,3,FALSE)</f>
        <v>30</v>
      </c>
      <c r="W64" s="1">
        <f t="shared" si="2"/>
        <v>1146372864</v>
      </c>
      <c r="X64" t="s">
        <v>707</v>
      </c>
      <c r="Z64" s="1">
        <v>29070</v>
      </c>
      <c r="AA64" s="1">
        <v>1.6054000000000001E-9</v>
      </c>
      <c r="AB64" t="str">
        <f>VLOOKUP(Z64,Nuclides!A:E,5,FALSE)</f>
        <v>Cu70</v>
      </c>
      <c r="AC64">
        <f>VLOOKUP(Sheet2!Z64,Nuclides!A:E,2,FALSE)</f>
        <v>41</v>
      </c>
      <c r="AD64">
        <f>VLOOKUP(Z64,Nuclides!A:E,3,FALSE)</f>
        <v>29</v>
      </c>
      <c r="AE64" s="1">
        <f t="shared" si="3"/>
        <v>20035392</v>
      </c>
      <c r="AF64" t="s">
        <v>674</v>
      </c>
    </row>
    <row r="65" spans="2:32" x14ac:dyDescent="0.2">
      <c r="B65">
        <v>36086</v>
      </c>
      <c r="C65" s="1">
        <v>1.9999999999999999E-7</v>
      </c>
      <c r="D65" t="str">
        <f>VLOOKUP(B65,Nuclides!A:E,5,FALSE)</f>
        <v>Kr86</v>
      </c>
      <c r="E65">
        <f>VLOOKUP(Sheet2!B65,Nuclides!A:E,2,FALSE)</f>
        <v>50</v>
      </c>
      <c r="F65">
        <f>VLOOKUP(B65,Nuclides!A:E,3,FALSE)</f>
        <v>36</v>
      </c>
      <c r="G65" s="1">
        <f t="shared" si="0"/>
        <v>2496000000</v>
      </c>
      <c r="H65" t="str">
        <f>VLOOKUP(B65,Nuclides!A:E,4,FALSE)</f>
        <v>STABLE</v>
      </c>
      <c r="J65" s="1">
        <v>36091</v>
      </c>
      <c r="K65" s="1">
        <v>4.3399999999999998E-5</v>
      </c>
      <c r="L65" t="str">
        <f>VLOOKUP(J65,Nuclides!A:E,5,FALSE)</f>
        <v>Kr91</v>
      </c>
      <c r="M65">
        <f>VLOOKUP(Sheet2!J65,Nuclides!A:E,2,FALSE)</f>
        <v>55</v>
      </c>
      <c r="N65">
        <f>VLOOKUP(J65,Nuclides!A:E,3,FALSE)</f>
        <v>36</v>
      </c>
      <c r="O65" s="1">
        <f t="shared" si="1"/>
        <v>541632000000</v>
      </c>
      <c r="R65" s="1">
        <v>30075</v>
      </c>
      <c r="S65" s="1">
        <v>1.16845E-7</v>
      </c>
      <c r="T65" t="str">
        <f>VLOOKUP(R65,Nuclides!A:E,5,FALSE)</f>
        <v>Zn75</v>
      </c>
      <c r="U65">
        <f>VLOOKUP(Sheet2!R65,Nuclides!A:E,2,FALSE)</f>
        <v>45</v>
      </c>
      <c r="V65">
        <f>VLOOKUP(R65,Nuclides!A:E,3,FALSE)</f>
        <v>30</v>
      </c>
      <c r="W65" s="1">
        <f t="shared" si="2"/>
        <v>1458225600</v>
      </c>
      <c r="X65" t="s">
        <v>708</v>
      </c>
      <c r="Z65" s="1">
        <v>29071</v>
      </c>
      <c r="AA65" s="1">
        <v>6.4914000000000001E-9</v>
      </c>
      <c r="AB65" t="str">
        <f>VLOOKUP(Z65,Nuclides!A:E,5,FALSE)</f>
        <v>Cu71</v>
      </c>
      <c r="AC65">
        <f>VLOOKUP(Sheet2!Z65,Nuclides!A:E,2,FALSE)</f>
        <v>42</v>
      </c>
      <c r="AD65">
        <f>VLOOKUP(Z65,Nuclides!A:E,3,FALSE)</f>
        <v>29</v>
      </c>
      <c r="AE65" s="1">
        <f t="shared" si="3"/>
        <v>81012672</v>
      </c>
      <c r="AF65" t="s">
        <v>675</v>
      </c>
    </row>
    <row r="66" spans="2:32" x14ac:dyDescent="0.2">
      <c r="B66">
        <v>36087</v>
      </c>
      <c r="C66" s="1">
        <v>7.9999999999999996E-7</v>
      </c>
      <c r="D66" t="str">
        <f>VLOOKUP(B66,Nuclides!A:E,5,FALSE)</f>
        <v>Kr87</v>
      </c>
      <c r="E66">
        <f>VLOOKUP(Sheet2!B66,Nuclides!A:E,2,FALSE)</f>
        <v>51</v>
      </c>
      <c r="F66">
        <f>VLOOKUP(B66,Nuclides!A:E,3,FALSE)</f>
        <v>36</v>
      </c>
      <c r="G66" s="1">
        <f t="shared" si="0"/>
        <v>9984000000</v>
      </c>
      <c r="H66">
        <f>VLOOKUP(B66,Nuclides!A:E,4,FALSE)</f>
        <v>4578</v>
      </c>
      <c r="J66" s="1">
        <v>36092</v>
      </c>
      <c r="K66" s="1">
        <v>4.18E-5</v>
      </c>
      <c r="L66" t="str">
        <f>VLOOKUP(J66,Nuclides!A:E,5,FALSE)</f>
        <v>Kr92</v>
      </c>
      <c r="M66">
        <f>VLOOKUP(Sheet2!J66,Nuclides!A:E,2,FALSE)</f>
        <v>56</v>
      </c>
      <c r="N66">
        <f>VLOOKUP(J66,Nuclides!A:E,3,FALSE)</f>
        <v>36</v>
      </c>
      <c r="O66" s="1">
        <f t="shared" si="1"/>
        <v>521664000000</v>
      </c>
      <c r="R66" s="1">
        <v>30076</v>
      </c>
      <c r="S66" s="1">
        <v>2.11354E-7</v>
      </c>
      <c r="T66" t="str">
        <f>VLOOKUP(R66,Nuclides!A:E,5,FALSE)</f>
        <v>Zn76</v>
      </c>
      <c r="U66">
        <f>VLOOKUP(Sheet2!R66,Nuclides!A:E,2,FALSE)</f>
        <v>46</v>
      </c>
      <c r="V66">
        <f>VLOOKUP(R66,Nuclides!A:E,3,FALSE)</f>
        <v>30</v>
      </c>
      <c r="W66" s="1">
        <f t="shared" si="2"/>
        <v>2637697920</v>
      </c>
      <c r="X66" t="s">
        <v>709</v>
      </c>
      <c r="Z66" s="1">
        <v>29072</v>
      </c>
      <c r="AA66" s="1">
        <v>1.34714E-8</v>
      </c>
      <c r="AB66" t="str">
        <f>VLOOKUP(Z66,Nuclides!A:E,5,FALSE)</f>
        <v>Cu72</v>
      </c>
      <c r="AC66">
        <f>VLOOKUP(Sheet2!Z66,Nuclides!A:E,2,FALSE)</f>
        <v>43</v>
      </c>
      <c r="AD66">
        <f>VLOOKUP(Z66,Nuclides!A:E,3,FALSE)</f>
        <v>29</v>
      </c>
      <c r="AE66" s="1">
        <f t="shared" si="3"/>
        <v>168123072</v>
      </c>
      <c r="AF66" t="s">
        <v>676</v>
      </c>
    </row>
    <row r="67" spans="2:32" x14ac:dyDescent="0.2">
      <c r="B67">
        <v>36088</v>
      </c>
      <c r="C67" s="1">
        <v>3.3000000000000002E-6</v>
      </c>
      <c r="D67" t="str">
        <f>VLOOKUP(B67,Nuclides!A:E,5,FALSE)</f>
        <v>Kr88</v>
      </c>
      <c r="E67">
        <f>VLOOKUP(Sheet2!B67,Nuclides!A:E,2,FALSE)</f>
        <v>52</v>
      </c>
      <c r="F67">
        <f>VLOOKUP(B67,Nuclides!A:E,3,FALSE)</f>
        <v>36</v>
      </c>
      <c r="G67" s="1">
        <f t="shared" si="0"/>
        <v>41184000000</v>
      </c>
      <c r="H67">
        <f>VLOOKUP(B67,Nuclides!A:E,4,FALSE)</f>
        <v>10170</v>
      </c>
      <c r="J67" s="1">
        <v>36093</v>
      </c>
      <c r="K67" s="1">
        <v>1.52E-5</v>
      </c>
      <c r="L67" t="str">
        <f>VLOOKUP(J67,Nuclides!A:E,5,FALSE)</f>
        <v>Kr93</v>
      </c>
      <c r="M67">
        <f>VLOOKUP(Sheet2!J67,Nuclides!A:E,2,FALSE)</f>
        <v>57</v>
      </c>
      <c r="N67">
        <f>VLOOKUP(J67,Nuclides!A:E,3,FALSE)</f>
        <v>36</v>
      </c>
      <c r="O67" s="1">
        <f t="shared" si="1"/>
        <v>189696000000</v>
      </c>
      <c r="R67" s="1">
        <v>30077</v>
      </c>
      <c r="S67" s="1">
        <v>1.40158E-7</v>
      </c>
      <c r="T67" t="str">
        <f>VLOOKUP(R67,Nuclides!A:E,5,FALSE)</f>
        <v>Zn77</v>
      </c>
      <c r="U67">
        <f>VLOOKUP(Sheet2!R67,Nuclides!A:E,2,FALSE)</f>
        <v>47</v>
      </c>
      <c r="V67">
        <f>VLOOKUP(R67,Nuclides!A:E,3,FALSE)</f>
        <v>30</v>
      </c>
      <c r="W67" s="1">
        <f t="shared" si="2"/>
        <v>1749171840</v>
      </c>
      <c r="X67" t="s">
        <v>710</v>
      </c>
      <c r="Z67" s="1">
        <v>29073</v>
      </c>
      <c r="AA67" s="1">
        <v>3.7691999999999998E-8</v>
      </c>
      <c r="AB67" t="str">
        <f>VLOOKUP(Z67,Nuclides!A:E,5,FALSE)</f>
        <v>Cu73</v>
      </c>
      <c r="AC67">
        <f>VLOOKUP(Sheet2!Z67,Nuclides!A:E,2,FALSE)</f>
        <v>44</v>
      </c>
      <c r="AD67">
        <f>VLOOKUP(Z67,Nuclides!A:E,3,FALSE)</f>
        <v>29</v>
      </c>
      <c r="AE67" s="1">
        <f t="shared" si="3"/>
        <v>470396160</v>
      </c>
      <c r="AF67" t="s">
        <v>677</v>
      </c>
    </row>
    <row r="68" spans="2:32" x14ac:dyDescent="0.2">
      <c r="B68">
        <v>36089</v>
      </c>
      <c r="C68" s="1">
        <v>4.6E-6</v>
      </c>
      <c r="D68" t="str">
        <f>VLOOKUP(B68,Nuclides!A:E,5,FALSE)</f>
        <v>Kr89</v>
      </c>
      <c r="E68">
        <f>VLOOKUP(Sheet2!B68,Nuclides!A:E,2,FALSE)</f>
        <v>53</v>
      </c>
      <c r="F68">
        <f>VLOOKUP(B68,Nuclides!A:E,3,FALSE)</f>
        <v>36</v>
      </c>
      <c r="G68" s="1">
        <f t="shared" ref="G68:G131" si="4">C68*12480000000000000</f>
        <v>57408000000</v>
      </c>
      <c r="H68">
        <f>VLOOKUP(B68,Nuclides!A:E,4,FALSE)</f>
        <v>189</v>
      </c>
      <c r="J68" s="1">
        <v>36094</v>
      </c>
      <c r="K68" s="1">
        <v>6.3999999999999997E-6</v>
      </c>
      <c r="L68" t="str">
        <f>VLOOKUP(J68,Nuclides!A:E,5,FALSE)</f>
        <v>Kr94</v>
      </c>
      <c r="M68">
        <f>VLOOKUP(Sheet2!J68,Nuclides!A:E,2,FALSE)</f>
        <v>58</v>
      </c>
      <c r="N68">
        <f>VLOOKUP(J68,Nuclides!A:E,3,FALSE)</f>
        <v>36</v>
      </c>
      <c r="O68" s="1">
        <f t="shared" ref="O68:O131" si="5">K68*12480000000000000</f>
        <v>79872000000</v>
      </c>
      <c r="R68" s="1">
        <v>30078</v>
      </c>
      <c r="S68" s="1">
        <v>1.3652899999999999E-7</v>
      </c>
      <c r="T68" t="str">
        <f>VLOOKUP(R68,Nuclides!A:E,5,FALSE)</f>
        <v>Zn78</v>
      </c>
      <c r="U68">
        <f>VLOOKUP(Sheet2!R68,Nuclides!A:E,2,FALSE)</f>
        <v>48</v>
      </c>
      <c r="V68">
        <f>VLOOKUP(R68,Nuclides!A:E,3,FALSE)</f>
        <v>30</v>
      </c>
      <c r="W68" s="1">
        <f t="shared" ref="W68:W131" si="6">S68*12480000000000000</f>
        <v>1703881920</v>
      </c>
      <c r="X68" t="s">
        <v>711</v>
      </c>
      <c r="Z68" s="1">
        <v>30057</v>
      </c>
      <c r="AA68" s="1">
        <v>5.07446E-8</v>
      </c>
      <c r="AB68" t="str">
        <f>VLOOKUP(Z68,Nuclides!A:E,5,FALSE)</f>
        <v>Zn57</v>
      </c>
      <c r="AC68">
        <f>VLOOKUP(Sheet2!Z68,Nuclides!A:E,2,FALSE)</f>
        <v>27</v>
      </c>
      <c r="AD68">
        <f>VLOOKUP(Z68,Nuclides!A:E,3,FALSE)</f>
        <v>30</v>
      </c>
      <c r="AE68" s="1">
        <f t="shared" ref="AE68:AE131" si="7">AA68*12480000000000000</f>
        <v>633292608</v>
      </c>
      <c r="AF68" t="s">
        <v>690</v>
      </c>
    </row>
    <row r="69" spans="2:32" x14ac:dyDescent="0.2">
      <c r="B69">
        <v>36090</v>
      </c>
      <c r="C69" s="1">
        <v>1.24E-5</v>
      </c>
      <c r="D69" t="str">
        <f>VLOOKUP(B69,Nuclides!A:E,5,FALSE)</f>
        <v>Kr90</v>
      </c>
      <c r="E69">
        <f>VLOOKUP(Sheet2!B69,Nuclides!A:E,2,FALSE)</f>
        <v>54</v>
      </c>
      <c r="F69">
        <f>VLOOKUP(B69,Nuclides!A:E,3,FALSE)</f>
        <v>36</v>
      </c>
      <c r="G69" s="1">
        <f t="shared" si="4"/>
        <v>154752000000</v>
      </c>
      <c r="H69">
        <f>VLOOKUP(B69,Nuclides!A:E,4,FALSE)</f>
        <v>32.32</v>
      </c>
      <c r="J69" s="1">
        <v>36095</v>
      </c>
      <c r="K69" s="1">
        <v>1.1000000000000001E-6</v>
      </c>
      <c r="L69" t="str">
        <f>VLOOKUP(J69,Nuclides!A:E,5,FALSE)</f>
        <v>Kr95</v>
      </c>
      <c r="M69">
        <f>VLOOKUP(Sheet2!J69,Nuclides!A:E,2,FALSE)</f>
        <v>59</v>
      </c>
      <c r="N69">
        <f>VLOOKUP(J69,Nuclides!A:E,3,FALSE)</f>
        <v>36</v>
      </c>
      <c r="O69" s="1">
        <f t="shared" si="5"/>
        <v>13728000000</v>
      </c>
      <c r="R69" s="1">
        <v>31062</v>
      </c>
      <c r="S69" s="1">
        <v>5.3466800000000001E-8</v>
      </c>
      <c r="T69" t="str">
        <f>VLOOKUP(R69,Nuclides!A:E,5,FALSE)</f>
        <v>Ga62</v>
      </c>
      <c r="U69">
        <f>VLOOKUP(Sheet2!R69,Nuclides!A:E,2,FALSE)</f>
        <v>31</v>
      </c>
      <c r="V69">
        <f>VLOOKUP(R69,Nuclides!A:E,3,FALSE)</f>
        <v>31</v>
      </c>
      <c r="W69" s="1">
        <f t="shared" si="6"/>
        <v>667265664</v>
      </c>
      <c r="X69" t="s">
        <v>721</v>
      </c>
      <c r="Z69" s="1">
        <v>30058</v>
      </c>
      <c r="AA69" s="1">
        <v>9.4230000000000004E-8</v>
      </c>
      <c r="AB69" t="str">
        <f>VLOOKUP(Z69,Nuclides!A:E,5,FALSE)</f>
        <v>Zn58</v>
      </c>
      <c r="AC69">
        <f>VLOOKUP(Sheet2!Z69,Nuclides!A:E,2,FALSE)</f>
        <v>28</v>
      </c>
      <c r="AD69">
        <f>VLOOKUP(Z69,Nuclides!A:E,3,FALSE)</f>
        <v>30</v>
      </c>
      <c r="AE69" s="1">
        <f t="shared" si="7"/>
        <v>1175990400</v>
      </c>
      <c r="AF69" t="s">
        <v>691</v>
      </c>
    </row>
    <row r="70" spans="2:32" x14ac:dyDescent="0.2">
      <c r="B70">
        <v>36091</v>
      </c>
      <c r="C70" s="1">
        <v>1.26E-5</v>
      </c>
      <c r="D70" t="str">
        <f>VLOOKUP(B70,Nuclides!A:E,5,FALSE)</f>
        <v>Kr91</v>
      </c>
      <c r="E70">
        <f>VLOOKUP(Sheet2!B70,Nuclides!A:E,2,FALSE)</f>
        <v>55</v>
      </c>
      <c r="F70">
        <f>VLOOKUP(B70,Nuclides!A:E,3,FALSE)</f>
        <v>36</v>
      </c>
      <c r="G70" s="1">
        <f t="shared" si="4"/>
        <v>157248000000</v>
      </c>
      <c r="H70">
        <f>VLOOKUP(B70,Nuclides!A:E,4,FALSE)</f>
        <v>8.57</v>
      </c>
      <c r="J70" s="1">
        <v>36096</v>
      </c>
      <c r="K70" s="1">
        <v>3.9999999999999998E-7</v>
      </c>
      <c r="L70" t="str">
        <f>VLOOKUP(J70,Nuclides!A:E,5,FALSE)</f>
        <v>Kr96</v>
      </c>
      <c r="M70">
        <f>VLOOKUP(Sheet2!J70,Nuclides!A:E,2,FALSE)</f>
        <v>60</v>
      </c>
      <c r="N70">
        <f>VLOOKUP(J70,Nuclides!A:E,3,FALSE)</f>
        <v>36</v>
      </c>
      <c r="O70" s="1">
        <f t="shared" si="5"/>
        <v>4992000000</v>
      </c>
      <c r="R70" s="1">
        <v>31063</v>
      </c>
      <c r="S70" s="1">
        <v>3.07818E-8</v>
      </c>
      <c r="T70" t="str">
        <f>VLOOKUP(R70,Nuclides!A:E,5,FALSE)</f>
        <v>Ga63</v>
      </c>
      <c r="U70">
        <f>VLOOKUP(Sheet2!R70,Nuclides!A:E,2,FALSE)</f>
        <v>32</v>
      </c>
      <c r="V70">
        <f>VLOOKUP(R70,Nuclides!A:E,3,FALSE)</f>
        <v>31</v>
      </c>
      <c r="W70" s="1">
        <f t="shared" si="6"/>
        <v>384156864</v>
      </c>
      <c r="X70" t="s">
        <v>722</v>
      </c>
      <c r="Z70" s="1">
        <v>30059</v>
      </c>
      <c r="AA70" s="1">
        <v>6.4913999999999995E-8</v>
      </c>
      <c r="AB70" t="str">
        <f>VLOOKUP(Z70,Nuclides!A:E,5,FALSE)</f>
        <v>Zn59</v>
      </c>
      <c r="AC70">
        <f>VLOOKUP(Sheet2!Z70,Nuclides!A:E,2,FALSE)</f>
        <v>29</v>
      </c>
      <c r="AD70">
        <f>VLOOKUP(Z70,Nuclides!A:E,3,FALSE)</f>
        <v>30</v>
      </c>
      <c r="AE70" s="1">
        <f t="shared" si="7"/>
        <v>810126719.99999988</v>
      </c>
      <c r="AF70" t="s">
        <v>692</v>
      </c>
    </row>
    <row r="71" spans="2:32" x14ac:dyDescent="0.2">
      <c r="B71">
        <v>36092</v>
      </c>
      <c r="C71" s="1">
        <v>1.36E-5</v>
      </c>
      <c r="D71" t="str">
        <f>VLOOKUP(B71,Nuclides!A:E,5,FALSE)</f>
        <v>Kr92</v>
      </c>
      <c r="E71">
        <f>VLOOKUP(Sheet2!B71,Nuclides!A:E,2,FALSE)</f>
        <v>56</v>
      </c>
      <c r="F71">
        <f>VLOOKUP(B71,Nuclides!A:E,3,FALSE)</f>
        <v>36</v>
      </c>
      <c r="G71" s="1">
        <f t="shared" si="4"/>
        <v>169728000000</v>
      </c>
      <c r="H71">
        <f>VLOOKUP(B71,Nuclides!A:E,4,FALSE)</f>
        <v>1.84</v>
      </c>
      <c r="J71" s="1">
        <v>37085</v>
      </c>
      <c r="K71" s="1">
        <v>9.9999999999999995E-8</v>
      </c>
      <c r="L71" t="str">
        <f>VLOOKUP(J71,Nuclides!A:E,5,FALSE)</f>
        <v>Rb85</v>
      </c>
      <c r="M71">
        <f>VLOOKUP(Sheet2!J71,Nuclides!A:E,2,FALSE)</f>
        <v>48</v>
      </c>
      <c r="N71">
        <f>VLOOKUP(J71,Nuclides!A:E,3,FALSE)</f>
        <v>37</v>
      </c>
      <c r="O71" s="1">
        <f t="shared" si="5"/>
        <v>1248000000</v>
      </c>
      <c r="R71" s="1">
        <v>31064</v>
      </c>
      <c r="S71" s="1">
        <v>3.6296E-9</v>
      </c>
      <c r="T71" t="str">
        <f>VLOOKUP(R71,Nuclides!A:E,5,FALSE)</f>
        <v>Ga64</v>
      </c>
      <c r="U71">
        <f>VLOOKUP(Sheet2!R71,Nuclides!A:E,2,FALSE)</f>
        <v>33</v>
      </c>
      <c r="V71">
        <f>VLOOKUP(R71,Nuclides!A:E,3,FALSE)</f>
        <v>31</v>
      </c>
      <c r="W71" s="1">
        <f t="shared" si="6"/>
        <v>45297408</v>
      </c>
      <c r="X71" t="s">
        <v>723</v>
      </c>
      <c r="Z71" s="1">
        <v>30060</v>
      </c>
      <c r="AA71" s="1">
        <v>8.3341200000000003E-8</v>
      </c>
      <c r="AB71" t="str">
        <f>VLOOKUP(Z71,Nuclides!A:E,5,FALSE)</f>
        <v>Zn60</v>
      </c>
      <c r="AC71">
        <f>VLOOKUP(Sheet2!Z71,Nuclides!A:E,2,FALSE)</f>
        <v>30</v>
      </c>
      <c r="AD71">
        <f>VLOOKUP(Z71,Nuclides!A:E,3,FALSE)</f>
        <v>30</v>
      </c>
      <c r="AE71" s="1">
        <f t="shared" si="7"/>
        <v>1040098176</v>
      </c>
      <c r="AF71" t="s">
        <v>693</v>
      </c>
    </row>
    <row r="72" spans="2:32" x14ac:dyDescent="0.2">
      <c r="B72">
        <v>36093</v>
      </c>
      <c r="C72" s="1">
        <v>7.5000000000000002E-6</v>
      </c>
      <c r="D72" t="str">
        <f>VLOOKUP(B72,Nuclides!A:E,5,FALSE)</f>
        <v>Kr93</v>
      </c>
      <c r="E72">
        <f>VLOOKUP(Sheet2!B72,Nuclides!A:E,2,FALSE)</f>
        <v>57</v>
      </c>
      <c r="F72">
        <f>VLOOKUP(B72,Nuclides!A:E,3,FALSE)</f>
        <v>36</v>
      </c>
      <c r="G72" s="1">
        <f t="shared" si="4"/>
        <v>93600000000</v>
      </c>
      <c r="H72">
        <f>VLOOKUP(B72,Nuclides!A:E,4,FALSE)</f>
        <v>1.286</v>
      </c>
      <c r="J72" s="1">
        <v>37087</v>
      </c>
      <c r="K72" s="1">
        <v>5.9999999999999997E-7</v>
      </c>
      <c r="L72" t="str">
        <f>VLOOKUP(J72,Nuclides!A:E,5,FALSE)</f>
        <v>Rb87</v>
      </c>
      <c r="M72">
        <f>VLOOKUP(Sheet2!J72,Nuclides!A:E,2,FALSE)</f>
        <v>50</v>
      </c>
      <c r="N72">
        <f>VLOOKUP(J72,Nuclides!A:E,3,FALSE)</f>
        <v>37</v>
      </c>
      <c r="O72" s="1">
        <f t="shared" si="5"/>
        <v>7488000000</v>
      </c>
      <c r="R72" s="1">
        <v>31065</v>
      </c>
      <c r="S72" s="1">
        <v>3.7691999999999998E-9</v>
      </c>
      <c r="T72" t="str">
        <f>VLOOKUP(R72,Nuclides!A:E,5,FALSE)</f>
        <v>Ga65</v>
      </c>
      <c r="U72">
        <f>VLOOKUP(Sheet2!R72,Nuclides!A:E,2,FALSE)</f>
        <v>34</v>
      </c>
      <c r="V72">
        <f>VLOOKUP(R72,Nuclides!A:E,3,FALSE)</f>
        <v>31</v>
      </c>
      <c r="W72" s="1">
        <f t="shared" si="6"/>
        <v>47039616</v>
      </c>
      <c r="X72" t="s">
        <v>724</v>
      </c>
      <c r="Z72" s="1">
        <v>30061</v>
      </c>
      <c r="AA72" s="1">
        <v>3.6505399999999997E-8</v>
      </c>
      <c r="AB72" t="str">
        <f>VLOOKUP(Z72,Nuclides!A:E,5,FALSE)</f>
        <v>Zn61</v>
      </c>
      <c r="AC72">
        <f>VLOOKUP(Sheet2!Z72,Nuclides!A:E,2,FALSE)</f>
        <v>31</v>
      </c>
      <c r="AD72">
        <f>VLOOKUP(Z72,Nuclides!A:E,3,FALSE)</f>
        <v>30</v>
      </c>
      <c r="AE72" s="1">
        <f t="shared" si="7"/>
        <v>455587391.99999994</v>
      </c>
      <c r="AF72" t="s">
        <v>694</v>
      </c>
    </row>
    <row r="73" spans="2:32" x14ac:dyDescent="0.2">
      <c r="B73">
        <v>36094</v>
      </c>
      <c r="C73" s="1">
        <v>6.6000000000000003E-6</v>
      </c>
      <c r="D73" t="str">
        <f>VLOOKUP(B73,Nuclides!A:E,5,FALSE)</f>
        <v>Kr94</v>
      </c>
      <c r="E73">
        <f>VLOOKUP(Sheet2!B73,Nuclides!A:E,2,FALSE)</f>
        <v>58</v>
      </c>
      <c r="F73">
        <f>VLOOKUP(B73,Nuclides!A:E,3,FALSE)</f>
        <v>36</v>
      </c>
      <c r="G73" s="1">
        <f t="shared" si="4"/>
        <v>82368000000</v>
      </c>
      <c r="H73">
        <f>VLOOKUP(B73,Nuclides!A:E,4,FALSE)</f>
        <v>0.21199999999999999</v>
      </c>
      <c r="J73" s="1">
        <v>37088</v>
      </c>
      <c r="K73" s="1">
        <v>9.9999999999999995E-7</v>
      </c>
      <c r="L73" t="str">
        <f>VLOOKUP(J73,Nuclides!A:E,5,FALSE)</f>
        <v>Rb88</v>
      </c>
      <c r="M73">
        <f>VLOOKUP(Sheet2!J73,Nuclides!A:E,2,FALSE)</f>
        <v>51</v>
      </c>
      <c r="N73">
        <f>VLOOKUP(J73,Nuclides!A:E,3,FALSE)</f>
        <v>37</v>
      </c>
      <c r="O73" s="1">
        <f t="shared" si="5"/>
        <v>12480000000</v>
      </c>
      <c r="R73" s="1">
        <v>31066</v>
      </c>
      <c r="S73" s="1">
        <v>6.9799999999999997E-10</v>
      </c>
      <c r="T73" t="str">
        <f>VLOOKUP(R73,Nuclides!A:E,5,FALSE)</f>
        <v>Ga66</v>
      </c>
      <c r="U73">
        <f>VLOOKUP(Sheet2!R73,Nuclides!A:E,2,FALSE)</f>
        <v>35</v>
      </c>
      <c r="V73">
        <f>VLOOKUP(R73,Nuclides!A:E,3,FALSE)</f>
        <v>31</v>
      </c>
      <c r="W73" s="1">
        <f t="shared" si="6"/>
        <v>8711040</v>
      </c>
      <c r="X73" t="s">
        <v>725</v>
      </c>
      <c r="Z73" s="1">
        <v>30062</v>
      </c>
      <c r="AA73" s="1">
        <v>2.8827399999999999E-8</v>
      </c>
      <c r="AB73" t="str">
        <f>VLOOKUP(Z73,Nuclides!A:E,5,FALSE)</f>
        <v>Zn62</v>
      </c>
      <c r="AC73">
        <f>VLOOKUP(Sheet2!Z73,Nuclides!A:E,2,FALSE)</f>
        <v>32</v>
      </c>
      <c r="AD73">
        <f>VLOOKUP(Z73,Nuclides!A:E,3,FALSE)</f>
        <v>30</v>
      </c>
      <c r="AE73" s="1">
        <f t="shared" si="7"/>
        <v>359765952</v>
      </c>
      <c r="AF73" t="s">
        <v>695</v>
      </c>
    </row>
    <row r="74" spans="2:32" x14ac:dyDescent="0.2">
      <c r="B74">
        <v>36095</v>
      </c>
      <c r="C74" s="1">
        <v>4.0999999999999997E-6</v>
      </c>
      <c r="D74" t="str">
        <f>VLOOKUP(B74,Nuclides!A:E,5,FALSE)</f>
        <v>Kr95</v>
      </c>
      <c r="E74">
        <f>VLOOKUP(Sheet2!B74,Nuclides!A:E,2,FALSE)</f>
        <v>59</v>
      </c>
      <c r="F74">
        <f>VLOOKUP(B74,Nuclides!A:E,3,FALSE)</f>
        <v>36</v>
      </c>
      <c r="G74" s="1">
        <f t="shared" si="4"/>
        <v>51168000000</v>
      </c>
      <c r="H74">
        <f>VLOOKUP(B74,Nuclides!A:E,4,FALSE)</f>
        <v>0.114</v>
      </c>
      <c r="J74" s="1">
        <v>37089</v>
      </c>
      <c r="K74" s="1">
        <v>6.1999999999999999E-6</v>
      </c>
      <c r="L74" t="str">
        <f>VLOOKUP(J74,Nuclides!A:E,5,FALSE)</f>
        <v>Rb89</v>
      </c>
      <c r="M74">
        <f>VLOOKUP(Sheet2!J74,Nuclides!A:E,2,FALSE)</f>
        <v>52</v>
      </c>
      <c r="N74">
        <f>VLOOKUP(J74,Nuclides!A:E,3,FALSE)</f>
        <v>37</v>
      </c>
      <c r="O74" s="1">
        <f t="shared" si="5"/>
        <v>77376000000</v>
      </c>
      <c r="R74" s="1">
        <v>31067</v>
      </c>
      <c r="S74" s="1">
        <v>2.094E-10</v>
      </c>
      <c r="T74" t="str">
        <f>VLOOKUP(R74,Nuclides!A:E,5,FALSE)</f>
        <v>Ga67</v>
      </c>
      <c r="U74">
        <f>VLOOKUP(Sheet2!R74,Nuclides!A:E,2,FALSE)</f>
        <v>36</v>
      </c>
      <c r="V74">
        <f>VLOOKUP(R74,Nuclides!A:E,3,FALSE)</f>
        <v>31</v>
      </c>
      <c r="W74" s="1">
        <f t="shared" si="6"/>
        <v>2613312</v>
      </c>
      <c r="X74" t="s">
        <v>726</v>
      </c>
      <c r="Z74" s="1">
        <v>30063</v>
      </c>
      <c r="AA74" s="1">
        <v>8.3061999999999993E-9</v>
      </c>
      <c r="AB74" t="str">
        <f>VLOOKUP(Z74,Nuclides!A:E,5,FALSE)</f>
        <v>Zn63</v>
      </c>
      <c r="AC74">
        <f>VLOOKUP(Sheet2!Z74,Nuclides!A:E,2,FALSE)</f>
        <v>33</v>
      </c>
      <c r="AD74">
        <f>VLOOKUP(Z74,Nuclides!A:E,3,FALSE)</f>
        <v>30</v>
      </c>
      <c r="AE74" s="1">
        <f t="shared" si="7"/>
        <v>103661375.99999999</v>
      </c>
      <c r="AF74" t="s">
        <v>696</v>
      </c>
    </row>
    <row r="75" spans="2:32" x14ac:dyDescent="0.2">
      <c r="B75">
        <v>36096</v>
      </c>
      <c r="C75" s="1">
        <v>3.8E-6</v>
      </c>
      <c r="D75" t="str">
        <f>VLOOKUP(B75,Nuclides!A:E,5,FALSE)</f>
        <v>Kr96</v>
      </c>
      <c r="E75">
        <f>VLOOKUP(Sheet2!B75,Nuclides!A:E,2,FALSE)</f>
        <v>60</v>
      </c>
      <c r="F75">
        <f>VLOOKUP(B75,Nuclides!A:E,3,FALSE)</f>
        <v>36</v>
      </c>
      <c r="G75" s="1">
        <f t="shared" si="4"/>
        <v>47424000000</v>
      </c>
      <c r="H75">
        <f>VLOOKUP(B75,Nuclides!A:E,4,FALSE)</f>
        <v>0.08</v>
      </c>
      <c r="J75" s="1">
        <v>37090</v>
      </c>
      <c r="K75" s="1">
        <v>1.6699999999999999E-5</v>
      </c>
      <c r="L75" t="str">
        <f>VLOOKUP(J75,Nuclides!A:E,5,FALSE)</f>
        <v>Rb90</v>
      </c>
      <c r="M75">
        <f>VLOOKUP(Sheet2!J75,Nuclides!A:E,2,FALSE)</f>
        <v>53</v>
      </c>
      <c r="N75">
        <f>VLOOKUP(J75,Nuclides!A:E,3,FALSE)</f>
        <v>37</v>
      </c>
      <c r="O75" s="1">
        <f t="shared" si="5"/>
        <v>208416000000</v>
      </c>
      <c r="R75" s="1">
        <v>31071</v>
      </c>
      <c r="S75" s="1">
        <v>1.3959999999999999E-10</v>
      </c>
      <c r="T75" t="str">
        <f>VLOOKUP(R75,Nuclides!A:E,5,FALSE)</f>
        <v>Ga71</v>
      </c>
      <c r="U75">
        <f>VLOOKUP(Sheet2!R75,Nuclides!A:E,2,FALSE)</f>
        <v>40</v>
      </c>
      <c r="V75">
        <f>VLOOKUP(R75,Nuclides!A:E,3,FALSE)</f>
        <v>31</v>
      </c>
      <c r="W75" s="1">
        <f t="shared" si="6"/>
        <v>1742207.9999999998</v>
      </c>
      <c r="X75" t="s">
        <v>730</v>
      </c>
      <c r="Z75" s="1">
        <v>30064</v>
      </c>
      <c r="AA75" s="1">
        <v>4.5370000000000004E-9</v>
      </c>
      <c r="AB75" t="str">
        <f>VLOOKUP(Z75,Nuclides!A:E,5,FALSE)</f>
        <v>Zn64</v>
      </c>
      <c r="AC75">
        <f>VLOOKUP(Sheet2!Z75,Nuclides!A:E,2,FALSE)</f>
        <v>34</v>
      </c>
      <c r="AD75">
        <f>VLOOKUP(Z75,Nuclides!A:E,3,FALSE)</f>
        <v>30</v>
      </c>
      <c r="AE75" s="1">
        <f t="shared" si="7"/>
        <v>56621760.000000007</v>
      </c>
      <c r="AF75" t="s">
        <v>697</v>
      </c>
    </row>
    <row r="76" spans="2:32" x14ac:dyDescent="0.2">
      <c r="B76">
        <v>36097</v>
      </c>
      <c r="C76" s="1">
        <v>1.9999999999999999E-7</v>
      </c>
      <c r="D76" t="str">
        <f>VLOOKUP(B76,Nuclides!A:E,5,FALSE)</f>
        <v>Kr97</v>
      </c>
      <c r="E76">
        <f>VLOOKUP(Sheet2!B76,Nuclides!A:E,2,FALSE)</f>
        <v>61</v>
      </c>
      <c r="F76">
        <f>VLOOKUP(B76,Nuclides!A:E,3,FALSE)</f>
        <v>36</v>
      </c>
      <c r="G76" s="1">
        <f t="shared" si="4"/>
        <v>2496000000</v>
      </c>
      <c r="H76">
        <f>VLOOKUP(B76,Nuclides!A:E,4,FALSE)</f>
        <v>6.3E-2</v>
      </c>
      <c r="J76" s="1">
        <v>37091</v>
      </c>
      <c r="K76" s="1">
        <v>3.7400000000000001E-5</v>
      </c>
      <c r="L76" t="str">
        <f>VLOOKUP(J76,Nuclides!A:E,5,FALSE)</f>
        <v>Rb91</v>
      </c>
      <c r="M76">
        <f>VLOOKUP(Sheet2!J76,Nuclides!A:E,2,FALSE)</f>
        <v>54</v>
      </c>
      <c r="N76">
        <f>VLOOKUP(J76,Nuclides!A:E,3,FALSE)</f>
        <v>37</v>
      </c>
      <c r="O76" s="1">
        <f t="shared" si="5"/>
        <v>466752000000</v>
      </c>
      <c r="R76" s="1">
        <v>31072</v>
      </c>
      <c r="S76" s="1">
        <v>1.6054000000000001E-9</v>
      </c>
      <c r="T76" t="str">
        <f>VLOOKUP(R76,Nuclides!A:E,5,FALSE)</f>
        <v>Ga72</v>
      </c>
      <c r="U76">
        <f>VLOOKUP(Sheet2!R76,Nuclides!A:E,2,FALSE)</f>
        <v>41</v>
      </c>
      <c r="V76">
        <f>VLOOKUP(R76,Nuclides!A:E,3,FALSE)</f>
        <v>31</v>
      </c>
      <c r="W76" s="1">
        <f t="shared" si="6"/>
        <v>20035392</v>
      </c>
      <c r="X76" t="s">
        <v>731</v>
      </c>
      <c r="Z76" s="1">
        <v>30065</v>
      </c>
      <c r="AA76" s="1">
        <v>4.1879999999999999E-10</v>
      </c>
      <c r="AB76" t="str">
        <f>VLOOKUP(Z76,Nuclides!A:E,5,FALSE)</f>
        <v>Zn65</v>
      </c>
      <c r="AC76">
        <f>VLOOKUP(Sheet2!Z76,Nuclides!A:E,2,FALSE)</f>
        <v>35</v>
      </c>
      <c r="AD76">
        <f>VLOOKUP(Z76,Nuclides!A:E,3,FALSE)</f>
        <v>30</v>
      </c>
      <c r="AE76" s="1">
        <f t="shared" si="7"/>
        <v>5226624</v>
      </c>
      <c r="AF76" t="s">
        <v>698</v>
      </c>
    </row>
    <row r="77" spans="2:32" x14ac:dyDescent="0.2">
      <c r="B77">
        <v>37088</v>
      </c>
      <c r="C77" s="1">
        <v>1.9999999999999999E-7</v>
      </c>
      <c r="D77" t="str">
        <f>VLOOKUP(B77,Nuclides!A:E,5,FALSE)</f>
        <v>Rb88</v>
      </c>
      <c r="E77">
        <f>VLOOKUP(Sheet2!B77,Nuclides!A:E,2,FALSE)</f>
        <v>51</v>
      </c>
      <c r="F77">
        <f>VLOOKUP(B77,Nuclides!A:E,3,FALSE)</f>
        <v>37</v>
      </c>
      <c r="G77" s="1">
        <f t="shared" si="4"/>
        <v>2496000000</v>
      </c>
      <c r="H77">
        <f>VLOOKUP(B77,Nuclides!A:E,4,FALSE)</f>
        <v>1066.3799999999901</v>
      </c>
      <c r="J77" s="1">
        <v>37092</v>
      </c>
      <c r="K77" s="1">
        <v>5.1199999999999998E-5</v>
      </c>
      <c r="L77" t="str">
        <f>VLOOKUP(J77,Nuclides!A:E,5,FALSE)</f>
        <v>Rb92</v>
      </c>
      <c r="M77">
        <f>VLOOKUP(Sheet2!J77,Nuclides!A:E,2,FALSE)</f>
        <v>55</v>
      </c>
      <c r="N77">
        <f>VLOOKUP(J77,Nuclides!A:E,3,FALSE)</f>
        <v>37</v>
      </c>
      <c r="O77" s="1">
        <f t="shared" si="5"/>
        <v>638976000000</v>
      </c>
      <c r="R77" s="1">
        <v>31073</v>
      </c>
      <c r="S77" s="1">
        <v>6.2819999999999996E-9</v>
      </c>
      <c r="T77" t="str">
        <f>VLOOKUP(R77,Nuclides!A:E,5,FALSE)</f>
        <v>Ga73</v>
      </c>
      <c r="U77">
        <f>VLOOKUP(Sheet2!R77,Nuclides!A:E,2,FALSE)</f>
        <v>42</v>
      </c>
      <c r="V77">
        <f>VLOOKUP(R77,Nuclides!A:E,3,FALSE)</f>
        <v>31</v>
      </c>
      <c r="W77" s="1">
        <f t="shared" si="6"/>
        <v>78399360</v>
      </c>
      <c r="X77" t="s">
        <v>732</v>
      </c>
      <c r="Z77" s="1">
        <v>30066</v>
      </c>
      <c r="AA77" s="1">
        <v>6.9799999999999994E-11</v>
      </c>
      <c r="AB77" t="str">
        <f>VLOOKUP(Z77,Nuclides!A:E,5,FALSE)</f>
        <v>Zn66</v>
      </c>
      <c r="AC77">
        <f>VLOOKUP(Sheet2!Z77,Nuclides!A:E,2,FALSE)</f>
        <v>36</v>
      </c>
      <c r="AD77">
        <f>VLOOKUP(Z77,Nuclides!A:E,3,FALSE)</f>
        <v>30</v>
      </c>
      <c r="AE77" s="1">
        <f t="shared" si="7"/>
        <v>871103.99999999988</v>
      </c>
      <c r="AF77" t="s">
        <v>699</v>
      </c>
    </row>
    <row r="78" spans="2:32" x14ac:dyDescent="0.2">
      <c r="B78">
        <v>37089</v>
      </c>
      <c r="C78" s="1">
        <v>1.5999999999999999E-6</v>
      </c>
      <c r="D78" t="str">
        <f>VLOOKUP(B78,Nuclides!A:E,5,FALSE)</f>
        <v>Rb89</v>
      </c>
      <c r="E78">
        <f>VLOOKUP(Sheet2!B78,Nuclides!A:E,2,FALSE)</f>
        <v>52</v>
      </c>
      <c r="F78">
        <f>VLOOKUP(B78,Nuclides!A:E,3,FALSE)</f>
        <v>37</v>
      </c>
      <c r="G78" s="1">
        <f t="shared" si="4"/>
        <v>19968000000</v>
      </c>
      <c r="H78">
        <f>VLOOKUP(B78,Nuclides!A:E,4,FALSE)</f>
        <v>919.2</v>
      </c>
      <c r="J78" s="1">
        <v>37093</v>
      </c>
      <c r="K78" s="1">
        <v>6.4300000000000004E-5</v>
      </c>
      <c r="L78" t="str">
        <f>VLOOKUP(J78,Nuclides!A:E,5,FALSE)</f>
        <v>Rb93</v>
      </c>
      <c r="M78">
        <f>VLOOKUP(Sheet2!J78,Nuclides!A:E,2,FALSE)</f>
        <v>56</v>
      </c>
      <c r="N78">
        <f>VLOOKUP(J78,Nuclides!A:E,3,FALSE)</f>
        <v>37</v>
      </c>
      <c r="O78" s="1">
        <f t="shared" si="5"/>
        <v>802464000000</v>
      </c>
      <c r="R78" s="1">
        <v>31074</v>
      </c>
      <c r="S78" s="1">
        <v>1.7310399999999999E-8</v>
      </c>
      <c r="T78" t="str">
        <f>VLOOKUP(R78,Nuclides!A:E,5,FALSE)</f>
        <v>Ga74</v>
      </c>
      <c r="U78">
        <f>VLOOKUP(Sheet2!R78,Nuclides!A:E,2,FALSE)</f>
        <v>43</v>
      </c>
      <c r="V78">
        <f>VLOOKUP(R78,Nuclides!A:E,3,FALSE)</f>
        <v>31</v>
      </c>
      <c r="W78" s="1">
        <f t="shared" si="6"/>
        <v>216033792</v>
      </c>
      <c r="X78" t="s">
        <v>733</v>
      </c>
      <c r="Z78" s="1">
        <v>30070</v>
      </c>
      <c r="AA78" s="1">
        <v>1.3959999999999999E-10</v>
      </c>
      <c r="AB78" t="str">
        <f>VLOOKUP(Z78,Nuclides!A:E,5,FALSE)</f>
        <v>Zn70</v>
      </c>
      <c r="AC78">
        <f>VLOOKUP(Sheet2!Z78,Nuclides!A:E,2,FALSE)</f>
        <v>40</v>
      </c>
      <c r="AD78">
        <f>VLOOKUP(Z78,Nuclides!A:E,3,FALSE)</f>
        <v>30</v>
      </c>
      <c r="AE78" s="1">
        <f t="shared" si="7"/>
        <v>1742207.9999999998</v>
      </c>
      <c r="AF78" t="s">
        <v>703</v>
      </c>
    </row>
    <row r="79" spans="2:32" x14ac:dyDescent="0.2">
      <c r="B79">
        <v>37090</v>
      </c>
      <c r="C79" s="1">
        <v>2.3999999999999999E-6</v>
      </c>
      <c r="D79" t="str">
        <f>VLOOKUP(B79,Nuclides!A:E,5,FALSE)</f>
        <v>Rb90</v>
      </c>
      <c r="E79">
        <f>VLOOKUP(Sheet2!B79,Nuclides!A:E,2,FALSE)</f>
        <v>53</v>
      </c>
      <c r="F79">
        <f>VLOOKUP(B79,Nuclides!A:E,3,FALSE)</f>
        <v>37</v>
      </c>
      <c r="G79" s="1">
        <f t="shared" si="4"/>
        <v>29952000000</v>
      </c>
      <c r="H79">
        <f>VLOOKUP(B79,Nuclides!A:E,4,FALSE)</f>
        <v>158</v>
      </c>
      <c r="J79" s="1">
        <v>37094</v>
      </c>
      <c r="K79" s="1">
        <v>4.5899999999999998E-5</v>
      </c>
      <c r="L79" t="str">
        <f>VLOOKUP(J79,Nuclides!A:E,5,FALSE)</f>
        <v>Rb94</v>
      </c>
      <c r="M79">
        <f>VLOOKUP(Sheet2!J79,Nuclides!A:E,2,FALSE)</f>
        <v>57</v>
      </c>
      <c r="N79">
        <f>VLOOKUP(J79,Nuclides!A:E,3,FALSE)</f>
        <v>37</v>
      </c>
      <c r="O79" s="1">
        <f t="shared" si="5"/>
        <v>572832000000</v>
      </c>
      <c r="R79" s="1">
        <v>31075</v>
      </c>
      <c r="S79" s="1">
        <v>5.2838599999999999E-8</v>
      </c>
      <c r="T79" t="str">
        <f>VLOOKUP(R79,Nuclides!A:E,5,FALSE)</f>
        <v>Ga75</v>
      </c>
      <c r="U79">
        <f>VLOOKUP(Sheet2!R79,Nuclides!A:E,2,FALSE)</f>
        <v>44</v>
      </c>
      <c r="V79">
        <f>VLOOKUP(R79,Nuclides!A:E,3,FALSE)</f>
        <v>31</v>
      </c>
      <c r="W79" s="1">
        <f t="shared" si="6"/>
        <v>659425728</v>
      </c>
      <c r="X79" t="s">
        <v>734</v>
      </c>
      <c r="Z79" s="1">
        <v>30071</v>
      </c>
      <c r="AA79" s="1">
        <v>4.1879999999999999E-10</v>
      </c>
      <c r="AB79" t="str">
        <f>VLOOKUP(Z79,Nuclides!A:E,5,FALSE)</f>
        <v>Zn71</v>
      </c>
      <c r="AC79">
        <f>VLOOKUP(Sheet2!Z79,Nuclides!A:E,2,FALSE)</f>
        <v>41</v>
      </c>
      <c r="AD79">
        <f>VLOOKUP(Z79,Nuclides!A:E,3,FALSE)</f>
        <v>30</v>
      </c>
      <c r="AE79" s="1">
        <f t="shared" si="7"/>
        <v>5226624</v>
      </c>
      <c r="AF79" t="s">
        <v>704</v>
      </c>
    </row>
    <row r="80" spans="2:32" x14ac:dyDescent="0.2">
      <c r="B80">
        <v>37091</v>
      </c>
      <c r="C80" s="1">
        <v>7.7999999999999999E-6</v>
      </c>
      <c r="D80" t="str">
        <f>VLOOKUP(B80,Nuclides!A:E,5,FALSE)</f>
        <v>Rb91</v>
      </c>
      <c r="E80">
        <f>VLOOKUP(Sheet2!B80,Nuclides!A:E,2,FALSE)</f>
        <v>54</v>
      </c>
      <c r="F80">
        <f>VLOOKUP(B80,Nuclides!A:E,3,FALSE)</f>
        <v>37</v>
      </c>
      <c r="G80" s="1">
        <f t="shared" si="4"/>
        <v>97344000000</v>
      </c>
      <c r="H80">
        <f>VLOOKUP(B80,Nuclides!A:E,4,FALSE)</f>
        <v>58.2</v>
      </c>
      <c r="J80" s="1">
        <v>37095</v>
      </c>
      <c r="K80" s="1">
        <v>3.0199999999999999E-5</v>
      </c>
      <c r="L80" t="str">
        <f>VLOOKUP(J80,Nuclides!A:E,5,FALSE)</f>
        <v>Rb95</v>
      </c>
      <c r="M80">
        <f>VLOOKUP(Sheet2!J80,Nuclides!A:E,2,FALSE)</f>
        <v>58</v>
      </c>
      <c r="N80">
        <f>VLOOKUP(J80,Nuclides!A:E,3,FALSE)</f>
        <v>37</v>
      </c>
      <c r="O80" s="1">
        <f t="shared" si="5"/>
        <v>376896000000</v>
      </c>
      <c r="R80" s="1">
        <v>31076</v>
      </c>
      <c r="S80" s="1">
        <v>1.10354E-7</v>
      </c>
      <c r="T80" t="str">
        <f>VLOOKUP(R80,Nuclides!A:E,5,FALSE)</f>
        <v>Ga76</v>
      </c>
      <c r="U80">
        <f>VLOOKUP(Sheet2!R80,Nuclides!A:E,2,FALSE)</f>
        <v>45</v>
      </c>
      <c r="V80">
        <f>VLOOKUP(R80,Nuclides!A:E,3,FALSE)</f>
        <v>31</v>
      </c>
      <c r="W80" s="1">
        <f t="shared" si="6"/>
        <v>1377217920</v>
      </c>
      <c r="X80" t="s">
        <v>735</v>
      </c>
      <c r="Z80" s="1">
        <v>30072</v>
      </c>
      <c r="AA80" s="1">
        <v>4.8859999999999999E-9</v>
      </c>
      <c r="AB80" t="str">
        <f>VLOOKUP(Z80,Nuclides!A:E,5,FALSE)</f>
        <v>Zn72</v>
      </c>
      <c r="AC80">
        <f>VLOOKUP(Sheet2!Z80,Nuclides!A:E,2,FALSE)</f>
        <v>42</v>
      </c>
      <c r="AD80">
        <f>VLOOKUP(Z80,Nuclides!A:E,3,FALSE)</f>
        <v>30</v>
      </c>
      <c r="AE80" s="1">
        <f t="shared" si="7"/>
        <v>60977280</v>
      </c>
      <c r="AF80" t="s">
        <v>705</v>
      </c>
    </row>
    <row r="81" spans="2:32" x14ac:dyDescent="0.2">
      <c r="B81">
        <v>37092</v>
      </c>
      <c r="C81" s="1">
        <v>1.11E-5</v>
      </c>
      <c r="D81" t="str">
        <f>VLOOKUP(B81,Nuclides!A:E,5,FALSE)</f>
        <v>Rb92</v>
      </c>
      <c r="E81">
        <f>VLOOKUP(Sheet2!B81,Nuclides!A:E,2,FALSE)</f>
        <v>55</v>
      </c>
      <c r="F81">
        <f>VLOOKUP(B81,Nuclides!A:E,3,FALSE)</f>
        <v>37</v>
      </c>
      <c r="G81" s="1">
        <f t="shared" si="4"/>
        <v>138528000000</v>
      </c>
      <c r="H81">
        <f>VLOOKUP(B81,Nuclides!A:E,4,FALSE)</f>
        <v>4.492</v>
      </c>
      <c r="J81" s="1">
        <v>37096</v>
      </c>
      <c r="K81" s="1">
        <v>1.13E-5</v>
      </c>
      <c r="L81" t="str">
        <f>VLOOKUP(J81,Nuclides!A:E,5,FALSE)</f>
        <v>Rb96</v>
      </c>
      <c r="M81">
        <f>VLOOKUP(Sheet2!J81,Nuclides!A:E,2,FALSE)</f>
        <v>59</v>
      </c>
      <c r="N81">
        <f>VLOOKUP(J81,Nuclides!A:E,3,FALSE)</f>
        <v>37</v>
      </c>
      <c r="O81" s="1">
        <f t="shared" si="5"/>
        <v>141024000000</v>
      </c>
      <c r="R81" s="1">
        <v>31077</v>
      </c>
      <c r="S81" s="1">
        <v>2.8520300000000002E-7</v>
      </c>
      <c r="T81" t="str">
        <f>VLOOKUP(R81,Nuclides!A:E,5,FALSE)</f>
        <v>Ga77</v>
      </c>
      <c r="U81">
        <f>VLOOKUP(Sheet2!R81,Nuclides!A:E,2,FALSE)</f>
        <v>46</v>
      </c>
      <c r="V81">
        <f>VLOOKUP(R81,Nuclides!A:E,3,FALSE)</f>
        <v>31</v>
      </c>
      <c r="W81" s="1">
        <f t="shared" si="6"/>
        <v>3559333440</v>
      </c>
      <c r="X81" t="s">
        <v>736</v>
      </c>
      <c r="Z81" s="1">
        <v>30073</v>
      </c>
      <c r="AA81" s="1">
        <v>1.06096E-8</v>
      </c>
      <c r="AB81" t="str">
        <f>VLOOKUP(Z81,Nuclides!A:E,5,FALSE)</f>
        <v>Zn73</v>
      </c>
      <c r="AC81">
        <f>VLOOKUP(Sheet2!Z81,Nuclides!A:E,2,FALSE)</f>
        <v>43</v>
      </c>
      <c r="AD81">
        <f>VLOOKUP(Z81,Nuclides!A:E,3,FALSE)</f>
        <v>30</v>
      </c>
      <c r="AE81" s="1">
        <f t="shared" si="7"/>
        <v>132407808</v>
      </c>
      <c r="AF81" t="s">
        <v>706</v>
      </c>
    </row>
    <row r="82" spans="2:32" x14ac:dyDescent="0.2">
      <c r="B82">
        <v>37093</v>
      </c>
      <c r="C82" s="1">
        <v>2.0000000000000002E-5</v>
      </c>
      <c r="D82" t="str">
        <f>VLOOKUP(B82,Nuclides!A:E,5,FALSE)</f>
        <v>Rb93</v>
      </c>
      <c r="E82">
        <f>VLOOKUP(Sheet2!B82,Nuclides!A:E,2,FALSE)</f>
        <v>56</v>
      </c>
      <c r="F82">
        <f>VLOOKUP(B82,Nuclides!A:E,3,FALSE)</f>
        <v>37</v>
      </c>
      <c r="G82" s="1">
        <f t="shared" si="4"/>
        <v>249600000000.00003</v>
      </c>
      <c r="H82">
        <f>VLOOKUP(B82,Nuclides!A:E,4,FALSE)</f>
        <v>5.84</v>
      </c>
      <c r="J82" s="1">
        <v>37097</v>
      </c>
      <c r="K82" s="1">
        <v>5.4E-6</v>
      </c>
      <c r="L82" t="str">
        <f>VLOOKUP(J82,Nuclides!A:E,5,FALSE)</f>
        <v>Rb97</v>
      </c>
      <c r="M82">
        <f>VLOOKUP(Sheet2!J82,Nuclides!A:E,2,FALSE)</f>
        <v>60</v>
      </c>
      <c r="N82">
        <f>VLOOKUP(J82,Nuclides!A:E,3,FALSE)</f>
        <v>37</v>
      </c>
      <c r="O82" s="1">
        <f t="shared" si="5"/>
        <v>67392000000</v>
      </c>
      <c r="R82" s="1">
        <v>31078</v>
      </c>
      <c r="S82" s="1">
        <v>3.1842800000000002E-7</v>
      </c>
      <c r="T82" t="str">
        <f>VLOOKUP(R82,Nuclides!A:E,5,FALSE)</f>
        <v>Ga78</v>
      </c>
      <c r="U82">
        <f>VLOOKUP(Sheet2!R82,Nuclides!A:E,2,FALSE)</f>
        <v>47</v>
      </c>
      <c r="V82">
        <f>VLOOKUP(R82,Nuclides!A:E,3,FALSE)</f>
        <v>31</v>
      </c>
      <c r="W82" s="1">
        <f t="shared" si="6"/>
        <v>3973981440.0000005</v>
      </c>
      <c r="X82" t="s">
        <v>737</v>
      </c>
      <c r="Z82" s="1">
        <v>30074</v>
      </c>
      <c r="AA82" s="1">
        <v>5.2070799999999999E-8</v>
      </c>
      <c r="AB82" t="str">
        <f>VLOOKUP(Z82,Nuclides!A:E,5,FALSE)</f>
        <v>Zn74</v>
      </c>
      <c r="AC82">
        <f>VLOOKUP(Sheet2!Z82,Nuclides!A:E,2,FALSE)</f>
        <v>44</v>
      </c>
      <c r="AD82">
        <f>VLOOKUP(Z82,Nuclides!A:E,3,FALSE)</f>
        <v>30</v>
      </c>
      <c r="AE82" s="1">
        <f t="shared" si="7"/>
        <v>649843584</v>
      </c>
      <c r="AF82" t="s">
        <v>707</v>
      </c>
    </row>
    <row r="83" spans="2:32" x14ac:dyDescent="0.2">
      <c r="B83">
        <v>37094</v>
      </c>
      <c r="C83" s="1">
        <v>1.5999999999999999E-5</v>
      </c>
      <c r="D83" t="str">
        <f>VLOOKUP(B83,Nuclides!A:E,5,FALSE)</f>
        <v>Rb94</v>
      </c>
      <c r="E83">
        <f>VLOOKUP(Sheet2!B83,Nuclides!A:E,2,FALSE)</f>
        <v>57</v>
      </c>
      <c r="F83">
        <f>VLOOKUP(B83,Nuclides!A:E,3,FALSE)</f>
        <v>37</v>
      </c>
      <c r="G83" s="1">
        <f t="shared" si="4"/>
        <v>199680000000</v>
      </c>
      <c r="H83">
        <f>VLOOKUP(B83,Nuclides!A:E,4,FALSE)</f>
        <v>2.702</v>
      </c>
      <c r="J83" s="1">
        <v>37098</v>
      </c>
      <c r="K83" s="1">
        <v>9.9999999999999995E-7</v>
      </c>
      <c r="L83" t="str">
        <f>VLOOKUP(J83,Nuclides!A:E,5,FALSE)</f>
        <v>Rb98</v>
      </c>
      <c r="M83">
        <f>VLOOKUP(Sheet2!J83,Nuclides!A:E,2,FALSE)</f>
        <v>61</v>
      </c>
      <c r="N83">
        <f>VLOOKUP(J83,Nuclides!A:E,3,FALSE)</f>
        <v>37</v>
      </c>
      <c r="O83" s="1">
        <f t="shared" si="5"/>
        <v>12480000000</v>
      </c>
      <c r="R83" s="1">
        <v>31079</v>
      </c>
      <c r="S83" s="1">
        <v>5.0297900000000005E-7</v>
      </c>
      <c r="T83" t="str">
        <f>VLOOKUP(R83,Nuclides!A:E,5,FALSE)</f>
        <v>Ga79</v>
      </c>
      <c r="U83">
        <f>VLOOKUP(Sheet2!R83,Nuclides!A:E,2,FALSE)</f>
        <v>48</v>
      </c>
      <c r="V83">
        <f>VLOOKUP(R83,Nuclides!A:E,3,FALSE)</f>
        <v>31</v>
      </c>
      <c r="W83" s="1">
        <f t="shared" si="6"/>
        <v>6277177920.000001</v>
      </c>
      <c r="X83" t="s">
        <v>738</v>
      </c>
      <c r="Z83" s="1">
        <v>30075</v>
      </c>
      <c r="AA83" s="1">
        <v>6.7287199999999997E-8</v>
      </c>
      <c r="AB83" t="str">
        <f>VLOOKUP(Z83,Nuclides!A:E,5,FALSE)</f>
        <v>Zn75</v>
      </c>
      <c r="AC83">
        <f>VLOOKUP(Sheet2!Z83,Nuclides!A:E,2,FALSE)</f>
        <v>45</v>
      </c>
      <c r="AD83">
        <f>VLOOKUP(Z83,Nuclides!A:E,3,FALSE)</f>
        <v>30</v>
      </c>
      <c r="AE83" s="1">
        <f t="shared" si="7"/>
        <v>839744256</v>
      </c>
      <c r="AF83" t="s">
        <v>708</v>
      </c>
    </row>
    <row r="84" spans="2:32" x14ac:dyDescent="0.2">
      <c r="B84">
        <v>37095</v>
      </c>
      <c r="C84" s="1">
        <v>1.66E-5</v>
      </c>
      <c r="D84" t="str">
        <f>VLOOKUP(B84,Nuclides!A:E,5,FALSE)</f>
        <v>Rb95</v>
      </c>
      <c r="E84">
        <f>VLOOKUP(Sheet2!B84,Nuclides!A:E,2,FALSE)</f>
        <v>58</v>
      </c>
      <c r="F84">
        <f>VLOOKUP(B84,Nuclides!A:E,3,FALSE)</f>
        <v>37</v>
      </c>
      <c r="G84" s="1">
        <f t="shared" si="4"/>
        <v>207168000000</v>
      </c>
      <c r="H84">
        <f>VLOOKUP(B84,Nuclides!A:E,4,FALSE)</f>
        <v>0.37769999999999998</v>
      </c>
      <c r="J84" s="1">
        <v>37099</v>
      </c>
      <c r="K84" s="1">
        <v>1.9999999999999999E-7</v>
      </c>
      <c r="L84" t="str">
        <f>VLOOKUP(J84,Nuclides!A:E,5,FALSE)</f>
        <v>Rb99</v>
      </c>
      <c r="M84">
        <f>VLOOKUP(Sheet2!J84,Nuclides!A:E,2,FALSE)</f>
        <v>62</v>
      </c>
      <c r="N84">
        <f>VLOOKUP(J84,Nuclides!A:E,3,FALSE)</f>
        <v>37</v>
      </c>
      <c r="O84" s="1">
        <f t="shared" si="5"/>
        <v>2496000000</v>
      </c>
      <c r="R84" s="1">
        <v>31080</v>
      </c>
      <c r="S84" s="1">
        <v>2.8764600000000001E-7</v>
      </c>
      <c r="T84" t="str">
        <f>VLOOKUP(R84,Nuclides!A:E,5,FALSE)</f>
        <v>Ga80</v>
      </c>
      <c r="U84">
        <f>VLOOKUP(Sheet2!R84,Nuclides!A:E,2,FALSE)</f>
        <v>49</v>
      </c>
      <c r="V84">
        <f>VLOOKUP(R84,Nuclides!A:E,3,FALSE)</f>
        <v>31</v>
      </c>
      <c r="W84" s="1">
        <f t="shared" si="6"/>
        <v>3589822080</v>
      </c>
      <c r="X84" t="s">
        <v>739</v>
      </c>
      <c r="Z84" s="1">
        <v>30076</v>
      </c>
      <c r="AA84" s="1">
        <v>2.0088399999999999E-7</v>
      </c>
      <c r="AB84" t="str">
        <f>VLOOKUP(Z84,Nuclides!A:E,5,FALSE)</f>
        <v>Zn76</v>
      </c>
      <c r="AC84">
        <f>VLOOKUP(Sheet2!Z84,Nuclides!A:E,2,FALSE)</f>
        <v>46</v>
      </c>
      <c r="AD84">
        <f>VLOOKUP(Z84,Nuclides!A:E,3,FALSE)</f>
        <v>30</v>
      </c>
      <c r="AE84" s="1">
        <f t="shared" si="7"/>
        <v>2507032320</v>
      </c>
      <c r="AF84" t="s">
        <v>709</v>
      </c>
    </row>
    <row r="85" spans="2:32" x14ac:dyDescent="0.2">
      <c r="B85">
        <v>37096</v>
      </c>
      <c r="C85" s="1">
        <v>7.3000000000000004E-6</v>
      </c>
      <c r="D85" t="str">
        <f>VLOOKUP(B85,Nuclides!A:E,5,FALSE)</f>
        <v>Rb96</v>
      </c>
      <c r="E85">
        <f>VLOOKUP(Sheet2!B85,Nuclides!A:E,2,FALSE)</f>
        <v>59</v>
      </c>
      <c r="F85">
        <f>VLOOKUP(B85,Nuclides!A:E,3,FALSE)</f>
        <v>37</v>
      </c>
      <c r="G85" s="1">
        <f t="shared" si="4"/>
        <v>91104000000</v>
      </c>
      <c r="H85">
        <f>VLOOKUP(B85,Nuclides!A:E,4,FALSE)</f>
        <v>0.20300000000000001</v>
      </c>
      <c r="J85" s="1">
        <v>37100</v>
      </c>
      <c r="K85" s="1">
        <v>9.9999999999999995E-8</v>
      </c>
      <c r="L85" t="str">
        <f>VLOOKUP(J85,Nuclides!A:E,5,FALSE)</f>
        <v>Rb100</v>
      </c>
      <c r="M85">
        <f>VLOOKUP(Sheet2!J85,Nuclides!A:E,2,FALSE)</f>
        <v>63</v>
      </c>
      <c r="N85">
        <f>VLOOKUP(J85,Nuclides!A:E,3,FALSE)</f>
        <v>37</v>
      </c>
      <c r="O85" s="1">
        <f t="shared" si="5"/>
        <v>1248000000</v>
      </c>
      <c r="R85" s="1">
        <v>31081</v>
      </c>
      <c r="S85" s="1">
        <v>2.4779000000000002E-7</v>
      </c>
      <c r="T85" t="str">
        <f>VLOOKUP(R85,Nuclides!A:E,5,FALSE)</f>
        <v>Ga81</v>
      </c>
      <c r="U85">
        <f>VLOOKUP(Sheet2!R85,Nuclides!A:E,2,FALSE)</f>
        <v>50</v>
      </c>
      <c r="V85">
        <f>VLOOKUP(R85,Nuclides!A:E,3,FALSE)</f>
        <v>31</v>
      </c>
      <c r="W85" s="1">
        <f t="shared" si="6"/>
        <v>3092419200.0000005</v>
      </c>
      <c r="X85" t="s">
        <v>740</v>
      </c>
      <c r="Z85" s="1">
        <v>30077</v>
      </c>
      <c r="AA85" s="1">
        <v>1.9606800000000001E-7</v>
      </c>
      <c r="AB85" t="str">
        <f>VLOOKUP(Z85,Nuclides!A:E,5,FALSE)</f>
        <v>Zn77</v>
      </c>
      <c r="AC85">
        <f>VLOOKUP(Sheet2!Z85,Nuclides!A:E,2,FALSE)</f>
        <v>47</v>
      </c>
      <c r="AD85">
        <f>VLOOKUP(Z85,Nuclides!A:E,3,FALSE)</f>
        <v>30</v>
      </c>
      <c r="AE85" s="1">
        <f t="shared" si="7"/>
        <v>2446928640</v>
      </c>
      <c r="AF85" t="s">
        <v>710</v>
      </c>
    </row>
    <row r="86" spans="2:32" x14ac:dyDescent="0.2">
      <c r="B86">
        <v>37097</v>
      </c>
      <c r="C86" s="1">
        <v>7.7000000000000008E-6</v>
      </c>
      <c r="D86" t="str">
        <f>VLOOKUP(B86,Nuclides!A:E,5,FALSE)</f>
        <v>Rb97</v>
      </c>
      <c r="E86">
        <f>VLOOKUP(Sheet2!B86,Nuclides!A:E,2,FALSE)</f>
        <v>60</v>
      </c>
      <c r="F86">
        <f>VLOOKUP(B86,Nuclides!A:E,3,FALSE)</f>
        <v>37</v>
      </c>
      <c r="G86" s="1">
        <f t="shared" si="4"/>
        <v>96096000000.000015</v>
      </c>
      <c r="H86">
        <f>VLOOKUP(B86,Nuclides!A:E,4,FALSE)</f>
        <v>0.1691</v>
      </c>
      <c r="J86" s="1">
        <v>38088</v>
      </c>
      <c r="K86" s="1">
        <v>1.9999999999999999E-7</v>
      </c>
      <c r="L86" t="str">
        <f>VLOOKUP(J86,Nuclides!A:E,5,FALSE)</f>
        <v>Sr88</v>
      </c>
      <c r="M86">
        <f>VLOOKUP(Sheet2!J86,Nuclides!A:E,2,FALSE)</f>
        <v>50</v>
      </c>
      <c r="N86">
        <f>VLOOKUP(J86,Nuclides!A:E,3,FALSE)</f>
        <v>38</v>
      </c>
      <c r="O86" s="1">
        <f t="shared" si="5"/>
        <v>2496000000</v>
      </c>
      <c r="R86" s="1">
        <v>31082</v>
      </c>
      <c r="S86" s="1">
        <v>7.7129000000000002E-8</v>
      </c>
      <c r="T86" t="str">
        <f>VLOOKUP(R86,Nuclides!A:E,5,FALSE)</f>
        <v>Ga82</v>
      </c>
      <c r="U86">
        <f>VLOOKUP(Sheet2!R86,Nuclides!A:E,2,FALSE)</f>
        <v>51</v>
      </c>
      <c r="V86">
        <f>VLOOKUP(R86,Nuclides!A:E,3,FALSE)</f>
        <v>31</v>
      </c>
      <c r="W86" s="1">
        <f t="shared" si="6"/>
        <v>962569920</v>
      </c>
      <c r="X86" t="s">
        <v>741</v>
      </c>
      <c r="Z86" s="1">
        <v>30078</v>
      </c>
      <c r="AA86" s="1">
        <v>3.26106E-7</v>
      </c>
      <c r="AB86" t="str">
        <f>VLOOKUP(Z86,Nuclides!A:E,5,FALSE)</f>
        <v>Zn78</v>
      </c>
      <c r="AC86">
        <f>VLOOKUP(Sheet2!Z86,Nuclides!A:E,2,FALSE)</f>
        <v>48</v>
      </c>
      <c r="AD86">
        <f>VLOOKUP(Z86,Nuclides!A:E,3,FALSE)</f>
        <v>30</v>
      </c>
      <c r="AE86" s="1">
        <f t="shared" si="7"/>
        <v>4069802880</v>
      </c>
      <c r="AF86" t="s">
        <v>711</v>
      </c>
    </row>
    <row r="87" spans="2:32" x14ac:dyDescent="0.2">
      <c r="B87">
        <v>37098</v>
      </c>
      <c r="C87" s="1">
        <v>3.4999999999999999E-6</v>
      </c>
      <c r="D87" t="str">
        <f>VLOOKUP(B87,Nuclides!A:E,5,FALSE)</f>
        <v>Rb98</v>
      </c>
      <c r="E87">
        <f>VLOOKUP(Sheet2!B87,Nuclides!A:E,2,FALSE)</f>
        <v>61</v>
      </c>
      <c r="F87">
        <f>VLOOKUP(B87,Nuclides!A:E,3,FALSE)</f>
        <v>37</v>
      </c>
      <c r="G87" s="1">
        <f t="shared" si="4"/>
        <v>43680000000</v>
      </c>
      <c r="H87">
        <f>VLOOKUP(B87,Nuclides!A:E,4,FALSE)</f>
        <v>0.10199999999999999</v>
      </c>
      <c r="J87" s="1">
        <v>38090</v>
      </c>
      <c r="K87" s="1">
        <v>1.1000000000000001E-6</v>
      </c>
      <c r="L87" t="str">
        <f>VLOOKUP(J87,Nuclides!A:E,5,FALSE)</f>
        <v>Sr90</v>
      </c>
      <c r="M87">
        <f>VLOOKUP(Sheet2!J87,Nuclides!A:E,2,FALSE)</f>
        <v>52</v>
      </c>
      <c r="N87">
        <f>VLOOKUP(J87,Nuclides!A:E,3,FALSE)</f>
        <v>38</v>
      </c>
      <c r="O87" s="1">
        <f t="shared" si="5"/>
        <v>13728000000</v>
      </c>
      <c r="R87" s="1">
        <v>31083</v>
      </c>
      <c r="S87" s="1">
        <v>3.9227599999999997E-8</v>
      </c>
      <c r="T87" t="str">
        <f>VLOOKUP(R87,Nuclides!A:E,5,FALSE)</f>
        <v>Ga83</v>
      </c>
      <c r="U87">
        <f>VLOOKUP(Sheet2!R87,Nuclides!A:E,2,FALSE)</f>
        <v>52</v>
      </c>
      <c r="V87">
        <f>VLOOKUP(R87,Nuclides!A:E,3,FALSE)</f>
        <v>31</v>
      </c>
      <c r="W87" s="1">
        <f t="shared" si="6"/>
        <v>489560447.99999994</v>
      </c>
      <c r="X87" t="s">
        <v>742</v>
      </c>
      <c r="Z87" s="1">
        <v>31062</v>
      </c>
      <c r="AA87" s="1">
        <v>2.3850700000000001E-7</v>
      </c>
      <c r="AB87" t="str">
        <f>VLOOKUP(Z87,Nuclides!A:E,5,FALSE)</f>
        <v>Ga62</v>
      </c>
      <c r="AC87">
        <f>VLOOKUP(Sheet2!Z87,Nuclides!A:E,2,FALSE)</f>
        <v>31</v>
      </c>
      <c r="AD87">
        <f>VLOOKUP(Z87,Nuclides!A:E,3,FALSE)</f>
        <v>31</v>
      </c>
      <c r="AE87" s="1">
        <f t="shared" si="7"/>
        <v>2976567360</v>
      </c>
      <c r="AF87" t="s">
        <v>721</v>
      </c>
    </row>
    <row r="88" spans="2:32" x14ac:dyDescent="0.2">
      <c r="B88">
        <v>37099</v>
      </c>
      <c r="C88" s="1">
        <v>7.9999999999999996E-7</v>
      </c>
      <c r="D88" t="str">
        <f>VLOOKUP(B88,Nuclides!A:E,5,FALSE)</f>
        <v>Rb99</v>
      </c>
      <c r="E88">
        <f>VLOOKUP(Sheet2!B88,Nuclides!A:E,2,FALSE)</f>
        <v>62</v>
      </c>
      <c r="F88">
        <f>VLOOKUP(B88,Nuclides!A:E,3,FALSE)</f>
        <v>37</v>
      </c>
      <c r="G88" s="1">
        <f t="shared" si="4"/>
        <v>9984000000</v>
      </c>
      <c r="H88">
        <f>VLOOKUP(B88,Nuclides!A:E,4,FALSE)</f>
        <v>5.3999999999999999E-2</v>
      </c>
      <c r="J88" s="1">
        <v>38091</v>
      </c>
      <c r="K88" s="1">
        <v>5.8000000000000004E-6</v>
      </c>
      <c r="L88" t="str">
        <f>VLOOKUP(J88,Nuclides!A:E,5,FALSE)</f>
        <v>Sr91</v>
      </c>
      <c r="M88">
        <f>VLOOKUP(Sheet2!J88,Nuclides!A:E,2,FALSE)</f>
        <v>53</v>
      </c>
      <c r="N88">
        <f>VLOOKUP(J88,Nuclides!A:E,3,FALSE)</f>
        <v>38</v>
      </c>
      <c r="O88" s="1">
        <f t="shared" si="5"/>
        <v>72384000000</v>
      </c>
      <c r="R88" s="1">
        <v>32061</v>
      </c>
      <c r="S88" s="1">
        <v>1.23546E-8</v>
      </c>
      <c r="T88" t="str">
        <f>VLOOKUP(R88,Nuclides!A:E,5,FALSE)</f>
        <v>Ge61</v>
      </c>
      <c r="U88">
        <f>VLOOKUP(Sheet2!R88,Nuclides!A:E,2,FALSE)</f>
        <v>29</v>
      </c>
      <c r="V88">
        <f>VLOOKUP(R88,Nuclides!A:E,3,FALSE)</f>
        <v>32</v>
      </c>
      <c r="W88" s="1">
        <f t="shared" si="6"/>
        <v>154185408</v>
      </c>
      <c r="X88" t="s">
        <v>749</v>
      </c>
      <c r="Z88" s="1">
        <v>31063</v>
      </c>
      <c r="AA88" s="1">
        <v>2.8429499999999999E-7</v>
      </c>
      <c r="AB88" t="str">
        <f>VLOOKUP(Z88,Nuclides!A:E,5,FALSE)</f>
        <v>Ga63</v>
      </c>
      <c r="AC88">
        <f>VLOOKUP(Sheet2!Z88,Nuclides!A:E,2,FALSE)</f>
        <v>32</v>
      </c>
      <c r="AD88">
        <f>VLOOKUP(Z88,Nuclides!A:E,3,FALSE)</f>
        <v>31</v>
      </c>
      <c r="AE88" s="1">
        <f t="shared" si="7"/>
        <v>3548001600</v>
      </c>
      <c r="AF88" t="s">
        <v>722</v>
      </c>
    </row>
    <row r="89" spans="2:32" x14ac:dyDescent="0.2">
      <c r="B89">
        <v>37100</v>
      </c>
      <c r="C89" s="1">
        <v>8.9999999999999996E-7</v>
      </c>
      <c r="D89" t="str">
        <f>VLOOKUP(B89,Nuclides!A:E,5,FALSE)</f>
        <v>Rb100</v>
      </c>
      <c r="E89">
        <f>VLOOKUP(Sheet2!B89,Nuclides!A:E,2,FALSE)</f>
        <v>63</v>
      </c>
      <c r="F89">
        <f>VLOOKUP(B89,Nuclides!A:E,3,FALSE)</f>
        <v>37</v>
      </c>
      <c r="G89" s="1">
        <f t="shared" si="4"/>
        <v>11232000000</v>
      </c>
      <c r="H89">
        <f>VLOOKUP(B89,Nuclides!A:E,4,FALSE)</f>
        <v>5.0999999999999997E-2</v>
      </c>
      <c r="J89" s="1">
        <v>38092</v>
      </c>
      <c r="K89" s="1">
        <v>1.8300000000000001E-5</v>
      </c>
      <c r="L89" t="str">
        <f>VLOOKUP(J89,Nuclides!A:E,5,FALSE)</f>
        <v>Sr92</v>
      </c>
      <c r="M89">
        <f>VLOOKUP(Sheet2!J89,Nuclides!A:E,2,FALSE)</f>
        <v>54</v>
      </c>
      <c r="N89">
        <f>VLOOKUP(J89,Nuclides!A:E,3,FALSE)</f>
        <v>38</v>
      </c>
      <c r="O89" s="1">
        <f t="shared" si="5"/>
        <v>228384000000</v>
      </c>
      <c r="R89" s="1">
        <v>32062</v>
      </c>
      <c r="S89" s="1">
        <v>4.6068000000000003E-9</v>
      </c>
      <c r="T89" t="str">
        <f>VLOOKUP(R89,Nuclides!A:E,5,FALSE)</f>
        <v>Ge62</v>
      </c>
      <c r="U89">
        <f>VLOOKUP(Sheet2!R89,Nuclides!A:E,2,FALSE)</f>
        <v>30</v>
      </c>
      <c r="V89">
        <f>VLOOKUP(R89,Nuclides!A:E,3,FALSE)</f>
        <v>32</v>
      </c>
      <c r="W89" s="1">
        <f t="shared" si="6"/>
        <v>57492864</v>
      </c>
      <c r="X89" t="s">
        <v>750</v>
      </c>
      <c r="Z89" s="1">
        <v>31064</v>
      </c>
      <c r="AA89" s="1">
        <v>1.6682200000000001E-8</v>
      </c>
      <c r="AB89" t="str">
        <f>VLOOKUP(Z89,Nuclides!A:E,5,FALSE)</f>
        <v>Ga64</v>
      </c>
      <c r="AC89">
        <f>VLOOKUP(Sheet2!Z89,Nuclides!A:E,2,FALSE)</f>
        <v>33</v>
      </c>
      <c r="AD89">
        <f>VLOOKUP(Z89,Nuclides!A:E,3,FALSE)</f>
        <v>31</v>
      </c>
      <c r="AE89" s="1">
        <f t="shared" si="7"/>
        <v>208193856</v>
      </c>
      <c r="AF89" t="s">
        <v>723</v>
      </c>
    </row>
    <row r="90" spans="2:32" x14ac:dyDescent="0.2">
      <c r="B90">
        <v>38088</v>
      </c>
      <c r="C90" s="1">
        <v>1.9999999999999999E-7</v>
      </c>
      <c r="D90" t="str">
        <f>VLOOKUP(B90,Nuclides!A:E,5,FALSE)</f>
        <v>Sr88</v>
      </c>
      <c r="E90">
        <f>VLOOKUP(Sheet2!B90,Nuclides!A:E,2,FALSE)</f>
        <v>50</v>
      </c>
      <c r="F90">
        <f>VLOOKUP(B90,Nuclides!A:E,3,FALSE)</f>
        <v>38</v>
      </c>
      <c r="G90" s="1">
        <f t="shared" si="4"/>
        <v>2496000000</v>
      </c>
      <c r="H90" t="str">
        <f>VLOOKUP(B90,Nuclides!A:E,4,FALSE)</f>
        <v>STABLE</v>
      </c>
      <c r="J90" s="1">
        <v>38093</v>
      </c>
      <c r="K90" s="1">
        <v>3.3200000000000001E-5</v>
      </c>
      <c r="L90" t="str">
        <f>VLOOKUP(J90,Nuclides!A:E,5,FALSE)</f>
        <v>Sr93</v>
      </c>
      <c r="M90">
        <f>VLOOKUP(Sheet2!J90,Nuclides!A:E,2,FALSE)</f>
        <v>55</v>
      </c>
      <c r="N90">
        <f>VLOOKUP(J90,Nuclides!A:E,3,FALSE)</f>
        <v>38</v>
      </c>
      <c r="O90" s="1">
        <f t="shared" si="5"/>
        <v>414336000000</v>
      </c>
      <c r="R90" s="1">
        <v>32063</v>
      </c>
      <c r="S90" s="1">
        <v>6.9799999999999997E-10</v>
      </c>
      <c r="T90" t="str">
        <f>VLOOKUP(R90,Nuclides!A:E,5,FALSE)</f>
        <v>Ge63</v>
      </c>
      <c r="U90">
        <f>VLOOKUP(Sheet2!R90,Nuclides!A:E,2,FALSE)</f>
        <v>31</v>
      </c>
      <c r="V90">
        <f>VLOOKUP(R90,Nuclides!A:E,3,FALSE)</f>
        <v>32</v>
      </c>
      <c r="W90" s="1">
        <f t="shared" si="6"/>
        <v>8711040</v>
      </c>
      <c r="X90" t="s">
        <v>751</v>
      </c>
      <c r="Z90" s="1">
        <v>31065</v>
      </c>
      <c r="AA90" s="1">
        <v>5.84924E-8</v>
      </c>
      <c r="AB90" t="str">
        <f>VLOOKUP(Z90,Nuclides!A:E,5,FALSE)</f>
        <v>Ga65</v>
      </c>
      <c r="AC90">
        <f>VLOOKUP(Sheet2!Z90,Nuclides!A:E,2,FALSE)</f>
        <v>34</v>
      </c>
      <c r="AD90">
        <f>VLOOKUP(Z90,Nuclides!A:E,3,FALSE)</f>
        <v>31</v>
      </c>
      <c r="AE90" s="1">
        <f t="shared" si="7"/>
        <v>729985152</v>
      </c>
      <c r="AF90" t="s">
        <v>724</v>
      </c>
    </row>
    <row r="91" spans="2:32" x14ac:dyDescent="0.2">
      <c r="B91">
        <v>38089</v>
      </c>
      <c r="C91" s="1">
        <v>9.9999999999999995E-8</v>
      </c>
      <c r="D91" t="str">
        <f>VLOOKUP(B91,Nuclides!A:E,5,FALSE)</f>
        <v>Sr89</v>
      </c>
      <c r="E91">
        <f>VLOOKUP(Sheet2!B91,Nuclides!A:E,2,FALSE)</f>
        <v>51</v>
      </c>
      <c r="F91">
        <f>VLOOKUP(B91,Nuclides!A:E,3,FALSE)</f>
        <v>38</v>
      </c>
      <c r="G91" s="1">
        <f t="shared" si="4"/>
        <v>1248000000</v>
      </c>
      <c r="H91">
        <f>VLOOKUP(B91,Nuclides!A:E,4,FALSE)</f>
        <v>4368643.2</v>
      </c>
      <c r="J91" s="1">
        <v>38094</v>
      </c>
      <c r="K91" s="1">
        <v>6.6000000000000005E-5</v>
      </c>
      <c r="L91" t="str">
        <f>VLOOKUP(J91,Nuclides!A:E,5,FALSE)</f>
        <v>Sr94</v>
      </c>
      <c r="M91">
        <f>VLOOKUP(Sheet2!J91,Nuclides!A:E,2,FALSE)</f>
        <v>56</v>
      </c>
      <c r="N91">
        <f>VLOOKUP(J91,Nuclides!A:E,3,FALSE)</f>
        <v>38</v>
      </c>
      <c r="O91" s="1">
        <f t="shared" si="5"/>
        <v>823680000000.00012</v>
      </c>
      <c r="R91" s="1">
        <v>32064</v>
      </c>
      <c r="S91" s="1">
        <v>2.094E-10</v>
      </c>
      <c r="T91" t="str">
        <f>VLOOKUP(R91,Nuclides!A:E,5,FALSE)</f>
        <v>Ge64</v>
      </c>
      <c r="U91">
        <f>VLOOKUP(Sheet2!R91,Nuclides!A:E,2,FALSE)</f>
        <v>32</v>
      </c>
      <c r="V91">
        <f>VLOOKUP(R91,Nuclides!A:E,3,FALSE)</f>
        <v>32</v>
      </c>
      <c r="W91" s="1">
        <f t="shared" si="6"/>
        <v>2613312</v>
      </c>
      <c r="X91" t="s">
        <v>752</v>
      </c>
      <c r="Z91" s="1">
        <v>31066</v>
      </c>
      <c r="AA91" s="1">
        <v>1.1796199999999999E-8</v>
      </c>
      <c r="AB91" t="str">
        <f>VLOOKUP(Z91,Nuclides!A:E,5,FALSE)</f>
        <v>Ga66</v>
      </c>
      <c r="AC91">
        <f>VLOOKUP(Sheet2!Z91,Nuclides!A:E,2,FALSE)</f>
        <v>35</v>
      </c>
      <c r="AD91">
        <f>VLOOKUP(Z91,Nuclides!A:E,3,FALSE)</f>
        <v>31</v>
      </c>
      <c r="AE91" s="1">
        <f t="shared" si="7"/>
        <v>147216576</v>
      </c>
      <c r="AF91" t="s">
        <v>725</v>
      </c>
    </row>
    <row r="92" spans="2:32" x14ac:dyDescent="0.2">
      <c r="B92">
        <v>38090</v>
      </c>
      <c r="C92" s="1">
        <v>2.9999999999999999E-7</v>
      </c>
      <c r="D92" t="str">
        <f>VLOOKUP(B92,Nuclides!A:E,5,FALSE)</f>
        <v>Sr90</v>
      </c>
      <c r="E92">
        <f>VLOOKUP(Sheet2!B92,Nuclides!A:E,2,FALSE)</f>
        <v>52</v>
      </c>
      <c r="F92">
        <f>VLOOKUP(B92,Nuclides!A:E,3,FALSE)</f>
        <v>38</v>
      </c>
      <c r="G92" s="1">
        <f t="shared" si="4"/>
        <v>3744000000</v>
      </c>
      <c r="H92">
        <f>VLOOKUP(B92,Nuclides!A:E,4,FALSE)</f>
        <v>912014640</v>
      </c>
      <c r="J92" s="1">
        <v>38095</v>
      </c>
      <c r="K92" s="1">
        <v>7.9900000000000004E-5</v>
      </c>
      <c r="L92" t="str">
        <f>VLOOKUP(J92,Nuclides!A:E,5,FALSE)</f>
        <v>Sr95</v>
      </c>
      <c r="M92">
        <f>VLOOKUP(Sheet2!J92,Nuclides!A:E,2,FALSE)</f>
        <v>57</v>
      </c>
      <c r="N92">
        <f>VLOOKUP(J92,Nuclides!A:E,3,FALSE)</f>
        <v>38</v>
      </c>
      <c r="O92" s="1">
        <f t="shared" si="5"/>
        <v>997152000000</v>
      </c>
      <c r="R92" s="1">
        <v>32072</v>
      </c>
      <c r="S92" s="1">
        <v>6.2819999999999996E-10</v>
      </c>
      <c r="T92" t="str">
        <f>VLOOKUP(R92,Nuclides!A:E,5,FALSE)</f>
        <v>Ge72</v>
      </c>
      <c r="U92">
        <f>VLOOKUP(Sheet2!R92,Nuclides!A:E,2,FALSE)</f>
        <v>40</v>
      </c>
      <c r="V92">
        <f>VLOOKUP(R92,Nuclides!A:E,3,FALSE)</f>
        <v>32</v>
      </c>
      <c r="W92" s="1">
        <f t="shared" si="6"/>
        <v>7839935.9999999991</v>
      </c>
      <c r="X92" t="s">
        <v>760</v>
      </c>
      <c r="Z92" s="1">
        <v>31067</v>
      </c>
      <c r="AA92" s="1">
        <v>6.7705999999999998E-9</v>
      </c>
      <c r="AB92" t="str">
        <f>VLOOKUP(Z92,Nuclides!A:E,5,FALSE)</f>
        <v>Ga67</v>
      </c>
      <c r="AC92">
        <f>VLOOKUP(Sheet2!Z92,Nuclides!A:E,2,FALSE)</f>
        <v>36</v>
      </c>
      <c r="AD92">
        <f>VLOOKUP(Z92,Nuclides!A:E,3,FALSE)</f>
        <v>31</v>
      </c>
      <c r="AE92" s="1">
        <f t="shared" si="7"/>
        <v>84497088</v>
      </c>
      <c r="AF92" t="s">
        <v>726</v>
      </c>
    </row>
    <row r="93" spans="2:32" x14ac:dyDescent="0.2">
      <c r="B93">
        <v>38091</v>
      </c>
      <c r="C93" s="1">
        <v>1.9999999999999999E-7</v>
      </c>
      <c r="D93" t="str">
        <f>VLOOKUP(B93,Nuclides!A:E,5,FALSE)</f>
        <v>Sr91</v>
      </c>
      <c r="E93">
        <f>VLOOKUP(Sheet2!B93,Nuclides!A:E,2,FALSE)</f>
        <v>53</v>
      </c>
      <c r="F93">
        <f>VLOOKUP(B93,Nuclides!A:E,3,FALSE)</f>
        <v>38</v>
      </c>
      <c r="G93" s="1">
        <f t="shared" si="4"/>
        <v>2496000000</v>
      </c>
      <c r="H93">
        <f>VLOOKUP(B93,Nuclides!A:E,4,FALSE)</f>
        <v>34740</v>
      </c>
      <c r="J93" s="1">
        <v>38096</v>
      </c>
      <c r="K93" s="1">
        <v>8.2700000000000004E-5</v>
      </c>
      <c r="L93" t="str">
        <f>VLOOKUP(J93,Nuclides!A:E,5,FALSE)</f>
        <v>Sr96</v>
      </c>
      <c r="M93">
        <f>VLOOKUP(Sheet2!J93,Nuclides!A:E,2,FALSE)</f>
        <v>58</v>
      </c>
      <c r="N93">
        <f>VLOOKUP(J93,Nuclides!A:E,3,FALSE)</f>
        <v>38</v>
      </c>
      <c r="O93" s="1">
        <f t="shared" si="5"/>
        <v>1032096000000</v>
      </c>
      <c r="R93" s="1">
        <v>32073</v>
      </c>
      <c r="S93" s="1">
        <v>1.6752E-9</v>
      </c>
      <c r="T93" t="str">
        <f>VLOOKUP(R93,Nuclides!A:E,5,FALSE)</f>
        <v>Ge73</v>
      </c>
      <c r="U93">
        <f>VLOOKUP(Sheet2!R93,Nuclides!A:E,2,FALSE)</f>
        <v>41</v>
      </c>
      <c r="V93">
        <f>VLOOKUP(R93,Nuclides!A:E,3,FALSE)</f>
        <v>32</v>
      </c>
      <c r="W93" s="1">
        <f t="shared" si="6"/>
        <v>20906496</v>
      </c>
      <c r="X93" t="s">
        <v>761</v>
      </c>
      <c r="Z93" s="1">
        <v>31068</v>
      </c>
      <c r="AA93" s="1">
        <v>5.5839999999999995E-10</v>
      </c>
      <c r="AB93" t="str">
        <f>VLOOKUP(Z93,Nuclides!A:E,5,FALSE)</f>
        <v>Ga68</v>
      </c>
      <c r="AC93">
        <f>VLOOKUP(Sheet2!Z93,Nuclides!A:E,2,FALSE)</f>
        <v>37</v>
      </c>
      <c r="AD93">
        <f>VLOOKUP(Z93,Nuclides!A:E,3,FALSE)</f>
        <v>31</v>
      </c>
      <c r="AE93" s="1">
        <f t="shared" si="7"/>
        <v>6968831.9999999991</v>
      </c>
      <c r="AF93" t="s">
        <v>727</v>
      </c>
    </row>
    <row r="94" spans="2:32" x14ac:dyDescent="0.2">
      <c r="B94">
        <v>38092</v>
      </c>
      <c r="C94" s="1">
        <v>2.7E-6</v>
      </c>
      <c r="D94" t="str">
        <f>VLOOKUP(B94,Nuclides!A:E,5,FALSE)</f>
        <v>Sr92</v>
      </c>
      <c r="E94">
        <f>VLOOKUP(Sheet2!B94,Nuclides!A:E,2,FALSE)</f>
        <v>54</v>
      </c>
      <c r="F94">
        <f>VLOOKUP(B94,Nuclides!A:E,3,FALSE)</f>
        <v>38</v>
      </c>
      <c r="G94" s="1">
        <f t="shared" si="4"/>
        <v>33696000000</v>
      </c>
      <c r="H94">
        <f>VLOOKUP(B94,Nuclides!A:E,4,FALSE)</f>
        <v>9399.6</v>
      </c>
      <c r="J94" s="1">
        <v>38097</v>
      </c>
      <c r="K94" s="1">
        <v>5.3699999999999997E-5</v>
      </c>
      <c r="L94" t="str">
        <f>VLOOKUP(J94,Nuclides!A:E,5,FALSE)</f>
        <v>Sr97</v>
      </c>
      <c r="M94">
        <f>VLOOKUP(Sheet2!J94,Nuclides!A:E,2,FALSE)</f>
        <v>59</v>
      </c>
      <c r="N94">
        <f>VLOOKUP(J94,Nuclides!A:E,3,FALSE)</f>
        <v>38</v>
      </c>
      <c r="O94" s="1">
        <f t="shared" si="5"/>
        <v>670176000000</v>
      </c>
      <c r="R94" s="1">
        <v>32074</v>
      </c>
      <c r="S94" s="1">
        <v>9.1437999999999998E-9</v>
      </c>
      <c r="T94" t="str">
        <f>VLOOKUP(R94,Nuclides!A:E,5,FALSE)</f>
        <v>Ge74</v>
      </c>
      <c r="U94">
        <f>VLOOKUP(Sheet2!R94,Nuclides!A:E,2,FALSE)</f>
        <v>42</v>
      </c>
      <c r="V94">
        <f>VLOOKUP(R94,Nuclides!A:E,3,FALSE)</f>
        <v>32</v>
      </c>
      <c r="W94" s="1">
        <f t="shared" si="6"/>
        <v>114114624</v>
      </c>
      <c r="X94" t="s">
        <v>762</v>
      </c>
      <c r="Z94" s="1">
        <v>31069</v>
      </c>
      <c r="AA94" s="1">
        <v>2.094E-10</v>
      </c>
      <c r="AB94" t="str">
        <f>VLOOKUP(Z94,Nuclides!A:E,5,FALSE)</f>
        <v>Ga69</v>
      </c>
      <c r="AC94">
        <f>VLOOKUP(Sheet2!Z94,Nuclides!A:E,2,FALSE)</f>
        <v>38</v>
      </c>
      <c r="AD94">
        <f>VLOOKUP(Z94,Nuclides!A:E,3,FALSE)</f>
        <v>31</v>
      </c>
      <c r="AE94" s="1">
        <f t="shared" si="7"/>
        <v>2613312</v>
      </c>
      <c r="AF94" t="s">
        <v>728</v>
      </c>
    </row>
    <row r="95" spans="2:32" x14ac:dyDescent="0.2">
      <c r="B95">
        <v>38093</v>
      </c>
      <c r="C95" s="1">
        <v>6.3999999999999997E-6</v>
      </c>
      <c r="D95" t="str">
        <f>VLOOKUP(B95,Nuclides!A:E,5,FALSE)</f>
        <v>Sr93</v>
      </c>
      <c r="E95">
        <f>VLOOKUP(Sheet2!B95,Nuclides!A:E,2,FALSE)</f>
        <v>55</v>
      </c>
      <c r="F95">
        <f>VLOOKUP(B95,Nuclides!A:E,3,FALSE)</f>
        <v>38</v>
      </c>
      <c r="G95" s="1">
        <f t="shared" si="4"/>
        <v>79872000000</v>
      </c>
      <c r="H95">
        <f>VLOOKUP(B95,Nuclides!A:E,4,FALSE)</f>
        <v>445.79999999999899</v>
      </c>
      <c r="J95" s="1">
        <v>38098</v>
      </c>
      <c r="K95" s="1">
        <v>2.6400000000000001E-5</v>
      </c>
      <c r="L95" t="str">
        <f>VLOOKUP(J95,Nuclides!A:E,5,FALSE)</f>
        <v>Sr98</v>
      </c>
      <c r="M95">
        <f>VLOOKUP(Sheet2!J95,Nuclides!A:E,2,FALSE)</f>
        <v>60</v>
      </c>
      <c r="N95">
        <f>VLOOKUP(J95,Nuclides!A:E,3,FALSE)</f>
        <v>38</v>
      </c>
      <c r="O95" s="1">
        <f t="shared" si="5"/>
        <v>329472000000</v>
      </c>
      <c r="R95" s="1">
        <v>32075</v>
      </c>
      <c r="S95" s="1">
        <v>2.8897200000000001E-8</v>
      </c>
      <c r="T95" t="str">
        <f>VLOOKUP(R95,Nuclides!A:E,5,FALSE)</f>
        <v>Ge75</v>
      </c>
      <c r="U95">
        <f>VLOOKUP(Sheet2!R95,Nuclides!A:E,2,FALSE)</f>
        <v>43</v>
      </c>
      <c r="V95">
        <f>VLOOKUP(R95,Nuclides!A:E,3,FALSE)</f>
        <v>32</v>
      </c>
      <c r="W95" s="1">
        <f t="shared" si="6"/>
        <v>360637056</v>
      </c>
      <c r="X95" t="s">
        <v>763</v>
      </c>
      <c r="Z95" s="1">
        <v>31073</v>
      </c>
      <c r="AA95" s="1">
        <v>1.2563999999999999E-9</v>
      </c>
      <c r="AB95" t="str">
        <f>VLOOKUP(Z95,Nuclides!A:E,5,FALSE)</f>
        <v>Ga73</v>
      </c>
      <c r="AC95">
        <f>VLOOKUP(Sheet2!Z95,Nuclides!A:E,2,FALSE)</f>
        <v>42</v>
      </c>
      <c r="AD95">
        <f>VLOOKUP(Z95,Nuclides!A:E,3,FALSE)</f>
        <v>31</v>
      </c>
      <c r="AE95" s="1">
        <f t="shared" si="7"/>
        <v>15679871.999999998</v>
      </c>
      <c r="AF95" t="s">
        <v>732</v>
      </c>
    </row>
    <row r="96" spans="2:32" x14ac:dyDescent="0.2">
      <c r="B96">
        <v>38094</v>
      </c>
      <c r="C96" s="1">
        <v>1.3200000000000001E-5</v>
      </c>
      <c r="D96" t="str">
        <f>VLOOKUP(B96,Nuclides!A:E,5,FALSE)</f>
        <v>Sr94</v>
      </c>
      <c r="E96">
        <f>VLOOKUP(Sheet2!B96,Nuclides!A:E,2,FALSE)</f>
        <v>56</v>
      </c>
      <c r="F96">
        <f>VLOOKUP(B96,Nuclides!A:E,3,FALSE)</f>
        <v>38</v>
      </c>
      <c r="G96" s="1">
        <f t="shared" si="4"/>
        <v>164736000000</v>
      </c>
      <c r="H96">
        <f>VLOOKUP(B96,Nuclides!A:E,4,FALSE)</f>
        <v>75.3</v>
      </c>
      <c r="J96" s="1">
        <v>38099</v>
      </c>
      <c r="K96" s="1">
        <v>7.5000000000000002E-6</v>
      </c>
      <c r="L96" t="str">
        <f>VLOOKUP(J96,Nuclides!A:E,5,FALSE)</f>
        <v>Sr99</v>
      </c>
      <c r="M96">
        <f>VLOOKUP(Sheet2!J96,Nuclides!A:E,2,FALSE)</f>
        <v>61</v>
      </c>
      <c r="N96">
        <f>VLOOKUP(J96,Nuclides!A:E,3,FALSE)</f>
        <v>38</v>
      </c>
      <c r="O96" s="1">
        <f t="shared" si="5"/>
        <v>93600000000</v>
      </c>
      <c r="R96" s="1">
        <v>32076</v>
      </c>
      <c r="S96" s="1">
        <v>8.4318399999999996E-8</v>
      </c>
      <c r="T96" t="str">
        <f>VLOOKUP(R96,Nuclides!A:E,5,FALSE)</f>
        <v>Ge76</v>
      </c>
      <c r="U96">
        <f>VLOOKUP(Sheet2!R96,Nuclides!A:E,2,FALSE)</f>
        <v>44</v>
      </c>
      <c r="V96">
        <f>VLOOKUP(R96,Nuclides!A:E,3,FALSE)</f>
        <v>32</v>
      </c>
      <c r="W96" s="1">
        <f t="shared" si="6"/>
        <v>1052293632</v>
      </c>
      <c r="X96" t="s">
        <v>764</v>
      </c>
      <c r="Z96" s="1">
        <v>31074</v>
      </c>
      <c r="AA96" s="1">
        <v>4.5370000000000004E-9</v>
      </c>
      <c r="AB96" t="str">
        <f>VLOOKUP(Z96,Nuclides!A:E,5,FALSE)</f>
        <v>Ga74</v>
      </c>
      <c r="AC96">
        <f>VLOOKUP(Sheet2!Z96,Nuclides!A:E,2,FALSE)</f>
        <v>43</v>
      </c>
      <c r="AD96">
        <f>VLOOKUP(Z96,Nuclides!A:E,3,FALSE)</f>
        <v>31</v>
      </c>
      <c r="AE96" s="1">
        <f t="shared" si="7"/>
        <v>56621760.000000007</v>
      </c>
      <c r="AF96" t="s">
        <v>733</v>
      </c>
    </row>
    <row r="97" spans="2:32" x14ac:dyDescent="0.2">
      <c r="B97">
        <v>38095</v>
      </c>
      <c r="C97" s="1">
        <v>1.2300000000000001E-5</v>
      </c>
      <c r="D97" t="str">
        <f>VLOOKUP(B97,Nuclides!A:E,5,FALSE)</f>
        <v>Sr95</v>
      </c>
      <c r="E97">
        <f>VLOOKUP(Sheet2!B97,Nuclides!A:E,2,FALSE)</f>
        <v>57</v>
      </c>
      <c r="F97">
        <f>VLOOKUP(B97,Nuclides!A:E,3,FALSE)</f>
        <v>38</v>
      </c>
      <c r="G97" s="1">
        <f t="shared" si="4"/>
        <v>153504000000</v>
      </c>
      <c r="H97">
        <f>VLOOKUP(B97,Nuclides!A:E,4,FALSE)</f>
        <v>23.9</v>
      </c>
      <c r="J97" s="1">
        <v>38100</v>
      </c>
      <c r="K97" s="1">
        <v>1.1999999999999999E-6</v>
      </c>
      <c r="L97" t="str">
        <f>VLOOKUP(J97,Nuclides!A:E,5,FALSE)</f>
        <v>Sr100</v>
      </c>
      <c r="M97">
        <f>VLOOKUP(Sheet2!J97,Nuclides!A:E,2,FALSE)</f>
        <v>62</v>
      </c>
      <c r="N97">
        <f>VLOOKUP(J97,Nuclides!A:E,3,FALSE)</f>
        <v>38</v>
      </c>
      <c r="O97" s="1">
        <f t="shared" si="5"/>
        <v>14976000000</v>
      </c>
      <c r="R97" s="1">
        <v>32077</v>
      </c>
      <c r="S97" s="1">
        <v>2.26012E-7</v>
      </c>
      <c r="T97" t="str">
        <f>VLOOKUP(R97,Nuclides!A:E,5,FALSE)</f>
        <v>Ge77</v>
      </c>
      <c r="U97">
        <f>VLOOKUP(Sheet2!R97,Nuclides!A:E,2,FALSE)</f>
        <v>45</v>
      </c>
      <c r="V97">
        <f>VLOOKUP(R97,Nuclides!A:E,3,FALSE)</f>
        <v>32</v>
      </c>
      <c r="W97" s="1">
        <f t="shared" si="6"/>
        <v>2820629760</v>
      </c>
      <c r="X97" t="s">
        <v>765</v>
      </c>
      <c r="Z97" s="1">
        <v>31075</v>
      </c>
      <c r="AA97" s="1">
        <v>3.0572399999999999E-8</v>
      </c>
      <c r="AB97" t="str">
        <f>VLOOKUP(Z97,Nuclides!A:E,5,FALSE)</f>
        <v>Ga75</v>
      </c>
      <c r="AC97">
        <f>VLOOKUP(Sheet2!Z97,Nuclides!A:E,2,FALSE)</f>
        <v>44</v>
      </c>
      <c r="AD97">
        <f>VLOOKUP(Z97,Nuclides!A:E,3,FALSE)</f>
        <v>31</v>
      </c>
      <c r="AE97" s="1">
        <f t="shared" si="7"/>
        <v>381543552</v>
      </c>
      <c r="AF97" t="s">
        <v>734</v>
      </c>
    </row>
    <row r="98" spans="2:32" x14ac:dyDescent="0.2">
      <c r="B98">
        <v>38096</v>
      </c>
      <c r="C98" s="1">
        <v>2.09E-5</v>
      </c>
      <c r="D98" t="str">
        <f>VLOOKUP(B98,Nuclides!A:E,5,FALSE)</f>
        <v>Sr96</v>
      </c>
      <c r="E98">
        <f>VLOOKUP(Sheet2!B98,Nuclides!A:E,2,FALSE)</f>
        <v>58</v>
      </c>
      <c r="F98">
        <f>VLOOKUP(B98,Nuclides!A:E,3,FALSE)</f>
        <v>38</v>
      </c>
      <c r="G98" s="1">
        <f t="shared" si="4"/>
        <v>260832000000</v>
      </c>
      <c r="H98">
        <f>VLOOKUP(B98,Nuclides!A:E,4,FALSE)</f>
        <v>1.07</v>
      </c>
      <c r="J98" s="1">
        <v>39080</v>
      </c>
      <c r="K98" s="1">
        <v>9.9999999999999995E-8</v>
      </c>
      <c r="L98" t="str">
        <f>VLOOKUP(J98,Nuclides!A:E,5,FALSE)</f>
        <v>Y80</v>
      </c>
      <c r="M98">
        <f>VLOOKUP(Sheet2!J98,Nuclides!A:E,2,FALSE)</f>
        <v>41</v>
      </c>
      <c r="N98">
        <f>VLOOKUP(J98,Nuclides!A:E,3,FALSE)</f>
        <v>39</v>
      </c>
      <c r="O98" s="1">
        <f t="shared" si="5"/>
        <v>1248000000</v>
      </c>
      <c r="R98" s="1">
        <v>32078</v>
      </c>
      <c r="S98" s="1">
        <v>5.51909E-7</v>
      </c>
      <c r="T98" t="str">
        <f>VLOOKUP(R98,Nuclides!A:E,5,FALSE)</f>
        <v>Ge78</v>
      </c>
      <c r="U98">
        <f>VLOOKUP(Sheet2!R98,Nuclides!A:E,2,FALSE)</f>
        <v>46</v>
      </c>
      <c r="V98">
        <f>VLOOKUP(R98,Nuclides!A:E,3,FALSE)</f>
        <v>32</v>
      </c>
      <c r="W98" s="1">
        <f t="shared" si="6"/>
        <v>6887824320</v>
      </c>
      <c r="X98" t="s">
        <v>766</v>
      </c>
      <c r="Z98" s="1">
        <v>31076</v>
      </c>
      <c r="AA98" s="1">
        <v>6.3308600000000006E-8</v>
      </c>
      <c r="AB98" t="str">
        <f>VLOOKUP(Z98,Nuclides!A:E,5,FALSE)</f>
        <v>Ga76</v>
      </c>
      <c r="AC98">
        <f>VLOOKUP(Sheet2!Z98,Nuclides!A:E,2,FALSE)</f>
        <v>45</v>
      </c>
      <c r="AD98">
        <f>VLOOKUP(Z98,Nuclides!A:E,3,FALSE)</f>
        <v>31</v>
      </c>
      <c r="AE98" s="1">
        <f t="shared" si="7"/>
        <v>790091328.00000012</v>
      </c>
      <c r="AF98" t="s">
        <v>735</v>
      </c>
    </row>
    <row r="99" spans="2:32" x14ac:dyDescent="0.2">
      <c r="B99">
        <v>38097</v>
      </c>
      <c r="C99" s="1">
        <v>1.27E-5</v>
      </c>
      <c r="D99" t="str">
        <f>VLOOKUP(B99,Nuclides!A:E,5,FALSE)</f>
        <v>Sr97</v>
      </c>
      <c r="E99">
        <f>VLOOKUP(Sheet2!B99,Nuclides!A:E,2,FALSE)</f>
        <v>59</v>
      </c>
      <c r="F99">
        <f>VLOOKUP(B99,Nuclides!A:E,3,FALSE)</f>
        <v>38</v>
      </c>
      <c r="G99" s="1">
        <f t="shared" si="4"/>
        <v>158496000000</v>
      </c>
      <c r="H99">
        <f>VLOOKUP(B99,Nuclides!A:E,4,FALSE)</f>
        <v>0.42899999999999999</v>
      </c>
      <c r="J99" s="1">
        <v>39091</v>
      </c>
      <c r="K99" s="1">
        <v>2.9999999999999999E-7</v>
      </c>
      <c r="L99" t="str">
        <f>VLOOKUP(J99,Nuclides!A:E,5,FALSE)</f>
        <v>Y91</v>
      </c>
      <c r="M99">
        <f>VLOOKUP(Sheet2!J99,Nuclides!A:E,2,FALSE)</f>
        <v>52</v>
      </c>
      <c r="N99">
        <f>VLOOKUP(J99,Nuclides!A:E,3,FALSE)</f>
        <v>39</v>
      </c>
      <c r="O99" s="1">
        <f t="shared" si="5"/>
        <v>3744000000</v>
      </c>
      <c r="R99" s="1">
        <v>32079</v>
      </c>
      <c r="S99" s="1">
        <v>9.4229999999999996E-7</v>
      </c>
      <c r="T99" t="str">
        <f>VLOOKUP(R99,Nuclides!A:E,5,FALSE)</f>
        <v>Ge79</v>
      </c>
      <c r="U99">
        <f>VLOOKUP(Sheet2!R99,Nuclides!A:E,2,FALSE)</f>
        <v>47</v>
      </c>
      <c r="V99">
        <f>VLOOKUP(R99,Nuclides!A:E,3,FALSE)</f>
        <v>32</v>
      </c>
      <c r="W99" s="1">
        <f t="shared" si="6"/>
        <v>11759904000</v>
      </c>
      <c r="X99" t="s">
        <v>767</v>
      </c>
      <c r="Z99" s="1">
        <v>31077</v>
      </c>
      <c r="AA99" s="1">
        <v>2.3041000000000001E-7</v>
      </c>
      <c r="AB99" t="str">
        <f>VLOOKUP(Z99,Nuclides!A:E,5,FALSE)</f>
        <v>Ga77</v>
      </c>
      <c r="AC99">
        <f>VLOOKUP(Sheet2!Z99,Nuclides!A:E,2,FALSE)</f>
        <v>46</v>
      </c>
      <c r="AD99">
        <f>VLOOKUP(Z99,Nuclides!A:E,3,FALSE)</f>
        <v>31</v>
      </c>
      <c r="AE99" s="1">
        <f t="shared" si="7"/>
        <v>2875516800</v>
      </c>
      <c r="AF99" t="s">
        <v>736</v>
      </c>
    </row>
    <row r="100" spans="2:32" x14ac:dyDescent="0.2">
      <c r="B100">
        <v>38098</v>
      </c>
      <c r="C100" s="1">
        <v>1.1600000000000001E-5</v>
      </c>
      <c r="D100" t="str">
        <f>VLOOKUP(B100,Nuclides!A:E,5,FALSE)</f>
        <v>Sr98</v>
      </c>
      <c r="E100">
        <f>VLOOKUP(Sheet2!B100,Nuclides!A:E,2,FALSE)</f>
        <v>60</v>
      </c>
      <c r="F100">
        <f>VLOOKUP(B100,Nuclides!A:E,3,FALSE)</f>
        <v>38</v>
      </c>
      <c r="G100" s="1">
        <f t="shared" si="4"/>
        <v>144768000000</v>
      </c>
      <c r="H100">
        <f>VLOOKUP(B100,Nuclides!A:E,4,FALSE)</f>
        <v>0.65300000000000002</v>
      </c>
      <c r="J100" s="1">
        <v>39092</v>
      </c>
      <c r="K100" s="1">
        <v>2.9999999999999999E-7</v>
      </c>
      <c r="L100" t="str">
        <f>VLOOKUP(J100,Nuclides!A:E,5,FALSE)</f>
        <v>Y92</v>
      </c>
      <c r="M100">
        <f>VLOOKUP(Sheet2!J100,Nuclides!A:E,2,FALSE)</f>
        <v>53</v>
      </c>
      <c r="N100">
        <f>VLOOKUP(J100,Nuclides!A:E,3,FALSE)</f>
        <v>39</v>
      </c>
      <c r="O100" s="1">
        <f t="shared" si="5"/>
        <v>3744000000</v>
      </c>
      <c r="R100" s="1">
        <v>32080</v>
      </c>
      <c r="S100" s="1">
        <v>1.8628899999999999E-6</v>
      </c>
      <c r="T100" t="str">
        <f>VLOOKUP(R100,Nuclides!A:E,5,FALSE)</f>
        <v>Ge80</v>
      </c>
      <c r="U100">
        <f>VLOOKUP(Sheet2!R100,Nuclides!A:E,2,FALSE)</f>
        <v>48</v>
      </c>
      <c r="V100">
        <f>VLOOKUP(R100,Nuclides!A:E,3,FALSE)</f>
        <v>32</v>
      </c>
      <c r="W100" s="1">
        <f t="shared" si="6"/>
        <v>23248867200</v>
      </c>
      <c r="X100" t="s">
        <v>768</v>
      </c>
      <c r="Z100" s="1">
        <v>31078</v>
      </c>
      <c r="AA100" s="1">
        <v>3.8452800000000001E-7</v>
      </c>
      <c r="AB100" t="str">
        <f>VLOOKUP(Z100,Nuclides!A:E,5,FALSE)</f>
        <v>Ga78</v>
      </c>
      <c r="AC100">
        <f>VLOOKUP(Sheet2!Z100,Nuclides!A:E,2,FALSE)</f>
        <v>47</v>
      </c>
      <c r="AD100">
        <f>VLOOKUP(Z100,Nuclides!A:E,3,FALSE)</f>
        <v>31</v>
      </c>
      <c r="AE100" s="1">
        <f t="shared" si="7"/>
        <v>4798909440</v>
      </c>
      <c r="AF100" t="s">
        <v>737</v>
      </c>
    </row>
    <row r="101" spans="2:32" x14ac:dyDescent="0.2">
      <c r="B101">
        <v>38099</v>
      </c>
      <c r="C101" s="1">
        <v>4.3000000000000003E-6</v>
      </c>
      <c r="D101" t="str">
        <f>VLOOKUP(B101,Nuclides!A:E,5,FALSE)</f>
        <v>Sr99</v>
      </c>
      <c r="E101">
        <f>VLOOKUP(Sheet2!B101,Nuclides!A:E,2,FALSE)</f>
        <v>61</v>
      </c>
      <c r="F101">
        <f>VLOOKUP(B101,Nuclides!A:E,3,FALSE)</f>
        <v>38</v>
      </c>
      <c r="G101" s="1">
        <f t="shared" si="4"/>
        <v>53664000000.000008</v>
      </c>
      <c r="H101">
        <f>VLOOKUP(B101,Nuclides!A:E,4,FALSE)</f>
        <v>0.26900000000000002</v>
      </c>
      <c r="J101" s="1">
        <v>39093</v>
      </c>
      <c r="K101" s="1">
        <v>2.3999999999999999E-6</v>
      </c>
      <c r="L101" t="str">
        <f>VLOOKUP(J101,Nuclides!A:E,5,FALSE)</f>
        <v>Y93</v>
      </c>
      <c r="M101">
        <f>VLOOKUP(Sheet2!J101,Nuclides!A:E,2,FALSE)</f>
        <v>54</v>
      </c>
      <c r="N101">
        <f>VLOOKUP(J101,Nuclides!A:E,3,FALSE)</f>
        <v>39</v>
      </c>
      <c r="O101" s="1">
        <f t="shared" si="5"/>
        <v>29952000000</v>
      </c>
      <c r="R101" s="1">
        <v>32081</v>
      </c>
      <c r="S101" s="1">
        <v>1.81906E-6</v>
      </c>
      <c r="T101" t="str">
        <f>VLOOKUP(R101,Nuclides!A:E,5,FALSE)</f>
        <v>Ge81</v>
      </c>
      <c r="U101">
        <f>VLOOKUP(Sheet2!R101,Nuclides!A:E,2,FALSE)</f>
        <v>49</v>
      </c>
      <c r="V101">
        <f>VLOOKUP(R101,Nuclides!A:E,3,FALSE)</f>
        <v>32</v>
      </c>
      <c r="W101" s="1">
        <f t="shared" si="6"/>
        <v>22701868800</v>
      </c>
      <c r="X101" t="s">
        <v>769</v>
      </c>
      <c r="Z101" s="1">
        <v>31079</v>
      </c>
      <c r="AA101" s="1">
        <v>7.8315600000000003E-7</v>
      </c>
      <c r="AB101" t="str">
        <f>VLOOKUP(Z101,Nuclides!A:E,5,FALSE)</f>
        <v>Ga79</v>
      </c>
      <c r="AC101">
        <f>VLOOKUP(Sheet2!Z101,Nuclides!A:E,2,FALSE)</f>
        <v>48</v>
      </c>
      <c r="AD101">
        <f>VLOOKUP(Z101,Nuclides!A:E,3,FALSE)</f>
        <v>31</v>
      </c>
      <c r="AE101" s="1">
        <f t="shared" si="7"/>
        <v>9773786880</v>
      </c>
      <c r="AF101" t="s">
        <v>738</v>
      </c>
    </row>
    <row r="102" spans="2:32" x14ac:dyDescent="0.2">
      <c r="B102">
        <v>38100</v>
      </c>
      <c r="C102" s="1">
        <v>4.1999999999999996E-6</v>
      </c>
      <c r="D102" t="str">
        <f>VLOOKUP(B102,Nuclides!A:E,5,FALSE)</f>
        <v>Sr100</v>
      </c>
      <c r="E102">
        <f>VLOOKUP(Sheet2!B102,Nuclides!A:E,2,FALSE)</f>
        <v>62</v>
      </c>
      <c r="F102">
        <f>VLOOKUP(B102,Nuclides!A:E,3,FALSE)</f>
        <v>38</v>
      </c>
      <c r="G102" s="1">
        <f t="shared" si="4"/>
        <v>52415999999.999992</v>
      </c>
      <c r="H102">
        <f>VLOOKUP(B102,Nuclides!A:E,4,FALSE)</f>
        <v>0.20200000000000001</v>
      </c>
      <c r="J102" s="1">
        <v>39094</v>
      </c>
      <c r="K102" s="1">
        <v>8.1000000000000004E-6</v>
      </c>
      <c r="L102" t="str">
        <f>VLOOKUP(J102,Nuclides!A:E,5,FALSE)</f>
        <v>Y94</v>
      </c>
      <c r="M102">
        <f>VLOOKUP(Sheet2!J102,Nuclides!A:E,2,FALSE)</f>
        <v>55</v>
      </c>
      <c r="N102">
        <f>VLOOKUP(J102,Nuclides!A:E,3,FALSE)</f>
        <v>39</v>
      </c>
      <c r="O102" s="1">
        <f t="shared" si="5"/>
        <v>101088000000</v>
      </c>
      <c r="R102" s="1">
        <v>32082</v>
      </c>
      <c r="S102" s="1">
        <v>2.1452300000000002E-6</v>
      </c>
      <c r="T102" t="str">
        <f>VLOOKUP(R102,Nuclides!A:E,5,FALSE)</f>
        <v>Ge82</v>
      </c>
      <c r="U102">
        <f>VLOOKUP(Sheet2!R102,Nuclides!A:E,2,FALSE)</f>
        <v>50</v>
      </c>
      <c r="V102">
        <f>VLOOKUP(R102,Nuclides!A:E,3,FALSE)</f>
        <v>32</v>
      </c>
      <c r="W102" s="1">
        <f t="shared" si="6"/>
        <v>26772470400.000004</v>
      </c>
      <c r="X102" t="s">
        <v>770</v>
      </c>
      <c r="Z102" s="1">
        <v>31080</v>
      </c>
      <c r="AA102" s="1">
        <v>6.6798600000000004E-7</v>
      </c>
      <c r="AB102" t="str">
        <f>VLOOKUP(Z102,Nuclides!A:E,5,FALSE)</f>
        <v>Ga80</v>
      </c>
      <c r="AC102">
        <f>VLOOKUP(Sheet2!Z102,Nuclides!A:E,2,FALSE)</f>
        <v>49</v>
      </c>
      <c r="AD102">
        <f>VLOOKUP(Z102,Nuclides!A:E,3,FALSE)</f>
        <v>31</v>
      </c>
      <c r="AE102" s="1">
        <f t="shared" si="7"/>
        <v>8336465280</v>
      </c>
      <c r="AF102" t="s">
        <v>739</v>
      </c>
    </row>
    <row r="103" spans="2:32" x14ac:dyDescent="0.2">
      <c r="B103">
        <v>39080</v>
      </c>
      <c r="C103" s="1">
        <v>1.1999999999999999E-6</v>
      </c>
      <c r="D103" t="str">
        <f>VLOOKUP(B103,Nuclides!A:E,5,FALSE)</f>
        <v>Y80</v>
      </c>
      <c r="E103">
        <f>VLOOKUP(Sheet2!B103,Nuclides!A:E,2,FALSE)</f>
        <v>41</v>
      </c>
      <c r="F103">
        <f>VLOOKUP(B103,Nuclides!A:E,3,FALSE)</f>
        <v>39</v>
      </c>
      <c r="G103" s="1">
        <f t="shared" si="4"/>
        <v>14976000000</v>
      </c>
      <c r="H103">
        <f>VLOOKUP(B103,Nuclides!A:E,4,FALSE)</f>
        <v>30.1</v>
      </c>
      <c r="J103" s="1">
        <v>39095</v>
      </c>
      <c r="K103" s="1">
        <v>2.4499999999999999E-5</v>
      </c>
      <c r="L103" t="str">
        <f>VLOOKUP(J103,Nuclides!A:E,5,FALSE)</f>
        <v>Y95</v>
      </c>
      <c r="M103">
        <f>VLOOKUP(Sheet2!J103,Nuclides!A:E,2,FALSE)</f>
        <v>56</v>
      </c>
      <c r="N103">
        <f>VLOOKUP(J103,Nuclides!A:E,3,FALSE)</f>
        <v>39</v>
      </c>
      <c r="O103" s="1">
        <f t="shared" si="5"/>
        <v>305760000000</v>
      </c>
      <c r="R103" s="1">
        <v>32083</v>
      </c>
      <c r="S103" s="1">
        <v>9.9660400000000002E-7</v>
      </c>
      <c r="T103" t="str">
        <f>VLOOKUP(R103,Nuclides!A:E,5,FALSE)</f>
        <v>Ge83</v>
      </c>
      <c r="U103">
        <f>VLOOKUP(Sheet2!R103,Nuclides!A:E,2,FALSE)</f>
        <v>51</v>
      </c>
      <c r="V103">
        <f>VLOOKUP(R103,Nuclides!A:E,3,FALSE)</f>
        <v>32</v>
      </c>
      <c r="W103" s="1">
        <f t="shared" si="6"/>
        <v>12437617920</v>
      </c>
      <c r="X103" t="s">
        <v>771</v>
      </c>
      <c r="Z103" s="1">
        <v>31081</v>
      </c>
      <c r="AA103" s="1">
        <v>1.12839E-6</v>
      </c>
      <c r="AB103" t="str">
        <f>VLOOKUP(Z103,Nuclides!A:E,5,FALSE)</f>
        <v>Ga81</v>
      </c>
      <c r="AC103">
        <f>VLOOKUP(Sheet2!Z103,Nuclides!A:E,2,FALSE)</f>
        <v>50</v>
      </c>
      <c r="AD103">
        <f>VLOOKUP(Z103,Nuclides!A:E,3,FALSE)</f>
        <v>31</v>
      </c>
      <c r="AE103" s="1">
        <f t="shared" si="7"/>
        <v>14082307200</v>
      </c>
      <c r="AF103" t="s">
        <v>740</v>
      </c>
    </row>
    <row r="104" spans="2:32" x14ac:dyDescent="0.2">
      <c r="B104">
        <v>39081</v>
      </c>
      <c r="C104" s="1">
        <v>9.9999999999999995E-8</v>
      </c>
      <c r="D104" t="str">
        <f>VLOOKUP(B104,Nuclides!A:E,5,FALSE)</f>
        <v>Y81</v>
      </c>
      <c r="E104">
        <f>VLOOKUP(Sheet2!B104,Nuclides!A:E,2,FALSE)</f>
        <v>42</v>
      </c>
      <c r="F104">
        <f>VLOOKUP(B104,Nuclides!A:E,3,FALSE)</f>
        <v>39</v>
      </c>
      <c r="G104" s="1">
        <f t="shared" si="4"/>
        <v>1248000000</v>
      </c>
      <c r="H104">
        <f>VLOOKUP(B104,Nuclides!A:E,4,FALSE)</f>
        <v>70.400000000000006</v>
      </c>
      <c r="J104" s="1">
        <v>39096</v>
      </c>
      <c r="K104" s="1">
        <v>3.8000000000000002E-5</v>
      </c>
      <c r="L104" t="str">
        <f>VLOOKUP(J104,Nuclides!A:E,5,FALSE)</f>
        <v>Y96</v>
      </c>
      <c r="M104">
        <f>VLOOKUP(Sheet2!J104,Nuclides!A:E,2,FALSE)</f>
        <v>57</v>
      </c>
      <c r="N104">
        <f>VLOOKUP(J104,Nuclides!A:E,3,FALSE)</f>
        <v>39</v>
      </c>
      <c r="O104" s="1">
        <f t="shared" si="5"/>
        <v>474240000000</v>
      </c>
      <c r="R104" s="1">
        <v>32084</v>
      </c>
      <c r="S104" s="1">
        <v>5.6838100000000004E-7</v>
      </c>
      <c r="T104" t="str">
        <f>VLOOKUP(R104,Nuclides!A:E,5,FALSE)</f>
        <v>Ge84</v>
      </c>
      <c r="U104">
        <f>VLOOKUP(Sheet2!R104,Nuclides!A:E,2,FALSE)</f>
        <v>52</v>
      </c>
      <c r="V104">
        <f>VLOOKUP(R104,Nuclides!A:E,3,FALSE)</f>
        <v>32</v>
      </c>
      <c r="W104" s="1">
        <f t="shared" si="6"/>
        <v>7093394880.000001</v>
      </c>
      <c r="X104" t="s">
        <v>772</v>
      </c>
      <c r="Z104" s="1">
        <v>31082</v>
      </c>
      <c r="AA104" s="1">
        <v>4.8154999999999997E-7</v>
      </c>
      <c r="AB104" t="str">
        <f>VLOOKUP(Z104,Nuclides!A:E,5,FALSE)</f>
        <v>Ga82</v>
      </c>
      <c r="AC104">
        <f>VLOOKUP(Sheet2!Z104,Nuclides!A:E,2,FALSE)</f>
        <v>51</v>
      </c>
      <c r="AD104">
        <f>VLOOKUP(Z104,Nuclides!A:E,3,FALSE)</f>
        <v>31</v>
      </c>
      <c r="AE104" s="1">
        <f t="shared" si="7"/>
        <v>6009744000</v>
      </c>
      <c r="AF104" t="s">
        <v>741</v>
      </c>
    </row>
    <row r="105" spans="2:32" x14ac:dyDescent="0.2">
      <c r="B105">
        <v>39082</v>
      </c>
      <c r="C105" s="1">
        <v>9.9999999999999995E-8</v>
      </c>
      <c r="D105" t="str">
        <f>VLOOKUP(B105,Nuclides!A:E,5,FALSE)</f>
        <v>Y82</v>
      </c>
      <c r="E105">
        <f>VLOOKUP(Sheet2!B105,Nuclides!A:E,2,FALSE)</f>
        <v>43</v>
      </c>
      <c r="F105">
        <f>VLOOKUP(B105,Nuclides!A:E,3,FALSE)</f>
        <v>39</v>
      </c>
      <c r="G105" s="1">
        <f t="shared" si="4"/>
        <v>1248000000</v>
      </c>
      <c r="H105">
        <f>VLOOKUP(B105,Nuclides!A:E,4,FALSE)</f>
        <v>8.3000000000000007</v>
      </c>
      <c r="J105" s="1">
        <v>39097</v>
      </c>
      <c r="K105" s="1">
        <v>7.2399999999999998E-5</v>
      </c>
      <c r="L105" t="str">
        <f>VLOOKUP(J105,Nuclides!A:E,5,FALSE)</f>
        <v>Y97</v>
      </c>
      <c r="M105">
        <f>VLOOKUP(Sheet2!J105,Nuclides!A:E,2,FALSE)</f>
        <v>58</v>
      </c>
      <c r="N105">
        <f>VLOOKUP(J105,Nuclides!A:E,3,FALSE)</f>
        <v>39</v>
      </c>
      <c r="O105" s="1">
        <f t="shared" si="5"/>
        <v>903552000000</v>
      </c>
      <c r="R105" s="1">
        <v>33066</v>
      </c>
      <c r="S105" s="1">
        <v>1.54886E-7</v>
      </c>
      <c r="T105" t="str">
        <f>VLOOKUP(R105,Nuclides!A:E,5,FALSE)</f>
        <v>As66</v>
      </c>
      <c r="U105">
        <f>VLOOKUP(Sheet2!R105,Nuclides!A:E,2,FALSE)</f>
        <v>33</v>
      </c>
      <c r="V105">
        <f>VLOOKUP(R105,Nuclides!A:E,3,FALSE)</f>
        <v>33</v>
      </c>
      <c r="W105" s="1">
        <f t="shared" si="6"/>
        <v>1932977280</v>
      </c>
      <c r="X105" t="s">
        <v>781</v>
      </c>
      <c r="Z105" s="1">
        <v>31083</v>
      </c>
      <c r="AA105" s="1">
        <v>3.66101E-7</v>
      </c>
      <c r="AB105" t="str">
        <f>VLOOKUP(Z105,Nuclides!A:E,5,FALSE)</f>
        <v>Ga83</v>
      </c>
      <c r="AC105">
        <f>VLOOKUP(Sheet2!Z105,Nuclides!A:E,2,FALSE)</f>
        <v>52</v>
      </c>
      <c r="AD105">
        <f>VLOOKUP(Z105,Nuclides!A:E,3,FALSE)</f>
        <v>31</v>
      </c>
      <c r="AE105" s="1">
        <f t="shared" si="7"/>
        <v>4568940480</v>
      </c>
      <c r="AF105" t="s">
        <v>742</v>
      </c>
    </row>
    <row r="106" spans="2:32" x14ac:dyDescent="0.2">
      <c r="B106">
        <v>39092</v>
      </c>
      <c r="C106" s="1">
        <v>9.9999999999999995E-8</v>
      </c>
      <c r="D106" t="str">
        <f>VLOOKUP(B106,Nuclides!A:E,5,FALSE)</f>
        <v>Y92</v>
      </c>
      <c r="E106">
        <f>VLOOKUP(Sheet2!B106,Nuclides!A:E,2,FALSE)</f>
        <v>53</v>
      </c>
      <c r="F106">
        <f>VLOOKUP(B106,Nuclides!A:E,3,FALSE)</f>
        <v>39</v>
      </c>
      <c r="G106" s="1">
        <f t="shared" si="4"/>
        <v>1248000000</v>
      </c>
      <c r="H106">
        <f>VLOOKUP(B106,Nuclides!A:E,4,FALSE)</f>
        <v>12744</v>
      </c>
      <c r="J106" s="1">
        <v>39098</v>
      </c>
      <c r="K106" s="1">
        <v>7.1099999999999994E-5</v>
      </c>
      <c r="L106" t="str">
        <f>VLOOKUP(J106,Nuclides!A:E,5,FALSE)</f>
        <v>Y98</v>
      </c>
      <c r="M106">
        <f>VLOOKUP(Sheet2!J106,Nuclides!A:E,2,FALSE)</f>
        <v>59</v>
      </c>
      <c r="N106">
        <f>VLOOKUP(J106,Nuclides!A:E,3,FALSE)</f>
        <v>39</v>
      </c>
      <c r="O106" s="1">
        <f t="shared" si="5"/>
        <v>887327999999.99988</v>
      </c>
      <c r="R106" s="1">
        <v>33067</v>
      </c>
      <c r="S106" s="1">
        <v>6.7356999999999999E-8</v>
      </c>
      <c r="T106" t="str">
        <f>VLOOKUP(R106,Nuclides!A:E,5,FALSE)</f>
        <v>As67</v>
      </c>
      <c r="U106">
        <f>VLOOKUP(Sheet2!R106,Nuclides!A:E,2,FALSE)</f>
        <v>34</v>
      </c>
      <c r="V106">
        <f>VLOOKUP(R106,Nuclides!A:E,3,FALSE)</f>
        <v>33</v>
      </c>
      <c r="W106" s="1">
        <f t="shared" si="6"/>
        <v>840615360</v>
      </c>
      <c r="X106" t="s">
        <v>782</v>
      </c>
      <c r="Z106" s="1">
        <v>32061</v>
      </c>
      <c r="AA106" s="1">
        <v>1.5363000000000001E-7</v>
      </c>
      <c r="AB106" t="str">
        <f>VLOOKUP(Z106,Nuclides!A:E,5,FALSE)</f>
        <v>Ge61</v>
      </c>
      <c r="AC106">
        <f>VLOOKUP(Sheet2!Z106,Nuclides!A:E,2,FALSE)</f>
        <v>29</v>
      </c>
      <c r="AD106">
        <f>VLOOKUP(Z106,Nuclides!A:E,3,FALSE)</f>
        <v>32</v>
      </c>
      <c r="AE106" s="1">
        <f t="shared" si="7"/>
        <v>1917302400</v>
      </c>
      <c r="AF106" t="s">
        <v>749</v>
      </c>
    </row>
    <row r="107" spans="2:32" x14ac:dyDescent="0.2">
      <c r="B107">
        <v>39093</v>
      </c>
      <c r="C107" s="1">
        <v>1.9999999999999999E-7</v>
      </c>
      <c r="D107" t="str">
        <f>VLOOKUP(B107,Nuclides!A:E,5,FALSE)</f>
        <v>Y93</v>
      </c>
      <c r="E107">
        <f>VLOOKUP(Sheet2!B107,Nuclides!A:E,2,FALSE)</f>
        <v>54</v>
      </c>
      <c r="F107">
        <f>VLOOKUP(B107,Nuclides!A:E,3,FALSE)</f>
        <v>39</v>
      </c>
      <c r="G107" s="1">
        <f t="shared" si="4"/>
        <v>2496000000</v>
      </c>
      <c r="H107">
        <f>VLOOKUP(B107,Nuclides!A:E,4,FALSE)</f>
        <v>36648</v>
      </c>
      <c r="J107" s="1">
        <v>39099</v>
      </c>
      <c r="K107" s="1">
        <v>6.02E-5</v>
      </c>
      <c r="L107" t="str">
        <f>VLOOKUP(J107,Nuclides!A:E,5,FALSE)</f>
        <v>Y99</v>
      </c>
      <c r="M107">
        <f>VLOOKUP(Sheet2!J107,Nuclides!A:E,2,FALSE)</f>
        <v>60</v>
      </c>
      <c r="N107">
        <f>VLOOKUP(J107,Nuclides!A:E,3,FALSE)</f>
        <v>39</v>
      </c>
      <c r="O107" s="1">
        <f t="shared" si="5"/>
        <v>751296000000</v>
      </c>
      <c r="R107" s="1">
        <v>33068</v>
      </c>
      <c r="S107" s="1">
        <v>1.13774E-8</v>
      </c>
      <c r="T107" t="str">
        <f>VLOOKUP(R107,Nuclides!A:E,5,FALSE)</f>
        <v>As68</v>
      </c>
      <c r="U107">
        <f>VLOOKUP(Sheet2!R107,Nuclides!A:E,2,FALSE)</f>
        <v>35</v>
      </c>
      <c r="V107">
        <f>VLOOKUP(R107,Nuclides!A:E,3,FALSE)</f>
        <v>33</v>
      </c>
      <c r="W107" s="1">
        <f t="shared" si="6"/>
        <v>141989952</v>
      </c>
      <c r="X107" t="s">
        <v>783</v>
      </c>
      <c r="Z107" s="1">
        <v>32062</v>
      </c>
      <c r="AA107" s="1">
        <v>9.2066199999999996E-8</v>
      </c>
      <c r="AB107" t="str">
        <f>VLOOKUP(Z107,Nuclides!A:E,5,FALSE)</f>
        <v>Ge62</v>
      </c>
      <c r="AC107">
        <f>VLOOKUP(Sheet2!Z107,Nuclides!A:E,2,FALSE)</f>
        <v>30</v>
      </c>
      <c r="AD107">
        <f>VLOOKUP(Z107,Nuclides!A:E,3,FALSE)</f>
        <v>32</v>
      </c>
      <c r="AE107" s="1">
        <f t="shared" si="7"/>
        <v>1148986176</v>
      </c>
      <c r="AF107" t="s">
        <v>750</v>
      </c>
    </row>
    <row r="108" spans="2:32" x14ac:dyDescent="0.2">
      <c r="B108">
        <v>39094</v>
      </c>
      <c r="C108" s="1">
        <v>1.7999999999999999E-6</v>
      </c>
      <c r="D108" t="str">
        <f>VLOOKUP(B108,Nuclides!A:E,5,FALSE)</f>
        <v>Y94</v>
      </c>
      <c r="E108">
        <f>VLOOKUP(Sheet2!B108,Nuclides!A:E,2,FALSE)</f>
        <v>55</v>
      </c>
      <c r="F108">
        <f>VLOOKUP(B108,Nuclides!A:E,3,FALSE)</f>
        <v>39</v>
      </c>
      <c r="G108" s="1">
        <f t="shared" si="4"/>
        <v>22464000000</v>
      </c>
      <c r="H108">
        <f>VLOOKUP(B108,Nuclides!A:E,4,FALSE)</f>
        <v>1122</v>
      </c>
      <c r="J108" s="1">
        <v>39100</v>
      </c>
      <c r="K108" s="1">
        <v>2.83E-5</v>
      </c>
      <c r="L108" t="str">
        <f>VLOOKUP(J108,Nuclides!A:E,5,FALSE)</f>
        <v>Y100</v>
      </c>
      <c r="M108">
        <f>VLOOKUP(Sheet2!J108,Nuclides!A:E,2,FALSE)</f>
        <v>61</v>
      </c>
      <c r="N108">
        <f>VLOOKUP(J108,Nuclides!A:E,3,FALSE)</f>
        <v>39</v>
      </c>
      <c r="O108" s="1">
        <f t="shared" si="5"/>
        <v>353184000000</v>
      </c>
      <c r="R108" s="1">
        <v>33069</v>
      </c>
      <c r="S108" s="1">
        <v>5.3048000000000001E-9</v>
      </c>
      <c r="T108" t="str">
        <f>VLOOKUP(R108,Nuclides!A:E,5,FALSE)</f>
        <v>As69</v>
      </c>
      <c r="U108">
        <f>VLOOKUP(Sheet2!R108,Nuclides!A:E,2,FALSE)</f>
        <v>36</v>
      </c>
      <c r="V108">
        <f>VLOOKUP(R108,Nuclides!A:E,3,FALSE)</f>
        <v>33</v>
      </c>
      <c r="W108" s="1">
        <f t="shared" si="6"/>
        <v>66203904</v>
      </c>
      <c r="X108" t="s">
        <v>784</v>
      </c>
      <c r="Z108" s="1">
        <v>32063</v>
      </c>
      <c r="AA108" s="1">
        <v>2.0242E-8</v>
      </c>
      <c r="AB108" t="str">
        <f>VLOOKUP(Z108,Nuclides!A:E,5,FALSE)</f>
        <v>Ge63</v>
      </c>
      <c r="AC108">
        <f>VLOOKUP(Sheet2!Z108,Nuclides!A:E,2,FALSE)</f>
        <v>31</v>
      </c>
      <c r="AD108">
        <f>VLOOKUP(Z108,Nuclides!A:E,3,FALSE)</f>
        <v>32</v>
      </c>
      <c r="AE108" s="1">
        <f t="shared" si="7"/>
        <v>252620160</v>
      </c>
      <c r="AF108" t="s">
        <v>751</v>
      </c>
    </row>
    <row r="109" spans="2:32" x14ac:dyDescent="0.2">
      <c r="B109">
        <v>39095</v>
      </c>
      <c r="C109" s="1">
        <v>3.8E-6</v>
      </c>
      <c r="D109" t="str">
        <f>VLOOKUP(B109,Nuclides!A:E,5,FALSE)</f>
        <v>Y95</v>
      </c>
      <c r="E109">
        <f>VLOOKUP(Sheet2!B109,Nuclides!A:E,2,FALSE)</f>
        <v>56</v>
      </c>
      <c r="F109">
        <f>VLOOKUP(B109,Nuclides!A:E,3,FALSE)</f>
        <v>39</v>
      </c>
      <c r="G109" s="1">
        <f t="shared" si="4"/>
        <v>47424000000</v>
      </c>
      <c r="H109">
        <f>VLOOKUP(B109,Nuclides!A:E,4,FALSE)</f>
        <v>618</v>
      </c>
      <c r="J109" s="1">
        <v>39101</v>
      </c>
      <c r="K109" s="1">
        <v>1.0200000000000001E-5</v>
      </c>
      <c r="L109" t="str">
        <f>VLOOKUP(J109,Nuclides!A:E,5,FALSE)</f>
        <v>Y101</v>
      </c>
      <c r="M109">
        <f>VLOOKUP(Sheet2!J109,Nuclides!A:E,2,FALSE)</f>
        <v>62</v>
      </c>
      <c r="N109">
        <f>VLOOKUP(J109,Nuclides!A:E,3,FALSE)</f>
        <v>39</v>
      </c>
      <c r="O109" s="1">
        <f t="shared" si="5"/>
        <v>127296000000</v>
      </c>
      <c r="R109" s="1">
        <v>33070</v>
      </c>
      <c r="S109" s="1">
        <v>3.4899999999999998E-10</v>
      </c>
      <c r="T109" t="str">
        <f>VLOOKUP(R109,Nuclides!A:E,5,FALSE)</f>
        <v>As70</v>
      </c>
      <c r="U109">
        <f>VLOOKUP(Sheet2!R109,Nuclides!A:E,2,FALSE)</f>
        <v>37</v>
      </c>
      <c r="V109">
        <f>VLOOKUP(R109,Nuclides!A:E,3,FALSE)</f>
        <v>33</v>
      </c>
      <c r="W109" s="1">
        <f t="shared" si="6"/>
        <v>4355520</v>
      </c>
      <c r="X109" t="s">
        <v>785</v>
      </c>
      <c r="Z109" s="1">
        <v>32064</v>
      </c>
      <c r="AA109" s="1">
        <v>7.3987999999999997E-9</v>
      </c>
      <c r="AB109" t="str">
        <f>VLOOKUP(Z109,Nuclides!A:E,5,FALSE)</f>
        <v>Ge64</v>
      </c>
      <c r="AC109">
        <f>VLOOKUP(Sheet2!Z109,Nuclides!A:E,2,FALSE)</f>
        <v>32</v>
      </c>
      <c r="AD109">
        <f>VLOOKUP(Z109,Nuclides!A:E,3,FALSE)</f>
        <v>32</v>
      </c>
      <c r="AE109" s="1">
        <f t="shared" si="7"/>
        <v>92337024</v>
      </c>
      <c r="AF109" t="s">
        <v>752</v>
      </c>
    </row>
    <row r="110" spans="2:32" x14ac:dyDescent="0.2">
      <c r="B110">
        <v>39096</v>
      </c>
      <c r="C110" s="1">
        <v>9.5000000000000005E-6</v>
      </c>
      <c r="D110" t="str">
        <f>VLOOKUP(B110,Nuclides!A:E,5,FALSE)</f>
        <v>Y96</v>
      </c>
      <c r="E110">
        <f>VLOOKUP(Sheet2!B110,Nuclides!A:E,2,FALSE)</f>
        <v>57</v>
      </c>
      <c r="F110">
        <f>VLOOKUP(B110,Nuclides!A:E,3,FALSE)</f>
        <v>39</v>
      </c>
      <c r="G110" s="1">
        <f t="shared" si="4"/>
        <v>118560000000</v>
      </c>
      <c r="H110">
        <f>VLOOKUP(B110,Nuclides!A:E,4,FALSE)</f>
        <v>5.34</v>
      </c>
      <c r="J110" s="1">
        <v>39102</v>
      </c>
      <c r="K110" s="1">
        <v>1.5E-6</v>
      </c>
      <c r="L110" t="str">
        <f>VLOOKUP(J110,Nuclides!A:E,5,FALSE)</f>
        <v>Y102</v>
      </c>
      <c r="M110">
        <f>VLOOKUP(Sheet2!J110,Nuclides!A:E,2,FALSE)</f>
        <v>63</v>
      </c>
      <c r="N110">
        <f>VLOOKUP(J110,Nuclides!A:E,3,FALSE)</f>
        <v>39</v>
      </c>
      <c r="O110" s="1">
        <f t="shared" si="5"/>
        <v>18720000000</v>
      </c>
      <c r="R110" s="1">
        <v>33071</v>
      </c>
      <c r="S110" s="1">
        <v>2.094E-10</v>
      </c>
      <c r="T110" t="str">
        <f>VLOOKUP(R110,Nuclides!A:E,5,FALSE)</f>
        <v>As71</v>
      </c>
      <c r="U110">
        <f>VLOOKUP(Sheet2!R110,Nuclides!A:E,2,FALSE)</f>
        <v>38</v>
      </c>
      <c r="V110">
        <f>VLOOKUP(R110,Nuclides!A:E,3,FALSE)</f>
        <v>33</v>
      </c>
      <c r="W110" s="1">
        <f t="shared" si="6"/>
        <v>2613312</v>
      </c>
      <c r="X110" t="s">
        <v>786</v>
      </c>
      <c r="Z110" s="1">
        <v>32065</v>
      </c>
      <c r="AA110" s="1">
        <v>1.1167999999999999E-9</v>
      </c>
      <c r="AB110" t="str">
        <f>VLOOKUP(Z110,Nuclides!A:E,5,FALSE)</f>
        <v>Ge65</v>
      </c>
      <c r="AC110">
        <f>VLOOKUP(Sheet2!Z110,Nuclides!A:E,2,FALSE)</f>
        <v>33</v>
      </c>
      <c r="AD110">
        <f>VLOOKUP(Z110,Nuclides!A:E,3,FALSE)</f>
        <v>32</v>
      </c>
      <c r="AE110" s="1">
        <f t="shared" si="7"/>
        <v>13937663.999999998</v>
      </c>
      <c r="AF110" t="s">
        <v>753</v>
      </c>
    </row>
    <row r="111" spans="2:32" x14ac:dyDescent="0.2">
      <c r="B111">
        <v>39097</v>
      </c>
      <c r="C111" s="1">
        <v>1.4100000000000001E-5</v>
      </c>
      <c r="D111" t="str">
        <f>VLOOKUP(B111,Nuclides!A:E,5,FALSE)</f>
        <v>Y97</v>
      </c>
      <c r="E111">
        <f>VLOOKUP(Sheet2!B111,Nuclides!A:E,2,FALSE)</f>
        <v>58</v>
      </c>
      <c r="F111">
        <f>VLOOKUP(B111,Nuclides!A:E,3,FALSE)</f>
        <v>39</v>
      </c>
      <c r="G111" s="1">
        <f t="shared" si="4"/>
        <v>175968000000</v>
      </c>
      <c r="H111">
        <f>VLOOKUP(B111,Nuclides!A:E,4,FALSE)</f>
        <v>3.75</v>
      </c>
      <c r="J111" s="1">
        <v>40081</v>
      </c>
      <c r="K111" s="1">
        <v>1.9999999999999999E-7</v>
      </c>
      <c r="L111" t="str">
        <f>VLOOKUP(J111,Nuclides!A:E,5,FALSE)</f>
        <v>Zr81</v>
      </c>
      <c r="M111">
        <f>VLOOKUP(Sheet2!J111,Nuclides!A:E,2,FALSE)</f>
        <v>41</v>
      </c>
      <c r="N111">
        <f>VLOOKUP(J111,Nuclides!A:E,3,FALSE)</f>
        <v>40</v>
      </c>
      <c r="O111" s="1">
        <f t="shared" si="5"/>
        <v>2496000000</v>
      </c>
      <c r="R111" s="1">
        <v>33072</v>
      </c>
      <c r="S111" s="1">
        <v>6.9799999999999994E-11</v>
      </c>
      <c r="T111" t="str">
        <f>VLOOKUP(R111,Nuclides!A:E,5,FALSE)</f>
        <v>As72</v>
      </c>
      <c r="U111">
        <f>VLOOKUP(Sheet2!R111,Nuclides!A:E,2,FALSE)</f>
        <v>39</v>
      </c>
      <c r="V111">
        <f>VLOOKUP(R111,Nuclides!A:E,3,FALSE)</f>
        <v>33</v>
      </c>
      <c r="W111" s="1">
        <f t="shared" si="6"/>
        <v>871103.99999999988</v>
      </c>
      <c r="X111" t="s">
        <v>787</v>
      </c>
      <c r="Z111" s="1">
        <v>32066</v>
      </c>
      <c r="AA111" s="1">
        <v>6.9799999999999994E-11</v>
      </c>
      <c r="AB111" t="str">
        <f>VLOOKUP(Z111,Nuclides!A:E,5,FALSE)</f>
        <v>Ge66</v>
      </c>
      <c r="AC111">
        <f>VLOOKUP(Sheet2!Z111,Nuclides!A:E,2,FALSE)</f>
        <v>34</v>
      </c>
      <c r="AD111">
        <f>VLOOKUP(Z111,Nuclides!A:E,3,FALSE)</f>
        <v>32</v>
      </c>
      <c r="AE111" s="1">
        <f t="shared" si="7"/>
        <v>871103.99999999988</v>
      </c>
      <c r="AF111" t="s">
        <v>754</v>
      </c>
    </row>
    <row r="112" spans="2:32" x14ac:dyDescent="0.2">
      <c r="B112">
        <v>39098</v>
      </c>
      <c r="C112" s="1">
        <v>1.52E-5</v>
      </c>
      <c r="D112" t="str">
        <f>VLOOKUP(B112,Nuclides!A:E,5,FALSE)</f>
        <v>Y98</v>
      </c>
      <c r="E112">
        <f>VLOOKUP(Sheet2!B112,Nuclides!A:E,2,FALSE)</f>
        <v>59</v>
      </c>
      <c r="F112">
        <f>VLOOKUP(B112,Nuclides!A:E,3,FALSE)</f>
        <v>39</v>
      </c>
      <c r="G112" s="1">
        <f t="shared" si="4"/>
        <v>189696000000</v>
      </c>
      <c r="H112">
        <f>VLOOKUP(B112,Nuclides!A:E,4,FALSE)</f>
        <v>0.54800000000000004</v>
      </c>
      <c r="J112" s="1">
        <v>40082</v>
      </c>
      <c r="K112" s="1">
        <v>9.9999999999999995E-8</v>
      </c>
      <c r="L112" t="str">
        <f>VLOOKUP(J112,Nuclides!A:E,5,FALSE)</f>
        <v>Zr82</v>
      </c>
      <c r="M112">
        <f>VLOOKUP(Sheet2!J112,Nuclides!A:E,2,FALSE)</f>
        <v>42</v>
      </c>
      <c r="N112">
        <f>VLOOKUP(J112,Nuclides!A:E,3,FALSE)</f>
        <v>40</v>
      </c>
      <c r="O112" s="1">
        <f t="shared" si="5"/>
        <v>1248000000</v>
      </c>
      <c r="R112" s="1">
        <v>33073</v>
      </c>
      <c r="S112" s="1">
        <v>6.9799999999999994E-11</v>
      </c>
      <c r="T112" t="str">
        <f>VLOOKUP(R112,Nuclides!A:E,5,FALSE)</f>
        <v>As73</v>
      </c>
      <c r="U112">
        <f>VLOOKUP(Sheet2!R112,Nuclides!A:E,2,FALSE)</f>
        <v>40</v>
      </c>
      <c r="V112">
        <f>VLOOKUP(R112,Nuclides!A:E,3,FALSE)</f>
        <v>33</v>
      </c>
      <c r="W112" s="1">
        <f t="shared" si="6"/>
        <v>871103.99999999988</v>
      </c>
      <c r="X112" t="s">
        <v>788</v>
      </c>
      <c r="Z112" s="1">
        <v>32074</v>
      </c>
      <c r="AA112" s="1">
        <v>4.8860000000000005E-10</v>
      </c>
      <c r="AB112" t="str">
        <f>VLOOKUP(Z112,Nuclides!A:E,5,FALSE)</f>
        <v>Ge74</v>
      </c>
      <c r="AC112">
        <f>VLOOKUP(Sheet2!Z112,Nuclides!A:E,2,FALSE)</f>
        <v>42</v>
      </c>
      <c r="AD112">
        <f>VLOOKUP(Z112,Nuclides!A:E,3,FALSE)</f>
        <v>32</v>
      </c>
      <c r="AE112" s="1">
        <f t="shared" si="7"/>
        <v>6097728.0000000009</v>
      </c>
      <c r="AF112" t="s">
        <v>762</v>
      </c>
    </row>
    <row r="113" spans="2:32" x14ac:dyDescent="0.2">
      <c r="B113">
        <v>39099</v>
      </c>
      <c r="C113" s="1">
        <v>1.7399999999999999E-5</v>
      </c>
      <c r="D113" t="str">
        <f>VLOOKUP(B113,Nuclides!A:E,5,FALSE)</f>
        <v>Y99</v>
      </c>
      <c r="E113">
        <f>VLOOKUP(Sheet2!B113,Nuclides!A:E,2,FALSE)</f>
        <v>60</v>
      </c>
      <c r="F113">
        <f>VLOOKUP(B113,Nuclides!A:E,3,FALSE)</f>
        <v>39</v>
      </c>
      <c r="G113" s="1">
        <f t="shared" si="4"/>
        <v>217152000000</v>
      </c>
      <c r="H113">
        <f>VLOOKUP(B113,Nuclides!A:E,4,FALSE)</f>
        <v>1.484</v>
      </c>
      <c r="J113" s="1">
        <v>40093</v>
      </c>
      <c r="K113" s="1">
        <v>9.9999999999999995E-8</v>
      </c>
      <c r="L113" t="str">
        <f>VLOOKUP(J113,Nuclides!A:E,5,FALSE)</f>
        <v>Zr93</v>
      </c>
      <c r="M113">
        <f>VLOOKUP(Sheet2!J113,Nuclides!A:E,2,FALSE)</f>
        <v>53</v>
      </c>
      <c r="N113">
        <f>VLOOKUP(J113,Nuclides!A:E,3,FALSE)</f>
        <v>40</v>
      </c>
      <c r="O113" s="1">
        <f t="shared" si="5"/>
        <v>1248000000</v>
      </c>
      <c r="R113" s="1">
        <v>33074</v>
      </c>
      <c r="S113" s="1">
        <v>2.7919999999999998E-10</v>
      </c>
      <c r="T113" t="str">
        <f>VLOOKUP(R113,Nuclides!A:E,5,FALSE)</f>
        <v>As74</v>
      </c>
      <c r="U113">
        <f>VLOOKUP(Sheet2!R113,Nuclides!A:E,2,FALSE)</f>
        <v>41</v>
      </c>
      <c r="V113">
        <f>VLOOKUP(R113,Nuclides!A:E,3,FALSE)</f>
        <v>33</v>
      </c>
      <c r="W113" s="1">
        <f t="shared" si="6"/>
        <v>3484415.9999999995</v>
      </c>
      <c r="X113" t="s">
        <v>789</v>
      </c>
      <c r="Z113" s="1">
        <v>32075</v>
      </c>
      <c r="AA113" s="1">
        <v>1.3959999999999999E-9</v>
      </c>
      <c r="AB113" t="str">
        <f>VLOOKUP(Z113,Nuclides!A:E,5,FALSE)</f>
        <v>Ge75</v>
      </c>
      <c r="AC113">
        <f>VLOOKUP(Sheet2!Z113,Nuclides!A:E,2,FALSE)</f>
        <v>43</v>
      </c>
      <c r="AD113">
        <f>VLOOKUP(Z113,Nuclides!A:E,3,FALSE)</f>
        <v>32</v>
      </c>
      <c r="AE113" s="1">
        <f t="shared" si="7"/>
        <v>17422080</v>
      </c>
      <c r="AF113" t="s">
        <v>763</v>
      </c>
    </row>
    <row r="114" spans="2:32" x14ac:dyDescent="0.2">
      <c r="B114">
        <v>39100</v>
      </c>
      <c r="C114" s="1">
        <v>1.3499999999999999E-5</v>
      </c>
      <c r="D114" t="str">
        <f>VLOOKUP(B114,Nuclides!A:E,5,FALSE)</f>
        <v>Y100</v>
      </c>
      <c r="E114">
        <f>VLOOKUP(Sheet2!B114,Nuclides!A:E,2,FALSE)</f>
        <v>61</v>
      </c>
      <c r="F114">
        <f>VLOOKUP(B114,Nuclides!A:E,3,FALSE)</f>
        <v>39</v>
      </c>
      <c r="G114" s="1">
        <f t="shared" si="4"/>
        <v>168480000000</v>
      </c>
      <c r="H114">
        <f>VLOOKUP(B114,Nuclides!A:E,4,FALSE)</f>
        <v>0.73499999999999999</v>
      </c>
      <c r="J114" s="1">
        <v>40094</v>
      </c>
      <c r="K114" s="1">
        <v>2.9999999999999999E-7</v>
      </c>
      <c r="L114" t="str">
        <f>VLOOKUP(J114,Nuclides!A:E,5,FALSE)</f>
        <v>Zr94</v>
      </c>
      <c r="M114">
        <f>VLOOKUP(Sheet2!J114,Nuclides!A:E,2,FALSE)</f>
        <v>54</v>
      </c>
      <c r="N114">
        <f>VLOOKUP(J114,Nuclides!A:E,3,FALSE)</f>
        <v>40</v>
      </c>
      <c r="O114" s="1">
        <f t="shared" si="5"/>
        <v>3744000000</v>
      </c>
      <c r="R114" s="1">
        <v>33075</v>
      </c>
      <c r="S114" s="1">
        <v>1.7450000000000001E-9</v>
      </c>
      <c r="T114" t="str">
        <f>VLOOKUP(R114,Nuclides!A:E,5,FALSE)</f>
        <v>As75</v>
      </c>
      <c r="U114">
        <f>VLOOKUP(Sheet2!R114,Nuclides!A:E,2,FALSE)</f>
        <v>42</v>
      </c>
      <c r="V114">
        <f>VLOOKUP(R114,Nuclides!A:E,3,FALSE)</f>
        <v>33</v>
      </c>
      <c r="W114" s="1">
        <f t="shared" si="6"/>
        <v>21777600</v>
      </c>
      <c r="X114" t="s">
        <v>790</v>
      </c>
      <c r="Z114" s="1">
        <v>32076</v>
      </c>
      <c r="AA114" s="1">
        <v>1.2703600000000001E-8</v>
      </c>
      <c r="AB114" t="str">
        <f>VLOOKUP(Z114,Nuclides!A:E,5,FALSE)</f>
        <v>Ge76</v>
      </c>
      <c r="AC114">
        <f>VLOOKUP(Sheet2!Z114,Nuclides!A:E,2,FALSE)</f>
        <v>44</v>
      </c>
      <c r="AD114">
        <f>VLOOKUP(Z114,Nuclides!A:E,3,FALSE)</f>
        <v>32</v>
      </c>
      <c r="AE114" s="1">
        <f t="shared" si="7"/>
        <v>158540928</v>
      </c>
      <c r="AF114" t="s">
        <v>764</v>
      </c>
    </row>
    <row r="115" spans="2:32" x14ac:dyDescent="0.2">
      <c r="B115">
        <v>39101</v>
      </c>
      <c r="C115" s="1">
        <v>7.9000000000000006E-6</v>
      </c>
      <c r="D115" t="str">
        <f>VLOOKUP(B115,Nuclides!A:E,5,FALSE)</f>
        <v>Y101</v>
      </c>
      <c r="E115">
        <f>VLOOKUP(Sheet2!B115,Nuclides!A:E,2,FALSE)</f>
        <v>62</v>
      </c>
      <c r="F115">
        <f>VLOOKUP(B115,Nuclides!A:E,3,FALSE)</f>
        <v>39</v>
      </c>
      <c r="G115" s="1">
        <f t="shared" si="4"/>
        <v>98592000000</v>
      </c>
      <c r="H115">
        <f>VLOOKUP(B115,Nuclides!A:E,4,FALSE)</f>
        <v>0.45</v>
      </c>
      <c r="J115" s="1">
        <v>40095</v>
      </c>
      <c r="K115" s="1">
        <v>1.1000000000000001E-6</v>
      </c>
      <c r="L115" t="str">
        <f>VLOOKUP(J115,Nuclides!A:E,5,FALSE)</f>
        <v>Zr95</v>
      </c>
      <c r="M115">
        <f>VLOOKUP(Sheet2!J115,Nuclides!A:E,2,FALSE)</f>
        <v>55</v>
      </c>
      <c r="N115">
        <f>VLOOKUP(J115,Nuclides!A:E,3,FALSE)</f>
        <v>40</v>
      </c>
      <c r="O115" s="1">
        <f t="shared" si="5"/>
        <v>13728000000</v>
      </c>
      <c r="R115" s="1">
        <v>33076</v>
      </c>
      <c r="S115" s="1">
        <v>6.4216000000000002E-9</v>
      </c>
      <c r="T115" t="str">
        <f>VLOOKUP(R115,Nuclides!A:E,5,FALSE)</f>
        <v>As76</v>
      </c>
      <c r="U115">
        <f>VLOOKUP(Sheet2!R115,Nuclides!A:E,2,FALSE)</f>
        <v>43</v>
      </c>
      <c r="V115">
        <f>VLOOKUP(R115,Nuclides!A:E,3,FALSE)</f>
        <v>33</v>
      </c>
      <c r="W115" s="1">
        <f t="shared" si="6"/>
        <v>80141568</v>
      </c>
      <c r="X115" t="s">
        <v>791</v>
      </c>
      <c r="Z115" s="1">
        <v>32077</v>
      </c>
      <c r="AA115" s="1">
        <v>3.4411399999999998E-8</v>
      </c>
      <c r="AB115" t="str">
        <f>VLOOKUP(Z115,Nuclides!A:E,5,FALSE)</f>
        <v>Ge77</v>
      </c>
      <c r="AC115">
        <f>VLOOKUP(Sheet2!Z115,Nuclides!A:E,2,FALSE)</f>
        <v>45</v>
      </c>
      <c r="AD115">
        <f>VLOOKUP(Z115,Nuclides!A:E,3,FALSE)</f>
        <v>32</v>
      </c>
      <c r="AE115" s="1">
        <f t="shared" si="7"/>
        <v>429454272</v>
      </c>
      <c r="AF115" t="s">
        <v>765</v>
      </c>
    </row>
    <row r="116" spans="2:32" x14ac:dyDescent="0.2">
      <c r="B116">
        <v>39102</v>
      </c>
      <c r="C116" s="1">
        <v>3.7000000000000002E-6</v>
      </c>
      <c r="D116" t="str">
        <f>VLOOKUP(B116,Nuclides!A:E,5,FALSE)</f>
        <v>Y102</v>
      </c>
      <c r="E116">
        <f>VLOOKUP(Sheet2!B116,Nuclides!A:E,2,FALSE)</f>
        <v>63</v>
      </c>
      <c r="F116">
        <f>VLOOKUP(B116,Nuclides!A:E,3,FALSE)</f>
        <v>39</v>
      </c>
      <c r="G116" s="1">
        <f t="shared" si="4"/>
        <v>46176000000</v>
      </c>
      <c r="H116">
        <f>VLOOKUP(B116,Nuclides!A:E,4,FALSE)</f>
        <v>0.36</v>
      </c>
      <c r="J116" s="1">
        <v>40096</v>
      </c>
      <c r="K116" s="1">
        <v>7.5000000000000002E-6</v>
      </c>
      <c r="L116" t="str">
        <f>VLOOKUP(J116,Nuclides!A:E,5,FALSE)</f>
        <v>Zr96</v>
      </c>
      <c r="M116">
        <f>VLOOKUP(Sheet2!J116,Nuclides!A:E,2,FALSE)</f>
        <v>56</v>
      </c>
      <c r="N116">
        <f>VLOOKUP(J116,Nuclides!A:E,3,FALSE)</f>
        <v>40</v>
      </c>
      <c r="O116" s="1">
        <f t="shared" si="5"/>
        <v>93600000000</v>
      </c>
      <c r="R116" s="1">
        <v>33077</v>
      </c>
      <c r="S116" s="1">
        <v>2.8687800000000001E-8</v>
      </c>
      <c r="T116" t="str">
        <f>VLOOKUP(R116,Nuclides!A:E,5,FALSE)</f>
        <v>As77</v>
      </c>
      <c r="U116">
        <f>VLOOKUP(Sheet2!R116,Nuclides!A:E,2,FALSE)</f>
        <v>44</v>
      </c>
      <c r="V116">
        <f>VLOOKUP(R116,Nuclides!A:E,3,FALSE)</f>
        <v>33</v>
      </c>
      <c r="W116" s="1">
        <f t="shared" si="6"/>
        <v>358023744</v>
      </c>
      <c r="X116" t="s">
        <v>792</v>
      </c>
      <c r="Z116" s="1">
        <v>32078</v>
      </c>
      <c r="AA116" s="1">
        <v>2.0032599999999999E-7</v>
      </c>
      <c r="AB116" t="str">
        <f>VLOOKUP(Z116,Nuclides!A:E,5,FALSE)</f>
        <v>Ge78</v>
      </c>
      <c r="AC116">
        <f>VLOOKUP(Sheet2!Z116,Nuclides!A:E,2,FALSE)</f>
        <v>46</v>
      </c>
      <c r="AD116">
        <f>VLOOKUP(Z116,Nuclides!A:E,3,FALSE)</f>
        <v>32</v>
      </c>
      <c r="AE116" s="1">
        <f t="shared" si="7"/>
        <v>2500068480</v>
      </c>
      <c r="AF116" t="s">
        <v>766</v>
      </c>
    </row>
    <row r="117" spans="2:32" x14ac:dyDescent="0.2">
      <c r="B117">
        <v>40081</v>
      </c>
      <c r="C117" s="1">
        <v>2.3E-6</v>
      </c>
      <c r="D117" t="str">
        <f>VLOOKUP(B117,Nuclides!A:E,5,FALSE)</f>
        <v>Zr81</v>
      </c>
      <c r="E117">
        <f>VLOOKUP(Sheet2!B117,Nuclides!A:E,2,FALSE)</f>
        <v>41</v>
      </c>
      <c r="F117">
        <f>VLOOKUP(B117,Nuclides!A:E,3,FALSE)</f>
        <v>40</v>
      </c>
      <c r="G117" s="1">
        <f t="shared" si="4"/>
        <v>28704000000</v>
      </c>
      <c r="H117">
        <f>VLOOKUP(B117,Nuclides!A:E,4,FALSE)</f>
        <v>5.5</v>
      </c>
      <c r="J117" s="1">
        <v>40097</v>
      </c>
      <c r="K117" s="1">
        <v>1.88E-5</v>
      </c>
      <c r="L117" t="str">
        <f>VLOOKUP(J117,Nuclides!A:E,5,FALSE)</f>
        <v>Zr97</v>
      </c>
      <c r="M117">
        <f>VLOOKUP(Sheet2!J117,Nuclides!A:E,2,FALSE)</f>
        <v>57</v>
      </c>
      <c r="N117">
        <f>VLOOKUP(J117,Nuclides!A:E,3,FALSE)</f>
        <v>40</v>
      </c>
      <c r="O117" s="1">
        <f t="shared" si="5"/>
        <v>234624000000</v>
      </c>
      <c r="R117" s="1">
        <v>33078</v>
      </c>
      <c r="S117" s="1">
        <v>8.6621799999999995E-8</v>
      </c>
      <c r="T117" t="str">
        <f>VLOOKUP(R117,Nuclides!A:E,5,FALSE)</f>
        <v>As78</v>
      </c>
      <c r="U117">
        <f>VLOOKUP(Sheet2!R117,Nuclides!A:E,2,FALSE)</f>
        <v>45</v>
      </c>
      <c r="V117">
        <f>VLOOKUP(R117,Nuclides!A:E,3,FALSE)</f>
        <v>33</v>
      </c>
      <c r="W117" s="1">
        <f t="shared" si="6"/>
        <v>1081040064</v>
      </c>
      <c r="X117" t="s">
        <v>793</v>
      </c>
      <c r="Z117" s="1">
        <v>32079</v>
      </c>
      <c r="AA117" s="1">
        <v>3.5472399999999999E-7</v>
      </c>
      <c r="AB117" t="str">
        <f>VLOOKUP(Z117,Nuclides!A:E,5,FALSE)</f>
        <v>Ge79</v>
      </c>
      <c r="AC117">
        <f>VLOOKUP(Sheet2!Z117,Nuclides!A:E,2,FALSE)</f>
        <v>47</v>
      </c>
      <c r="AD117">
        <f>VLOOKUP(Z117,Nuclides!A:E,3,FALSE)</f>
        <v>32</v>
      </c>
      <c r="AE117" s="1">
        <f t="shared" si="7"/>
        <v>4426955520</v>
      </c>
      <c r="AF117" t="s">
        <v>767</v>
      </c>
    </row>
    <row r="118" spans="2:32" x14ac:dyDescent="0.2">
      <c r="B118">
        <v>40082</v>
      </c>
      <c r="C118" s="1">
        <v>9.9999999999999995E-8</v>
      </c>
      <c r="D118" t="str">
        <f>VLOOKUP(B118,Nuclides!A:E,5,FALSE)</f>
        <v>Zr82</v>
      </c>
      <c r="E118">
        <f>VLOOKUP(Sheet2!B118,Nuclides!A:E,2,FALSE)</f>
        <v>42</v>
      </c>
      <c r="F118">
        <f>VLOOKUP(B118,Nuclides!A:E,3,FALSE)</f>
        <v>40</v>
      </c>
      <c r="G118" s="1">
        <f t="shared" si="4"/>
        <v>1248000000</v>
      </c>
      <c r="H118">
        <f>VLOOKUP(B118,Nuclides!A:E,4,FALSE)</f>
        <v>32</v>
      </c>
      <c r="J118" s="1">
        <v>40098</v>
      </c>
      <c r="K118" s="1">
        <v>4.2200000000000003E-5</v>
      </c>
      <c r="L118" t="str">
        <f>VLOOKUP(J118,Nuclides!A:E,5,FALSE)</f>
        <v>Zr98</v>
      </c>
      <c r="M118">
        <f>VLOOKUP(Sheet2!J118,Nuclides!A:E,2,FALSE)</f>
        <v>58</v>
      </c>
      <c r="N118">
        <f>VLOOKUP(J118,Nuclides!A:E,3,FALSE)</f>
        <v>40</v>
      </c>
      <c r="O118" s="1">
        <f t="shared" si="5"/>
        <v>526656000000.00006</v>
      </c>
      <c r="R118" s="1">
        <v>33079</v>
      </c>
      <c r="S118" s="1">
        <v>2.7152199999999999E-7</v>
      </c>
      <c r="T118" t="str">
        <f>VLOOKUP(R118,Nuclides!A:E,5,FALSE)</f>
        <v>As79</v>
      </c>
      <c r="U118">
        <f>VLOOKUP(Sheet2!R118,Nuclides!A:E,2,FALSE)</f>
        <v>46</v>
      </c>
      <c r="V118">
        <f>VLOOKUP(R118,Nuclides!A:E,3,FALSE)</f>
        <v>33</v>
      </c>
      <c r="W118" s="1">
        <f t="shared" si="6"/>
        <v>3388594560</v>
      </c>
      <c r="X118" t="s">
        <v>794</v>
      </c>
      <c r="Z118" s="1">
        <v>32080</v>
      </c>
      <c r="AA118" s="1">
        <v>1.21026E-6</v>
      </c>
      <c r="AB118" t="str">
        <f>VLOOKUP(Z118,Nuclides!A:E,5,FALSE)</f>
        <v>Ge80</v>
      </c>
      <c r="AC118">
        <f>VLOOKUP(Sheet2!Z118,Nuclides!A:E,2,FALSE)</f>
        <v>48</v>
      </c>
      <c r="AD118">
        <f>VLOOKUP(Z118,Nuclides!A:E,3,FALSE)</f>
        <v>32</v>
      </c>
      <c r="AE118" s="1">
        <f t="shared" si="7"/>
        <v>15104044800</v>
      </c>
      <c r="AF118" t="s">
        <v>768</v>
      </c>
    </row>
    <row r="119" spans="2:32" x14ac:dyDescent="0.2">
      <c r="B119">
        <v>40083</v>
      </c>
      <c r="C119" s="1">
        <v>1.9999999999999999E-7</v>
      </c>
      <c r="D119" t="str">
        <f>VLOOKUP(B119,Nuclides!A:E,5,FALSE)</f>
        <v>Zr83</v>
      </c>
      <c r="E119">
        <f>VLOOKUP(Sheet2!B119,Nuclides!A:E,2,FALSE)</f>
        <v>43</v>
      </c>
      <c r="F119">
        <f>VLOOKUP(B119,Nuclides!A:E,3,FALSE)</f>
        <v>40</v>
      </c>
      <c r="G119" s="1">
        <f t="shared" si="4"/>
        <v>2496000000</v>
      </c>
      <c r="H119">
        <f>VLOOKUP(B119,Nuclides!A:E,4,FALSE)</f>
        <v>42</v>
      </c>
      <c r="J119" s="1">
        <v>40099</v>
      </c>
      <c r="K119" s="1">
        <v>7.0900000000000002E-5</v>
      </c>
      <c r="L119" t="str">
        <f>VLOOKUP(J119,Nuclides!A:E,5,FALSE)</f>
        <v>Zr99</v>
      </c>
      <c r="M119">
        <f>VLOOKUP(Sheet2!J119,Nuclides!A:E,2,FALSE)</f>
        <v>59</v>
      </c>
      <c r="N119">
        <f>VLOOKUP(J119,Nuclides!A:E,3,FALSE)</f>
        <v>40</v>
      </c>
      <c r="O119" s="1">
        <f t="shared" si="5"/>
        <v>884832000000</v>
      </c>
      <c r="R119" s="1">
        <v>33080</v>
      </c>
      <c r="S119" s="1">
        <v>6.6337900000000003E-7</v>
      </c>
      <c r="T119" t="str">
        <f>VLOOKUP(R119,Nuclides!A:E,5,FALSE)</f>
        <v>As80</v>
      </c>
      <c r="U119">
        <f>VLOOKUP(Sheet2!R119,Nuclides!A:E,2,FALSE)</f>
        <v>47</v>
      </c>
      <c r="V119">
        <f>VLOOKUP(R119,Nuclides!A:E,3,FALSE)</f>
        <v>33</v>
      </c>
      <c r="W119" s="1">
        <f t="shared" si="6"/>
        <v>8278969920</v>
      </c>
      <c r="X119" t="s">
        <v>795</v>
      </c>
      <c r="Z119" s="1">
        <v>32081</v>
      </c>
      <c r="AA119" s="1">
        <v>1.30372E-6</v>
      </c>
      <c r="AB119" t="str">
        <f>VLOOKUP(Z119,Nuclides!A:E,5,FALSE)</f>
        <v>Ge81</v>
      </c>
      <c r="AC119">
        <f>VLOOKUP(Sheet2!Z119,Nuclides!A:E,2,FALSE)</f>
        <v>49</v>
      </c>
      <c r="AD119">
        <f>VLOOKUP(Z119,Nuclides!A:E,3,FALSE)</f>
        <v>32</v>
      </c>
      <c r="AE119" s="1">
        <f t="shared" si="7"/>
        <v>16270425600</v>
      </c>
      <c r="AF119" t="s">
        <v>769</v>
      </c>
    </row>
    <row r="120" spans="2:32" x14ac:dyDescent="0.2">
      <c r="B120">
        <v>40095</v>
      </c>
      <c r="C120" s="1">
        <v>9.9999999999999995E-8</v>
      </c>
      <c r="D120" t="str">
        <f>VLOOKUP(B120,Nuclides!A:E,5,FALSE)</f>
        <v>Zr95</v>
      </c>
      <c r="E120">
        <f>VLOOKUP(Sheet2!B120,Nuclides!A:E,2,FALSE)</f>
        <v>55</v>
      </c>
      <c r="F120">
        <f>VLOOKUP(B120,Nuclides!A:E,3,FALSE)</f>
        <v>40</v>
      </c>
      <c r="G120" s="1">
        <f t="shared" si="4"/>
        <v>1248000000</v>
      </c>
      <c r="H120">
        <f>VLOOKUP(B120,Nuclides!A:E,4,FALSE)</f>
        <v>5532364.7999999998</v>
      </c>
      <c r="J120" s="1">
        <v>40100</v>
      </c>
      <c r="K120" s="1">
        <v>8.3100000000000001E-5</v>
      </c>
      <c r="L120" t="str">
        <f>VLOOKUP(J120,Nuclides!A:E,5,FALSE)</f>
        <v>Zr100</v>
      </c>
      <c r="M120">
        <f>VLOOKUP(Sheet2!J120,Nuclides!A:E,2,FALSE)</f>
        <v>60</v>
      </c>
      <c r="N120">
        <f>VLOOKUP(J120,Nuclides!A:E,3,FALSE)</f>
        <v>40</v>
      </c>
      <c r="O120" s="1">
        <f t="shared" si="5"/>
        <v>1037088000000</v>
      </c>
      <c r="R120" s="1">
        <v>33081</v>
      </c>
      <c r="S120" s="1">
        <v>1.77508E-6</v>
      </c>
      <c r="T120" t="str">
        <f>VLOOKUP(R120,Nuclides!A:E,5,FALSE)</f>
        <v>As81</v>
      </c>
      <c r="U120">
        <f>VLOOKUP(Sheet2!R120,Nuclides!A:E,2,FALSE)</f>
        <v>48</v>
      </c>
      <c r="V120">
        <f>VLOOKUP(R120,Nuclides!A:E,3,FALSE)</f>
        <v>33</v>
      </c>
      <c r="W120" s="1">
        <f t="shared" si="6"/>
        <v>22152998400</v>
      </c>
      <c r="X120" t="s">
        <v>796</v>
      </c>
      <c r="Z120" s="1">
        <v>32082</v>
      </c>
      <c r="AA120" s="1">
        <v>2.9413699999999999E-6</v>
      </c>
      <c r="AB120" t="str">
        <f>VLOOKUP(Z120,Nuclides!A:E,5,FALSE)</f>
        <v>Ge82</v>
      </c>
      <c r="AC120">
        <f>VLOOKUP(Sheet2!Z120,Nuclides!A:E,2,FALSE)</f>
        <v>50</v>
      </c>
      <c r="AD120">
        <f>VLOOKUP(Z120,Nuclides!A:E,3,FALSE)</f>
        <v>32</v>
      </c>
      <c r="AE120" s="1">
        <f t="shared" si="7"/>
        <v>36708297600</v>
      </c>
      <c r="AF120" t="s">
        <v>770</v>
      </c>
    </row>
    <row r="121" spans="2:32" x14ac:dyDescent="0.2">
      <c r="B121">
        <v>40096</v>
      </c>
      <c r="C121" s="1">
        <v>8.9999999999999996E-7</v>
      </c>
      <c r="D121" t="str">
        <f>VLOOKUP(B121,Nuclides!A:E,5,FALSE)</f>
        <v>Zr96</v>
      </c>
      <c r="E121">
        <f>VLOOKUP(Sheet2!B121,Nuclides!A:E,2,FALSE)</f>
        <v>56</v>
      </c>
      <c r="F121">
        <f>VLOOKUP(B121,Nuclides!A:E,3,FALSE)</f>
        <v>40</v>
      </c>
      <c r="G121" s="1">
        <f t="shared" si="4"/>
        <v>11232000000</v>
      </c>
      <c r="H121">
        <f>VLOOKUP(B121,Nuclides!A:E,4,FALSE)</f>
        <v>7.4160360000000004E+26</v>
      </c>
      <c r="J121" s="1">
        <v>40101</v>
      </c>
      <c r="K121" s="1">
        <v>6.7799999999999995E-5</v>
      </c>
      <c r="L121" t="str">
        <f>VLOOKUP(J121,Nuclides!A:E,5,FALSE)</f>
        <v>Zr101</v>
      </c>
      <c r="M121">
        <f>VLOOKUP(Sheet2!J121,Nuclides!A:E,2,FALSE)</f>
        <v>61</v>
      </c>
      <c r="N121">
        <f>VLOOKUP(J121,Nuclides!A:E,3,FALSE)</f>
        <v>40</v>
      </c>
      <c r="O121" s="1">
        <f t="shared" si="5"/>
        <v>846143999999.99988</v>
      </c>
      <c r="R121" s="1">
        <v>33082</v>
      </c>
      <c r="S121" s="1">
        <v>2.7661699999999999E-6</v>
      </c>
      <c r="T121" t="str">
        <f>VLOOKUP(R121,Nuclides!A:E,5,FALSE)</f>
        <v>As82</v>
      </c>
      <c r="U121">
        <f>VLOOKUP(Sheet2!R121,Nuclides!A:E,2,FALSE)</f>
        <v>49</v>
      </c>
      <c r="V121">
        <f>VLOOKUP(R121,Nuclides!A:E,3,FALSE)</f>
        <v>33</v>
      </c>
      <c r="W121" s="1">
        <f t="shared" si="6"/>
        <v>34521801600</v>
      </c>
      <c r="X121" t="s">
        <v>797</v>
      </c>
      <c r="Z121" s="1">
        <v>32083</v>
      </c>
      <c r="AA121" s="1">
        <v>1.4849299999999999E-6</v>
      </c>
      <c r="AB121" t="str">
        <f>VLOOKUP(Z121,Nuclides!A:E,5,FALSE)</f>
        <v>Ge83</v>
      </c>
      <c r="AC121">
        <f>VLOOKUP(Sheet2!Z121,Nuclides!A:E,2,FALSE)</f>
        <v>51</v>
      </c>
      <c r="AD121">
        <f>VLOOKUP(Z121,Nuclides!A:E,3,FALSE)</f>
        <v>32</v>
      </c>
      <c r="AE121" s="1">
        <f t="shared" si="7"/>
        <v>18531926400</v>
      </c>
      <c r="AF121" t="s">
        <v>771</v>
      </c>
    </row>
    <row r="122" spans="2:32" x14ac:dyDescent="0.2">
      <c r="B122">
        <v>40097</v>
      </c>
      <c r="C122" s="1">
        <v>3.4999999999999999E-6</v>
      </c>
      <c r="D122" t="str">
        <f>VLOOKUP(B122,Nuclides!A:E,5,FALSE)</f>
        <v>Zr97</v>
      </c>
      <c r="E122">
        <f>VLOOKUP(Sheet2!B122,Nuclides!A:E,2,FALSE)</f>
        <v>57</v>
      </c>
      <c r="F122">
        <f>VLOOKUP(B122,Nuclides!A:E,3,FALSE)</f>
        <v>40</v>
      </c>
      <c r="G122" s="1">
        <f t="shared" si="4"/>
        <v>43680000000</v>
      </c>
      <c r="H122">
        <f>VLOOKUP(B122,Nuclides!A:E,4,FALSE)</f>
        <v>60296.3999999999</v>
      </c>
      <c r="J122" s="1">
        <v>40102</v>
      </c>
      <c r="K122" s="1">
        <v>3.43E-5</v>
      </c>
      <c r="L122" t="str">
        <f>VLOOKUP(J122,Nuclides!A:E,5,FALSE)</f>
        <v>Zr102</v>
      </c>
      <c r="M122">
        <f>VLOOKUP(Sheet2!J122,Nuclides!A:E,2,FALSE)</f>
        <v>62</v>
      </c>
      <c r="N122">
        <f>VLOOKUP(J122,Nuclides!A:E,3,FALSE)</f>
        <v>40</v>
      </c>
      <c r="O122" s="1">
        <f t="shared" si="5"/>
        <v>428064000000</v>
      </c>
      <c r="R122" s="1">
        <v>33083</v>
      </c>
      <c r="S122" s="1">
        <v>5.1904000000000003E-6</v>
      </c>
      <c r="T122" t="str">
        <f>VLOOKUP(R122,Nuclides!A:E,5,FALSE)</f>
        <v>As83</v>
      </c>
      <c r="U122">
        <f>VLOOKUP(Sheet2!R122,Nuclides!A:E,2,FALSE)</f>
        <v>50</v>
      </c>
      <c r="V122">
        <f>VLOOKUP(R122,Nuclides!A:E,3,FALSE)</f>
        <v>33</v>
      </c>
      <c r="W122" s="1">
        <f t="shared" si="6"/>
        <v>64776192000.000008</v>
      </c>
      <c r="X122" t="s">
        <v>798</v>
      </c>
      <c r="Z122" s="1">
        <v>32084</v>
      </c>
      <c r="AA122" s="1">
        <v>1.9867899999999999E-6</v>
      </c>
      <c r="AB122" t="str">
        <f>VLOOKUP(Z122,Nuclides!A:E,5,FALSE)</f>
        <v>Ge84</v>
      </c>
      <c r="AC122">
        <f>VLOOKUP(Sheet2!Z122,Nuclides!A:E,2,FALSE)</f>
        <v>52</v>
      </c>
      <c r="AD122">
        <f>VLOOKUP(Z122,Nuclides!A:E,3,FALSE)</f>
        <v>32</v>
      </c>
      <c r="AE122" s="1">
        <f t="shared" si="7"/>
        <v>24795139200</v>
      </c>
      <c r="AF122" t="s">
        <v>772</v>
      </c>
    </row>
    <row r="123" spans="2:32" x14ac:dyDescent="0.2">
      <c r="B123">
        <v>40098</v>
      </c>
      <c r="C123" s="1">
        <v>7.7999999999999999E-6</v>
      </c>
      <c r="D123" t="str">
        <f>VLOOKUP(B123,Nuclides!A:E,5,FALSE)</f>
        <v>Zr98</v>
      </c>
      <c r="E123">
        <f>VLOOKUP(Sheet2!B123,Nuclides!A:E,2,FALSE)</f>
        <v>58</v>
      </c>
      <c r="F123">
        <f>VLOOKUP(B123,Nuclides!A:E,3,FALSE)</f>
        <v>40</v>
      </c>
      <c r="G123" s="1">
        <f t="shared" si="4"/>
        <v>97344000000</v>
      </c>
      <c r="H123">
        <f>VLOOKUP(B123,Nuclides!A:E,4,FALSE)</f>
        <v>30.7</v>
      </c>
      <c r="J123" s="1">
        <v>41084</v>
      </c>
      <c r="K123" s="1">
        <v>1.0000000000000001E-5</v>
      </c>
      <c r="L123" t="str">
        <f>VLOOKUP(J123,Nuclides!A:E,5,FALSE)</f>
        <v>Nb84</v>
      </c>
      <c r="M123">
        <f>VLOOKUP(Sheet2!J123,Nuclides!A:E,2,FALSE)</f>
        <v>43</v>
      </c>
      <c r="N123">
        <f>VLOOKUP(J123,Nuclides!A:E,3,FALSE)</f>
        <v>41</v>
      </c>
      <c r="O123" s="1">
        <f t="shared" si="5"/>
        <v>124800000000.00002</v>
      </c>
      <c r="R123" s="1">
        <v>33084</v>
      </c>
      <c r="S123" s="1">
        <v>3.6175199999999998E-6</v>
      </c>
      <c r="T123" t="str">
        <f>VLOOKUP(R123,Nuclides!A:E,5,FALSE)</f>
        <v>As84</v>
      </c>
      <c r="U123">
        <f>VLOOKUP(Sheet2!R123,Nuclides!A:E,2,FALSE)</f>
        <v>51</v>
      </c>
      <c r="V123">
        <f>VLOOKUP(R123,Nuclides!A:E,3,FALSE)</f>
        <v>33</v>
      </c>
      <c r="W123" s="1">
        <f t="shared" si="6"/>
        <v>45146649600</v>
      </c>
      <c r="X123" t="s">
        <v>799</v>
      </c>
      <c r="Z123" s="1">
        <v>33066</v>
      </c>
      <c r="AA123" s="1">
        <v>7.8364499999999997E-7</v>
      </c>
      <c r="AB123" t="str">
        <f>VLOOKUP(Z123,Nuclides!A:E,5,FALSE)</f>
        <v>As66</v>
      </c>
      <c r="AC123">
        <f>VLOOKUP(Sheet2!Z123,Nuclides!A:E,2,FALSE)</f>
        <v>33</v>
      </c>
      <c r="AD123">
        <f>VLOOKUP(Z123,Nuclides!A:E,3,FALSE)</f>
        <v>33</v>
      </c>
      <c r="AE123" s="1">
        <f t="shared" si="7"/>
        <v>9779889600</v>
      </c>
      <c r="AF123" t="s">
        <v>781</v>
      </c>
    </row>
    <row r="124" spans="2:32" x14ac:dyDescent="0.2">
      <c r="B124">
        <v>40099</v>
      </c>
      <c r="C124" s="1">
        <v>8.4999999999999999E-6</v>
      </c>
      <c r="D124" t="str">
        <f>VLOOKUP(B124,Nuclides!A:E,5,FALSE)</f>
        <v>Zr99</v>
      </c>
      <c r="E124">
        <f>VLOOKUP(Sheet2!B124,Nuclides!A:E,2,FALSE)</f>
        <v>59</v>
      </c>
      <c r="F124">
        <f>VLOOKUP(B124,Nuclides!A:E,3,FALSE)</f>
        <v>40</v>
      </c>
      <c r="G124" s="1">
        <f t="shared" si="4"/>
        <v>106080000000</v>
      </c>
      <c r="H124">
        <f>VLOOKUP(B124,Nuclides!A:E,4,FALSE)</f>
        <v>2.1</v>
      </c>
      <c r="J124" s="1">
        <v>41085</v>
      </c>
      <c r="K124" s="1">
        <v>2.0999999999999998E-6</v>
      </c>
      <c r="L124" t="str">
        <f>VLOOKUP(J124,Nuclides!A:E,5,FALSE)</f>
        <v>Nb85</v>
      </c>
      <c r="M124">
        <f>VLOOKUP(Sheet2!J124,Nuclides!A:E,2,FALSE)</f>
        <v>44</v>
      </c>
      <c r="N124">
        <f>VLOOKUP(J124,Nuclides!A:E,3,FALSE)</f>
        <v>41</v>
      </c>
      <c r="O124" s="1">
        <f t="shared" si="5"/>
        <v>26207999999.999996</v>
      </c>
      <c r="R124" s="1">
        <v>33085</v>
      </c>
      <c r="S124" s="1">
        <v>3.4113400000000001E-6</v>
      </c>
      <c r="T124" t="str">
        <f>VLOOKUP(R124,Nuclides!A:E,5,FALSE)</f>
        <v>As85</v>
      </c>
      <c r="U124">
        <f>VLOOKUP(Sheet2!R124,Nuclides!A:E,2,FALSE)</f>
        <v>52</v>
      </c>
      <c r="V124">
        <f>VLOOKUP(R124,Nuclides!A:E,3,FALSE)</f>
        <v>33</v>
      </c>
      <c r="W124" s="1">
        <f t="shared" si="6"/>
        <v>42573523200</v>
      </c>
      <c r="X124" t="s">
        <v>800</v>
      </c>
      <c r="Z124" s="1">
        <v>33067</v>
      </c>
      <c r="AA124" s="1">
        <v>7.7205799999999999E-7</v>
      </c>
      <c r="AB124" t="str">
        <f>VLOOKUP(Z124,Nuclides!A:E,5,FALSE)</f>
        <v>As67</v>
      </c>
      <c r="AC124">
        <f>VLOOKUP(Sheet2!Z124,Nuclides!A:E,2,FALSE)</f>
        <v>34</v>
      </c>
      <c r="AD124">
        <f>VLOOKUP(Z124,Nuclides!A:E,3,FALSE)</f>
        <v>33</v>
      </c>
      <c r="AE124" s="1">
        <f t="shared" si="7"/>
        <v>9635283840</v>
      </c>
      <c r="AF124" t="s">
        <v>782</v>
      </c>
    </row>
    <row r="125" spans="2:32" x14ac:dyDescent="0.2">
      <c r="B125">
        <v>40100</v>
      </c>
      <c r="C125" s="1">
        <v>1.8600000000000001E-5</v>
      </c>
      <c r="D125" t="str">
        <f>VLOOKUP(B125,Nuclides!A:E,5,FALSE)</f>
        <v>Zr100</v>
      </c>
      <c r="E125">
        <f>VLOOKUP(Sheet2!B125,Nuclides!A:E,2,FALSE)</f>
        <v>60</v>
      </c>
      <c r="F125">
        <f>VLOOKUP(B125,Nuclides!A:E,3,FALSE)</f>
        <v>40</v>
      </c>
      <c r="G125" s="1">
        <f t="shared" si="4"/>
        <v>232128000000.00003</v>
      </c>
      <c r="H125">
        <f>VLOOKUP(B125,Nuclides!A:E,4,FALSE)</f>
        <v>7.1</v>
      </c>
      <c r="J125" s="1">
        <v>41086</v>
      </c>
      <c r="K125" s="1">
        <v>2.9999999999999999E-7</v>
      </c>
      <c r="L125" t="str">
        <f>VLOOKUP(J125,Nuclides!A:E,5,FALSE)</f>
        <v>Nb86</v>
      </c>
      <c r="M125">
        <f>VLOOKUP(Sheet2!J125,Nuclides!A:E,2,FALSE)</f>
        <v>45</v>
      </c>
      <c r="N125">
        <f>VLOOKUP(J125,Nuclides!A:E,3,FALSE)</f>
        <v>41</v>
      </c>
      <c r="O125" s="1">
        <f t="shared" si="5"/>
        <v>3744000000</v>
      </c>
      <c r="R125" s="1">
        <v>33086</v>
      </c>
      <c r="S125" s="1">
        <v>1.3008600000000001E-6</v>
      </c>
      <c r="T125" t="str">
        <f>VLOOKUP(R125,Nuclides!A:E,5,FALSE)</f>
        <v>As86</v>
      </c>
      <c r="U125">
        <f>VLOOKUP(Sheet2!R125,Nuclides!A:E,2,FALSE)</f>
        <v>53</v>
      </c>
      <c r="V125">
        <f>VLOOKUP(R125,Nuclides!A:E,3,FALSE)</f>
        <v>33</v>
      </c>
      <c r="W125" s="1">
        <f t="shared" si="6"/>
        <v>16234732800</v>
      </c>
      <c r="X125" t="s">
        <v>801</v>
      </c>
      <c r="Z125" s="1">
        <v>33068</v>
      </c>
      <c r="AA125" s="1">
        <v>1.76105E-7</v>
      </c>
      <c r="AB125" t="str">
        <f>VLOOKUP(Z125,Nuclides!A:E,5,FALSE)</f>
        <v>As68</v>
      </c>
      <c r="AC125">
        <f>VLOOKUP(Sheet2!Z125,Nuclides!A:E,2,FALSE)</f>
        <v>35</v>
      </c>
      <c r="AD125">
        <f>VLOOKUP(Z125,Nuclides!A:E,3,FALSE)</f>
        <v>33</v>
      </c>
      <c r="AE125" s="1">
        <f t="shared" si="7"/>
        <v>2197790400</v>
      </c>
      <c r="AF125" t="s">
        <v>783</v>
      </c>
    </row>
    <row r="126" spans="2:32" x14ac:dyDescent="0.2">
      <c r="B126">
        <v>40101</v>
      </c>
      <c r="C126" s="1">
        <v>1.31E-5</v>
      </c>
      <c r="D126" t="str">
        <f>VLOOKUP(B126,Nuclides!A:E,5,FALSE)</f>
        <v>Zr101</v>
      </c>
      <c r="E126">
        <f>VLOOKUP(Sheet2!B126,Nuclides!A:E,2,FALSE)</f>
        <v>61</v>
      </c>
      <c r="F126">
        <f>VLOOKUP(B126,Nuclides!A:E,3,FALSE)</f>
        <v>40</v>
      </c>
      <c r="G126" s="1">
        <f t="shared" si="4"/>
        <v>163488000000</v>
      </c>
      <c r="H126">
        <f>VLOOKUP(B126,Nuclides!A:E,4,FALSE)</f>
        <v>2.2999999999999998</v>
      </c>
      <c r="J126" s="1">
        <v>41096</v>
      </c>
      <c r="K126" s="1">
        <v>1.9999999999999999E-7</v>
      </c>
      <c r="L126" t="str">
        <f>VLOOKUP(J126,Nuclides!A:E,5,FALSE)</f>
        <v>Nb96</v>
      </c>
      <c r="M126">
        <f>VLOOKUP(Sheet2!J126,Nuclides!A:E,2,FALSE)</f>
        <v>55</v>
      </c>
      <c r="N126">
        <f>VLOOKUP(J126,Nuclides!A:E,3,FALSE)</f>
        <v>41</v>
      </c>
      <c r="O126" s="1">
        <f t="shared" si="5"/>
        <v>2496000000</v>
      </c>
      <c r="R126" s="1">
        <v>33087</v>
      </c>
      <c r="S126" s="1">
        <v>7.7450099999999998E-7</v>
      </c>
      <c r="T126" t="str">
        <f>VLOOKUP(R126,Nuclides!A:E,5,FALSE)</f>
        <v>As87</v>
      </c>
      <c r="U126">
        <f>VLOOKUP(Sheet2!R126,Nuclides!A:E,2,FALSE)</f>
        <v>54</v>
      </c>
      <c r="V126">
        <f>VLOOKUP(R126,Nuclides!A:E,3,FALSE)</f>
        <v>33</v>
      </c>
      <c r="W126" s="1">
        <f t="shared" si="6"/>
        <v>9665772480</v>
      </c>
      <c r="X126" t="s">
        <v>802</v>
      </c>
      <c r="Z126" s="1">
        <v>33069</v>
      </c>
      <c r="AA126" s="1">
        <v>1.1866000000000001E-7</v>
      </c>
      <c r="AB126" t="str">
        <f>VLOOKUP(Z126,Nuclides!A:E,5,FALSE)</f>
        <v>As69</v>
      </c>
      <c r="AC126">
        <f>VLOOKUP(Sheet2!Z126,Nuclides!A:E,2,FALSE)</f>
        <v>36</v>
      </c>
      <c r="AD126">
        <f>VLOOKUP(Z126,Nuclides!A:E,3,FALSE)</f>
        <v>33</v>
      </c>
      <c r="AE126" s="1">
        <f t="shared" si="7"/>
        <v>1480876800</v>
      </c>
      <c r="AF126" t="s">
        <v>784</v>
      </c>
    </row>
    <row r="127" spans="2:32" x14ac:dyDescent="0.2">
      <c r="B127">
        <v>40102</v>
      </c>
      <c r="C127" s="1">
        <v>1.0699999999999999E-5</v>
      </c>
      <c r="D127" t="str">
        <f>VLOOKUP(B127,Nuclides!A:E,5,FALSE)</f>
        <v>Zr102</v>
      </c>
      <c r="E127">
        <f>VLOOKUP(Sheet2!B127,Nuclides!A:E,2,FALSE)</f>
        <v>62</v>
      </c>
      <c r="F127">
        <f>VLOOKUP(B127,Nuclides!A:E,3,FALSE)</f>
        <v>40</v>
      </c>
      <c r="G127" s="1">
        <f t="shared" si="4"/>
        <v>133535999999.99998</v>
      </c>
      <c r="H127">
        <f>VLOOKUP(B127,Nuclides!A:E,4,FALSE)</f>
        <v>2.9</v>
      </c>
      <c r="J127" s="1">
        <v>41097</v>
      </c>
      <c r="K127" s="1">
        <v>4.9999999999999998E-7</v>
      </c>
      <c r="L127" t="str">
        <f>VLOOKUP(J127,Nuclides!A:E,5,FALSE)</f>
        <v>Nb97</v>
      </c>
      <c r="M127">
        <f>VLOOKUP(Sheet2!J127,Nuclides!A:E,2,FALSE)</f>
        <v>56</v>
      </c>
      <c r="N127">
        <f>VLOOKUP(J127,Nuclides!A:E,3,FALSE)</f>
        <v>41</v>
      </c>
      <c r="O127" s="1">
        <f t="shared" si="5"/>
        <v>6240000000</v>
      </c>
      <c r="R127" s="1">
        <v>34068</v>
      </c>
      <c r="S127" s="1">
        <v>2.0828300000000001E-7</v>
      </c>
      <c r="T127" t="str">
        <f>VLOOKUP(R127,Nuclides!A:E,5,FALSE)</f>
        <v>Se68</v>
      </c>
      <c r="U127">
        <f>VLOOKUP(Sheet2!R127,Nuclides!A:E,2,FALSE)</f>
        <v>34</v>
      </c>
      <c r="V127">
        <f>VLOOKUP(R127,Nuclides!A:E,3,FALSE)</f>
        <v>34</v>
      </c>
      <c r="W127" s="1">
        <f t="shared" si="6"/>
        <v>2599371840</v>
      </c>
      <c r="X127" t="s">
        <v>811</v>
      </c>
      <c r="Z127" s="1">
        <v>33070</v>
      </c>
      <c r="AA127" s="1">
        <v>1.45184E-8</v>
      </c>
      <c r="AB127" t="str">
        <f>VLOOKUP(Z127,Nuclides!A:E,5,FALSE)</f>
        <v>As70</v>
      </c>
      <c r="AC127">
        <f>VLOOKUP(Sheet2!Z127,Nuclides!A:E,2,FALSE)</f>
        <v>37</v>
      </c>
      <c r="AD127">
        <f>VLOOKUP(Z127,Nuclides!A:E,3,FALSE)</f>
        <v>33</v>
      </c>
      <c r="AE127" s="1">
        <f t="shared" si="7"/>
        <v>181189632</v>
      </c>
      <c r="AF127" t="s">
        <v>785</v>
      </c>
    </row>
    <row r="128" spans="2:32" x14ac:dyDescent="0.2">
      <c r="B128">
        <v>41084</v>
      </c>
      <c r="C128" s="1">
        <v>4.6999999999999999E-6</v>
      </c>
      <c r="D128" t="str">
        <f>VLOOKUP(B128,Nuclides!A:E,5,FALSE)</f>
        <v>Nb84</v>
      </c>
      <c r="E128">
        <f>VLOOKUP(Sheet2!B128,Nuclides!A:E,2,FALSE)</f>
        <v>43</v>
      </c>
      <c r="F128">
        <f>VLOOKUP(B128,Nuclides!A:E,3,FALSE)</f>
        <v>41</v>
      </c>
      <c r="G128" s="1">
        <f t="shared" si="4"/>
        <v>58656000000</v>
      </c>
      <c r="H128">
        <f>VLOOKUP(B128,Nuclides!A:E,4,FALSE)</f>
        <v>9.8000000000000007</v>
      </c>
      <c r="J128" s="1">
        <v>41098</v>
      </c>
      <c r="K128" s="1">
        <v>2.3999999999999999E-6</v>
      </c>
      <c r="L128" t="str">
        <f>VLOOKUP(J128,Nuclides!A:E,5,FALSE)</f>
        <v>Nb98</v>
      </c>
      <c r="M128">
        <f>VLOOKUP(Sheet2!J128,Nuclides!A:E,2,FALSE)</f>
        <v>57</v>
      </c>
      <c r="N128">
        <f>VLOOKUP(J128,Nuclides!A:E,3,FALSE)</f>
        <v>41</v>
      </c>
      <c r="O128" s="1">
        <f t="shared" si="5"/>
        <v>29952000000</v>
      </c>
      <c r="R128" s="1">
        <v>34069</v>
      </c>
      <c r="S128" s="1">
        <v>8.0130399999999999E-8</v>
      </c>
      <c r="T128" t="str">
        <f>VLOOKUP(R128,Nuclides!A:E,5,FALSE)</f>
        <v>Se69</v>
      </c>
      <c r="U128">
        <f>VLOOKUP(Sheet2!R128,Nuclides!A:E,2,FALSE)</f>
        <v>35</v>
      </c>
      <c r="V128">
        <f>VLOOKUP(R128,Nuclides!A:E,3,FALSE)</f>
        <v>34</v>
      </c>
      <c r="W128" s="1">
        <f t="shared" si="6"/>
        <v>1000027392</v>
      </c>
      <c r="X128" t="s">
        <v>812</v>
      </c>
      <c r="Z128" s="1">
        <v>33071</v>
      </c>
      <c r="AA128" s="1">
        <v>6.7705999999999998E-9</v>
      </c>
      <c r="AB128" t="str">
        <f>VLOOKUP(Z128,Nuclides!A:E,5,FALSE)</f>
        <v>As71</v>
      </c>
      <c r="AC128">
        <f>VLOOKUP(Sheet2!Z128,Nuclides!A:E,2,FALSE)</f>
        <v>38</v>
      </c>
      <c r="AD128">
        <f>VLOOKUP(Z128,Nuclides!A:E,3,FALSE)</f>
        <v>33</v>
      </c>
      <c r="AE128" s="1">
        <f t="shared" si="7"/>
        <v>84497088</v>
      </c>
      <c r="AF128" t="s">
        <v>786</v>
      </c>
    </row>
    <row r="129" spans="2:32" x14ac:dyDescent="0.2">
      <c r="B129">
        <v>41085</v>
      </c>
      <c r="C129" s="1">
        <v>3.8999999999999999E-6</v>
      </c>
      <c r="D129" t="str">
        <f>VLOOKUP(B129,Nuclides!A:E,5,FALSE)</f>
        <v>Nb85</v>
      </c>
      <c r="E129">
        <f>VLOOKUP(Sheet2!B129,Nuclides!A:E,2,FALSE)</f>
        <v>44</v>
      </c>
      <c r="F129">
        <f>VLOOKUP(B129,Nuclides!A:E,3,FALSE)</f>
        <v>41</v>
      </c>
      <c r="G129" s="1">
        <f t="shared" si="4"/>
        <v>48672000000</v>
      </c>
      <c r="H129">
        <f>VLOOKUP(B129,Nuclides!A:E,4,FALSE)</f>
        <v>20.5</v>
      </c>
      <c r="J129" s="1">
        <v>41099</v>
      </c>
      <c r="K129" s="1">
        <v>1.0000000000000001E-5</v>
      </c>
      <c r="L129" t="str">
        <f>VLOOKUP(J129,Nuclides!A:E,5,FALSE)</f>
        <v>Nb99</v>
      </c>
      <c r="M129">
        <f>VLOOKUP(Sheet2!J129,Nuclides!A:E,2,FALSE)</f>
        <v>58</v>
      </c>
      <c r="N129">
        <f>VLOOKUP(J129,Nuclides!A:E,3,FALSE)</f>
        <v>41</v>
      </c>
      <c r="O129" s="1">
        <f t="shared" si="5"/>
        <v>124800000000.00002</v>
      </c>
      <c r="R129" s="1">
        <v>34070</v>
      </c>
      <c r="S129" s="1">
        <v>1.7798999999999999E-8</v>
      </c>
      <c r="T129" t="str">
        <f>VLOOKUP(R129,Nuclides!A:E,5,FALSE)</f>
        <v>Se70</v>
      </c>
      <c r="U129">
        <f>VLOOKUP(Sheet2!R129,Nuclides!A:E,2,FALSE)</f>
        <v>36</v>
      </c>
      <c r="V129">
        <f>VLOOKUP(R129,Nuclides!A:E,3,FALSE)</f>
        <v>34</v>
      </c>
      <c r="W129" s="1">
        <f t="shared" si="6"/>
        <v>222131520</v>
      </c>
      <c r="X129" t="s">
        <v>813</v>
      </c>
      <c r="Z129" s="1">
        <v>33072</v>
      </c>
      <c r="AA129" s="1">
        <v>3.4899999999999998E-10</v>
      </c>
      <c r="AB129" t="str">
        <f>VLOOKUP(Z129,Nuclides!A:E,5,FALSE)</f>
        <v>As72</v>
      </c>
      <c r="AC129">
        <f>VLOOKUP(Sheet2!Z129,Nuclides!A:E,2,FALSE)</f>
        <v>39</v>
      </c>
      <c r="AD129">
        <f>VLOOKUP(Z129,Nuclides!A:E,3,FALSE)</f>
        <v>33</v>
      </c>
      <c r="AE129" s="1">
        <f t="shared" si="7"/>
        <v>4355520</v>
      </c>
      <c r="AF129" t="s">
        <v>787</v>
      </c>
    </row>
    <row r="130" spans="2:32" x14ac:dyDescent="0.2">
      <c r="B130">
        <v>41086</v>
      </c>
      <c r="C130" s="1">
        <v>1.1000000000000001E-6</v>
      </c>
      <c r="D130" t="str">
        <f>VLOOKUP(B130,Nuclides!A:E,5,FALSE)</f>
        <v>Nb86</v>
      </c>
      <c r="E130">
        <f>VLOOKUP(Sheet2!B130,Nuclides!A:E,2,FALSE)</f>
        <v>45</v>
      </c>
      <c r="F130">
        <f>VLOOKUP(B130,Nuclides!A:E,3,FALSE)</f>
        <v>41</v>
      </c>
      <c r="G130" s="1">
        <f t="shared" si="4"/>
        <v>13728000000</v>
      </c>
      <c r="H130">
        <f>VLOOKUP(B130,Nuclides!A:E,4,FALSE)</f>
        <v>88</v>
      </c>
      <c r="J130" s="1">
        <v>41100</v>
      </c>
      <c r="K130" s="1">
        <v>2.1699999999999999E-5</v>
      </c>
      <c r="L130" t="str">
        <f>VLOOKUP(J130,Nuclides!A:E,5,FALSE)</f>
        <v>Nb100</v>
      </c>
      <c r="M130">
        <f>VLOOKUP(Sheet2!J130,Nuclides!A:E,2,FALSE)</f>
        <v>59</v>
      </c>
      <c r="N130">
        <f>VLOOKUP(J130,Nuclides!A:E,3,FALSE)</f>
        <v>41</v>
      </c>
      <c r="O130" s="1">
        <f t="shared" si="5"/>
        <v>270816000000</v>
      </c>
      <c r="R130" s="1">
        <v>34071</v>
      </c>
      <c r="S130" s="1">
        <v>4.6068000000000003E-9</v>
      </c>
      <c r="T130" t="str">
        <f>VLOOKUP(R130,Nuclides!A:E,5,FALSE)</f>
        <v>Se71</v>
      </c>
      <c r="U130">
        <f>VLOOKUP(Sheet2!R130,Nuclides!A:E,2,FALSE)</f>
        <v>37</v>
      </c>
      <c r="V130">
        <f>VLOOKUP(R130,Nuclides!A:E,3,FALSE)</f>
        <v>34</v>
      </c>
      <c r="W130" s="1">
        <f t="shared" si="6"/>
        <v>57492864</v>
      </c>
      <c r="X130" t="s">
        <v>814</v>
      </c>
      <c r="Z130" s="1">
        <v>33073</v>
      </c>
      <c r="AA130" s="1">
        <v>6.9799999999999994E-11</v>
      </c>
      <c r="AB130" t="str">
        <f>VLOOKUP(Z130,Nuclides!A:E,5,FALSE)</f>
        <v>As73</v>
      </c>
      <c r="AC130">
        <f>VLOOKUP(Sheet2!Z130,Nuclides!A:E,2,FALSE)</f>
        <v>40</v>
      </c>
      <c r="AD130">
        <f>VLOOKUP(Z130,Nuclides!A:E,3,FALSE)</f>
        <v>33</v>
      </c>
      <c r="AE130" s="1">
        <f t="shared" si="7"/>
        <v>871103.99999999988</v>
      </c>
      <c r="AF130" t="s">
        <v>788</v>
      </c>
    </row>
    <row r="131" spans="2:32" x14ac:dyDescent="0.2">
      <c r="B131">
        <v>41087</v>
      </c>
      <c r="C131" s="1">
        <v>1.9999999999999999E-7</v>
      </c>
      <c r="D131" t="str">
        <f>VLOOKUP(B131,Nuclides!A:E,5,FALSE)</f>
        <v>Nb87</v>
      </c>
      <c r="E131">
        <f>VLOOKUP(Sheet2!B131,Nuclides!A:E,2,FALSE)</f>
        <v>46</v>
      </c>
      <c r="F131">
        <f>VLOOKUP(B131,Nuclides!A:E,3,FALSE)</f>
        <v>41</v>
      </c>
      <c r="G131" s="1">
        <f t="shared" si="4"/>
        <v>2496000000</v>
      </c>
      <c r="H131">
        <f>VLOOKUP(B131,Nuclides!A:E,4,FALSE)</f>
        <v>222</v>
      </c>
      <c r="J131" s="1">
        <v>41101</v>
      </c>
      <c r="K131" s="1">
        <v>4.99E-5</v>
      </c>
      <c r="L131" t="str">
        <f>VLOOKUP(J131,Nuclides!A:E,5,FALSE)</f>
        <v>Nb101</v>
      </c>
      <c r="M131">
        <f>VLOOKUP(Sheet2!J131,Nuclides!A:E,2,FALSE)</f>
        <v>60</v>
      </c>
      <c r="N131">
        <f>VLOOKUP(J131,Nuclides!A:E,3,FALSE)</f>
        <v>41</v>
      </c>
      <c r="O131" s="1">
        <f t="shared" si="5"/>
        <v>622752000000</v>
      </c>
      <c r="R131" s="1">
        <v>34072</v>
      </c>
      <c r="S131" s="1">
        <v>4.1879999999999999E-10</v>
      </c>
      <c r="T131" t="str">
        <f>VLOOKUP(R131,Nuclides!A:E,5,FALSE)</f>
        <v>Se72</v>
      </c>
      <c r="U131">
        <f>VLOOKUP(Sheet2!R131,Nuclides!A:E,2,FALSE)</f>
        <v>38</v>
      </c>
      <c r="V131">
        <f>VLOOKUP(R131,Nuclides!A:E,3,FALSE)</f>
        <v>34</v>
      </c>
      <c r="W131" s="1">
        <f t="shared" si="6"/>
        <v>5226624</v>
      </c>
      <c r="X131" t="s">
        <v>815</v>
      </c>
      <c r="Z131" s="1">
        <v>33076</v>
      </c>
      <c r="AA131" s="1">
        <v>1.3959999999999999E-10</v>
      </c>
      <c r="AB131" t="str">
        <f>VLOOKUP(Z131,Nuclides!A:E,5,FALSE)</f>
        <v>As76</v>
      </c>
      <c r="AC131">
        <f>VLOOKUP(Sheet2!Z131,Nuclides!A:E,2,FALSE)</f>
        <v>43</v>
      </c>
      <c r="AD131">
        <f>VLOOKUP(Z131,Nuclides!A:E,3,FALSE)</f>
        <v>33</v>
      </c>
      <c r="AE131" s="1">
        <f t="shared" si="7"/>
        <v>1742207.9999999998</v>
      </c>
      <c r="AF131" t="s">
        <v>791</v>
      </c>
    </row>
    <row r="132" spans="2:32" x14ac:dyDescent="0.2">
      <c r="B132">
        <v>41090</v>
      </c>
      <c r="C132" s="1">
        <v>9.9999999999999995E-8</v>
      </c>
      <c r="D132" t="str">
        <f>VLOOKUP(B132,Nuclides!A:E,5,FALSE)</f>
        <v>Nb90</v>
      </c>
      <c r="E132">
        <f>VLOOKUP(Sheet2!B132,Nuclides!A:E,2,FALSE)</f>
        <v>49</v>
      </c>
      <c r="F132">
        <f>VLOOKUP(B132,Nuclides!A:E,3,FALSE)</f>
        <v>41</v>
      </c>
      <c r="G132" s="1">
        <f t="shared" ref="G132:G195" si="8">C132*12480000000000000</f>
        <v>1248000000</v>
      </c>
      <c r="H132">
        <f>VLOOKUP(B132,Nuclides!A:E,4,FALSE)</f>
        <v>52560</v>
      </c>
      <c r="J132" s="1">
        <v>41102</v>
      </c>
      <c r="K132" s="1">
        <v>5.3900000000000002E-5</v>
      </c>
      <c r="L132" t="str">
        <f>VLOOKUP(J132,Nuclides!A:E,5,FALSE)</f>
        <v>Nb102</v>
      </c>
      <c r="M132">
        <f>VLOOKUP(Sheet2!J132,Nuclides!A:E,2,FALSE)</f>
        <v>61</v>
      </c>
      <c r="N132">
        <f>VLOOKUP(J132,Nuclides!A:E,3,FALSE)</f>
        <v>41</v>
      </c>
      <c r="O132" s="1">
        <f t="shared" ref="O132:O195" si="9">K132*12480000000000000</f>
        <v>672672000000</v>
      </c>
      <c r="R132" s="1">
        <v>34073</v>
      </c>
      <c r="S132" s="1">
        <v>6.9799999999999994E-11</v>
      </c>
      <c r="T132" t="str">
        <f>VLOOKUP(R132,Nuclides!A:E,5,FALSE)</f>
        <v>Se73</v>
      </c>
      <c r="U132">
        <f>VLOOKUP(Sheet2!R132,Nuclides!A:E,2,FALSE)</f>
        <v>39</v>
      </c>
      <c r="V132">
        <f>VLOOKUP(R132,Nuclides!A:E,3,FALSE)</f>
        <v>34</v>
      </c>
      <c r="W132" s="1">
        <f t="shared" ref="W132:W195" si="10">S132*12480000000000000</f>
        <v>871103.99999999988</v>
      </c>
      <c r="X132" t="s">
        <v>816</v>
      </c>
      <c r="Z132" s="1">
        <v>33077</v>
      </c>
      <c r="AA132" s="1">
        <v>1.8845999999999999E-9</v>
      </c>
      <c r="AB132" t="str">
        <f>VLOOKUP(Z132,Nuclides!A:E,5,FALSE)</f>
        <v>As77</v>
      </c>
      <c r="AC132">
        <f>VLOOKUP(Sheet2!Z132,Nuclides!A:E,2,FALSE)</f>
        <v>44</v>
      </c>
      <c r="AD132">
        <f>VLOOKUP(Z132,Nuclides!A:E,3,FALSE)</f>
        <v>33</v>
      </c>
      <c r="AE132" s="1">
        <f t="shared" ref="AE132:AE195" si="11">AA132*12480000000000000</f>
        <v>23519808</v>
      </c>
      <c r="AF132" t="s">
        <v>792</v>
      </c>
    </row>
    <row r="133" spans="2:32" x14ac:dyDescent="0.2">
      <c r="B133">
        <v>41096</v>
      </c>
      <c r="C133" s="1">
        <v>9.9999999999999995E-8</v>
      </c>
      <c r="D133" t="str">
        <f>VLOOKUP(B133,Nuclides!A:E,5,FALSE)</f>
        <v>Nb96</v>
      </c>
      <c r="E133">
        <f>VLOOKUP(Sheet2!B133,Nuclides!A:E,2,FALSE)</f>
        <v>55</v>
      </c>
      <c r="F133">
        <f>VLOOKUP(B133,Nuclides!A:E,3,FALSE)</f>
        <v>41</v>
      </c>
      <c r="G133" s="1">
        <f t="shared" si="8"/>
        <v>1248000000</v>
      </c>
      <c r="H133">
        <f>VLOOKUP(B133,Nuclides!A:E,4,FALSE)</f>
        <v>84060</v>
      </c>
      <c r="J133" s="1">
        <v>41103</v>
      </c>
      <c r="K133" s="1">
        <v>3.9799999999999998E-5</v>
      </c>
      <c r="L133" t="str">
        <f>VLOOKUP(J133,Nuclides!A:E,5,FALSE)</f>
        <v>Nb103</v>
      </c>
      <c r="M133">
        <f>VLOOKUP(Sheet2!J133,Nuclides!A:E,2,FALSE)</f>
        <v>62</v>
      </c>
      <c r="N133">
        <f>VLOOKUP(J133,Nuclides!A:E,3,FALSE)</f>
        <v>41</v>
      </c>
      <c r="O133" s="1">
        <f t="shared" si="9"/>
        <v>496704000000</v>
      </c>
      <c r="R133" s="1">
        <v>34074</v>
      </c>
      <c r="S133" s="1">
        <v>6.9799999999999994E-11</v>
      </c>
      <c r="T133" t="str">
        <f>VLOOKUP(R133,Nuclides!A:E,5,FALSE)</f>
        <v>Se74</v>
      </c>
      <c r="U133">
        <f>VLOOKUP(Sheet2!R133,Nuclides!A:E,2,FALSE)</f>
        <v>40</v>
      </c>
      <c r="V133">
        <f>VLOOKUP(R133,Nuclides!A:E,3,FALSE)</f>
        <v>34</v>
      </c>
      <c r="W133" s="1">
        <f t="shared" si="10"/>
        <v>871103.99999999988</v>
      </c>
      <c r="X133" t="s">
        <v>817</v>
      </c>
      <c r="Z133" s="1">
        <v>33078</v>
      </c>
      <c r="AA133" s="1">
        <v>1.10284E-8</v>
      </c>
      <c r="AB133" t="str">
        <f>VLOOKUP(Z133,Nuclides!A:E,5,FALSE)</f>
        <v>As78</v>
      </c>
      <c r="AC133">
        <f>VLOOKUP(Sheet2!Z133,Nuclides!A:E,2,FALSE)</f>
        <v>45</v>
      </c>
      <c r="AD133">
        <f>VLOOKUP(Z133,Nuclides!A:E,3,FALSE)</f>
        <v>33</v>
      </c>
      <c r="AE133" s="1">
        <f t="shared" si="11"/>
        <v>137634432</v>
      </c>
      <c r="AF133" t="s">
        <v>793</v>
      </c>
    </row>
    <row r="134" spans="2:32" x14ac:dyDescent="0.2">
      <c r="B134">
        <v>41098</v>
      </c>
      <c r="C134" s="1">
        <v>1.9999999999999999E-7</v>
      </c>
      <c r="D134" t="str">
        <f>VLOOKUP(B134,Nuclides!A:E,5,FALSE)</f>
        <v>Nb98</v>
      </c>
      <c r="E134">
        <f>VLOOKUP(Sheet2!B134,Nuclides!A:E,2,FALSE)</f>
        <v>57</v>
      </c>
      <c r="F134">
        <f>VLOOKUP(B134,Nuclides!A:E,3,FALSE)</f>
        <v>41</v>
      </c>
      <c r="G134" s="1">
        <f t="shared" si="8"/>
        <v>2496000000</v>
      </c>
      <c r="H134">
        <f>VLOOKUP(B134,Nuclides!A:E,4,FALSE)</f>
        <v>2.86</v>
      </c>
      <c r="J134" s="1">
        <v>41104</v>
      </c>
      <c r="K134" s="1">
        <v>1.7200000000000001E-5</v>
      </c>
      <c r="L134" t="str">
        <f>VLOOKUP(J134,Nuclides!A:E,5,FALSE)</f>
        <v>Nb104</v>
      </c>
      <c r="M134">
        <f>VLOOKUP(Sheet2!J134,Nuclides!A:E,2,FALSE)</f>
        <v>63</v>
      </c>
      <c r="N134">
        <f>VLOOKUP(J134,Nuclides!A:E,3,FALSE)</f>
        <v>41</v>
      </c>
      <c r="O134" s="1">
        <f t="shared" si="9"/>
        <v>214656000000.00003</v>
      </c>
      <c r="R134" s="1">
        <v>34075</v>
      </c>
      <c r="S134" s="1">
        <v>6.9799999999999994E-11</v>
      </c>
      <c r="T134" t="str">
        <f>VLOOKUP(R134,Nuclides!A:E,5,FALSE)</f>
        <v>Se75</v>
      </c>
      <c r="U134">
        <f>VLOOKUP(Sheet2!R134,Nuclides!A:E,2,FALSE)</f>
        <v>41</v>
      </c>
      <c r="V134">
        <f>VLOOKUP(R134,Nuclides!A:E,3,FALSE)</f>
        <v>34</v>
      </c>
      <c r="W134" s="1">
        <f t="shared" si="10"/>
        <v>871103.99999999988</v>
      </c>
      <c r="X134" t="s">
        <v>818</v>
      </c>
      <c r="Z134" s="1">
        <v>33079</v>
      </c>
      <c r="AA134" s="1">
        <v>6.9241599999999997E-8</v>
      </c>
      <c r="AB134" t="str">
        <f>VLOOKUP(Z134,Nuclides!A:E,5,FALSE)</f>
        <v>As79</v>
      </c>
      <c r="AC134">
        <f>VLOOKUP(Sheet2!Z134,Nuclides!A:E,2,FALSE)</f>
        <v>46</v>
      </c>
      <c r="AD134">
        <f>VLOOKUP(Z134,Nuclides!A:E,3,FALSE)</f>
        <v>33</v>
      </c>
      <c r="AE134" s="1">
        <f t="shared" si="11"/>
        <v>864135168</v>
      </c>
      <c r="AF134" t="s">
        <v>794</v>
      </c>
    </row>
    <row r="135" spans="2:32" x14ac:dyDescent="0.2">
      <c r="B135">
        <v>41099</v>
      </c>
      <c r="C135" s="1">
        <v>1.3E-6</v>
      </c>
      <c r="D135" t="str">
        <f>VLOOKUP(B135,Nuclides!A:E,5,FALSE)</f>
        <v>Nb99</v>
      </c>
      <c r="E135">
        <f>VLOOKUP(Sheet2!B135,Nuclides!A:E,2,FALSE)</f>
        <v>58</v>
      </c>
      <c r="F135">
        <f>VLOOKUP(B135,Nuclides!A:E,3,FALSE)</f>
        <v>41</v>
      </c>
      <c r="G135" s="1">
        <f t="shared" si="8"/>
        <v>16224000000</v>
      </c>
      <c r="H135">
        <f>VLOOKUP(B135,Nuclides!A:E,4,FALSE)</f>
        <v>15</v>
      </c>
      <c r="J135" s="1">
        <v>41105</v>
      </c>
      <c r="K135" s="1">
        <v>6.9999999999999999E-6</v>
      </c>
      <c r="L135" t="str">
        <f>VLOOKUP(J135,Nuclides!A:E,5,FALSE)</f>
        <v>Nb105</v>
      </c>
      <c r="M135">
        <f>VLOOKUP(Sheet2!J135,Nuclides!A:E,2,FALSE)</f>
        <v>64</v>
      </c>
      <c r="N135">
        <f>VLOOKUP(J135,Nuclides!A:E,3,FALSE)</f>
        <v>41</v>
      </c>
      <c r="O135" s="1">
        <f t="shared" si="9"/>
        <v>87360000000</v>
      </c>
      <c r="R135" s="1">
        <v>34076</v>
      </c>
      <c r="S135" s="1">
        <v>4.1879999999999999E-10</v>
      </c>
      <c r="T135" t="str">
        <f>VLOOKUP(R135,Nuclides!A:E,5,FALSE)</f>
        <v>Se76</v>
      </c>
      <c r="U135">
        <f>VLOOKUP(Sheet2!R135,Nuclides!A:E,2,FALSE)</f>
        <v>42</v>
      </c>
      <c r="V135">
        <f>VLOOKUP(R135,Nuclides!A:E,3,FALSE)</f>
        <v>34</v>
      </c>
      <c r="W135" s="1">
        <f t="shared" si="10"/>
        <v>5226624</v>
      </c>
      <c r="X135" t="s">
        <v>819</v>
      </c>
      <c r="Z135" s="1">
        <v>33080</v>
      </c>
      <c r="AA135" s="1">
        <v>1.8915800000000001E-7</v>
      </c>
      <c r="AB135" t="str">
        <f>VLOOKUP(Z135,Nuclides!A:E,5,FALSE)</f>
        <v>As80</v>
      </c>
      <c r="AC135">
        <f>VLOOKUP(Sheet2!Z135,Nuclides!A:E,2,FALSE)</f>
        <v>47</v>
      </c>
      <c r="AD135">
        <f>VLOOKUP(Z135,Nuclides!A:E,3,FALSE)</f>
        <v>33</v>
      </c>
      <c r="AE135" s="1">
        <f t="shared" si="11"/>
        <v>2360691840</v>
      </c>
      <c r="AF135" t="s">
        <v>795</v>
      </c>
    </row>
    <row r="136" spans="2:32" x14ac:dyDescent="0.2">
      <c r="B136">
        <v>41100</v>
      </c>
      <c r="C136" s="1">
        <v>3.0000000000000001E-6</v>
      </c>
      <c r="D136" t="str">
        <f>VLOOKUP(B136,Nuclides!A:E,5,FALSE)</f>
        <v>Nb100</v>
      </c>
      <c r="E136">
        <f>VLOOKUP(Sheet2!B136,Nuclides!A:E,2,FALSE)</f>
        <v>59</v>
      </c>
      <c r="F136">
        <f>VLOOKUP(B136,Nuclides!A:E,3,FALSE)</f>
        <v>41</v>
      </c>
      <c r="G136" s="1">
        <f t="shared" si="8"/>
        <v>37440000000</v>
      </c>
      <c r="H136">
        <f>VLOOKUP(B136,Nuclides!A:E,4,FALSE)</f>
        <v>1.5</v>
      </c>
      <c r="J136" s="1">
        <v>41106</v>
      </c>
      <c r="K136" s="1">
        <v>1.7999999999999999E-6</v>
      </c>
      <c r="L136" t="str">
        <f>VLOOKUP(J136,Nuclides!A:E,5,FALSE)</f>
        <v>Nb106</v>
      </c>
      <c r="M136">
        <f>VLOOKUP(Sheet2!J136,Nuclides!A:E,2,FALSE)</f>
        <v>65</v>
      </c>
      <c r="N136">
        <f>VLOOKUP(J136,Nuclides!A:E,3,FALSE)</f>
        <v>41</v>
      </c>
      <c r="O136" s="1">
        <f t="shared" si="9"/>
        <v>22464000000</v>
      </c>
      <c r="R136" s="1">
        <v>34077</v>
      </c>
      <c r="S136" s="1">
        <v>4.2577999999999999E-9</v>
      </c>
      <c r="T136" t="str">
        <f>VLOOKUP(R136,Nuclides!A:E,5,FALSE)</f>
        <v>Se77</v>
      </c>
      <c r="U136">
        <f>VLOOKUP(Sheet2!R136,Nuclides!A:E,2,FALSE)</f>
        <v>43</v>
      </c>
      <c r="V136">
        <f>VLOOKUP(R136,Nuclides!A:E,3,FALSE)</f>
        <v>34</v>
      </c>
      <c r="W136" s="1">
        <f t="shared" si="10"/>
        <v>53137344</v>
      </c>
      <c r="X136" t="s">
        <v>820</v>
      </c>
      <c r="Z136" s="1">
        <v>33081</v>
      </c>
      <c r="AA136" s="1">
        <v>8.6258799999999999E-7</v>
      </c>
      <c r="AB136" t="str">
        <f>VLOOKUP(Z136,Nuclides!A:E,5,FALSE)</f>
        <v>As81</v>
      </c>
      <c r="AC136">
        <f>VLOOKUP(Sheet2!Z136,Nuclides!A:E,2,FALSE)</f>
        <v>48</v>
      </c>
      <c r="AD136">
        <f>VLOOKUP(Z136,Nuclides!A:E,3,FALSE)</f>
        <v>33</v>
      </c>
      <c r="AE136" s="1">
        <f t="shared" si="11"/>
        <v>10765098240</v>
      </c>
      <c r="AF136" t="s">
        <v>796</v>
      </c>
    </row>
    <row r="137" spans="2:32" x14ac:dyDescent="0.2">
      <c r="B137">
        <v>41101</v>
      </c>
      <c r="C137" s="1">
        <v>9.2E-6</v>
      </c>
      <c r="D137" t="str">
        <f>VLOOKUP(B137,Nuclides!A:E,5,FALSE)</f>
        <v>Nb101</v>
      </c>
      <c r="E137">
        <f>VLOOKUP(Sheet2!B137,Nuclides!A:E,2,FALSE)</f>
        <v>60</v>
      </c>
      <c r="F137">
        <f>VLOOKUP(B137,Nuclides!A:E,3,FALSE)</f>
        <v>41</v>
      </c>
      <c r="G137" s="1">
        <f t="shared" si="8"/>
        <v>114816000000</v>
      </c>
      <c r="H137">
        <f>VLOOKUP(B137,Nuclides!A:E,4,FALSE)</f>
        <v>7.1</v>
      </c>
      <c r="J137" s="1">
        <v>42087</v>
      </c>
      <c r="K137" s="1">
        <v>9.9999999999999995E-7</v>
      </c>
      <c r="L137" t="str">
        <f>VLOOKUP(J137,Nuclides!A:E,5,FALSE)</f>
        <v>Mo87</v>
      </c>
      <c r="M137">
        <f>VLOOKUP(Sheet2!J137,Nuclides!A:E,2,FALSE)</f>
        <v>45</v>
      </c>
      <c r="N137">
        <f>VLOOKUP(J137,Nuclides!A:E,3,FALSE)</f>
        <v>42</v>
      </c>
      <c r="O137" s="1">
        <f t="shared" si="9"/>
        <v>12480000000</v>
      </c>
      <c r="R137" s="1">
        <v>34078</v>
      </c>
      <c r="S137" s="1">
        <v>2.0800399999999999E-8</v>
      </c>
      <c r="T137" t="str">
        <f>VLOOKUP(R137,Nuclides!A:E,5,FALSE)</f>
        <v>Se78</v>
      </c>
      <c r="U137">
        <f>VLOOKUP(Sheet2!R137,Nuclides!A:E,2,FALSE)</f>
        <v>44</v>
      </c>
      <c r="V137">
        <f>VLOOKUP(R137,Nuclides!A:E,3,FALSE)</f>
        <v>34</v>
      </c>
      <c r="W137" s="1">
        <f t="shared" si="10"/>
        <v>259588992</v>
      </c>
      <c r="X137" t="s">
        <v>821</v>
      </c>
      <c r="Z137" s="1">
        <v>33082</v>
      </c>
      <c r="AA137" s="1">
        <v>1.51864E-6</v>
      </c>
      <c r="AB137" t="str">
        <f>VLOOKUP(Z137,Nuclides!A:E,5,FALSE)</f>
        <v>As82</v>
      </c>
      <c r="AC137">
        <f>VLOOKUP(Sheet2!Z137,Nuclides!A:E,2,FALSE)</f>
        <v>49</v>
      </c>
      <c r="AD137">
        <f>VLOOKUP(Z137,Nuclides!A:E,3,FALSE)</f>
        <v>33</v>
      </c>
      <c r="AE137" s="1">
        <f t="shared" si="11"/>
        <v>18952627200</v>
      </c>
      <c r="AF137" t="s">
        <v>797</v>
      </c>
    </row>
    <row r="138" spans="2:32" x14ac:dyDescent="0.2">
      <c r="B138">
        <v>41102</v>
      </c>
      <c r="C138" s="1">
        <v>9.3000000000000007E-6</v>
      </c>
      <c r="D138" t="str">
        <f>VLOOKUP(B138,Nuclides!A:E,5,FALSE)</f>
        <v>Nb102</v>
      </c>
      <c r="E138">
        <f>VLOOKUP(Sheet2!B138,Nuclides!A:E,2,FALSE)</f>
        <v>61</v>
      </c>
      <c r="F138">
        <f>VLOOKUP(B138,Nuclides!A:E,3,FALSE)</f>
        <v>41</v>
      </c>
      <c r="G138" s="1">
        <f t="shared" si="8"/>
        <v>116064000000.00002</v>
      </c>
      <c r="H138">
        <f>VLOOKUP(B138,Nuclides!A:E,4,FALSE)</f>
        <v>4.3</v>
      </c>
      <c r="J138" s="1">
        <v>42088</v>
      </c>
      <c r="K138" s="1">
        <v>5.9999999999999997E-7</v>
      </c>
      <c r="L138" t="str">
        <f>VLOOKUP(J138,Nuclides!A:E,5,FALSE)</f>
        <v>Mo88</v>
      </c>
      <c r="M138">
        <f>VLOOKUP(Sheet2!J138,Nuclides!A:E,2,FALSE)</f>
        <v>46</v>
      </c>
      <c r="N138">
        <f>VLOOKUP(J138,Nuclides!A:E,3,FALSE)</f>
        <v>42</v>
      </c>
      <c r="O138" s="1">
        <f t="shared" si="9"/>
        <v>7488000000</v>
      </c>
      <c r="R138" s="1">
        <v>34079</v>
      </c>
      <c r="S138" s="1">
        <v>7.7687399999999995E-8</v>
      </c>
      <c r="T138" t="str">
        <f>VLOOKUP(R138,Nuclides!A:E,5,FALSE)</f>
        <v>Se79</v>
      </c>
      <c r="U138">
        <f>VLOOKUP(Sheet2!R138,Nuclides!A:E,2,FALSE)</f>
        <v>45</v>
      </c>
      <c r="V138">
        <f>VLOOKUP(R138,Nuclides!A:E,3,FALSE)</f>
        <v>34</v>
      </c>
      <c r="W138" s="1">
        <f t="shared" si="10"/>
        <v>969538751.99999988</v>
      </c>
      <c r="X138" t="s">
        <v>822</v>
      </c>
      <c r="Z138" s="1">
        <v>33083</v>
      </c>
      <c r="AA138" s="1">
        <v>4.4794800000000004E-6</v>
      </c>
      <c r="AB138" t="str">
        <f>VLOOKUP(Z138,Nuclides!A:E,5,FALSE)</f>
        <v>As83</v>
      </c>
      <c r="AC138">
        <f>VLOOKUP(Sheet2!Z138,Nuclides!A:E,2,FALSE)</f>
        <v>50</v>
      </c>
      <c r="AD138">
        <f>VLOOKUP(Z138,Nuclides!A:E,3,FALSE)</f>
        <v>33</v>
      </c>
      <c r="AE138" s="1">
        <f t="shared" si="11"/>
        <v>55903910400.000008</v>
      </c>
      <c r="AF138" t="s">
        <v>798</v>
      </c>
    </row>
    <row r="139" spans="2:32" x14ac:dyDescent="0.2">
      <c r="B139">
        <v>41103</v>
      </c>
      <c r="C139" s="1">
        <v>1.0699999999999999E-5</v>
      </c>
      <c r="D139" t="str">
        <f>VLOOKUP(B139,Nuclides!A:E,5,FALSE)</f>
        <v>Nb103</v>
      </c>
      <c r="E139">
        <f>VLOOKUP(Sheet2!B139,Nuclides!A:E,2,FALSE)</f>
        <v>62</v>
      </c>
      <c r="F139">
        <f>VLOOKUP(B139,Nuclides!A:E,3,FALSE)</f>
        <v>41</v>
      </c>
      <c r="G139" s="1">
        <f t="shared" si="8"/>
        <v>133535999999.99998</v>
      </c>
      <c r="H139">
        <f>VLOOKUP(B139,Nuclides!A:E,4,FALSE)</f>
        <v>1.5</v>
      </c>
      <c r="J139" s="1">
        <v>42089</v>
      </c>
      <c r="K139" s="1">
        <v>1.9999999999999999E-7</v>
      </c>
      <c r="L139" t="str">
        <f>VLOOKUP(J139,Nuclides!A:E,5,FALSE)</f>
        <v>Mo89</v>
      </c>
      <c r="M139">
        <f>VLOOKUP(Sheet2!J139,Nuclides!A:E,2,FALSE)</f>
        <v>47</v>
      </c>
      <c r="N139">
        <f>VLOOKUP(J139,Nuclides!A:E,3,FALSE)</f>
        <v>42</v>
      </c>
      <c r="O139" s="1">
        <f t="shared" si="9"/>
        <v>2496000000</v>
      </c>
      <c r="R139" s="1">
        <v>34080</v>
      </c>
      <c r="S139" s="1">
        <v>2.7731500000000002E-7</v>
      </c>
      <c r="T139" t="str">
        <f>VLOOKUP(R139,Nuclides!A:E,5,FALSE)</f>
        <v>Se80</v>
      </c>
      <c r="U139">
        <f>VLOOKUP(Sheet2!R139,Nuclides!A:E,2,FALSE)</f>
        <v>46</v>
      </c>
      <c r="V139">
        <f>VLOOKUP(R139,Nuclides!A:E,3,FALSE)</f>
        <v>34</v>
      </c>
      <c r="W139" s="1">
        <f t="shared" si="10"/>
        <v>3460891200</v>
      </c>
      <c r="X139" t="s">
        <v>823</v>
      </c>
      <c r="Z139" s="1">
        <v>33084</v>
      </c>
      <c r="AA139" s="1">
        <v>3.6082399999999999E-6</v>
      </c>
      <c r="AB139" t="str">
        <f>VLOOKUP(Z139,Nuclides!A:E,5,FALSE)</f>
        <v>As84</v>
      </c>
      <c r="AC139">
        <f>VLOOKUP(Sheet2!Z139,Nuclides!A:E,2,FALSE)</f>
        <v>51</v>
      </c>
      <c r="AD139">
        <f>VLOOKUP(Z139,Nuclides!A:E,3,FALSE)</f>
        <v>33</v>
      </c>
      <c r="AE139" s="1">
        <f t="shared" si="11"/>
        <v>45030835200</v>
      </c>
      <c r="AF139" t="s">
        <v>799</v>
      </c>
    </row>
    <row r="140" spans="2:32" x14ac:dyDescent="0.2">
      <c r="B140">
        <v>41104</v>
      </c>
      <c r="C140" s="1">
        <v>6.0000000000000002E-6</v>
      </c>
      <c r="D140" t="str">
        <f>VLOOKUP(B140,Nuclides!A:E,5,FALSE)</f>
        <v>Nb104</v>
      </c>
      <c r="E140">
        <f>VLOOKUP(Sheet2!B140,Nuclides!A:E,2,FALSE)</f>
        <v>63</v>
      </c>
      <c r="F140">
        <f>VLOOKUP(B140,Nuclides!A:E,3,FALSE)</f>
        <v>41</v>
      </c>
      <c r="G140" s="1">
        <f t="shared" si="8"/>
        <v>74880000000</v>
      </c>
      <c r="H140">
        <f>VLOOKUP(B140,Nuclides!A:E,4,FALSE)</f>
        <v>4.9000000000000004</v>
      </c>
      <c r="J140" s="1">
        <v>42091</v>
      </c>
      <c r="K140" s="1">
        <v>1.9999999999999999E-7</v>
      </c>
      <c r="L140" t="str">
        <f>VLOOKUP(J140,Nuclides!A:E,5,FALSE)</f>
        <v>Mo91</v>
      </c>
      <c r="M140">
        <f>VLOOKUP(Sheet2!J140,Nuclides!A:E,2,FALSE)</f>
        <v>49</v>
      </c>
      <c r="N140">
        <f>VLOOKUP(J140,Nuclides!A:E,3,FALSE)</f>
        <v>42</v>
      </c>
      <c r="O140" s="1">
        <f t="shared" si="9"/>
        <v>2496000000</v>
      </c>
      <c r="R140" s="1">
        <v>34081</v>
      </c>
      <c r="S140" s="1">
        <v>7.8566900000000005E-7</v>
      </c>
      <c r="T140" t="str">
        <f>VLOOKUP(R140,Nuclides!A:E,5,FALSE)</f>
        <v>Se81</v>
      </c>
      <c r="U140">
        <f>VLOOKUP(Sheet2!R140,Nuclides!A:E,2,FALSE)</f>
        <v>47</v>
      </c>
      <c r="V140">
        <f>VLOOKUP(R140,Nuclides!A:E,3,FALSE)</f>
        <v>34</v>
      </c>
      <c r="W140" s="1">
        <f t="shared" si="10"/>
        <v>9805149120</v>
      </c>
      <c r="X140" t="s">
        <v>824</v>
      </c>
      <c r="Z140" s="1">
        <v>33085</v>
      </c>
      <c r="AA140" s="1">
        <v>5.3098999999999998E-6</v>
      </c>
      <c r="AB140" t="str">
        <f>VLOOKUP(Z140,Nuclides!A:E,5,FALSE)</f>
        <v>As85</v>
      </c>
      <c r="AC140">
        <f>VLOOKUP(Sheet2!Z140,Nuclides!A:E,2,FALSE)</f>
        <v>52</v>
      </c>
      <c r="AD140">
        <f>VLOOKUP(Z140,Nuclides!A:E,3,FALSE)</f>
        <v>33</v>
      </c>
      <c r="AE140" s="1">
        <f t="shared" si="11"/>
        <v>66267552000</v>
      </c>
      <c r="AF140" t="s">
        <v>800</v>
      </c>
    </row>
    <row r="141" spans="2:32" x14ac:dyDescent="0.2">
      <c r="B141">
        <v>41105</v>
      </c>
      <c r="C141" s="1">
        <v>5.5999999999999997E-6</v>
      </c>
      <c r="D141" t="str">
        <f>VLOOKUP(B141,Nuclides!A:E,5,FALSE)</f>
        <v>Nb105</v>
      </c>
      <c r="E141">
        <f>VLOOKUP(Sheet2!B141,Nuclides!A:E,2,FALSE)</f>
        <v>64</v>
      </c>
      <c r="F141">
        <f>VLOOKUP(B141,Nuclides!A:E,3,FALSE)</f>
        <v>41</v>
      </c>
      <c r="G141" s="1">
        <f t="shared" si="8"/>
        <v>69888000000</v>
      </c>
      <c r="H141">
        <f>VLOOKUP(B141,Nuclides!A:E,4,FALSE)</f>
        <v>2.95</v>
      </c>
      <c r="J141" s="1">
        <v>42099</v>
      </c>
      <c r="K141" s="1">
        <v>4.9999999999999998E-7</v>
      </c>
      <c r="L141" t="str">
        <f>VLOOKUP(J141,Nuclides!A:E,5,FALSE)</f>
        <v>Mo99</v>
      </c>
      <c r="M141">
        <f>VLOOKUP(Sheet2!J141,Nuclides!A:E,2,FALSE)</f>
        <v>57</v>
      </c>
      <c r="N141">
        <f>VLOOKUP(J141,Nuclides!A:E,3,FALSE)</f>
        <v>42</v>
      </c>
      <c r="O141" s="1">
        <f t="shared" si="9"/>
        <v>6240000000</v>
      </c>
      <c r="R141" s="1">
        <v>34082</v>
      </c>
      <c r="S141" s="1">
        <v>2.0254600000000001E-6</v>
      </c>
      <c r="T141" t="str">
        <f>VLOOKUP(R141,Nuclides!A:E,5,FALSE)</f>
        <v>Se82</v>
      </c>
      <c r="U141">
        <f>VLOOKUP(Sheet2!R141,Nuclides!A:E,2,FALSE)</f>
        <v>48</v>
      </c>
      <c r="V141">
        <f>VLOOKUP(R141,Nuclides!A:E,3,FALSE)</f>
        <v>34</v>
      </c>
      <c r="W141" s="1">
        <f t="shared" si="10"/>
        <v>25277740800</v>
      </c>
      <c r="X141" t="s">
        <v>825</v>
      </c>
      <c r="Z141" s="1">
        <v>33086</v>
      </c>
      <c r="AA141" s="1">
        <v>2.7526999999999999E-6</v>
      </c>
      <c r="AB141" t="str">
        <f>VLOOKUP(Z141,Nuclides!A:E,5,FALSE)</f>
        <v>As86</v>
      </c>
      <c r="AC141">
        <f>VLOOKUP(Sheet2!Z141,Nuclides!A:E,2,FALSE)</f>
        <v>53</v>
      </c>
      <c r="AD141">
        <f>VLOOKUP(Z141,Nuclides!A:E,3,FALSE)</f>
        <v>33</v>
      </c>
      <c r="AE141" s="1">
        <f t="shared" si="11"/>
        <v>34353696000</v>
      </c>
      <c r="AF141" t="s">
        <v>801</v>
      </c>
    </row>
    <row r="142" spans="2:32" x14ac:dyDescent="0.2">
      <c r="B142">
        <v>41106</v>
      </c>
      <c r="C142" s="1">
        <v>1.5999999999999999E-6</v>
      </c>
      <c r="D142" t="str">
        <f>VLOOKUP(B142,Nuclides!A:E,5,FALSE)</f>
        <v>Nb106</v>
      </c>
      <c r="E142">
        <f>VLOOKUP(Sheet2!B142,Nuclides!A:E,2,FALSE)</f>
        <v>65</v>
      </c>
      <c r="F142">
        <f>VLOOKUP(B142,Nuclides!A:E,3,FALSE)</f>
        <v>41</v>
      </c>
      <c r="G142" s="1">
        <f t="shared" si="8"/>
        <v>19968000000</v>
      </c>
      <c r="H142">
        <f>VLOOKUP(B142,Nuclides!A:E,4,FALSE)</f>
        <v>1.02</v>
      </c>
      <c r="J142" s="1">
        <v>42100</v>
      </c>
      <c r="K142" s="1">
        <v>7.9999999999999996E-7</v>
      </c>
      <c r="L142" t="str">
        <f>VLOOKUP(J142,Nuclides!A:E,5,FALSE)</f>
        <v>Mo100</v>
      </c>
      <c r="M142">
        <f>VLOOKUP(Sheet2!J142,Nuclides!A:E,2,FALSE)</f>
        <v>58</v>
      </c>
      <c r="N142">
        <f>VLOOKUP(J142,Nuclides!A:E,3,FALSE)</f>
        <v>42</v>
      </c>
      <c r="O142" s="1">
        <f t="shared" si="9"/>
        <v>9984000000</v>
      </c>
      <c r="R142" s="1">
        <v>34083</v>
      </c>
      <c r="S142" s="1">
        <v>4.19463E-6</v>
      </c>
      <c r="T142" t="str">
        <f>VLOOKUP(R142,Nuclides!A:E,5,FALSE)</f>
        <v>Se83</v>
      </c>
      <c r="U142">
        <f>VLOOKUP(Sheet2!R142,Nuclides!A:E,2,FALSE)</f>
        <v>49</v>
      </c>
      <c r="V142">
        <f>VLOOKUP(R142,Nuclides!A:E,3,FALSE)</f>
        <v>34</v>
      </c>
      <c r="W142" s="1">
        <f t="shared" si="10"/>
        <v>52348982400</v>
      </c>
      <c r="X142" t="s">
        <v>826</v>
      </c>
      <c r="Z142" s="1">
        <v>33087</v>
      </c>
      <c r="AA142" s="1">
        <v>4.0763899999999998E-6</v>
      </c>
      <c r="AB142" t="str">
        <f>VLOOKUP(Z142,Nuclides!A:E,5,FALSE)</f>
        <v>As87</v>
      </c>
      <c r="AC142">
        <f>VLOOKUP(Sheet2!Z142,Nuclides!A:E,2,FALSE)</f>
        <v>54</v>
      </c>
      <c r="AD142">
        <f>VLOOKUP(Z142,Nuclides!A:E,3,FALSE)</f>
        <v>33</v>
      </c>
      <c r="AE142" s="1">
        <f t="shared" si="11"/>
        <v>50873347200</v>
      </c>
      <c r="AF142" t="s">
        <v>802</v>
      </c>
    </row>
    <row r="143" spans="2:32" x14ac:dyDescent="0.2">
      <c r="B143">
        <v>42087</v>
      </c>
      <c r="C143" s="1">
        <v>2.3999999999999999E-6</v>
      </c>
      <c r="D143" t="str">
        <f>VLOOKUP(B143,Nuclides!A:E,5,FALSE)</f>
        <v>Mo87</v>
      </c>
      <c r="E143">
        <f>VLOOKUP(Sheet2!B143,Nuclides!A:E,2,FALSE)</f>
        <v>45</v>
      </c>
      <c r="F143">
        <f>VLOOKUP(B143,Nuclides!A:E,3,FALSE)</f>
        <v>42</v>
      </c>
      <c r="G143" s="1">
        <f t="shared" si="8"/>
        <v>29952000000</v>
      </c>
      <c r="H143">
        <f>VLOOKUP(B143,Nuclides!A:E,4,FALSE)</f>
        <v>14.02</v>
      </c>
      <c r="J143" s="1">
        <v>42101</v>
      </c>
      <c r="K143" s="1">
        <v>3.4999999999999999E-6</v>
      </c>
      <c r="L143" t="str">
        <f>VLOOKUP(J143,Nuclides!A:E,5,FALSE)</f>
        <v>Mo101</v>
      </c>
      <c r="M143">
        <f>VLOOKUP(Sheet2!J143,Nuclides!A:E,2,FALSE)</f>
        <v>59</v>
      </c>
      <c r="N143">
        <f>VLOOKUP(J143,Nuclides!A:E,3,FALSE)</f>
        <v>42</v>
      </c>
      <c r="O143" s="1">
        <f t="shared" si="9"/>
        <v>43680000000</v>
      </c>
      <c r="R143" s="1">
        <v>34084</v>
      </c>
      <c r="S143" s="1">
        <v>8.9602299999999998E-6</v>
      </c>
      <c r="T143" t="str">
        <f>VLOOKUP(R143,Nuclides!A:E,5,FALSE)</f>
        <v>Se84</v>
      </c>
      <c r="U143">
        <f>VLOOKUP(Sheet2!R143,Nuclides!A:E,2,FALSE)</f>
        <v>50</v>
      </c>
      <c r="V143">
        <f>VLOOKUP(R143,Nuclides!A:E,3,FALSE)</f>
        <v>34</v>
      </c>
      <c r="W143" s="1">
        <f t="shared" si="10"/>
        <v>111823670400</v>
      </c>
      <c r="X143" t="s">
        <v>827</v>
      </c>
      <c r="Z143" s="1">
        <v>34068</v>
      </c>
      <c r="AA143" s="1">
        <v>1.38176E-6</v>
      </c>
      <c r="AB143" t="str">
        <f>VLOOKUP(Z143,Nuclides!A:E,5,FALSE)</f>
        <v>Se68</v>
      </c>
      <c r="AC143">
        <f>VLOOKUP(Sheet2!Z143,Nuclides!A:E,2,FALSE)</f>
        <v>34</v>
      </c>
      <c r="AD143">
        <f>VLOOKUP(Z143,Nuclides!A:E,3,FALSE)</f>
        <v>34</v>
      </c>
      <c r="AE143" s="1">
        <f t="shared" si="11"/>
        <v>17244364800</v>
      </c>
      <c r="AF143" t="s">
        <v>811</v>
      </c>
    </row>
    <row r="144" spans="2:32" x14ac:dyDescent="0.2">
      <c r="B144">
        <v>42088</v>
      </c>
      <c r="C144" s="1">
        <v>4.9999999999999998E-7</v>
      </c>
      <c r="D144" t="str">
        <f>VLOOKUP(B144,Nuclides!A:E,5,FALSE)</f>
        <v>Mo88</v>
      </c>
      <c r="E144">
        <f>VLOOKUP(Sheet2!B144,Nuclides!A:E,2,FALSE)</f>
        <v>46</v>
      </c>
      <c r="F144">
        <f>VLOOKUP(B144,Nuclides!A:E,3,FALSE)</f>
        <v>42</v>
      </c>
      <c r="G144" s="1">
        <f t="shared" si="8"/>
        <v>6240000000</v>
      </c>
      <c r="H144">
        <f>VLOOKUP(B144,Nuclides!A:E,4,FALSE)</f>
        <v>480</v>
      </c>
      <c r="J144" s="1">
        <v>42102</v>
      </c>
      <c r="K144" s="1">
        <v>1.22E-5</v>
      </c>
      <c r="L144" t="str">
        <f>VLOOKUP(J144,Nuclides!A:E,5,FALSE)</f>
        <v>Mo102</v>
      </c>
      <c r="M144">
        <f>VLOOKUP(Sheet2!J144,Nuclides!A:E,2,FALSE)</f>
        <v>60</v>
      </c>
      <c r="N144">
        <f>VLOOKUP(J144,Nuclides!A:E,3,FALSE)</f>
        <v>42</v>
      </c>
      <c r="O144" s="1">
        <f t="shared" si="9"/>
        <v>152256000000</v>
      </c>
      <c r="R144" s="1">
        <v>34085</v>
      </c>
      <c r="S144" s="1">
        <v>1.14712E-5</v>
      </c>
      <c r="T144" t="str">
        <f>VLOOKUP(R144,Nuclides!A:E,5,FALSE)</f>
        <v>Se85</v>
      </c>
      <c r="U144">
        <f>VLOOKUP(Sheet2!R144,Nuclides!A:E,2,FALSE)</f>
        <v>51</v>
      </c>
      <c r="V144">
        <f>VLOOKUP(R144,Nuclides!A:E,3,FALSE)</f>
        <v>34</v>
      </c>
      <c r="W144" s="1">
        <f t="shared" si="10"/>
        <v>143160576000</v>
      </c>
      <c r="X144" t="s">
        <v>828</v>
      </c>
      <c r="Z144" s="1">
        <v>34069</v>
      </c>
      <c r="AA144" s="1">
        <v>9.7182500000000001E-7</v>
      </c>
      <c r="AB144" t="str">
        <f>VLOOKUP(Z144,Nuclides!A:E,5,FALSE)</f>
        <v>Se69</v>
      </c>
      <c r="AC144">
        <f>VLOOKUP(Sheet2!Z144,Nuclides!A:E,2,FALSE)</f>
        <v>35</v>
      </c>
      <c r="AD144">
        <f>VLOOKUP(Z144,Nuclides!A:E,3,FALSE)</f>
        <v>34</v>
      </c>
      <c r="AE144" s="1">
        <f t="shared" si="11"/>
        <v>12128376000</v>
      </c>
      <c r="AF144" t="s">
        <v>812</v>
      </c>
    </row>
    <row r="145" spans="2:32" x14ac:dyDescent="0.2">
      <c r="B145">
        <v>42089</v>
      </c>
      <c r="C145" s="1">
        <v>1.9999999999999999E-7</v>
      </c>
      <c r="D145" t="str">
        <f>VLOOKUP(B145,Nuclides!A:E,5,FALSE)</f>
        <v>Mo89</v>
      </c>
      <c r="E145">
        <f>VLOOKUP(Sheet2!B145,Nuclides!A:E,2,FALSE)</f>
        <v>47</v>
      </c>
      <c r="F145">
        <f>VLOOKUP(B145,Nuclides!A:E,3,FALSE)</f>
        <v>42</v>
      </c>
      <c r="G145" s="1">
        <f t="shared" si="8"/>
        <v>2496000000</v>
      </c>
      <c r="H145">
        <f>VLOOKUP(B145,Nuclides!A:E,4,FALSE)</f>
        <v>126.6</v>
      </c>
      <c r="J145" s="1">
        <v>42103</v>
      </c>
      <c r="K145" s="1">
        <v>2.02E-5</v>
      </c>
      <c r="L145" t="str">
        <f>VLOOKUP(J145,Nuclides!A:E,5,FALSE)</f>
        <v>Mo103</v>
      </c>
      <c r="M145">
        <f>VLOOKUP(Sheet2!J145,Nuclides!A:E,2,FALSE)</f>
        <v>61</v>
      </c>
      <c r="N145">
        <f>VLOOKUP(J145,Nuclides!A:E,3,FALSE)</f>
        <v>42</v>
      </c>
      <c r="O145" s="1">
        <f t="shared" si="9"/>
        <v>252096000000</v>
      </c>
      <c r="R145" s="1">
        <v>34086</v>
      </c>
      <c r="S145" s="1">
        <v>1.50468E-5</v>
      </c>
      <c r="T145" t="str">
        <f>VLOOKUP(R145,Nuclides!A:E,5,FALSE)</f>
        <v>Se86</v>
      </c>
      <c r="U145">
        <f>VLOOKUP(Sheet2!R145,Nuclides!A:E,2,FALSE)</f>
        <v>52</v>
      </c>
      <c r="V145">
        <f>VLOOKUP(R145,Nuclides!A:E,3,FALSE)</f>
        <v>34</v>
      </c>
      <c r="W145" s="1">
        <f t="shared" si="10"/>
        <v>187784064000</v>
      </c>
      <c r="X145" t="s">
        <v>829</v>
      </c>
      <c r="Z145" s="1">
        <v>34070</v>
      </c>
      <c r="AA145" s="1">
        <v>2.2852499999999999E-7</v>
      </c>
      <c r="AB145" t="str">
        <f>VLOOKUP(Z145,Nuclides!A:E,5,FALSE)</f>
        <v>Se70</v>
      </c>
      <c r="AC145">
        <f>VLOOKUP(Sheet2!Z145,Nuclides!A:E,2,FALSE)</f>
        <v>36</v>
      </c>
      <c r="AD145">
        <f>VLOOKUP(Z145,Nuclides!A:E,3,FALSE)</f>
        <v>34</v>
      </c>
      <c r="AE145" s="1">
        <f t="shared" si="11"/>
        <v>2851992000</v>
      </c>
      <c r="AF145" t="s">
        <v>813</v>
      </c>
    </row>
    <row r="146" spans="2:32" x14ac:dyDescent="0.2">
      <c r="B146">
        <v>42100</v>
      </c>
      <c r="C146" s="1">
        <v>1.9999999999999999E-7</v>
      </c>
      <c r="D146" t="str">
        <f>VLOOKUP(B146,Nuclides!A:E,5,FALSE)</f>
        <v>Mo100</v>
      </c>
      <c r="E146">
        <f>VLOOKUP(Sheet2!B146,Nuclides!A:E,2,FALSE)</f>
        <v>58</v>
      </c>
      <c r="F146">
        <f>VLOOKUP(B146,Nuclides!A:E,3,FALSE)</f>
        <v>42</v>
      </c>
      <c r="G146" s="1">
        <f t="shared" si="8"/>
        <v>2496000000</v>
      </c>
      <c r="H146">
        <f>VLOOKUP(B146,Nuclides!A:E,4,FALSE)</f>
        <v>2.3037048000000002E+26</v>
      </c>
      <c r="J146" s="1">
        <v>42104</v>
      </c>
      <c r="K146" s="1">
        <v>2.9E-5</v>
      </c>
      <c r="L146" t="str">
        <f>VLOOKUP(J146,Nuclides!A:E,5,FALSE)</f>
        <v>Mo104</v>
      </c>
      <c r="M146">
        <f>VLOOKUP(Sheet2!J146,Nuclides!A:E,2,FALSE)</f>
        <v>62</v>
      </c>
      <c r="N146">
        <f>VLOOKUP(J146,Nuclides!A:E,3,FALSE)</f>
        <v>42</v>
      </c>
      <c r="O146" s="1">
        <f t="shared" si="9"/>
        <v>361920000000</v>
      </c>
      <c r="R146" s="1">
        <v>34087</v>
      </c>
      <c r="S146" s="1">
        <v>9.6638099999999996E-6</v>
      </c>
      <c r="T146" t="str">
        <f>VLOOKUP(R146,Nuclides!A:E,5,FALSE)</f>
        <v>Se87</v>
      </c>
      <c r="U146">
        <f>VLOOKUP(Sheet2!R146,Nuclides!A:E,2,FALSE)</f>
        <v>53</v>
      </c>
      <c r="V146">
        <f>VLOOKUP(R146,Nuclides!A:E,3,FALSE)</f>
        <v>34</v>
      </c>
      <c r="W146" s="1">
        <f t="shared" si="10"/>
        <v>120604348800</v>
      </c>
      <c r="X146" t="s">
        <v>830</v>
      </c>
      <c r="Z146" s="1">
        <v>34071</v>
      </c>
      <c r="AA146" s="1">
        <v>1.07143E-7</v>
      </c>
      <c r="AB146" t="str">
        <f>VLOOKUP(Z146,Nuclides!A:E,5,FALSE)</f>
        <v>Se71</v>
      </c>
      <c r="AC146">
        <f>VLOOKUP(Sheet2!Z146,Nuclides!A:E,2,FALSE)</f>
        <v>37</v>
      </c>
      <c r="AD146">
        <f>VLOOKUP(Z146,Nuclides!A:E,3,FALSE)</f>
        <v>34</v>
      </c>
      <c r="AE146" s="1">
        <f t="shared" si="11"/>
        <v>1337144640</v>
      </c>
      <c r="AF146" t="s">
        <v>814</v>
      </c>
    </row>
    <row r="147" spans="2:32" x14ac:dyDescent="0.2">
      <c r="B147">
        <v>42101</v>
      </c>
      <c r="C147" s="1">
        <v>1.9999999999999999E-7</v>
      </c>
      <c r="D147" t="str">
        <f>VLOOKUP(B147,Nuclides!A:E,5,FALSE)</f>
        <v>Mo101</v>
      </c>
      <c r="E147">
        <f>VLOOKUP(Sheet2!B147,Nuclides!A:E,2,FALSE)</f>
        <v>59</v>
      </c>
      <c r="F147">
        <f>VLOOKUP(B147,Nuclides!A:E,3,FALSE)</f>
        <v>42</v>
      </c>
      <c r="G147" s="1">
        <f t="shared" si="8"/>
        <v>2496000000</v>
      </c>
      <c r="H147">
        <f>VLOOKUP(B147,Nuclides!A:E,4,FALSE)</f>
        <v>876.599999999999</v>
      </c>
      <c r="J147" s="1">
        <v>42105</v>
      </c>
      <c r="K147" s="1">
        <v>2.2900000000000001E-5</v>
      </c>
      <c r="L147" t="str">
        <f>VLOOKUP(J147,Nuclides!A:E,5,FALSE)</f>
        <v>Mo105</v>
      </c>
      <c r="M147">
        <f>VLOOKUP(Sheet2!J147,Nuclides!A:E,2,FALSE)</f>
        <v>63</v>
      </c>
      <c r="N147">
        <f>VLOOKUP(J147,Nuclides!A:E,3,FALSE)</f>
        <v>42</v>
      </c>
      <c r="O147" s="1">
        <f t="shared" si="9"/>
        <v>285792000000</v>
      </c>
      <c r="R147" s="1">
        <v>34088</v>
      </c>
      <c r="S147" s="1">
        <v>6.94342E-6</v>
      </c>
      <c r="T147" t="str">
        <f>VLOOKUP(R147,Nuclides!A:E,5,FALSE)</f>
        <v>Se88</v>
      </c>
      <c r="U147">
        <f>VLOOKUP(Sheet2!R147,Nuclides!A:E,2,FALSE)</f>
        <v>54</v>
      </c>
      <c r="V147">
        <f>VLOOKUP(R147,Nuclides!A:E,3,FALSE)</f>
        <v>34</v>
      </c>
      <c r="W147" s="1">
        <f t="shared" si="10"/>
        <v>86653881600</v>
      </c>
      <c r="X147" t="s">
        <v>831</v>
      </c>
      <c r="Z147" s="1">
        <v>34072</v>
      </c>
      <c r="AA147" s="1">
        <v>1.6333199999999999E-8</v>
      </c>
      <c r="AB147" t="str">
        <f>VLOOKUP(Z147,Nuclides!A:E,5,FALSE)</f>
        <v>Se72</v>
      </c>
      <c r="AC147">
        <f>VLOOKUP(Sheet2!Z147,Nuclides!A:E,2,FALSE)</f>
        <v>38</v>
      </c>
      <c r="AD147">
        <f>VLOOKUP(Z147,Nuclides!A:E,3,FALSE)</f>
        <v>34</v>
      </c>
      <c r="AE147" s="1">
        <f t="shared" si="11"/>
        <v>203838336</v>
      </c>
      <c r="AF147" t="s">
        <v>815</v>
      </c>
    </row>
    <row r="148" spans="2:32" x14ac:dyDescent="0.2">
      <c r="B148">
        <v>42102</v>
      </c>
      <c r="C148" s="1">
        <v>2.7999999999999999E-6</v>
      </c>
      <c r="D148" t="str">
        <f>VLOOKUP(B148,Nuclides!A:E,5,FALSE)</f>
        <v>Mo102</v>
      </c>
      <c r="E148">
        <f>VLOOKUP(Sheet2!B148,Nuclides!A:E,2,FALSE)</f>
        <v>60</v>
      </c>
      <c r="F148">
        <f>VLOOKUP(B148,Nuclides!A:E,3,FALSE)</f>
        <v>42</v>
      </c>
      <c r="G148" s="1">
        <f t="shared" si="8"/>
        <v>34944000000</v>
      </c>
      <c r="H148">
        <f>VLOOKUP(B148,Nuclides!A:E,4,FALSE)</f>
        <v>678</v>
      </c>
      <c r="J148" s="1">
        <v>42106</v>
      </c>
      <c r="K148" s="1">
        <v>1.13E-5</v>
      </c>
      <c r="L148" t="str">
        <f>VLOOKUP(J148,Nuclides!A:E,5,FALSE)</f>
        <v>Mo106</v>
      </c>
      <c r="M148">
        <f>VLOOKUP(Sheet2!J148,Nuclides!A:E,2,FALSE)</f>
        <v>64</v>
      </c>
      <c r="N148">
        <f>VLOOKUP(J148,Nuclides!A:E,3,FALSE)</f>
        <v>42</v>
      </c>
      <c r="O148" s="1">
        <f t="shared" si="9"/>
        <v>141024000000</v>
      </c>
      <c r="R148" s="1">
        <v>34089</v>
      </c>
      <c r="S148" s="1">
        <v>2.42506E-6</v>
      </c>
      <c r="T148" t="str">
        <f>VLOOKUP(R148,Nuclides!A:E,5,FALSE)</f>
        <v>Se89</v>
      </c>
      <c r="U148">
        <f>VLOOKUP(Sheet2!R148,Nuclides!A:E,2,FALSE)</f>
        <v>55</v>
      </c>
      <c r="V148">
        <f>VLOOKUP(R148,Nuclides!A:E,3,FALSE)</f>
        <v>34</v>
      </c>
      <c r="W148" s="1">
        <f t="shared" si="10"/>
        <v>30264748800</v>
      </c>
      <c r="X148" t="s">
        <v>832</v>
      </c>
      <c r="Z148" s="1">
        <v>34073</v>
      </c>
      <c r="AA148" s="1">
        <v>4.8859999999999999E-9</v>
      </c>
      <c r="AB148" t="str">
        <f>VLOOKUP(Z148,Nuclides!A:E,5,FALSE)</f>
        <v>Se73</v>
      </c>
      <c r="AC148">
        <f>VLOOKUP(Sheet2!Z148,Nuclides!A:E,2,FALSE)</f>
        <v>39</v>
      </c>
      <c r="AD148">
        <f>VLOOKUP(Z148,Nuclides!A:E,3,FALSE)</f>
        <v>34</v>
      </c>
      <c r="AE148" s="1">
        <f t="shared" si="11"/>
        <v>60977280</v>
      </c>
      <c r="AF148" t="s">
        <v>816</v>
      </c>
    </row>
    <row r="149" spans="2:32" x14ac:dyDescent="0.2">
      <c r="B149">
        <v>42103</v>
      </c>
      <c r="C149" s="1">
        <v>2.7999999999999999E-6</v>
      </c>
      <c r="D149" t="str">
        <f>VLOOKUP(B149,Nuclides!A:E,5,FALSE)</f>
        <v>Mo103</v>
      </c>
      <c r="E149">
        <f>VLOOKUP(Sheet2!B149,Nuclides!A:E,2,FALSE)</f>
        <v>61</v>
      </c>
      <c r="F149">
        <f>VLOOKUP(B149,Nuclides!A:E,3,FALSE)</f>
        <v>42</v>
      </c>
      <c r="G149" s="1">
        <f t="shared" si="8"/>
        <v>34944000000</v>
      </c>
      <c r="H149">
        <f>VLOOKUP(B149,Nuclides!A:E,4,FALSE)</f>
        <v>67.5</v>
      </c>
      <c r="J149" s="1">
        <v>42107</v>
      </c>
      <c r="K149" s="1">
        <v>5.9000000000000003E-6</v>
      </c>
      <c r="L149" t="str">
        <f>VLOOKUP(J149,Nuclides!A:E,5,FALSE)</f>
        <v>Mo107</v>
      </c>
      <c r="M149">
        <f>VLOOKUP(Sheet2!J149,Nuclides!A:E,2,FALSE)</f>
        <v>65</v>
      </c>
      <c r="N149">
        <f>VLOOKUP(J149,Nuclides!A:E,3,FALSE)</f>
        <v>42</v>
      </c>
      <c r="O149" s="1">
        <f t="shared" si="9"/>
        <v>73632000000</v>
      </c>
      <c r="R149" s="1">
        <v>34090</v>
      </c>
      <c r="S149" s="1">
        <v>9.5751599999999996E-7</v>
      </c>
      <c r="T149" t="str">
        <f>VLOOKUP(R149,Nuclides!A:E,5,FALSE)</f>
        <v>Se90</v>
      </c>
      <c r="U149">
        <f>VLOOKUP(Sheet2!R149,Nuclides!A:E,2,FALSE)</f>
        <v>56</v>
      </c>
      <c r="V149">
        <f>VLOOKUP(R149,Nuclides!A:E,3,FALSE)</f>
        <v>34</v>
      </c>
      <c r="W149" s="1">
        <f t="shared" si="10"/>
        <v>11949799680</v>
      </c>
      <c r="X149" t="s">
        <v>833</v>
      </c>
      <c r="Z149" s="1">
        <v>34074</v>
      </c>
      <c r="AA149" s="1">
        <v>6.2819999999999996E-10</v>
      </c>
      <c r="AB149" t="str">
        <f>VLOOKUP(Z149,Nuclides!A:E,5,FALSE)</f>
        <v>Se74</v>
      </c>
      <c r="AC149">
        <f>VLOOKUP(Sheet2!Z149,Nuclides!A:E,2,FALSE)</f>
        <v>40</v>
      </c>
      <c r="AD149">
        <f>VLOOKUP(Z149,Nuclides!A:E,3,FALSE)</f>
        <v>34</v>
      </c>
      <c r="AE149" s="1">
        <f t="shared" si="11"/>
        <v>7839935.9999999991</v>
      </c>
      <c r="AF149" t="s">
        <v>817</v>
      </c>
    </row>
    <row r="150" spans="2:32" x14ac:dyDescent="0.2">
      <c r="B150">
        <v>42104</v>
      </c>
      <c r="C150" s="1">
        <v>6.1E-6</v>
      </c>
      <c r="D150" t="str">
        <f>VLOOKUP(B150,Nuclides!A:E,5,FALSE)</f>
        <v>Mo104</v>
      </c>
      <c r="E150">
        <f>VLOOKUP(Sheet2!B150,Nuclides!A:E,2,FALSE)</f>
        <v>62</v>
      </c>
      <c r="F150">
        <f>VLOOKUP(B150,Nuclides!A:E,3,FALSE)</f>
        <v>42</v>
      </c>
      <c r="G150" s="1">
        <f t="shared" si="8"/>
        <v>76128000000</v>
      </c>
      <c r="H150">
        <f>VLOOKUP(B150,Nuclides!A:E,4,FALSE)</f>
        <v>60</v>
      </c>
      <c r="J150" s="1">
        <v>42108</v>
      </c>
      <c r="K150" s="1">
        <v>3.5999999999999998E-6</v>
      </c>
      <c r="L150" t="str">
        <f>VLOOKUP(J150,Nuclides!A:E,5,FALSE)</f>
        <v>Mo108</v>
      </c>
      <c r="M150">
        <f>VLOOKUP(Sheet2!J150,Nuclides!A:E,2,FALSE)</f>
        <v>66</v>
      </c>
      <c r="N150">
        <f>VLOOKUP(J150,Nuclides!A:E,3,FALSE)</f>
        <v>42</v>
      </c>
      <c r="O150" s="1">
        <f t="shared" si="9"/>
        <v>44928000000</v>
      </c>
      <c r="R150" s="1">
        <v>34091</v>
      </c>
      <c r="S150" s="1">
        <v>1.98581E-7</v>
      </c>
      <c r="T150" t="str">
        <f>VLOOKUP(R150,Nuclides!A:E,5,FALSE)</f>
        <v>Se91</v>
      </c>
      <c r="U150">
        <f>VLOOKUP(Sheet2!R150,Nuclides!A:E,2,FALSE)</f>
        <v>57</v>
      </c>
      <c r="V150">
        <f>VLOOKUP(R150,Nuclides!A:E,3,FALSE)</f>
        <v>34</v>
      </c>
      <c r="W150" s="1">
        <f t="shared" si="10"/>
        <v>2478290880</v>
      </c>
      <c r="X150" t="s">
        <v>834</v>
      </c>
      <c r="Z150" s="1">
        <v>34075</v>
      </c>
      <c r="AA150" s="1">
        <v>6.9799999999999994E-11</v>
      </c>
      <c r="AB150" t="str">
        <f>VLOOKUP(Z150,Nuclides!A:E,5,FALSE)</f>
        <v>Se75</v>
      </c>
      <c r="AC150">
        <f>VLOOKUP(Sheet2!Z150,Nuclides!A:E,2,FALSE)</f>
        <v>41</v>
      </c>
      <c r="AD150">
        <f>VLOOKUP(Z150,Nuclides!A:E,3,FALSE)</f>
        <v>34</v>
      </c>
      <c r="AE150" s="1">
        <f t="shared" si="11"/>
        <v>871103.99999999988</v>
      </c>
      <c r="AF150" t="s">
        <v>818</v>
      </c>
    </row>
    <row r="151" spans="2:32" x14ac:dyDescent="0.2">
      <c r="B151">
        <v>42105</v>
      </c>
      <c r="C151" s="1">
        <v>4.6E-6</v>
      </c>
      <c r="D151" t="str">
        <f>VLOOKUP(B151,Nuclides!A:E,5,FALSE)</f>
        <v>Mo105</v>
      </c>
      <c r="E151">
        <f>VLOOKUP(Sheet2!B151,Nuclides!A:E,2,FALSE)</f>
        <v>63</v>
      </c>
      <c r="F151">
        <f>VLOOKUP(B151,Nuclides!A:E,3,FALSE)</f>
        <v>42</v>
      </c>
      <c r="G151" s="1">
        <f t="shared" si="8"/>
        <v>57408000000</v>
      </c>
      <c r="H151">
        <f>VLOOKUP(B151,Nuclides!A:E,4,FALSE)</f>
        <v>35.6</v>
      </c>
      <c r="J151" s="1">
        <v>43090</v>
      </c>
      <c r="K151" s="1">
        <v>1.5E-6</v>
      </c>
      <c r="L151" t="str">
        <f>VLOOKUP(J151,Nuclides!A:E,5,FALSE)</f>
        <v>Tc90</v>
      </c>
      <c r="M151">
        <f>VLOOKUP(Sheet2!J151,Nuclides!A:E,2,FALSE)</f>
        <v>47</v>
      </c>
      <c r="N151">
        <f>VLOOKUP(J151,Nuclides!A:E,3,FALSE)</f>
        <v>43</v>
      </c>
      <c r="O151" s="1">
        <f t="shared" si="9"/>
        <v>18720000000</v>
      </c>
      <c r="R151" s="1">
        <v>35070</v>
      </c>
      <c r="S151" s="1">
        <v>6.4355600000000002E-8</v>
      </c>
      <c r="T151" t="str">
        <f>VLOOKUP(R151,Nuclides!A:E,5,FALSE)</f>
        <v>Br70</v>
      </c>
      <c r="U151">
        <f>VLOOKUP(Sheet2!R151,Nuclides!A:E,2,FALSE)</f>
        <v>35</v>
      </c>
      <c r="V151">
        <f>VLOOKUP(R151,Nuclides!A:E,3,FALSE)</f>
        <v>35</v>
      </c>
      <c r="W151" s="1">
        <f t="shared" si="10"/>
        <v>803157888</v>
      </c>
      <c r="X151" t="s">
        <v>837</v>
      </c>
      <c r="Z151" s="1">
        <v>34078</v>
      </c>
      <c r="AA151" s="1">
        <v>2.094E-10</v>
      </c>
      <c r="AB151" t="str">
        <f>VLOOKUP(Z151,Nuclides!A:E,5,FALSE)</f>
        <v>Se78</v>
      </c>
      <c r="AC151">
        <f>VLOOKUP(Sheet2!Z151,Nuclides!A:E,2,FALSE)</f>
        <v>44</v>
      </c>
      <c r="AD151">
        <f>VLOOKUP(Z151,Nuclides!A:E,3,FALSE)</f>
        <v>34</v>
      </c>
      <c r="AE151" s="1">
        <f t="shared" si="11"/>
        <v>2613312</v>
      </c>
      <c r="AF151" t="s">
        <v>821</v>
      </c>
    </row>
    <row r="152" spans="2:32" x14ac:dyDescent="0.2">
      <c r="B152">
        <v>42106</v>
      </c>
      <c r="C152" s="1">
        <v>6.0000000000000002E-6</v>
      </c>
      <c r="D152" t="str">
        <f>VLOOKUP(B152,Nuclides!A:E,5,FALSE)</f>
        <v>Mo106</v>
      </c>
      <c r="E152">
        <f>VLOOKUP(Sheet2!B152,Nuclides!A:E,2,FALSE)</f>
        <v>64</v>
      </c>
      <c r="F152">
        <f>VLOOKUP(B152,Nuclides!A:E,3,FALSE)</f>
        <v>42</v>
      </c>
      <c r="G152" s="1">
        <f t="shared" si="8"/>
        <v>74880000000</v>
      </c>
      <c r="H152">
        <f>VLOOKUP(B152,Nuclides!A:E,4,FALSE)</f>
        <v>8.73</v>
      </c>
      <c r="J152" s="1">
        <v>43091</v>
      </c>
      <c r="K152" s="1">
        <v>4.9999999999999998E-7</v>
      </c>
      <c r="L152" t="str">
        <f>VLOOKUP(J152,Nuclides!A:E,5,FALSE)</f>
        <v>Tc91</v>
      </c>
      <c r="M152">
        <f>VLOOKUP(Sheet2!J152,Nuclides!A:E,2,FALSE)</f>
        <v>48</v>
      </c>
      <c r="N152">
        <f>VLOOKUP(J152,Nuclides!A:E,3,FALSE)</f>
        <v>43</v>
      </c>
      <c r="O152" s="1">
        <f t="shared" si="9"/>
        <v>6240000000</v>
      </c>
      <c r="R152" s="1">
        <v>35071</v>
      </c>
      <c r="S152" s="1">
        <v>1.10982E-8</v>
      </c>
      <c r="T152" t="str">
        <f>VLOOKUP(R152,Nuclides!A:E,5,FALSE)</f>
        <v>Br71</v>
      </c>
      <c r="U152">
        <f>VLOOKUP(Sheet2!R152,Nuclides!A:E,2,FALSE)</f>
        <v>36</v>
      </c>
      <c r="V152">
        <f>VLOOKUP(R152,Nuclides!A:E,3,FALSE)</f>
        <v>35</v>
      </c>
      <c r="W152" s="1">
        <f t="shared" si="10"/>
        <v>138505536</v>
      </c>
      <c r="X152" t="s">
        <v>838</v>
      </c>
      <c r="Z152" s="1">
        <v>34079</v>
      </c>
      <c r="AA152" s="1">
        <v>1.6752E-9</v>
      </c>
      <c r="AB152" t="str">
        <f>VLOOKUP(Z152,Nuclides!A:E,5,FALSE)</f>
        <v>Se79</v>
      </c>
      <c r="AC152">
        <f>VLOOKUP(Sheet2!Z152,Nuclides!A:E,2,FALSE)</f>
        <v>45</v>
      </c>
      <c r="AD152">
        <f>VLOOKUP(Z152,Nuclides!A:E,3,FALSE)</f>
        <v>34</v>
      </c>
      <c r="AE152" s="1">
        <f t="shared" si="11"/>
        <v>20906496</v>
      </c>
      <c r="AF152" t="s">
        <v>822</v>
      </c>
    </row>
    <row r="153" spans="2:32" x14ac:dyDescent="0.2">
      <c r="B153">
        <v>42107</v>
      </c>
      <c r="C153" s="1">
        <v>2.7999999999999999E-6</v>
      </c>
      <c r="D153" t="str">
        <f>VLOOKUP(B153,Nuclides!A:E,5,FALSE)</f>
        <v>Mo107</v>
      </c>
      <c r="E153">
        <f>VLOOKUP(Sheet2!B153,Nuclides!A:E,2,FALSE)</f>
        <v>65</v>
      </c>
      <c r="F153">
        <f>VLOOKUP(B153,Nuclides!A:E,3,FALSE)</f>
        <v>42</v>
      </c>
      <c r="G153" s="1">
        <f t="shared" si="8"/>
        <v>34944000000</v>
      </c>
      <c r="H153">
        <f>VLOOKUP(B153,Nuclides!A:E,4,FALSE)</f>
        <v>3.5</v>
      </c>
      <c r="J153" s="1">
        <v>43092</v>
      </c>
      <c r="K153" s="1">
        <v>2.9999999999999999E-7</v>
      </c>
      <c r="L153" t="str">
        <f>VLOOKUP(J153,Nuclides!A:E,5,FALSE)</f>
        <v>Tc92</v>
      </c>
      <c r="M153">
        <f>VLOOKUP(Sheet2!J153,Nuclides!A:E,2,FALSE)</f>
        <v>49</v>
      </c>
      <c r="N153">
        <f>VLOOKUP(J153,Nuclides!A:E,3,FALSE)</f>
        <v>43</v>
      </c>
      <c r="O153" s="1">
        <f t="shared" si="9"/>
        <v>3744000000</v>
      </c>
      <c r="R153" s="1">
        <v>35072</v>
      </c>
      <c r="S153" s="1">
        <v>3.3503999999999999E-9</v>
      </c>
      <c r="T153" t="str">
        <f>VLOOKUP(R153,Nuclides!A:E,5,FALSE)</f>
        <v>Br72</v>
      </c>
      <c r="U153">
        <f>VLOOKUP(Sheet2!R153,Nuclides!A:E,2,FALSE)</f>
        <v>37</v>
      </c>
      <c r="V153">
        <f>VLOOKUP(R153,Nuclides!A:E,3,FALSE)</f>
        <v>35</v>
      </c>
      <c r="W153" s="1">
        <f t="shared" si="10"/>
        <v>41812992</v>
      </c>
      <c r="X153" t="s">
        <v>839</v>
      </c>
      <c r="Z153" s="1">
        <v>34080</v>
      </c>
      <c r="AA153" s="1">
        <v>1.5844599999999999E-8</v>
      </c>
      <c r="AB153" t="str">
        <f>VLOOKUP(Z153,Nuclides!A:E,5,FALSE)</f>
        <v>Se80</v>
      </c>
      <c r="AC153">
        <f>VLOOKUP(Sheet2!Z153,Nuclides!A:E,2,FALSE)</f>
        <v>46</v>
      </c>
      <c r="AD153">
        <f>VLOOKUP(Z153,Nuclides!A:E,3,FALSE)</f>
        <v>34</v>
      </c>
      <c r="AE153" s="1">
        <f t="shared" si="11"/>
        <v>197740608</v>
      </c>
      <c r="AF153" t="s">
        <v>823</v>
      </c>
    </row>
    <row r="154" spans="2:32" x14ac:dyDescent="0.2">
      <c r="B154">
        <v>42108</v>
      </c>
      <c r="C154" s="1">
        <v>1.9999999999999999E-6</v>
      </c>
      <c r="D154" t="str">
        <f>VLOOKUP(B154,Nuclides!A:E,5,FALSE)</f>
        <v>Mo108</v>
      </c>
      <c r="E154">
        <f>VLOOKUP(Sheet2!B154,Nuclides!A:E,2,FALSE)</f>
        <v>66</v>
      </c>
      <c r="F154">
        <f>VLOOKUP(B154,Nuclides!A:E,3,FALSE)</f>
        <v>42</v>
      </c>
      <c r="G154" s="1">
        <f t="shared" si="8"/>
        <v>24960000000</v>
      </c>
      <c r="H154">
        <f>VLOOKUP(B154,Nuclides!A:E,4,FALSE)</f>
        <v>1.0900000000000001</v>
      </c>
      <c r="J154" s="1">
        <v>43093</v>
      </c>
      <c r="K154" s="1">
        <v>1.9999999999999999E-7</v>
      </c>
      <c r="L154" t="str">
        <f>VLOOKUP(J154,Nuclides!A:E,5,FALSE)</f>
        <v>Tc93</v>
      </c>
      <c r="M154">
        <f>VLOOKUP(Sheet2!J154,Nuclides!A:E,2,FALSE)</f>
        <v>50</v>
      </c>
      <c r="N154">
        <f>VLOOKUP(J154,Nuclides!A:E,3,FALSE)</f>
        <v>43</v>
      </c>
      <c r="O154" s="1">
        <f t="shared" si="9"/>
        <v>2496000000</v>
      </c>
      <c r="R154" s="1">
        <v>35073</v>
      </c>
      <c r="S154" s="1">
        <v>2.094E-10</v>
      </c>
      <c r="T154" t="str">
        <f>VLOOKUP(R154,Nuclides!A:E,5,FALSE)</f>
        <v>Br73</v>
      </c>
      <c r="U154">
        <f>VLOOKUP(Sheet2!R154,Nuclides!A:E,2,FALSE)</f>
        <v>38</v>
      </c>
      <c r="V154">
        <f>VLOOKUP(R154,Nuclides!A:E,3,FALSE)</f>
        <v>35</v>
      </c>
      <c r="W154" s="1">
        <f t="shared" si="10"/>
        <v>2613312</v>
      </c>
      <c r="X154" t="s">
        <v>840</v>
      </c>
      <c r="Z154" s="1">
        <v>34081</v>
      </c>
      <c r="AA154" s="1">
        <v>6.1423999999999995E-8</v>
      </c>
      <c r="AB154" t="str">
        <f>VLOOKUP(Z154,Nuclides!A:E,5,FALSE)</f>
        <v>Se81</v>
      </c>
      <c r="AC154">
        <f>VLOOKUP(Sheet2!Z154,Nuclides!A:E,2,FALSE)</f>
        <v>47</v>
      </c>
      <c r="AD154">
        <f>VLOOKUP(Z154,Nuclides!A:E,3,FALSE)</f>
        <v>34</v>
      </c>
      <c r="AE154" s="1">
        <f t="shared" si="11"/>
        <v>766571519.99999988</v>
      </c>
      <c r="AF154" t="s">
        <v>824</v>
      </c>
    </row>
    <row r="155" spans="2:32" x14ac:dyDescent="0.2">
      <c r="B155">
        <v>43090</v>
      </c>
      <c r="C155" s="1">
        <v>1.1000000000000001E-6</v>
      </c>
      <c r="D155" t="str">
        <f>VLOOKUP(B155,Nuclides!A:E,5,FALSE)</f>
        <v>Tc90</v>
      </c>
      <c r="E155">
        <f>VLOOKUP(Sheet2!B155,Nuclides!A:E,2,FALSE)</f>
        <v>47</v>
      </c>
      <c r="F155">
        <f>VLOOKUP(B155,Nuclides!A:E,3,FALSE)</f>
        <v>43</v>
      </c>
      <c r="G155" s="1">
        <f t="shared" si="8"/>
        <v>13728000000</v>
      </c>
      <c r="H155">
        <f>VLOOKUP(B155,Nuclides!A:E,4,FALSE)</f>
        <v>8.6999999999999993</v>
      </c>
      <c r="J155" s="1">
        <v>43101</v>
      </c>
      <c r="K155" s="1">
        <v>9.9999999999999995E-8</v>
      </c>
      <c r="L155" t="str">
        <f>VLOOKUP(J155,Nuclides!A:E,5,FALSE)</f>
        <v>Tc101</v>
      </c>
      <c r="M155">
        <f>VLOOKUP(Sheet2!J155,Nuclides!A:E,2,FALSE)</f>
        <v>58</v>
      </c>
      <c r="N155">
        <f>VLOOKUP(J155,Nuclides!A:E,3,FALSE)</f>
        <v>43</v>
      </c>
      <c r="O155" s="1">
        <f t="shared" si="9"/>
        <v>1248000000</v>
      </c>
      <c r="R155" s="1">
        <v>35078</v>
      </c>
      <c r="S155" s="1">
        <v>5.5839999999999995E-10</v>
      </c>
      <c r="T155" t="str">
        <f>VLOOKUP(R155,Nuclides!A:E,5,FALSE)</f>
        <v>Br78</v>
      </c>
      <c r="U155">
        <f>VLOOKUP(Sheet2!R155,Nuclides!A:E,2,FALSE)</f>
        <v>43</v>
      </c>
      <c r="V155">
        <f>VLOOKUP(R155,Nuclides!A:E,3,FALSE)</f>
        <v>35</v>
      </c>
      <c r="W155" s="1">
        <f t="shared" si="10"/>
        <v>6968831.9999999991</v>
      </c>
      <c r="X155" t="s">
        <v>845</v>
      </c>
      <c r="Z155" s="1">
        <v>34082</v>
      </c>
      <c r="AA155" s="1">
        <v>4.3282999999999999E-7</v>
      </c>
      <c r="AB155" t="str">
        <f>VLOOKUP(Z155,Nuclides!A:E,5,FALSE)</f>
        <v>Se82</v>
      </c>
      <c r="AC155">
        <f>VLOOKUP(Sheet2!Z155,Nuclides!A:E,2,FALSE)</f>
        <v>48</v>
      </c>
      <c r="AD155">
        <f>VLOOKUP(Z155,Nuclides!A:E,3,FALSE)</f>
        <v>34</v>
      </c>
      <c r="AE155" s="1">
        <f t="shared" si="11"/>
        <v>5401718400</v>
      </c>
      <c r="AF155" t="s">
        <v>825</v>
      </c>
    </row>
    <row r="156" spans="2:32" x14ac:dyDescent="0.2">
      <c r="B156">
        <v>43091</v>
      </c>
      <c r="C156" s="1">
        <v>2.9999999999999999E-7</v>
      </c>
      <c r="D156" t="str">
        <f>VLOOKUP(B156,Nuclides!A:E,5,FALSE)</f>
        <v>Tc91</v>
      </c>
      <c r="E156">
        <f>VLOOKUP(Sheet2!B156,Nuclides!A:E,2,FALSE)</f>
        <v>48</v>
      </c>
      <c r="F156">
        <f>VLOOKUP(B156,Nuclides!A:E,3,FALSE)</f>
        <v>43</v>
      </c>
      <c r="G156" s="1">
        <f t="shared" si="8"/>
        <v>3744000000</v>
      </c>
      <c r="H156">
        <f>VLOOKUP(B156,Nuclides!A:E,4,FALSE)</f>
        <v>188.4</v>
      </c>
      <c r="J156" s="1">
        <v>43102</v>
      </c>
      <c r="K156" s="1">
        <v>1.9999999999999999E-7</v>
      </c>
      <c r="L156" t="str">
        <f>VLOOKUP(J156,Nuclides!A:E,5,FALSE)</f>
        <v>Tc102</v>
      </c>
      <c r="M156">
        <f>VLOOKUP(Sheet2!J156,Nuclides!A:E,2,FALSE)</f>
        <v>59</v>
      </c>
      <c r="N156">
        <f>VLOOKUP(J156,Nuclides!A:E,3,FALSE)</f>
        <v>43</v>
      </c>
      <c r="O156" s="1">
        <f t="shared" si="9"/>
        <v>2496000000</v>
      </c>
      <c r="R156" s="1">
        <v>35079</v>
      </c>
      <c r="S156" s="1">
        <v>1.3262E-9</v>
      </c>
      <c r="T156" t="str">
        <f>VLOOKUP(R156,Nuclides!A:E,5,FALSE)</f>
        <v>Br79</v>
      </c>
      <c r="U156">
        <f>VLOOKUP(Sheet2!R156,Nuclides!A:E,2,FALSE)</f>
        <v>44</v>
      </c>
      <c r="V156">
        <f>VLOOKUP(R156,Nuclides!A:E,3,FALSE)</f>
        <v>35</v>
      </c>
      <c r="W156" s="1">
        <f t="shared" si="10"/>
        <v>16550976</v>
      </c>
      <c r="X156" t="s">
        <v>846</v>
      </c>
      <c r="Z156" s="1">
        <v>34083</v>
      </c>
      <c r="AA156" s="1">
        <v>9.2422199999999995E-7</v>
      </c>
      <c r="AB156" t="str">
        <f>VLOOKUP(Z156,Nuclides!A:E,5,FALSE)</f>
        <v>Se83</v>
      </c>
      <c r="AC156">
        <f>VLOOKUP(Sheet2!Z156,Nuclides!A:E,2,FALSE)</f>
        <v>49</v>
      </c>
      <c r="AD156">
        <f>VLOOKUP(Z156,Nuclides!A:E,3,FALSE)</f>
        <v>34</v>
      </c>
      <c r="AE156" s="1">
        <f t="shared" si="11"/>
        <v>11534290560</v>
      </c>
      <c r="AF156" t="s">
        <v>826</v>
      </c>
    </row>
    <row r="157" spans="2:32" x14ac:dyDescent="0.2">
      <c r="B157">
        <v>43092</v>
      </c>
      <c r="C157" s="1">
        <v>1.9999999999999999E-7</v>
      </c>
      <c r="D157" t="str">
        <f>VLOOKUP(B157,Nuclides!A:E,5,FALSE)</f>
        <v>Tc92</v>
      </c>
      <c r="E157">
        <f>VLOOKUP(Sheet2!B157,Nuclides!A:E,2,FALSE)</f>
        <v>49</v>
      </c>
      <c r="F157">
        <f>VLOOKUP(B157,Nuclides!A:E,3,FALSE)</f>
        <v>43</v>
      </c>
      <c r="G157" s="1">
        <f t="shared" si="8"/>
        <v>2496000000</v>
      </c>
      <c r="H157">
        <f>VLOOKUP(B157,Nuclides!A:E,4,FALSE)</f>
        <v>255</v>
      </c>
      <c r="J157" s="1">
        <v>43103</v>
      </c>
      <c r="K157" s="1">
        <v>3.9999999999999998E-7</v>
      </c>
      <c r="L157" t="str">
        <f>VLOOKUP(J157,Nuclides!A:E,5,FALSE)</f>
        <v>Tc103</v>
      </c>
      <c r="M157">
        <f>VLOOKUP(Sheet2!J157,Nuclides!A:E,2,FALSE)</f>
        <v>60</v>
      </c>
      <c r="N157">
        <f>VLOOKUP(J157,Nuclides!A:E,3,FALSE)</f>
        <v>43</v>
      </c>
      <c r="O157" s="1">
        <f t="shared" si="9"/>
        <v>4992000000</v>
      </c>
      <c r="R157" s="1">
        <v>35080</v>
      </c>
      <c r="S157" s="1">
        <v>1.2215000000000001E-8</v>
      </c>
      <c r="T157" t="str">
        <f>VLOOKUP(R157,Nuclides!A:E,5,FALSE)</f>
        <v>Br80</v>
      </c>
      <c r="U157">
        <f>VLOOKUP(Sheet2!R157,Nuclides!A:E,2,FALSE)</f>
        <v>45</v>
      </c>
      <c r="V157">
        <f>VLOOKUP(R157,Nuclides!A:E,3,FALSE)</f>
        <v>35</v>
      </c>
      <c r="W157" s="1">
        <f t="shared" si="10"/>
        <v>152443200</v>
      </c>
      <c r="X157" t="s">
        <v>847</v>
      </c>
      <c r="Z157" s="1">
        <v>34084</v>
      </c>
      <c r="AA157" s="1">
        <v>4.1990300000000004E-6</v>
      </c>
      <c r="AB157" t="str">
        <f>VLOOKUP(Z157,Nuclides!A:E,5,FALSE)</f>
        <v>Se84</v>
      </c>
      <c r="AC157">
        <f>VLOOKUP(Sheet2!Z157,Nuclides!A:E,2,FALSE)</f>
        <v>50</v>
      </c>
      <c r="AD157">
        <f>VLOOKUP(Z157,Nuclides!A:E,3,FALSE)</f>
        <v>34</v>
      </c>
      <c r="AE157" s="1">
        <f t="shared" si="11"/>
        <v>52403894400.000008</v>
      </c>
      <c r="AF157" t="s">
        <v>827</v>
      </c>
    </row>
    <row r="158" spans="2:32" x14ac:dyDescent="0.2">
      <c r="B158">
        <v>43104</v>
      </c>
      <c r="C158" s="1">
        <v>4.9999999999999998E-7</v>
      </c>
      <c r="D158" t="str">
        <f>VLOOKUP(B158,Nuclides!A:E,5,FALSE)</f>
        <v>Tc104</v>
      </c>
      <c r="E158">
        <f>VLOOKUP(Sheet2!B158,Nuclides!A:E,2,FALSE)</f>
        <v>61</v>
      </c>
      <c r="F158">
        <f>VLOOKUP(B158,Nuclides!A:E,3,FALSE)</f>
        <v>43</v>
      </c>
      <c r="G158" s="1">
        <f t="shared" si="8"/>
        <v>6240000000</v>
      </c>
      <c r="H158">
        <f>VLOOKUP(B158,Nuclides!A:E,4,FALSE)</f>
        <v>1098</v>
      </c>
      <c r="J158" s="1">
        <v>43104</v>
      </c>
      <c r="K158" s="1">
        <v>2.3E-6</v>
      </c>
      <c r="L158" t="str">
        <f>VLOOKUP(J158,Nuclides!A:E,5,FALSE)</f>
        <v>Tc104</v>
      </c>
      <c r="M158">
        <f>VLOOKUP(Sheet2!J158,Nuclides!A:E,2,FALSE)</f>
        <v>61</v>
      </c>
      <c r="N158">
        <f>VLOOKUP(J158,Nuclides!A:E,3,FALSE)</f>
        <v>43</v>
      </c>
      <c r="O158" s="1">
        <f t="shared" si="9"/>
        <v>28704000000</v>
      </c>
      <c r="R158" s="1">
        <v>35081</v>
      </c>
      <c r="S158" s="1">
        <v>4.89996E-8</v>
      </c>
      <c r="T158" t="str">
        <f>VLOOKUP(R158,Nuclides!A:E,5,FALSE)</f>
        <v>Br81</v>
      </c>
      <c r="U158">
        <f>VLOOKUP(Sheet2!R158,Nuclides!A:E,2,FALSE)</f>
        <v>46</v>
      </c>
      <c r="V158">
        <f>VLOOKUP(R158,Nuclides!A:E,3,FALSE)</f>
        <v>35</v>
      </c>
      <c r="W158" s="1">
        <f t="shared" si="10"/>
        <v>611515008</v>
      </c>
      <c r="X158" t="s">
        <v>848</v>
      </c>
      <c r="Z158" s="1">
        <v>34085</v>
      </c>
      <c r="AA158" s="1">
        <v>5.0480099999999996E-6</v>
      </c>
      <c r="AB158" t="str">
        <f>VLOOKUP(Z158,Nuclides!A:E,5,FALSE)</f>
        <v>Se85</v>
      </c>
      <c r="AC158">
        <f>VLOOKUP(Sheet2!Z158,Nuclides!A:E,2,FALSE)</f>
        <v>51</v>
      </c>
      <c r="AD158">
        <f>VLOOKUP(Z158,Nuclides!A:E,3,FALSE)</f>
        <v>34</v>
      </c>
      <c r="AE158" s="1">
        <f t="shared" si="11"/>
        <v>62999164799.999992</v>
      </c>
      <c r="AF158" t="s">
        <v>828</v>
      </c>
    </row>
    <row r="159" spans="2:32" x14ac:dyDescent="0.2">
      <c r="B159">
        <v>43105</v>
      </c>
      <c r="C159" s="1">
        <v>1.1999999999999999E-6</v>
      </c>
      <c r="D159" t="str">
        <f>VLOOKUP(B159,Nuclides!A:E,5,FALSE)</f>
        <v>Tc105</v>
      </c>
      <c r="E159">
        <f>VLOOKUP(Sheet2!B159,Nuclides!A:E,2,FALSE)</f>
        <v>62</v>
      </c>
      <c r="F159">
        <f>VLOOKUP(B159,Nuclides!A:E,3,FALSE)</f>
        <v>43</v>
      </c>
      <c r="G159" s="1">
        <f t="shared" si="8"/>
        <v>14976000000</v>
      </c>
      <c r="H159">
        <f>VLOOKUP(B159,Nuclides!A:E,4,FALSE)</f>
        <v>456</v>
      </c>
      <c r="J159" s="1">
        <v>43105</v>
      </c>
      <c r="K159" s="1">
        <v>3.9999999999999998E-6</v>
      </c>
      <c r="L159" t="str">
        <f>VLOOKUP(J159,Nuclides!A:E,5,FALSE)</f>
        <v>Tc105</v>
      </c>
      <c r="M159">
        <f>VLOOKUP(Sheet2!J159,Nuclides!A:E,2,FALSE)</f>
        <v>62</v>
      </c>
      <c r="N159">
        <f>VLOOKUP(J159,Nuclides!A:E,3,FALSE)</f>
        <v>43</v>
      </c>
      <c r="O159" s="1">
        <f t="shared" si="9"/>
        <v>49920000000</v>
      </c>
      <c r="R159" s="1">
        <v>35082</v>
      </c>
      <c r="S159" s="1">
        <v>1.91182E-7</v>
      </c>
      <c r="T159" t="str">
        <f>VLOOKUP(R159,Nuclides!A:E,5,FALSE)</f>
        <v>Br82</v>
      </c>
      <c r="U159">
        <f>VLOOKUP(Sheet2!R159,Nuclides!A:E,2,FALSE)</f>
        <v>47</v>
      </c>
      <c r="V159">
        <f>VLOOKUP(R159,Nuclides!A:E,3,FALSE)</f>
        <v>35</v>
      </c>
      <c r="W159" s="1">
        <f t="shared" si="10"/>
        <v>2385951360</v>
      </c>
      <c r="X159" t="s">
        <v>849</v>
      </c>
      <c r="Z159" s="1">
        <v>34086</v>
      </c>
      <c r="AA159" s="1">
        <v>9.4065299999999992E-6</v>
      </c>
      <c r="AB159" t="str">
        <f>VLOOKUP(Z159,Nuclides!A:E,5,FALSE)</f>
        <v>Se86</v>
      </c>
      <c r="AC159">
        <f>VLOOKUP(Sheet2!Z159,Nuclides!A:E,2,FALSE)</f>
        <v>52</v>
      </c>
      <c r="AD159">
        <f>VLOOKUP(Z159,Nuclides!A:E,3,FALSE)</f>
        <v>34</v>
      </c>
      <c r="AE159" s="1">
        <f t="shared" si="11"/>
        <v>117393494399.99998</v>
      </c>
      <c r="AF159" t="s">
        <v>829</v>
      </c>
    </row>
    <row r="160" spans="2:32" x14ac:dyDescent="0.2">
      <c r="B160">
        <v>43106</v>
      </c>
      <c r="C160" s="1">
        <v>2.3E-6</v>
      </c>
      <c r="D160" t="str">
        <f>VLOOKUP(B160,Nuclides!A:E,5,FALSE)</f>
        <v>Tc106</v>
      </c>
      <c r="E160">
        <f>VLOOKUP(Sheet2!B160,Nuclides!A:E,2,FALSE)</f>
        <v>63</v>
      </c>
      <c r="F160">
        <f>VLOOKUP(B160,Nuclides!A:E,3,FALSE)</f>
        <v>43</v>
      </c>
      <c r="G160" s="1">
        <f t="shared" si="8"/>
        <v>28704000000</v>
      </c>
      <c r="H160">
        <f>VLOOKUP(B160,Nuclides!A:E,4,FALSE)</f>
        <v>35.6</v>
      </c>
      <c r="J160" s="1">
        <v>43106</v>
      </c>
      <c r="K160" s="1">
        <v>2.9000000000000002E-6</v>
      </c>
      <c r="L160" t="str">
        <f>VLOOKUP(J160,Nuclides!A:E,5,FALSE)</f>
        <v>Tc106</v>
      </c>
      <c r="M160">
        <f>VLOOKUP(Sheet2!J160,Nuclides!A:E,2,FALSE)</f>
        <v>63</v>
      </c>
      <c r="N160">
        <f>VLOOKUP(J160,Nuclides!A:E,3,FALSE)</f>
        <v>43</v>
      </c>
      <c r="O160" s="1">
        <f t="shared" si="9"/>
        <v>36192000000</v>
      </c>
      <c r="R160" s="1">
        <v>35083</v>
      </c>
      <c r="S160" s="1">
        <v>6.7468700000000004E-7</v>
      </c>
      <c r="T160" t="str">
        <f>VLOOKUP(R160,Nuclides!A:E,5,FALSE)</f>
        <v>Br83</v>
      </c>
      <c r="U160">
        <f>VLOOKUP(Sheet2!R160,Nuclides!A:E,2,FALSE)</f>
        <v>48</v>
      </c>
      <c r="V160">
        <f>VLOOKUP(R160,Nuclides!A:E,3,FALSE)</f>
        <v>35</v>
      </c>
      <c r="W160" s="1">
        <f t="shared" si="10"/>
        <v>8420093760</v>
      </c>
      <c r="X160" t="s">
        <v>850</v>
      </c>
      <c r="Z160" s="1">
        <v>34087</v>
      </c>
      <c r="AA160" s="1">
        <v>7.6673899999999998E-6</v>
      </c>
      <c r="AB160" t="str">
        <f>VLOOKUP(Z160,Nuclides!A:E,5,FALSE)</f>
        <v>Se87</v>
      </c>
      <c r="AC160">
        <f>VLOOKUP(Sheet2!Z160,Nuclides!A:E,2,FALSE)</f>
        <v>53</v>
      </c>
      <c r="AD160">
        <f>VLOOKUP(Z160,Nuclides!A:E,3,FALSE)</f>
        <v>34</v>
      </c>
      <c r="AE160" s="1">
        <f t="shared" si="11"/>
        <v>95689027200</v>
      </c>
      <c r="AF160" t="s">
        <v>830</v>
      </c>
    </row>
    <row r="161" spans="2:32" x14ac:dyDescent="0.2">
      <c r="B161">
        <v>43107</v>
      </c>
      <c r="C161" s="1">
        <v>2.7999999999999999E-6</v>
      </c>
      <c r="D161" t="str">
        <f>VLOOKUP(B161,Nuclides!A:E,5,FALSE)</f>
        <v>Tc107</v>
      </c>
      <c r="E161">
        <f>VLOOKUP(Sheet2!B161,Nuclides!A:E,2,FALSE)</f>
        <v>64</v>
      </c>
      <c r="F161">
        <f>VLOOKUP(B161,Nuclides!A:E,3,FALSE)</f>
        <v>43</v>
      </c>
      <c r="G161" s="1">
        <f t="shared" si="8"/>
        <v>34944000000</v>
      </c>
      <c r="H161">
        <f>VLOOKUP(B161,Nuclides!A:E,4,FALSE)</f>
        <v>21.2</v>
      </c>
      <c r="J161" s="1">
        <v>43107</v>
      </c>
      <c r="K161" s="1">
        <v>3.8E-6</v>
      </c>
      <c r="L161" t="str">
        <f>VLOOKUP(J161,Nuclides!A:E,5,FALSE)</f>
        <v>Tc107</v>
      </c>
      <c r="M161">
        <f>VLOOKUP(Sheet2!J161,Nuclides!A:E,2,FALSE)</f>
        <v>64</v>
      </c>
      <c r="N161">
        <f>VLOOKUP(J161,Nuclides!A:E,3,FALSE)</f>
        <v>43</v>
      </c>
      <c r="O161" s="1">
        <f t="shared" si="9"/>
        <v>47424000000</v>
      </c>
      <c r="R161" s="1">
        <v>35084</v>
      </c>
      <c r="S161" s="1">
        <v>1.9777799999999998E-6</v>
      </c>
      <c r="T161" t="str">
        <f>VLOOKUP(R161,Nuclides!A:E,5,FALSE)</f>
        <v>Br84</v>
      </c>
      <c r="U161">
        <f>VLOOKUP(Sheet2!R161,Nuclides!A:E,2,FALSE)</f>
        <v>49</v>
      </c>
      <c r="V161">
        <f>VLOOKUP(R161,Nuclides!A:E,3,FALSE)</f>
        <v>35</v>
      </c>
      <c r="W161" s="1">
        <f t="shared" si="10"/>
        <v>24682694399.999996</v>
      </c>
      <c r="X161" t="s">
        <v>851</v>
      </c>
      <c r="Z161" s="1">
        <v>34088</v>
      </c>
      <c r="AA161" s="1">
        <v>8.9306299999999992E-6</v>
      </c>
      <c r="AB161" t="str">
        <f>VLOOKUP(Z161,Nuclides!A:E,5,FALSE)</f>
        <v>Se88</v>
      </c>
      <c r="AC161">
        <f>VLOOKUP(Sheet2!Z161,Nuclides!A:E,2,FALSE)</f>
        <v>54</v>
      </c>
      <c r="AD161">
        <f>VLOOKUP(Z161,Nuclides!A:E,3,FALSE)</f>
        <v>34</v>
      </c>
      <c r="AE161" s="1">
        <f t="shared" si="11"/>
        <v>111454262399.99998</v>
      </c>
      <c r="AF161" t="s">
        <v>831</v>
      </c>
    </row>
    <row r="162" spans="2:32" x14ac:dyDescent="0.2">
      <c r="B162">
        <v>43108</v>
      </c>
      <c r="C162" s="1">
        <v>2.9000000000000002E-6</v>
      </c>
      <c r="D162" t="str">
        <f>VLOOKUP(B162,Nuclides!A:E,5,FALSE)</f>
        <v>Tc108</v>
      </c>
      <c r="E162">
        <f>VLOOKUP(Sheet2!B162,Nuclides!A:E,2,FALSE)</f>
        <v>65</v>
      </c>
      <c r="F162">
        <f>VLOOKUP(B162,Nuclides!A:E,3,FALSE)</f>
        <v>43</v>
      </c>
      <c r="G162" s="1">
        <f t="shared" si="8"/>
        <v>36192000000</v>
      </c>
      <c r="H162">
        <f>VLOOKUP(B162,Nuclides!A:E,4,FALSE)</f>
        <v>5.17</v>
      </c>
      <c r="J162" s="1">
        <v>43108</v>
      </c>
      <c r="K162" s="1">
        <v>1.9E-6</v>
      </c>
      <c r="L162" t="str">
        <f>VLOOKUP(J162,Nuclides!A:E,5,FALSE)</f>
        <v>Tc108</v>
      </c>
      <c r="M162">
        <f>VLOOKUP(Sheet2!J162,Nuclides!A:E,2,FALSE)</f>
        <v>65</v>
      </c>
      <c r="N162">
        <f>VLOOKUP(J162,Nuclides!A:E,3,FALSE)</f>
        <v>43</v>
      </c>
      <c r="O162" s="1">
        <f t="shared" si="9"/>
        <v>23712000000</v>
      </c>
      <c r="R162" s="1">
        <v>35085</v>
      </c>
      <c r="S162" s="1">
        <v>5.9023600000000002E-6</v>
      </c>
      <c r="T162" t="str">
        <f>VLOOKUP(R162,Nuclides!A:E,5,FALSE)</f>
        <v>Br85</v>
      </c>
      <c r="U162">
        <f>VLOOKUP(Sheet2!R162,Nuclides!A:E,2,FALSE)</f>
        <v>50</v>
      </c>
      <c r="V162">
        <f>VLOOKUP(R162,Nuclides!A:E,3,FALSE)</f>
        <v>35</v>
      </c>
      <c r="W162" s="1">
        <f t="shared" si="10"/>
        <v>73661452800</v>
      </c>
      <c r="X162" t="s">
        <v>852</v>
      </c>
      <c r="Z162" s="1">
        <v>34089</v>
      </c>
      <c r="AA162" s="1">
        <v>5.8637600000000003E-6</v>
      </c>
      <c r="AB162" t="str">
        <f>VLOOKUP(Z162,Nuclides!A:E,5,FALSE)</f>
        <v>Se89</v>
      </c>
      <c r="AC162">
        <f>VLOOKUP(Sheet2!Z162,Nuclides!A:E,2,FALSE)</f>
        <v>55</v>
      </c>
      <c r="AD162">
        <f>VLOOKUP(Z162,Nuclides!A:E,3,FALSE)</f>
        <v>34</v>
      </c>
      <c r="AE162" s="1">
        <f t="shared" si="11"/>
        <v>73179724800</v>
      </c>
      <c r="AF162" t="s">
        <v>832</v>
      </c>
    </row>
    <row r="163" spans="2:32" x14ac:dyDescent="0.2">
      <c r="B163">
        <v>43109</v>
      </c>
      <c r="C163" s="1">
        <v>1.7999999999999999E-6</v>
      </c>
      <c r="D163" t="str">
        <f>VLOOKUP(B163,Nuclides!A:E,5,FALSE)</f>
        <v>Tc109</v>
      </c>
      <c r="E163">
        <f>VLOOKUP(Sheet2!B163,Nuclides!A:E,2,FALSE)</f>
        <v>66</v>
      </c>
      <c r="F163">
        <f>VLOOKUP(B163,Nuclides!A:E,3,FALSE)</f>
        <v>43</v>
      </c>
      <c r="G163" s="1">
        <f t="shared" si="8"/>
        <v>22464000000</v>
      </c>
      <c r="H163">
        <f>VLOOKUP(B163,Nuclides!A:E,4,FALSE)</f>
        <v>0.86</v>
      </c>
      <c r="J163" s="1">
        <v>43109</v>
      </c>
      <c r="K163" s="1">
        <v>1.1000000000000001E-6</v>
      </c>
      <c r="L163" t="str">
        <f>VLOOKUP(J163,Nuclides!A:E,5,FALSE)</f>
        <v>Tc109</v>
      </c>
      <c r="M163">
        <f>VLOOKUP(Sheet2!J163,Nuclides!A:E,2,FALSE)</f>
        <v>66</v>
      </c>
      <c r="N163">
        <f>VLOOKUP(J163,Nuclides!A:E,3,FALSE)</f>
        <v>43</v>
      </c>
      <c r="O163" s="1">
        <f t="shared" si="9"/>
        <v>13728000000</v>
      </c>
      <c r="R163" s="1">
        <v>35086</v>
      </c>
      <c r="S163" s="1">
        <v>1.11154E-5</v>
      </c>
      <c r="T163" t="str">
        <f>VLOOKUP(R163,Nuclides!A:E,5,FALSE)</f>
        <v>Br86</v>
      </c>
      <c r="U163">
        <f>VLOOKUP(Sheet2!R163,Nuclides!A:E,2,FALSE)</f>
        <v>51</v>
      </c>
      <c r="V163">
        <f>VLOOKUP(R163,Nuclides!A:E,3,FALSE)</f>
        <v>35</v>
      </c>
      <c r="W163" s="1">
        <f t="shared" si="10"/>
        <v>138720192000</v>
      </c>
      <c r="X163" t="s">
        <v>853</v>
      </c>
      <c r="Z163" s="1">
        <v>34090</v>
      </c>
      <c r="AA163" s="1">
        <v>4.5967499999999997E-6</v>
      </c>
      <c r="AB163" t="str">
        <f>VLOOKUP(Z163,Nuclides!A:E,5,FALSE)</f>
        <v>Se90</v>
      </c>
      <c r="AC163">
        <f>VLOOKUP(Sheet2!Z163,Nuclides!A:E,2,FALSE)</f>
        <v>56</v>
      </c>
      <c r="AD163">
        <f>VLOOKUP(Z163,Nuclides!A:E,3,FALSE)</f>
        <v>34</v>
      </c>
      <c r="AE163" s="1">
        <f t="shared" si="11"/>
        <v>57367439999.999992</v>
      </c>
      <c r="AF163" t="s">
        <v>833</v>
      </c>
    </row>
    <row r="164" spans="2:32" x14ac:dyDescent="0.2">
      <c r="B164">
        <v>43110</v>
      </c>
      <c r="C164" s="1">
        <v>1.5E-6</v>
      </c>
      <c r="D164" t="str">
        <f>VLOOKUP(B164,Nuclides!A:E,5,FALSE)</f>
        <v>Tc110</v>
      </c>
      <c r="E164">
        <f>VLOOKUP(Sheet2!B164,Nuclides!A:E,2,FALSE)</f>
        <v>67</v>
      </c>
      <c r="F164">
        <f>VLOOKUP(B164,Nuclides!A:E,3,FALSE)</f>
        <v>43</v>
      </c>
      <c r="G164" s="1">
        <f t="shared" si="8"/>
        <v>18720000000</v>
      </c>
      <c r="H164">
        <f>VLOOKUP(B164,Nuclides!A:E,4,FALSE)</f>
        <v>0.92</v>
      </c>
      <c r="J164" s="1">
        <v>43110</v>
      </c>
      <c r="K164" s="1">
        <v>7.9999999999999996E-7</v>
      </c>
      <c r="L164" t="str">
        <f>VLOOKUP(J164,Nuclides!A:E,5,FALSE)</f>
        <v>Tc110</v>
      </c>
      <c r="M164">
        <f>VLOOKUP(Sheet2!J164,Nuclides!A:E,2,FALSE)</f>
        <v>67</v>
      </c>
      <c r="N164">
        <f>VLOOKUP(J164,Nuclides!A:E,3,FALSE)</f>
        <v>43</v>
      </c>
      <c r="O164" s="1">
        <f t="shared" si="9"/>
        <v>9984000000</v>
      </c>
      <c r="R164" s="1">
        <v>35087</v>
      </c>
      <c r="S164" s="1">
        <v>2.1094499999999999E-5</v>
      </c>
      <c r="T164" t="str">
        <f>VLOOKUP(R164,Nuclides!A:E,5,FALSE)</f>
        <v>Br87</v>
      </c>
      <c r="U164">
        <f>VLOOKUP(Sheet2!R164,Nuclides!A:E,2,FALSE)</f>
        <v>52</v>
      </c>
      <c r="V164">
        <f>VLOOKUP(R164,Nuclides!A:E,3,FALSE)</f>
        <v>35</v>
      </c>
      <c r="W164" s="1">
        <f t="shared" si="10"/>
        <v>263259360000</v>
      </c>
      <c r="X164" t="s">
        <v>854</v>
      </c>
      <c r="Z164" s="1">
        <v>34091</v>
      </c>
      <c r="AA164" s="1">
        <v>1.25054E-6</v>
      </c>
      <c r="AB164" t="str">
        <f>VLOOKUP(Z164,Nuclides!A:E,5,FALSE)</f>
        <v>Se91</v>
      </c>
      <c r="AC164">
        <f>VLOOKUP(Sheet2!Z164,Nuclides!A:E,2,FALSE)</f>
        <v>57</v>
      </c>
      <c r="AD164">
        <f>VLOOKUP(Z164,Nuclides!A:E,3,FALSE)</f>
        <v>34</v>
      </c>
      <c r="AE164" s="1">
        <f t="shared" si="11"/>
        <v>15606739200</v>
      </c>
      <c r="AF164" t="s">
        <v>834</v>
      </c>
    </row>
    <row r="165" spans="2:32" x14ac:dyDescent="0.2">
      <c r="B165">
        <v>44092</v>
      </c>
      <c r="C165" s="1">
        <v>1.5E-6</v>
      </c>
      <c r="D165" t="str">
        <f>VLOOKUP(B165,Nuclides!A:E,5,FALSE)</f>
        <v>Ru92</v>
      </c>
      <c r="E165">
        <f>VLOOKUP(Sheet2!B165,Nuclides!A:E,2,FALSE)</f>
        <v>48</v>
      </c>
      <c r="F165">
        <f>VLOOKUP(B165,Nuclides!A:E,3,FALSE)</f>
        <v>44</v>
      </c>
      <c r="G165" s="1">
        <f t="shared" si="8"/>
        <v>18720000000</v>
      </c>
      <c r="H165">
        <f>VLOOKUP(B165,Nuclides!A:E,4,FALSE)</f>
        <v>219</v>
      </c>
      <c r="J165" s="1">
        <v>44092</v>
      </c>
      <c r="K165" s="1">
        <v>2.9999999999999999E-7</v>
      </c>
      <c r="L165" t="str">
        <f>VLOOKUP(J165,Nuclides!A:E,5,FALSE)</f>
        <v>Ru92</v>
      </c>
      <c r="M165">
        <f>VLOOKUP(Sheet2!J165,Nuclides!A:E,2,FALSE)</f>
        <v>48</v>
      </c>
      <c r="N165">
        <f>VLOOKUP(J165,Nuclides!A:E,3,FALSE)</f>
        <v>44</v>
      </c>
      <c r="O165" s="1">
        <f t="shared" si="9"/>
        <v>3744000000</v>
      </c>
      <c r="R165" s="1">
        <v>35088</v>
      </c>
      <c r="S165" s="1">
        <v>2.08134E-5</v>
      </c>
      <c r="T165" t="str">
        <f>VLOOKUP(R165,Nuclides!A:E,5,FALSE)</f>
        <v>Br88</v>
      </c>
      <c r="U165">
        <f>VLOOKUP(Sheet2!R165,Nuclides!A:E,2,FALSE)</f>
        <v>53</v>
      </c>
      <c r="V165">
        <f>VLOOKUP(R165,Nuclides!A:E,3,FALSE)</f>
        <v>35</v>
      </c>
      <c r="W165" s="1">
        <f t="shared" si="10"/>
        <v>259751232000</v>
      </c>
      <c r="X165" t="s">
        <v>855</v>
      </c>
      <c r="Z165" s="1">
        <v>35070</v>
      </c>
      <c r="AA165" s="1">
        <v>8.5107100000000004E-7</v>
      </c>
      <c r="AB165" t="str">
        <f>VLOOKUP(Z165,Nuclides!A:E,5,FALSE)</f>
        <v>Br70</v>
      </c>
      <c r="AC165">
        <f>VLOOKUP(Sheet2!Z165,Nuclides!A:E,2,FALSE)</f>
        <v>35</v>
      </c>
      <c r="AD165">
        <f>VLOOKUP(Z165,Nuclides!A:E,3,FALSE)</f>
        <v>35</v>
      </c>
      <c r="AE165" s="1">
        <f t="shared" si="11"/>
        <v>10621366080</v>
      </c>
      <c r="AF165" t="s">
        <v>837</v>
      </c>
    </row>
    <row r="166" spans="2:32" x14ac:dyDescent="0.2">
      <c r="B166">
        <v>44093</v>
      </c>
      <c r="C166" s="1">
        <v>2.9999999999999999E-7</v>
      </c>
      <c r="D166" t="str">
        <f>VLOOKUP(B166,Nuclides!A:E,5,FALSE)</f>
        <v>Ru93</v>
      </c>
      <c r="E166">
        <f>VLOOKUP(Sheet2!B166,Nuclides!A:E,2,FALSE)</f>
        <v>49</v>
      </c>
      <c r="F166">
        <f>VLOOKUP(B166,Nuclides!A:E,3,FALSE)</f>
        <v>44</v>
      </c>
      <c r="G166" s="1">
        <f t="shared" si="8"/>
        <v>3744000000</v>
      </c>
      <c r="H166">
        <f>VLOOKUP(B166,Nuclides!A:E,4,FALSE)</f>
        <v>59.7</v>
      </c>
      <c r="J166" s="1">
        <v>44093</v>
      </c>
      <c r="K166" s="1">
        <v>9.9999999999999995E-8</v>
      </c>
      <c r="L166" t="str">
        <f>VLOOKUP(J166,Nuclides!A:E,5,FALSE)</f>
        <v>Ru93</v>
      </c>
      <c r="M166">
        <f>VLOOKUP(Sheet2!J166,Nuclides!A:E,2,FALSE)</f>
        <v>49</v>
      </c>
      <c r="N166">
        <f>VLOOKUP(J166,Nuclides!A:E,3,FALSE)</f>
        <v>44</v>
      </c>
      <c r="O166" s="1">
        <f t="shared" si="9"/>
        <v>1248000000</v>
      </c>
      <c r="R166" s="1">
        <v>35089</v>
      </c>
      <c r="S166" s="1">
        <v>2.2754600000000001E-5</v>
      </c>
      <c r="T166" t="str">
        <f>VLOOKUP(R166,Nuclides!A:E,5,FALSE)</f>
        <v>Br89</v>
      </c>
      <c r="U166">
        <f>VLOOKUP(Sheet2!R166,Nuclides!A:E,2,FALSE)</f>
        <v>54</v>
      </c>
      <c r="V166">
        <f>VLOOKUP(R166,Nuclides!A:E,3,FALSE)</f>
        <v>35</v>
      </c>
      <c r="W166" s="1">
        <f t="shared" si="10"/>
        <v>283977408000</v>
      </c>
      <c r="X166" t="s">
        <v>856</v>
      </c>
      <c r="Z166" s="1">
        <v>35071</v>
      </c>
      <c r="AA166" s="1">
        <v>1.47557E-7</v>
      </c>
      <c r="AB166" t="str">
        <f>VLOOKUP(Z166,Nuclides!A:E,5,FALSE)</f>
        <v>Br71</v>
      </c>
      <c r="AC166">
        <f>VLOOKUP(Sheet2!Z166,Nuclides!A:E,2,FALSE)</f>
        <v>36</v>
      </c>
      <c r="AD166">
        <f>VLOOKUP(Z166,Nuclides!A:E,3,FALSE)</f>
        <v>35</v>
      </c>
      <c r="AE166" s="1">
        <f t="shared" si="11"/>
        <v>1841511360</v>
      </c>
      <c r="AF166" t="s">
        <v>838</v>
      </c>
    </row>
    <row r="167" spans="2:32" x14ac:dyDescent="0.2">
      <c r="B167">
        <v>44094</v>
      </c>
      <c r="C167" s="1">
        <v>6.9999999999999997E-7</v>
      </c>
      <c r="D167" t="str">
        <f>VLOOKUP(B167,Nuclides!A:E,5,FALSE)</f>
        <v>Ru94</v>
      </c>
      <c r="E167">
        <f>VLOOKUP(Sheet2!B167,Nuclides!A:E,2,FALSE)</f>
        <v>50</v>
      </c>
      <c r="F167">
        <f>VLOOKUP(B167,Nuclides!A:E,3,FALSE)</f>
        <v>44</v>
      </c>
      <c r="G167" s="1">
        <f t="shared" si="8"/>
        <v>8736000000</v>
      </c>
      <c r="H167">
        <f>VLOOKUP(B167,Nuclides!A:E,4,FALSE)</f>
        <v>3108</v>
      </c>
      <c r="J167" s="1">
        <v>44094</v>
      </c>
      <c r="K167" s="1">
        <v>2.9999999999999999E-7</v>
      </c>
      <c r="L167" t="str">
        <f>VLOOKUP(J167,Nuclides!A:E,5,FALSE)</f>
        <v>Ru94</v>
      </c>
      <c r="M167">
        <f>VLOOKUP(Sheet2!J167,Nuclides!A:E,2,FALSE)</f>
        <v>50</v>
      </c>
      <c r="N167">
        <f>VLOOKUP(J167,Nuclides!A:E,3,FALSE)</f>
        <v>44</v>
      </c>
      <c r="O167" s="1">
        <f t="shared" si="9"/>
        <v>3744000000</v>
      </c>
      <c r="R167" s="1">
        <v>35090</v>
      </c>
      <c r="S167" s="1">
        <v>1.1881E-5</v>
      </c>
      <c r="T167" t="str">
        <f>VLOOKUP(R167,Nuclides!A:E,5,FALSE)</f>
        <v>Br90</v>
      </c>
      <c r="U167">
        <f>VLOOKUP(Sheet2!R167,Nuclides!A:E,2,FALSE)</f>
        <v>55</v>
      </c>
      <c r="V167">
        <f>VLOOKUP(R167,Nuclides!A:E,3,FALSE)</f>
        <v>35</v>
      </c>
      <c r="W167" s="1">
        <f t="shared" si="10"/>
        <v>148274880000</v>
      </c>
      <c r="X167" t="s">
        <v>857</v>
      </c>
      <c r="Z167" s="1">
        <v>35072</v>
      </c>
      <c r="AA167" s="1">
        <v>6.8613400000000002E-8</v>
      </c>
      <c r="AB167" t="str">
        <f>VLOOKUP(Z167,Nuclides!A:E,5,FALSE)</f>
        <v>Br72</v>
      </c>
      <c r="AC167">
        <f>VLOOKUP(Sheet2!Z167,Nuclides!A:E,2,FALSE)</f>
        <v>37</v>
      </c>
      <c r="AD167">
        <f>VLOOKUP(Z167,Nuclides!A:E,3,FALSE)</f>
        <v>35</v>
      </c>
      <c r="AE167" s="1">
        <f t="shared" si="11"/>
        <v>856295232</v>
      </c>
      <c r="AF167" t="s">
        <v>839</v>
      </c>
    </row>
    <row r="168" spans="2:32" x14ac:dyDescent="0.2">
      <c r="B168">
        <v>44106</v>
      </c>
      <c r="C168" s="1">
        <v>9.9999999999999995E-8</v>
      </c>
      <c r="D168" t="str">
        <f>VLOOKUP(B168,Nuclides!A:E,5,FALSE)</f>
        <v>Ru106</v>
      </c>
      <c r="E168">
        <f>VLOOKUP(Sheet2!B168,Nuclides!A:E,2,FALSE)</f>
        <v>62</v>
      </c>
      <c r="F168">
        <f>VLOOKUP(B168,Nuclides!A:E,3,FALSE)</f>
        <v>44</v>
      </c>
      <c r="G168" s="1">
        <f t="shared" si="8"/>
        <v>1248000000</v>
      </c>
      <c r="H168">
        <f>VLOOKUP(B168,Nuclides!A:E,4,FALSE)</f>
        <v>32123520</v>
      </c>
      <c r="J168" s="1">
        <v>44106</v>
      </c>
      <c r="K168" s="1">
        <v>4.9999999999999998E-7</v>
      </c>
      <c r="L168" t="str">
        <f>VLOOKUP(J168,Nuclides!A:E,5,FALSE)</f>
        <v>Ru106</v>
      </c>
      <c r="M168">
        <f>VLOOKUP(Sheet2!J168,Nuclides!A:E,2,FALSE)</f>
        <v>62</v>
      </c>
      <c r="N168">
        <f>VLOOKUP(J168,Nuclides!A:E,3,FALSE)</f>
        <v>44</v>
      </c>
      <c r="O168" s="1">
        <f t="shared" si="9"/>
        <v>6240000000</v>
      </c>
      <c r="R168" s="1">
        <v>35091</v>
      </c>
      <c r="S168" s="1">
        <v>7.73377E-6</v>
      </c>
      <c r="T168" t="str">
        <f>VLOOKUP(R168,Nuclides!A:E,5,FALSE)</f>
        <v>Br91</v>
      </c>
      <c r="U168">
        <f>VLOOKUP(Sheet2!R168,Nuclides!A:E,2,FALSE)</f>
        <v>56</v>
      </c>
      <c r="V168">
        <f>VLOOKUP(R168,Nuclides!A:E,3,FALSE)</f>
        <v>35</v>
      </c>
      <c r="W168" s="1">
        <f t="shared" si="10"/>
        <v>96517449600</v>
      </c>
      <c r="X168" t="s">
        <v>858</v>
      </c>
      <c r="Z168" s="1">
        <v>35073</v>
      </c>
      <c r="AA168" s="1">
        <v>6.9800000000000003E-9</v>
      </c>
      <c r="AB168" t="str">
        <f>VLOOKUP(Z168,Nuclides!A:E,5,FALSE)</f>
        <v>Br73</v>
      </c>
      <c r="AC168">
        <f>VLOOKUP(Sheet2!Z168,Nuclides!A:E,2,FALSE)</f>
        <v>38</v>
      </c>
      <c r="AD168">
        <f>VLOOKUP(Z168,Nuclides!A:E,3,FALSE)</f>
        <v>35</v>
      </c>
      <c r="AE168" s="1">
        <f t="shared" si="11"/>
        <v>87110400</v>
      </c>
      <c r="AF168" t="s">
        <v>840</v>
      </c>
    </row>
    <row r="169" spans="2:32" x14ac:dyDescent="0.2">
      <c r="B169">
        <v>44107</v>
      </c>
      <c r="C169" s="1">
        <v>1.9999999999999999E-7</v>
      </c>
      <c r="D169" t="str">
        <f>VLOOKUP(B169,Nuclides!A:E,5,FALSE)</f>
        <v>Ru107</v>
      </c>
      <c r="E169">
        <f>VLOOKUP(Sheet2!B169,Nuclides!A:E,2,FALSE)</f>
        <v>63</v>
      </c>
      <c r="F169">
        <f>VLOOKUP(B169,Nuclides!A:E,3,FALSE)</f>
        <v>44</v>
      </c>
      <c r="G169" s="1">
        <f t="shared" si="8"/>
        <v>2496000000</v>
      </c>
      <c r="H169">
        <f>VLOOKUP(B169,Nuclides!A:E,4,FALSE)</f>
        <v>225</v>
      </c>
      <c r="J169" s="1">
        <v>44107</v>
      </c>
      <c r="K169" s="1">
        <v>6.9999999999999997E-7</v>
      </c>
      <c r="L169" t="str">
        <f>VLOOKUP(J169,Nuclides!A:E,5,FALSE)</f>
        <v>Ru107</v>
      </c>
      <c r="M169">
        <f>VLOOKUP(Sheet2!J169,Nuclides!A:E,2,FALSE)</f>
        <v>63</v>
      </c>
      <c r="N169">
        <f>VLOOKUP(J169,Nuclides!A:E,3,FALSE)</f>
        <v>44</v>
      </c>
      <c r="O169" s="1">
        <f t="shared" si="9"/>
        <v>8736000000</v>
      </c>
      <c r="R169" s="1">
        <v>35092</v>
      </c>
      <c r="S169" s="1">
        <v>2.3635700000000001E-6</v>
      </c>
      <c r="T169" t="str">
        <f>VLOOKUP(R169,Nuclides!A:E,5,FALSE)</f>
        <v>Br92</v>
      </c>
      <c r="U169">
        <f>VLOOKUP(Sheet2!R169,Nuclides!A:E,2,FALSE)</f>
        <v>57</v>
      </c>
      <c r="V169">
        <f>VLOOKUP(R169,Nuclides!A:E,3,FALSE)</f>
        <v>35</v>
      </c>
      <c r="W169" s="1">
        <f t="shared" si="10"/>
        <v>29497353600</v>
      </c>
      <c r="X169" t="s">
        <v>859</v>
      </c>
      <c r="Z169" s="1">
        <v>35074</v>
      </c>
      <c r="AA169" s="1">
        <v>2.5826000000000002E-9</v>
      </c>
      <c r="AB169" t="str">
        <f>VLOOKUP(Z169,Nuclides!A:E,5,FALSE)</f>
        <v>Br74</v>
      </c>
      <c r="AC169">
        <f>VLOOKUP(Sheet2!Z169,Nuclides!A:E,2,FALSE)</f>
        <v>39</v>
      </c>
      <c r="AD169">
        <f>VLOOKUP(Z169,Nuclides!A:E,3,FALSE)</f>
        <v>35</v>
      </c>
      <c r="AE169" s="1">
        <f t="shared" si="11"/>
        <v>32230848.000000004</v>
      </c>
      <c r="AF169" t="s">
        <v>841</v>
      </c>
    </row>
    <row r="170" spans="2:32" x14ac:dyDescent="0.2">
      <c r="B170">
        <v>44108</v>
      </c>
      <c r="C170" s="1">
        <v>1.3E-6</v>
      </c>
      <c r="D170" t="str">
        <f>VLOOKUP(B170,Nuclides!A:E,5,FALSE)</f>
        <v>Ru108</v>
      </c>
      <c r="E170">
        <f>VLOOKUP(Sheet2!B170,Nuclides!A:E,2,FALSE)</f>
        <v>64</v>
      </c>
      <c r="F170">
        <f>VLOOKUP(B170,Nuclides!A:E,3,FALSE)</f>
        <v>44</v>
      </c>
      <c r="G170" s="1">
        <f t="shared" si="8"/>
        <v>16224000000</v>
      </c>
      <c r="H170">
        <f>VLOOKUP(B170,Nuclides!A:E,4,FALSE)</f>
        <v>273</v>
      </c>
      <c r="J170" s="1">
        <v>44108</v>
      </c>
      <c r="K170" s="1">
        <v>9.9999999999999995E-7</v>
      </c>
      <c r="L170" t="str">
        <f>VLOOKUP(J170,Nuclides!A:E,5,FALSE)</f>
        <v>Ru108</v>
      </c>
      <c r="M170">
        <f>VLOOKUP(Sheet2!J170,Nuclides!A:E,2,FALSE)</f>
        <v>64</v>
      </c>
      <c r="N170">
        <f>VLOOKUP(J170,Nuclides!A:E,3,FALSE)</f>
        <v>44</v>
      </c>
      <c r="O170" s="1">
        <f t="shared" si="9"/>
        <v>12480000000</v>
      </c>
      <c r="R170" s="1">
        <v>36071</v>
      </c>
      <c r="S170" s="1">
        <v>9.1500800000000004E-7</v>
      </c>
      <c r="T170" t="str">
        <f>VLOOKUP(R170,Nuclides!A:E,5,FALSE)</f>
        <v>Kr71</v>
      </c>
      <c r="U170">
        <f>VLOOKUP(Sheet2!R170,Nuclides!A:E,2,FALSE)</f>
        <v>35</v>
      </c>
      <c r="V170">
        <f>VLOOKUP(R170,Nuclides!A:E,3,FALSE)</f>
        <v>36</v>
      </c>
      <c r="W170" s="1">
        <f t="shared" si="10"/>
        <v>11419299840</v>
      </c>
      <c r="X170" t="s">
        <v>868</v>
      </c>
      <c r="Z170" s="1">
        <v>35075</v>
      </c>
      <c r="AA170" s="1">
        <v>2.094E-10</v>
      </c>
      <c r="AB170" t="str">
        <f>VLOOKUP(Z170,Nuclides!A:E,5,FALSE)</f>
        <v>Br75</v>
      </c>
      <c r="AC170">
        <f>VLOOKUP(Sheet2!Z170,Nuclides!A:E,2,FALSE)</f>
        <v>40</v>
      </c>
      <c r="AD170">
        <f>VLOOKUP(Z170,Nuclides!A:E,3,FALSE)</f>
        <v>35</v>
      </c>
      <c r="AE170" s="1">
        <f t="shared" si="11"/>
        <v>2613312</v>
      </c>
      <c r="AF170" t="s">
        <v>842</v>
      </c>
    </row>
    <row r="171" spans="2:32" x14ac:dyDescent="0.2">
      <c r="B171">
        <v>44109</v>
      </c>
      <c r="C171" s="1">
        <v>1.5999999999999999E-6</v>
      </c>
      <c r="D171" t="str">
        <f>VLOOKUP(B171,Nuclides!A:E,5,FALSE)</f>
        <v>Ru109</v>
      </c>
      <c r="E171">
        <f>VLOOKUP(Sheet2!B171,Nuclides!A:E,2,FALSE)</f>
        <v>65</v>
      </c>
      <c r="F171">
        <f>VLOOKUP(B171,Nuclides!A:E,3,FALSE)</f>
        <v>44</v>
      </c>
      <c r="G171" s="1">
        <f t="shared" si="8"/>
        <v>19968000000</v>
      </c>
      <c r="H171">
        <f>VLOOKUP(B171,Nuclides!A:E,4,FALSE)</f>
        <v>34.5</v>
      </c>
      <c r="J171" s="1">
        <v>44109</v>
      </c>
      <c r="K171" s="1">
        <v>9.9999999999999995E-7</v>
      </c>
      <c r="L171" t="str">
        <f>VLOOKUP(J171,Nuclides!A:E,5,FALSE)</f>
        <v>Ru109</v>
      </c>
      <c r="M171">
        <f>VLOOKUP(Sheet2!J171,Nuclides!A:E,2,FALSE)</f>
        <v>65</v>
      </c>
      <c r="N171">
        <f>VLOOKUP(J171,Nuclides!A:E,3,FALSE)</f>
        <v>44</v>
      </c>
      <c r="O171" s="1">
        <f t="shared" si="9"/>
        <v>12480000000</v>
      </c>
      <c r="R171" s="1">
        <v>36072</v>
      </c>
      <c r="S171" s="1">
        <v>2.8799500000000001E-7</v>
      </c>
      <c r="T171" t="str">
        <f>VLOOKUP(R171,Nuclides!A:E,5,FALSE)</f>
        <v>Kr72</v>
      </c>
      <c r="U171">
        <f>VLOOKUP(Sheet2!R171,Nuclides!A:E,2,FALSE)</f>
        <v>36</v>
      </c>
      <c r="V171">
        <f>VLOOKUP(R171,Nuclides!A:E,3,FALSE)</f>
        <v>36</v>
      </c>
      <c r="W171" s="1">
        <f t="shared" si="10"/>
        <v>3594177600</v>
      </c>
      <c r="X171" t="s">
        <v>869</v>
      </c>
      <c r="Z171" s="1">
        <v>35076</v>
      </c>
      <c r="AA171" s="1">
        <v>6.9799999999999994E-11</v>
      </c>
      <c r="AB171" t="str">
        <f>VLOOKUP(Z171,Nuclides!A:E,5,FALSE)</f>
        <v>Br76</v>
      </c>
      <c r="AC171">
        <f>VLOOKUP(Sheet2!Z171,Nuclides!A:E,2,FALSE)</f>
        <v>41</v>
      </c>
      <c r="AD171">
        <f>VLOOKUP(Z171,Nuclides!A:E,3,FALSE)</f>
        <v>35</v>
      </c>
      <c r="AE171" s="1">
        <f t="shared" si="11"/>
        <v>871103.99999999988</v>
      </c>
      <c r="AF171" t="s">
        <v>843</v>
      </c>
    </row>
    <row r="172" spans="2:32" x14ac:dyDescent="0.2">
      <c r="B172">
        <v>44110</v>
      </c>
      <c r="C172" s="1">
        <v>2.6000000000000001E-6</v>
      </c>
      <c r="D172" t="str">
        <f>VLOOKUP(B172,Nuclides!A:E,5,FALSE)</f>
        <v>Ru110</v>
      </c>
      <c r="E172">
        <f>VLOOKUP(Sheet2!B172,Nuclides!A:E,2,FALSE)</f>
        <v>66</v>
      </c>
      <c r="F172">
        <f>VLOOKUP(B172,Nuclides!A:E,3,FALSE)</f>
        <v>44</v>
      </c>
      <c r="G172" s="1">
        <f t="shared" si="8"/>
        <v>32448000000</v>
      </c>
      <c r="H172">
        <f>VLOOKUP(B172,Nuclides!A:E,4,FALSE)</f>
        <v>11.6</v>
      </c>
      <c r="J172" s="1">
        <v>44110</v>
      </c>
      <c r="K172" s="1">
        <v>1.1000000000000001E-6</v>
      </c>
      <c r="L172" t="str">
        <f>VLOOKUP(J172,Nuclides!A:E,5,FALSE)</f>
        <v>Ru110</v>
      </c>
      <c r="M172">
        <f>VLOOKUP(Sheet2!J172,Nuclides!A:E,2,FALSE)</f>
        <v>66</v>
      </c>
      <c r="N172">
        <f>VLOOKUP(J172,Nuclides!A:E,3,FALSE)</f>
        <v>44</v>
      </c>
      <c r="O172" s="1">
        <f t="shared" si="9"/>
        <v>13728000000</v>
      </c>
      <c r="R172" s="1">
        <v>36073</v>
      </c>
      <c r="S172" s="1">
        <v>5.9330000000000003E-8</v>
      </c>
      <c r="T172" t="str">
        <f>VLOOKUP(R172,Nuclides!A:E,5,FALSE)</f>
        <v>Kr73</v>
      </c>
      <c r="U172">
        <f>VLOOKUP(Sheet2!R172,Nuclides!A:E,2,FALSE)</f>
        <v>37</v>
      </c>
      <c r="V172">
        <f>VLOOKUP(R172,Nuclides!A:E,3,FALSE)</f>
        <v>36</v>
      </c>
      <c r="W172" s="1">
        <f t="shared" si="10"/>
        <v>740438400</v>
      </c>
      <c r="X172" t="s">
        <v>870</v>
      </c>
      <c r="Z172" s="1">
        <v>35080</v>
      </c>
      <c r="AA172" s="1">
        <v>1.3959999999999999E-10</v>
      </c>
      <c r="AB172" t="str">
        <f>VLOOKUP(Z172,Nuclides!A:E,5,FALSE)</f>
        <v>Br80</v>
      </c>
      <c r="AC172">
        <f>VLOOKUP(Sheet2!Z172,Nuclides!A:E,2,FALSE)</f>
        <v>45</v>
      </c>
      <c r="AD172">
        <f>VLOOKUP(Z172,Nuclides!A:E,3,FALSE)</f>
        <v>35</v>
      </c>
      <c r="AE172" s="1">
        <f t="shared" si="11"/>
        <v>1742207.9999999998</v>
      </c>
      <c r="AF172" t="s">
        <v>847</v>
      </c>
    </row>
    <row r="173" spans="2:32" x14ac:dyDescent="0.2">
      <c r="B173">
        <v>44111</v>
      </c>
      <c r="C173" s="1">
        <v>1.1999999999999999E-6</v>
      </c>
      <c r="D173" t="str">
        <f>VLOOKUP(B173,Nuclides!A:E,5,FALSE)</f>
        <v>Ru111</v>
      </c>
      <c r="E173">
        <f>VLOOKUP(Sheet2!B173,Nuclides!A:E,2,FALSE)</f>
        <v>67</v>
      </c>
      <c r="F173">
        <f>VLOOKUP(B173,Nuclides!A:E,3,FALSE)</f>
        <v>44</v>
      </c>
      <c r="G173" s="1">
        <f t="shared" si="8"/>
        <v>14976000000</v>
      </c>
      <c r="H173">
        <f>VLOOKUP(B173,Nuclides!A:E,4,FALSE)</f>
        <v>2.12</v>
      </c>
      <c r="J173" s="1">
        <v>44111</v>
      </c>
      <c r="K173" s="1">
        <v>1.5E-6</v>
      </c>
      <c r="L173" t="str">
        <f>VLOOKUP(J173,Nuclides!A:E,5,FALSE)</f>
        <v>Ru111</v>
      </c>
      <c r="M173">
        <f>VLOOKUP(Sheet2!J173,Nuclides!A:E,2,FALSE)</f>
        <v>67</v>
      </c>
      <c r="N173">
        <f>VLOOKUP(J173,Nuclides!A:E,3,FALSE)</f>
        <v>44</v>
      </c>
      <c r="O173" s="1">
        <f t="shared" si="9"/>
        <v>18720000000</v>
      </c>
      <c r="R173" s="1">
        <v>36074</v>
      </c>
      <c r="S173" s="1">
        <v>1.04002E-8</v>
      </c>
      <c r="T173" t="str">
        <f>VLOOKUP(R173,Nuclides!A:E,5,FALSE)</f>
        <v>Kr74</v>
      </c>
      <c r="U173">
        <f>VLOOKUP(Sheet2!R173,Nuclides!A:E,2,FALSE)</f>
        <v>38</v>
      </c>
      <c r="V173">
        <f>VLOOKUP(R173,Nuclides!A:E,3,FALSE)</f>
        <v>36</v>
      </c>
      <c r="W173" s="1">
        <f t="shared" si="10"/>
        <v>129794496</v>
      </c>
      <c r="X173" t="s">
        <v>871</v>
      </c>
      <c r="Z173" s="1">
        <v>35081</v>
      </c>
      <c r="AA173" s="1">
        <v>6.9799999999999997E-10</v>
      </c>
      <c r="AB173" t="str">
        <f>VLOOKUP(Z173,Nuclides!A:E,5,FALSE)</f>
        <v>Br81</v>
      </c>
      <c r="AC173">
        <f>VLOOKUP(Sheet2!Z173,Nuclides!A:E,2,FALSE)</f>
        <v>46</v>
      </c>
      <c r="AD173">
        <f>VLOOKUP(Z173,Nuclides!A:E,3,FALSE)</f>
        <v>35</v>
      </c>
      <c r="AE173" s="1">
        <f t="shared" si="11"/>
        <v>8711040</v>
      </c>
      <c r="AF173" t="s">
        <v>848</v>
      </c>
    </row>
    <row r="174" spans="2:32" x14ac:dyDescent="0.2">
      <c r="B174">
        <v>44112</v>
      </c>
      <c r="C174" s="1">
        <v>1.5E-6</v>
      </c>
      <c r="D174" t="str">
        <f>VLOOKUP(B174,Nuclides!A:E,5,FALSE)</f>
        <v>Ru112</v>
      </c>
      <c r="E174">
        <f>VLOOKUP(Sheet2!B174,Nuclides!A:E,2,FALSE)</f>
        <v>68</v>
      </c>
      <c r="F174">
        <f>VLOOKUP(B174,Nuclides!A:E,3,FALSE)</f>
        <v>44</v>
      </c>
      <c r="G174" s="1">
        <f t="shared" si="8"/>
        <v>18720000000</v>
      </c>
      <c r="H174">
        <f>VLOOKUP(B174,Nuclides!A:E,4,FALSE)</f>
        <v>1.75</v>
      </c>
      <c r="J174" s="1">
        <v>44112</v>
      </c>
      <c r="K174" s="1">
        <v>1.9E-6</v>
      </c>
      <c r="L174" t="str">
        <f>VLOOKUP(J174,Nuclides!A:E,5,FALSE)</f>
        <v>Ru112</v>
      </c>
      <c r="M174">
        <f>VLOOKUP(Sheet2!J174,Nuclides!A:E,2,FALSE)</f>
        <v>68</v>
      </c>
      <c r="N174">
        <f>VLOOKUP(J174,Nuclides!A:E,3,FALSE)</f>
        <v>44</v>
      </c>
      <c r="O174" s="1">
        <f t="shared" si="9"/>
        <v>23712000000</v>
      </c>
      <c r="R174" s="1">
        <v>36075</v>
      </c>
      <c r="S174" s="1">
        <v>2.3732E-9</v>
      </c>
      <c r="T174" t="str">
        <f>VLOOKUP(R174,Nuclides!A:E,5,FALSE)</f>
        <v>Kr75</v>
      </c>
      <c r="U174">
        <f>VLOOKUP(Sheet2!R174,Nuclides!A:E,2,FALSE)</f>
        <v>39</v>
      </c>
      <c r="V174">
        <f>VLOOKUP(R174,Nuclides!A:E,3,FALSE)</f>
        <v>36</v>
      </c>
      <c r="W174" s="1">
        <f t="shared" si="10"/>
        <v>29617536</v>
      </c>
      <c r="X174" t="s">
        <v>872</v>
      </c>
      <c r="Z174" s="1">
        <v>35082</v>
      </c>
      <c r="AA174" s="1">
        <v>1.0051199999999999E-8</v>
      </c>
      <c r="AB174" t="str">
        <f>VLOOKUP(Z174,Nuclides!A:E,5,FALSE)</f>
        <v>Br82</v>
      </c>
      <c r="AC174">
        <f>VLOOKUP(Sheet2!Z174,Nuclides!A:E,2,FALSE)</f>
        <v>47</v>
      </c>
      <c r="AD174">
        <f>VLOOKUP(Z174,Nuclides!A:E,3,FALSE)</f>
        <v>35</v>
      </c>
      <c r="AE174" s="1">
        <f t="shared" si="11"/>
        <v>125438975.99999999</v>
      </c>
      <c r="AF174" t="s">
        <v>849</v>
      </c>
    </row>
    <row r="175" spans="2:32" x14ac:dyDescent="0.2">
      <c r="B175">
        <v>44113</v>
      </c>
      <c r="C175" s="1">
        <v>5.9999999999999997E-7</v>
      </c>
      <c r="D175" t="str">
        <f>VLOOKUP(B175,Nuclides!A:E,5,FALSE)</f>
        <v>Ru113</v>
      </c>
      <c r="E175">
        <f>VLOOKUP(Sheet2!B175,Nuclides!A:E,2,FALSE)</f>
        <v>69</v>
      </c>
      <c r="F175">
        <f>VLOOKUP(B175,Nuclides!A:E,3,FALSE)</f>
        <v>44</v>
      </c>
      <c r="G175" s="1">
        <f t="shared" si="8"/>
        <v>7488000000</v>
      </c>
      <c r="H175">
        <f>VLOOKUP(B175,Nuclides!A:E,4,FALSE)</f>
        <v>0.8</v>
      </c>
      <c r="J175" s="1">
        <v>44113</v>
      </c>
      <c r="K175" s="1">
        <v>6.9999999999999997E-7</v>
      </c>
      <c r="L175" t="str">
        <f>VLOOKUP(J175,Nuclides!A:E,5,FALSE)</f>
        <v>Ru113</v>
      </c>
      <c r="M175">
        <f>VLOOKUP(Sheet2!J175,Nuclides!A:E,2,FALSE)</f>
        <v>69</v>
      </c>
      <c r="N175">
        <f>VLOOKUP(J175,Nuclides!A:E,3,FALSE)</f>
        <v>44</v>
      </c>
      <c r="O175" s="1">
        <f t="shared" si="9"/>
        <v>8736000000</v>
      </c>
      <c r="R175" s="1">
        <v>36076</v>
      </c>
      <c r="S175" s="1">
        <v>2.7919999999999998E-10</v>
      </c>
      <c r="T175" t="str">
        <f>VLOOKUP(R175,Nuclides!A:E,5,FALSE)</f>
        <v>Kr76</v>
      </c>
      <c r="U175">
        <f>VLOOKUP(Sheet2!R175,Nuclides!A:E,2,FALSE)</f>
        <v>40</v>
      </c>
      <c r="V175">
        <f>VLOOKUP(R175,Nuclides!A:E,3,FALSE)</f>
        <v>36</v>
      </c>
      <c r="W175" s="1">
        <f t="shared" si="10"/>
        <v>3484415.9999999995</v>
      </c>
      <c r="X175" t="s">
        <v>873</v>
      </c>
      <c r="Z175" s="1">
        <v>35083</v>
      </c>
      <c r="AA175" s="1">
        <v>8.5574799999999999E-8</v>
      </c>
      <c r="AB175" t="str">
        <f>VLOOKUP(Z175,Nuclides!A:E,5,FALSE)</f>
        <v>Br83</v>
      </c>
      <c r="AC175">
        <f>VLOOKUP(Sheet2!Z175,Nuclides!A:E,2,FALSE)</f>
        <v>48</v>
      </c>
      <c r="AD175">
        <f>VLOOKUP(Z175,Nuclides!A:E,3,FALSE)</f>
        <v>35</v>
      </c>
      <c r="AE175" s="1">
        <f t="shared" si="11"/>
        <v>1067973504</v>
      </c>
      <c r="AF175" t="s">
        <v>850</v>
      </c>
    </row>
    <row r="176" spans="2:32" x14ac:dyDescent="0.2">
      <c r="B176">
        <v>45094</v>
      </c>
      <c r="C176" s="1">
        <v>7.9999999999999996E-7</v>
      </c>
      <c r="D176" t="str">
        <f>VLOOKUP(B176,Nuclides!A:E,5,FALSE)</f>
        <v>Rh94</v>
      </c>
      <c r="E176">
        <f>VLOOKUP(Sheet2!B176,Nuclides!A:E,2,FALSE)</f>
        <v>49</v>
      </c>
      <c r="F176">
        <f>VLOOKUP(B176,Nuclides!A:E,3,FALSE)</f>
        <v>45</v>
      </c>
      <c r="G176" s="1">
        <f t="shared" si="8"/>
        <v>9984000000</v>
      </c>
      <c r="H176">
        <f>VLOOKUP(B176,Nuclides!A:E,4,FALSE)</f>
        <v>66</v>
      </c>
      <c r="J176" s="1">
        <v>45094</v>
      </c>
      <c r="K176" s="1">
        <v>6.9999999999999997E-7</v>
      </c>
      <c r="L176" t="str">
        <f>VLOOKUP(J176,Nuclides!A:E,5,FALSE)</f>
        <v>Rh94</v>
      </c>
      <c r="M176">
        <f>VLOOKUP(Sheet2!J176,Nuclides!A:E,2,FALSE)</f>
        <v>49</v>
      </c>
      <c r="N176">
        <f>VLOOKUP(J176,Nuclides!A:E,3,FALSE)</f>
        <v>45</v>
      </c>
      <c r="O176" s="1">
        <f t="shared" si="9"/>
        <v>8736000000</v>
      </c>
      <c r="R176" s="1">
        <v>36077</v>
      </c>
      <c r="S176" s="1">
        <v>6.9799999999999994E-11</v>
      </c>
      <c r="T176" t="str">
        <f>VLOOKUP(R176,Nuclides!A:E,5,FALSE)</f>
        <v>Kr77</v>
      </c>
      <c r="U176">
        <f>VLOOKUP(Sheet2!R176,Nuclides!A:E,2,FALSE)</f>
        <v>41</v>
      </c>
      <c r="V176">
        <f>VLOOKUP(R176,Nuclides!A:E,3,FALSE)</f>
        <v>36</v>
      </c>
      <c r="W176" s="1">
        <f t="shared" si="10"/>
        <v>871103.99999999988</v>
      </c>
      <c r="X176" t="s">
        <v>874</v>
      </c>
      <c r="Z176" s="1">
        <v>35084</v>
      </c>
      <c r="AA176" s="1">
        <v>2.9211300000000002E-7</v>
      </c>
      <c r="AB176" t="str">
        <f>VLOOKUP(Z176,Nuclides!A:E,5,FALSE)</f>
        <v>Br84</v>
      </c>
      <c r="AC176">
        <f>VLOOKUP(Sheet2!Z176,Nuclides!A:E,2,FALSE)</f>
        <v>49</v>
      </c>
      <c r="AD176">
        <f>VLOOKUP(Z176,Nuclides!A:E,3,FALSE)</f>
        <v>35</v>
      </c>
      <c r="AE176" s="1">
        <f t="shared" si="11"/>
        <v>3645570240</v>
      </c>
      <c r="AF176" t="s">
        <v>851</v>
      </c>
    </row>
    <row r="177" spans="2:32" x14ac:dyDescent="0.2">
      <c r="B177">
        <v>45095</v>
      </c>
      <c r="C177" s="1">
        <v>9.9999999999999995E-8</v>
      </c>
      <c r="D177" t="str">
        <f>VLOOKUP(B177,Nuclides!A:E,5,FALSE)</f>
        <v>Rh95</v>
      </c>
      <c r="E177">
        <f>VLOOKUP(Sheet2!B177,Nuclides!A:E,2,FALSE)</f>
        <v>50</v>
      </c>
      <c r="F177">
        <f>VLOOKUP(B177,Nuclides!A:E,3,FALSE)</f>
        <v>45</v>
      </c>
      <c r="G177" s="1">
        <f t="shared" si="8"/>
        <v>1248000000</v>
      </c>
      <c r="H177">
        <f>VLOOKUP(B177,Nuclides!A:E,4,FALSE)</f>
        <v>301.2</v>
      </c>
      <c r="J177" s="1">
        <v>45095</v>
      </c>
      <c r="K177" s="1">
        <v>2.9999999999999999E-7</v>
      </c>
      <c r="L177" t="str">
        <f>VLOOKUP(J177,Nuclides!A:E,5,FALSE)</f>
        <v>Rh95</v>
      </c>
      <c r="M177">
        <f>VLOOKUP(Sheet2!J177,Nuclides!A:E,2,FALSE)</f>
        <v>50</v>
      </c>
      <c r="N177">
        <f>VLOOKUP(J177,Nuclides!A:E,3,FALSE)</f>
        <v>45</v>
      </c>
      <c r="O177" s="1">
        <f t="shared" si="9"/>
        <v>3744000000</v>
      </c>
      <c r="R177" s="1">
        <v>36079</v>
      </c>
      <c r="S177" s="1">
        <v>6.9799999999999994E-11</v>
      </c>
      <c r="T177" t="str">
        <f>VLOOKUP(R177,Nuclides!A:E,5,FALSE)</f>
        <v>Kr79</v>
      </c>
      <c r="U177">
        <f>VLOOKUP(Sheet2!R177,Nuclides!A:E,2,FALSE)</f>
        <v>43</v>
      </c>
      <c r="V177">
        <f>VLOOKUP(R177,Nuclides!A:E,3,FALSE)</f>
        <v>36</v>
      </c>
      <c r="W177" s="1">
        <f t="shared" si="10"/>
        <v>871103.99999999988</v>
      </c>
      <c r="X177" t="s">
        <v>876</v>
      </c>
      <c r="Z177" s="1">
        <v>35085</v>
      </c>
      <c r="AA177" s="1">
        <v>1.9753399999999998E-6</v>
      </c>
      <c r="AB177" t="str">
        <f>VLOOKUP(Z177,Nuclides!A:E,5,FALSE)</f>
        <v>Br85</v>
      </c>
      <c r="AC177">
        <f>VLOOKUP(Sheet2!Z177,Nuclides!A:E,2,FALSE)</f>
        <v>50</v>
      </c>
      <c r="AD177">
        <f>VLOOKUP(Z177,Nuclides!A:E,3,FALSE)</f>
        <v>35</v>
      </c>
      <c r="AE177" s="1">
        <f t="shared" si="11"/>
        <v>24652243199.999996</v>
      </c>
      <c r="AF177" t="s">
        <v>852</v>
      </c>
    </row>
    <row r="178" spans="2:32" x14ac:dyDescent="0.2">
      <c r="B178">
        <v>45096</v>
      </c>
      <c r="C178" s="1">
        <v>1.9999999999999999E-7</v>
      </c>
      <c r="D178" t="str">
        <f>VLOOKUP(B178,Nuclides!A:E,5,FALSE)</f>
        <v>Rh96</v>
      </c>
      <c r="E178">
        <f>VLOOKUP(Sheet2!B178,Nuclides!A:E,2,FALSE)</f>
        <v>51</v>
      </c>
      <c r="F178">
        <f>VLOOKUP(B178,Nuclides!A:E,3,FALSE)</f>
        <v>45</v>
      </c>
      <c r="G178" s="1">
        <f t="shared" si="8"/>
        <v>2496000000</v>
      </c>
      <c r="H178">
        <f>VLOOKUP(B178,Nuclides!A:E,4,FALSE)</f>
        <v>594</v>
      </c>
      <c r="J178" s="1">
        <v>45096</v>
      </c>
      <c r="K178" s="1">
        <v>2.9999999999999999E-7</v>
      </c>
      <c r="L178" t="str">
        <f>VLOOKUP(J178,Nuclides!A:E,5,FALSE)</f>
        <v>Rh96</v>
      </c>
      <c r="M178">
        <f>VLOOKUP(Sheet2!J178,Nuclides!A:E,2,FALSE)</f>
        <v>51</v>
      </c>
      <c r="N178">
        <f>VLOOKUP(J178,Nuclides!A:E,3,FALSE)</f>
        <v>45</v>
      </c>
      <c r="O178" s="1">
        <f t="shared" si="9"/>
        <v>3744000000</v>
      </c>
      <c r="R178" s="1">
        <v>36080</v>
      </c>
      <c r="S178" s="1">
        <v>6.2819999999999996E-10</v>
      </c>
      <c r="T178" t="str">
        <f>VLOOKUP(R178,Nuclides!A:E,5,FALSE)</f>
        <v>Kr80</v>
      </c>
      <c r="U178">
        <f>VLOOKUP(Sheet2!R178,Nuclides!A:E,2,FALSE)</f>
        <v>44</v>
      </c>
      <c r="V178">
        <f>VLOOKUP(R178,Nuclides!A:E,3,FALSE)</f>
        <v>36</v>
      </c>
      <c r="W178" s="1">
        <f t="shared" si="10"/>
        <v>7839935.9999999991</v>
      </c>
      <c r="X178" t="s">
        <v>877</v>
      </c>
      <c r="Z178" s="1">
        <v>35086</v>
      </c>
      <c r="AA178" s="1">
        <v>3.5823500000000001E-6</v>
      </c>
      <c r="AB178" t="str">
        <f>VLOOKUP(Z178,Nuclides!A:E,5,FALSE)</f>
        <v>Br86</v>
      </c>
      <c r="AC178">
        <f>VLOOKUP(Sheet2!Z178,Nuclides!A:E,2,FALSE)</f>
        <v>51</v>
      </c>
      <c r="AD178">
        <f>VLOOKUP(Z178,Nuclides!A:E,3,FALSE)</f>
        <v>35</v>
      </c>
      <c r="AE178" s="1">
        <f t="shared" si="11"/>
        <v>44707728000</v>
      </c>
      <c r="AF178" t="s">
        <v>853</v>
      </c>
    </row>
    <row r="179" spans="2:32" x14ac:dyDescent="0.2">
      <c r="B179">
        <v>45107</v>
      </c>
      <c r="C179" s="1">
        <v>9.9999999999999995E-8</v>
      </c>
      <c r="D179" t="str">
        <f>VLOOKUP(B179,Nuclides!A:E,5,FALSE)</f>
        <v>Rh107</v>
      </c>
      <c r="E179">
        <f>VLOOKUP(Sheet2!B179,Nuclides!A:E,2,FALSE)</f>
        <v>62</v>
      </c>
      <c r="F179">
        <f>VLOOKUP(B179,Nuclides!A:E,3,FALSE)</f>
        <v>45</v>
      </c>
      <c r="G179" s="1">
        <f t="shared" si="8"/>
        <v>1248000000</v>
      </c>
      <c r="H179">
        <f>VLOOKUP(B179,Nuclides!A:E,4,FALSE)</f>
        <v>1302</v>
      </c>
      <c r="J179" s="1">
        <v>45107</v>
      </c>
      <c r="K179" s="1">
        <v>9.9999999999999995E-8</v>
      </c>
      <c r="L179" t="str">
        <f>VLOOKUP(J179,Nuclides!A:E,5,FALSE)</f>
        <v>Rh107</v>
      </c>
      <c r="M179">
        <f>VLOOKUP(Sheet2!J179,Nuclides!A:E,2,FALSE)</f>
        <v>62</v>
      </c>
      <c r="N179">
        <f>VLOOKUP(J179,Nuclides!A:E,3,FALSE)</f>
        <v>45</v>
      </c>
      <c r="O179" s="1">
        <f t="shared" si="9"/>
        <v>1248000000</v>
      </c>
      <c r="R179" s="1">
        <v>36081</v>
      </c>
      <c r="S179" s="1">
        <v>3.6296E-9</v>
      </c>
      <c r="T179" t="str">
        <f>VLOOKUP(R179,Nuclides!A:E,5,FALSE)</f>
        <v>Kr81</v>
      </c>
      <c r="U179">
        <f>VLOOKUP(Sheet2!R179,Nuclides!A:E,2,FALSE)</f>
        <v>45</v>
      </c>
      <c r="V179">
        <f>VLOOKUP(R179,Nuclides!A:E,3,FALSE)</f>
        <v>36</v>
      </c>
      <c r="W179" s="1">
        <f t="shared" si="10"/>
        <v>45297408</v>
      </c>
      <c r="X179" t="s">
        <v>878</v>
      </c>
      <c r="Z179" s="1">
        <v>35087</v>
      </c>
      <c r="AA179" s="1">
        <v>8.5490999999999992E-6</v>
      </c>
      <c r="AB179" t="str">
        <f>VLOOKUP(Z179,Nuclides!A:E,5,FALSE)</f>
        <v>Br87</v>
      </c>
      <c r="AC179">
        <f>VLOOKUP(Sheet2!Z179,Nuclides!A:E,2,FALSE)</f>
        <v>52</v>
      </c>
      <c r="AD179">
        <f>VLOOKUP(Z179,Nuclides!A:E,3,FALSE)</f>
        <v>35</v>
      </c>
      <c r="AE179" s="1">
        <f t="shared" si="11"/>
        <v>106692767999.99998</v>
      </c>
      <c r="AF179" t="s">
        <v>854</v>
      </c>
    </row>
    <row r="180" spans="2:32" x14ac:dyDescent="0.2">
      <c r="B180">
        <v>45109</v>
      </c>
      <c r="C180" s="1">
        <v>1.9999999999999999E-7</v>
      </c>
      <c r="D180" t="str">
        <f>VLOOKUP(B180,Nuclides!A:E,5,FALSE)</f>
        <v>Rh109</v>
      </c>
      <c r="E180">
        <f>VLOOKUP(Sheet2!B180,Nuclides!A:E,2,FALSE)</f>
        <v>64</v>
      </c>
      <c r="F180">
        <f>VLOOKUP(B180,Nuclides!A:E,3,FALSE)</f>
        <v>45</v>
      </c>
      <c r="G180" s="1">
        <f t="shared" si="8"/>
        <v>2496000000</v>
      </c>
      <c r="H180">
        <f>VLOOKUP(B180,Nuclides!A:E,4,FALSE)</f>
        <v>80</v>
      </c>
      <c r="J180" s="1">
        <v>45109</v>
      </c>
      <c r="K180" s="1">
        <v>9.9999999999999995E-8</v>
      </c>
      <c r="L180" t="str">
        <f>VLOOKUP(J180,Nuclides!A:E,5,FALSE)</f>
        <v>Rh109</v>
      </c>
      <c r="M180">
        <f>VLOOKUP(Sheet2!J180,Nuclides!A:E,2,FALSE)</f>
        <v>64</v>
      </c>
      <c r="N180">
        <f>VLOOKUP(J180,Nuclides!A:E,3,FALSE)</f>
        <v>45</v>
      </c>
      <c r="O180" s="1">
        <f t="shared" si="9"/>
        <v>1248000000</v>
      </c>
      <c r="R180" s="1">
        <v>36082</v>
      </c>
      <c r="S180" s="1">
        <v>1.7589599999999999E-8</v>
      </c>
      <c r="T180" t="str">
        <f>VLOOKUP(R180,Nuclides!A:E,5,FALSE)</f>
        <v>Kr82</v>
      </c>
      <c r="U180">
        <f>VLOOKUP(Sheet2!R180,Nuclides!A:E,2,FALSE)</f>
        <v>46</v>
      </c>
      <c r="V180">
        <f>VLOOKUP(R180,Nuclides!A:E,3,FALSE)</f>
        <v>36</v>
      </c>
      <c r="W180" s="1">
        <f t="shared" si="10"/>
        <v>219518208</v>
      </c>
      <c r="X180" t="s">
        <v>879</v>
      </c>
      <c r="Z180" s="1">
        <v>35088</v>
      </c>
      <c r="AA180" s="1">
        <v>1.15686E-5</v>
      </c>
      <c r="AB180" t="str">
        <f>VLOOKUP(Z180,Nuclides!A:E,5,FALSE)</f>
        <v>Br88</v>
      </c>
      <c r="AC180">
        <f>VLOOKUP(Sheet2!Z180,Nuclides!A:E,2,FALSE)</f>
        <v>53</v>
      </c>
      <c r="AD180">
        <f>VLOOKUP(Z180,Nuclides!A:E,3,FALSE)</f>
        <v>35</v>
      </c>
      <c r="AE180" s="1">
        <f t="shared" si="11"/>
        <v>144376128000</v>
      </c>
      <c r="AF180" t="s">
        <v>855</v>
      </c>
    </row>
    <row r="181" spans="2:32" x14ac:dyDescent="0.2">
      <c r="B181">
        <v>45110</v>
      </c>
      <c r="C181" s="1">
        <v>5.9999999999999997E-7</v>
      </c>
      <c r="D181" t="str">
        <f>VLOOKUP(B181,Nuclides!A:E,5,FALSE)</f>
        <v>Rh110</v>
      </c>
      <c r="E181">
        <f>VLOOKUP(Sheet2!B181,Nuclides!A:E,2,FALSE)</f>
        <v>65</v>
      </c>
      <c r="F181">
        <f>VLOOKUP(B181,Nuclides!A:E,3,FALSE)</f>
        <v>45</v>
      </c>
      <c r="G181" s="1">
        <f t="shared" si="8"/>
        <v>7488000000</v>
      </c>
      <c r="H181">
        <f>VLOOKUP(B181,Nuclides!A:E,4,FALSE)</f>
        <v>28.5</v>
      </c>
      <c r="J181" s="1">
        <v>45110</v>
      </c>
      <c r="K181" s="1">
        <v>2.9999999999999999E-7</v>
      </c>
      <c r="L181" t="str">
        <f>VLOOKUP(J181,Nuclides!A:E,5,FALSE)</f>
        <v>Rh110</v>
      </c>
      <c r="M181">
        <f>VLOOKUP(Sheet2!J181,Nuclides!A:E,2,FALSE)</f>
        <v>65</v>
      </c>
      <c r="N181">
        <f>VLOOKUP(J181,Nuclides!A:E,3,FALSE)</f>
        <v>45</v>
      </c>
      <c r="O181" s="1">
        <f t="shared" si="9"/>
        <v>3744000000</v>
      </c>
      <c r="R181" s="1">
        <v>36083</v>
      </c>
      <c r="S181" s="1">
        <v>8.7110399999999999E-8</v>
      </c>
      <c r="T181" t="str">
        <f>VLOOKUP(R181,Nuclides!A:E,5,FALSE)</f>
        <v>Kr83</v>
      </c>
      <c r="U181">
        <f>VLOOKUP(Sheet2!R181,Nuclides!A:E,2,FALSE)</f>
        <v>47</v>
      </c>
      <c r="V181">
        <f>VLOOKUP(R181,Nuclides!A:E,3,FALSE)</f>
        <v>36</v>
      </c>
      <c r="W181" s="1">
        <f t="shared" si="10"/>
        <v>1087137792</v>
      </c>
      <c r="X181" t="s">
        <v>880</v>
      </c>
      <c r="Z181" s="1">
        <v>35089</v>
      </c>
      <c r="AA181" s="1">
        <v>1.78453E-5</v>
      </c>
      <c r="AB181" t="str">
        <f>VLOOKUP(Z181,Nuclides!A:E,5,FALSE)</f>
        <v>Br89</v>
      </c>
      <c r="AC181">
        <f>VLOOKUP(Sheet2!Z181,Nuclides!A:E,2,FALSE)</f>
        <v>54</v>
      </c>
      <c r="AD181">
        <f>VLOOKUP(Z181,Nuclides!A:E,3,FALSE)</f>
        <v>35</v>
      </c>
      <c r="AE181" s="1">
        <f t="shared" si="11"/>
        <v>222709344000</v>
      </c>
      <c r="AF181" t="s">
        <v>856</v>
      </c>
    </row>
    <row r="182" spans="2:32" x14ac:dyDescent="0.2">
      <c r="B182">
        <v>45111</v>
      </c>
      <c r="C182" s="1">
        <v>1.9999999999999999E-7</v>
      </c>
      <c r="D182" t="str">
        <f>VLOOKUP(B182,Nuclides!A:E,5,FALSE)</f>
        <v>Rh111</v>
      </c>
      <c r="E182">
        <f>VLOOKUP(Sheet2!B182,Nuclides!A:E,2,FALSE)</f>
        <v>66</v>
      </c>
      <c r="F182">
        <f>VLOOKUP(B182,Nuclides!A:E,3,FALSE)</f>
        <v>45</v>
      </c>
      <c r="G182" s="1">
        <f t="shared" si="8"/>
        <v>2496000000</v>
      </c>
      <c r="H182">
        <f>VLOOKUP(B182,Nuclides!A:E,4,FALSE)</f>
        <v>11</v>
      </c>
      <c r="J182" s="1">
        <v>45111</v>
      </c>
      <c r="K182" s="1">
        <v>1.9999999999999999E-7</v>
      </c>
      <c r="L182" t="str">
        <f>VLOOKUP(J182,Nuclides!A:E,5,FALSE)</f>
        <v>Rh111</v>
      </c>
      <c r="M182">
        <f>VLOOKUP(Sheet2!J182,Nuclides!A:E,2,FALSE)</f>
        <v>66</v>
      </c>
      <c r="N182">
        <f>VLOOKUP(J182,Nuclides!A:E,3,FALSE)</f>
        <v>45</v>
      </c>
      <c r="O182" s="1">
        <f t="shared" si="9"/>
        <v>2496000000</v>
      </c>
      <c r="R182" s="1">
        <v>36084</v>
      </c>
      <c r="S182" s="1">
        <v>3.6777600000000002E-7</v>
      </c>
      <c r="T182" t="str">
        <f>VLOOKUP(R182,Nuclides!A:E,5,FALSE)</f>
        <v>Kr84</v>
      </c>
      <c r="U182">
        <f>VLOOKUP(Sheet2!R182,Nuclides!A:E,2,FALSE)</f>
        <v>48</v>
      </c>
      <c r="V182">
        <f>VLOOKUP(R182,Nuclides!A:E,3,FALSE)</f>
        <v>36</v>
      </c>
      <c r="W182" s="1">
        <f t="shared" si="10"/>
        <v>4589844480</v>
      </c>
      <c r="X182" t="s">
        <v>881</v>
      </c>
      <c r="Z182" s="1">
        <v>35090</v>
      </c>
      <c r="AA182" s="1">
        <v>1.3694599999999999E-5</v>
      </c>
      <c r="AB182" t="str">
        <f>VLOOKUP(Z182,Nuclides!A:E,5,FALSE)</f>
        <v>Br90</v>
      </c>
      <c r="AC182">
        <f>VLOOKUP(Sheet2!Z182,Nuclides!A:E,2,FALSE)</f>
        <v>55</v>
      </c>
      <c r="AD182">
        <f>VLOOKUP(Z182,Nuclides!A:E,3,FALSE)</f>
        <v>35</v>
      </c>
      <c r="AE182" s="1">
        <f t="shared" si="11"/>
        <v>170908608000</v>
      </c>
      <c r="AF182" t="s">
        <v>857</v>
      </c>
    </row>
    <row r="183" spans="2:32" x14ac:dyDescent="0.2">
      <c r="B183">
        <v>45112</v>
      </c>
      <c r="C183" s="1">
        <v>4.9999999999999998E-7</v>
      </c>
      <c r="D183" t="str">
        <f>VLOOKUP(B183,Nuclides!A:E,5,FALSE)</f>
        <v>Rh112</v>
      </c>
      <c r="E183">
        <f>VLOOKUP(Sheet2!B183,Nuclides!A:E,2,FALSE)</f>
        <v>67</v>
      </c>
      <c r="F183">
        <f>VLOOKUP(B183,Nuclides!A:E,3,FALSE)</f>
        <v>45</v>
      </c>
      <c r="G183" s="1">
        <f t="shared" si="8"/>
        <v>6240000000</v>
      </c>
      <c r="H183">
        <f>VLOOKUP(B183,Nuclides!A:E,4,FALSE)</f>
        <v>3.6</v>
      </c>
      <c r="J183" s="1">
        <v>45112</v>
      </c>
      <c r="K183" s="1">
        <v>3.9999999999999998E-7</v>
      </c>
      <c r="L183" t="str">
        <f>VLOOKUP(J183,Nuclides!A:E,5,FALSE)</f>
        <v>Rh112</v>
      </c>
      <c r="M183">
        <f>VLOOKUP(Sheet2!J183,Nuclides!A:E,2,FALSE)</f>
        <v>67</v>
      </c>
      <c r="N183">
        <f>VLOOKUP(J183,Nuclides!A:E,3,FALSE)</f>
        <v>45</v>
      </c>
      <c r="O183" s="1">
        <f t="shared" si="9"/>
        <v>4992000000</v>
      </c>
      <c r="R183" s="1">
        <v>36085</v>
      </c>
      <c r="S183" s="1">
        <v>1.2485100000000001E-6</v>
      </c>
      <c r="T183" t="str">
        <f>VLOOKUP(R183,Nuclides!A:E,5,FALSE)</f>
        <v>Kr85</v>
      </c>
      <c r="U183">
        <f>VLOOKUP(Sheet2!R183,Nuclides!A:E,2,FALSE)</f>
        <v>49</v>
      </c>
      <c r="V183">
        <f>VLOOKUP(R183,Nuclides!A:E,3,FALSE)</f>
        <v>36</v>
      </c>
      <c r="W183" s="1">
        <f t="shared" si="10"/>
        <v>15581404800</v>
      </c>
      <c r="X183" t="s">
        <v>882</v>
      </c>
      <c r="Z183" s="1">
        <v>35091</v>
      </c>
      <c r="AA183" s="1">
        <v>1.28729E-5</v>
      </c>
      <c r="AB183" t="str">
        <f>VLOOKUP(Z183,Nuclides!A:E,5,FALSE)</f>
        <v>Br91</v>
      </c>
      <c r="AC183">
        <f>VLOOKUP(Sheet2!Z183,Nuclides!A:E,2,FALSE)</f>
        <v>56</v>
      </c>
      <c r="AD183">
        <f>VLOOKUP(Z183,Nuclides!A:E,3,FALSE)</f>
        <v>35</v>
      </c>
      <c r="AE183" s="1">
        <f t="shared" si="11"/>
        <v>160653792000</v>
      </c>
      <c r="AF183" t="s">
        <v>858</v>
      </c>
    </row>
    <row r="184" spans="2:32" x14ac:dyDescent="0.2">
      <c r="B184">
        <v>45113</v>
      </c>
      <c r="C184" s="1">
        <v>7.9999999999999996E-7</v>
      </c>
      <c r="D184" t="str">
        <f>VLOOKUP(B184,Nuclides!A:E,5,FALSE)</f>
        <v>Rh113</v>
      </c>
      <c r="E184">
        <f>VLOOKUP(Sheet2!B184,Nuclides!A:E,2,FALSE)</f>
        <v>68</v>
      </c>
      <c r="F184">
        <f>VLOOKUP(B184,Nuclides!A:E,3,FALSE)</f>
        <v>45</v>
      </c>
      <c r="G184" s="1">
        <f t="shared" si="8"/>
        <v>9984000000</v>
      </c>
      <c r="H184">
        <f>VLOOKUP(B184,Nuclides!A:E,4,FALSE)</f>
        <v>2.8</v>
      </c>
      <c r="J184" s="1">
        <v>45113</v>
      </c>
      <c r="K184" s="1">
        <v>1.3E-6</v>
      </c>
      <c r="L184" t="str">
        <f>VLOOKUP(J184,Nuclides!A:E,5,FALSE)</f>
        <v>Rh113</v>
      </c>
      <c r="M184">
        <f>VLOOKUP(Sheet2!J184,Nuclides!A:E,2,FALSE)</f>
        <v>68</v>
      </c>
      <c r="N184">
        <f>VLOOKUP(J184,Nuclides!A:E,3,FALSE)</f>
        <v>45</v>
      </c>
      <c r="O184" s="1">
        <f t="shared" si="9"/>
        <v>16224000000</v>
      </c>
      <c r="R184" s="1">
        <v>36086</v>
      </c>
      <c r="S184" s="1">
        <v>3.5988199999999999E-6</v>
      </c>
      <c r="T184" t="str">
        <f>VLOOKUP(R184,Nuclides!A:E,5,FALSE)</f>
        <v>Kr86</v>
      </c>
      <c r="U184">
        <f>VLOOKUP(Sheet2!R184,Nuclides!A:E,2,FALSE)</f>
        <v>50</v>
      </c>
      <c r="V184">
        <f>VLOOKUP(R184,Nuclides!A:E,3,FALSE)</f>
        <v>36</v>
      </c>
      <c r="W184" s="1">
        <f t="shared" si="10"/>
        <v>44913273600</v>
      </c>
      <c r="X184" t="s">
        <v>883</v>
      </c>
      <c r="Z184" s="1">
        <v>35092</v>
      </c>
      <c r="AA184" s="1">
        <v>5.4033600000000004E-6</v>
      </c>
      <c r="AB184" t="str">
        <f>VLOOKUP(Z184,Nuclides!A:E,5,FALSE)</f>
        <v>Br92</v>
      </c>
      <c r="AC184">
        <f>VLOOKUP(Sheet2!Z184,Nuclides!A:E,2,FALSE)</f>
        <v>57</v>
      </c>
      <c r="AD184">
        <f>VLOOKUP(Z184,Nuclides!A:E,3,FALSE)</f>
        <v>35</v>
      </c>
      <c r="AE184" s="1">
        <f t="shared" si="11"/>
        <v>67433932800.000008</v>
      </c>
      <c r="AF184" t="s">
        <v>859</v>
      </c>
    </row>
    <row r="185" spans="2:32" x14ac:dyDescent="0.2">
      <c r="B185">
        <v>45114</v>
      </c>
      <c r="C185" s="1">
        <v>8.9999999999999996E-7</v>
      </c>
      <c r="D185" t="str">
        <f>VLOOKUP(B185,Nuclides!A:E,5,FALSE)</f>
        <v>Rh114</v>
      </c>
      <c r="E185">
        <f>VLOOKUP(Sheet2!B185,Nuclides!A:E,2,FALSE)</f>
        <v>69</v>
      </c>
      <c r="F185">
        <f>VLOOKUP(B185,Nuclides!A:E,3,FALSE)</f>
        <v>45</v>
      </c>
      <c r="G185" s="1">
        <f t="shared" si="8"/>
        <v>11232000000</v>
      </c>
      <c r="H185">
        <f>VLOOKUP(B185,Nuclides!A:E,4,FALSE)</f>
        <v>1.85</v>
      </c>
      <c r="J185" s="1">
        <v>45114</v>
      </c>
      <c r="K185" s="1">
        <v>1.1000000000000001E-6</v>
      </c>
      <c r="L185" t="str">
        <f>VLOOKUP(J185,Nuclides!A:E,5,FALSE)</f>
        <v>Rh114</v>
      </c>
      <c r="M185">
        <f>VLOOKUP(Sheet2!J185,Nuclides!A:E,2,FALSE)</f>
        <v>69</v>
      </c>
      <c r="N185">
        <f>VLOOKUP(J185,Nuclides!A:E,3,FALSE)</f>
        <v>45</v>
      </c>
      <c r="O185" s="1">
        <f t="shared" si="9"/>
        <v>13728000000</v>
      </c>
      <c r="R185" s="1">
        <v>36087</v>
      </c>
      <c r="S185" s="1">
        <v>8.6558999999999996E-6</v>
      </c>
      <c r="T185" t="str">
        <f>VLOOKUP(R185,Nuclides!A:E,5,FALSE)</f>
        <v>Kr87</v>
      </c>
      <c r="U185">
        <f>VLOOKUP(Sheet2!R185,Nuclides!A:E,2,FALSE)</f>
        <v>51</v>
      </c>
      <c r="V185">
        <f>VLOOKUP(R185,Nuclides!A:E,3,FALSE)</f>
        <v>36</v>
      </c>
      <c r="W185" s="1">
        <f t="shared" si="10"/>
        <v>108025632000</v>
      </c>
      <c r="X185" t="s">
        <v>884</v>
      </c>
      <c r="Z185" s="1">
        <v>36071</v>
      </c>
      <c r="AA185" s="1">
        <v>3.3900499999999998E-6</v>
      </c>
      <c r="AB185" t="str">
        <f>VLOOKUP(Z185,Nuclides!A:E,5,FALSE)</f>
        <v>Kr71</v>
      </c>
      <c r="AC185">
        <f>VLOOKUP(Sheet2!Z185,Nuclides!A:E,2,FALSE)</f>
        <v>35</v>
      </c>
      <c r="AD185">
        <f>VLOOKUP(Z185,Nuclides!A:E,3,FALSE)</f>
        <v>36</v>
      </c>
      <c r="AE185" s="1">
        <f t="shared" si="11"/>
        <v>42307824000</v>
      </c>
      <c r="AF185" t="s">
        <v>868</v>
      </c>
    </row>
    <row r="186" spans="2:32" x14ac:dyDescent="0.2">
      <c r="B186">
        <v>46096</v>
      </c>
      <c r="C186" s="1">
        <v>4.9999999999999998E-7</v>
      </c>
      <c r="D186" t="str">
        <f>VLOOKUP(B186,Nuclides!A:E,5,FALSE)</f>
        <v>Pd96</v>
      </c>
      <c r="E186">
        <f>VLOOKUP(Sheet2!B186,Nuclides!A:E,2,FALSE)</f>
        <v>50</v>
      </c>
      <c r="F186">
        <f>VLOOKUP(B186,Nuclides!A:E,3,FALSE)</f>
        <v>46</v>
      </c>
      <c r="G186" s="1">
        <f t="shared" si="8"/>
        <v>6240000000</v>
      </c>
      <c r="H186">
        <f>VLOOKUP(B186,Nuclides!A:E,4,FALSE)</f>
        <v>122</v>
      </c>
      <c r="J186" s="1">
        <v>46096</v>
      </c>
      <c r="K186" s="1">
        <v>1.3E-6</v>
      </c>
      <c r="L186" t="str">
        <f>VLOOKUP(J186,Nuclides!A:E,5,FALSE)</f>
        <v>Pd96</v>
      </c>
      <c r="M186">
        <f>VLOOKUP(Sheet2!J186,Nuclides!A:E,2,FALSE)</f>
        <v>50</v>
      </c>
      <c r="N186">
        <f>VLOOKUP(J186,Nuclides!A:E,3,FALSE)</f>
        <v>46</v>
      </c>
      <c r="O186" s="1">
        <f t="shared" si="9"/>
        <v>16224000000</v>
      </c>
      <c r="R186" s="1">
        <v>36088</v>
      </c>
      <c r="S186" s="1">
        <v>1.8726E-5</v>
      </c>
      <c r="T186" t="str">
        <f>VLOOKUP(R186,Nuclides!A:E,5,FALSE)</f>
        <v>Kr88</v>
      </c>
      <c r="U186">
        <f>VLOOKUP(Sheet2!R186,Nuclides!A:E,2,FALSE)</f>
        <v>52</v>
      </c>
      <c r="V186">
        <f>VLOOKUP(R186,Nuclides!A:E,3,FALSE)</f>
        <v>36</v>
      </c>
      <c r="W186" s="1">
        <f t="shared" si="10"/>
        <v>233700480000</v>
      </c>
      <c r="X186" t="s">
        <v>885</v>
      </c>
      <c r="Z186" s="1">
        <v>36072</v>
      </c>
      <c r="AA186" s="1">
        <v>2.6595900000000001E-6</v>
      </c>
      <c r="AB186" t="str">
        <f>VLOOKUP(Z186,Nuclides!A:E,5,FALSE)</f>
        <v>Kr72</v>
      </c>
      <c r="AC186">
        <f>VLOOKUP(Sheet2!Z186,Nuclides!A:E,2,FALSE)</f>
        <v>36</v>
      </c>
      <c r="AD186">
        <f>VLOOKUP(Z186,Nuclides!A:E,3,FALSE)</f>
        <v>36</v>
      </c>
      <c r="AE186" s="1">
        <f t="shared" si="11"/>
        <v>33191683200</v>
      </c>
      <c r="AF186" t="s">
        <v>869</v>
      </c>
    </row>
    <row r="187" spans="2:32" x14ac:dyDescent="0.2">
      <c r="B187">
        <v>46097</v>
      </c>
      <c r="C187" s="1">
        <v>1.9999999999999999E-7</v>
      </c>
      <c r="D187" t="str">
        <f>VLOOKUP(B187,Nuclides!A:E,5,FALSE)</f>
        <v>Pd97</v>
      </c>
      <c r="E187">
        <f>VLOOKUP(Sheet2!B187,Nuclides!A:E,2,FALSE)</f>
        <v>51</v>
      </c>
      <c r="F187">
        <f>VLOOKUP(B187,Nuclides!A:E,3,FALSE)</f>
        <v>46</v>
      </c>
      <c r="G187" s="1">
        <f t="shared" si="8"/>
        <v>2496000000</v>
      </c>
      <c r="H187">
        <f>VLOOKUP(B187,Nuclides!A:E,4,FALSE)</f>
        <v>186</v>
      </c>
      <c r="J187" s="1">
        <v>46097</v>
      </c>
      <c r="K187" s="1">
        <v>7.9999999999999996E-7</v>
      </c>
      <c r="L187" t="str">
        <f>VLOOKUP(J187,Nuclides!A:E,5,FALSE)</f>
        <v>Pd97</v>
      </c>
      <c r="M187">
        <f>VLOOKUP(Sheet2!J187,Nuclides!A:E,2,FALSE)</f>
        <v>51</v>
      </c>
      <c r="N187">
        <f>VLOOKUP(J187,Nuclides!A:E,3,FALSE)</f>
        <v>46</v>
      </c>
      <c r="O187" s="1">
        <f t="shared" si="9"/>
        <v>9984000000</v>
      </c>
      <c r="R187" s="1">
        <v>36089</v>
      </c>
      <c r="S187" s="1">
        <v>3.0769899999999998E-5</v>
      </c>
      <c r="T187" t="str">
        <f>VLOOKUP(R187,Nuclides!A:E,5,FALSE)</f>
        <v>Kr89</v>
      </c>
      <c r="U187">
        <f>VLOOKUP(Sheet2!R187,Nuclides!A:E,2,FALSE)</f>
        <v>53</v>
      </c>
      <c r="V187">
        <f>VLOOKUP(R187,Nuclides!A:E,3,FALSE)</f>
        <v>36</v>
      </c>
      <c r="W187" s="1">
        <f t="shared" si="10"/>
        <v>384008352000</v>
      </c>
      <c r="X187" t="s">
        <v>886</v>
      </c>
      <c r="Z187" s="1">
        <v>36073</v>
      </c>
      <c r="AA187" s="1">
        <v>6.2331399999999999E-7</v>
      </c>
      <c r="AB187" t="str">
        <f>VLOOKUP(Z187,Nuclides!A:E,5,FALSE)</f>
        <v>Kr73</v>
      </c>
      <c r="AC187">
        <f>VLOOKUP(Sheet2!Z187,Nuclides!A:E,2,FALSE)</f>
        <v>37</v>
      </c>
      <c r="AD187">
        <f>VLOOKUP(Z187,Nuclides!A:E,3,FALSE)</f>
        <v>36</v>
      </c>
      <c r="AE187" s="1">
        <f t="shared" si="11"/>
        <v>7778958720</v>
      </c>
      <c r="AF187" t="s">
        <v>870</v>
      </c>
    </row>
    <row r="188" spans="2:32" x14ac:dyDescent="0.2">
      <c r="B188">
        <v>46098</v>
      </c>
      <c r="C188" s="1">
        <v>3.9999999999999998E-7</v>
      </c>
      <c r="D188" t="str">
        <f>VLOOKUP(B188,Nuclides!A:E,5,FALSE)</f>
        <v>Pd98</v>
      </c>
      <c r="E188">
        <f>VLOOKUP(Sheet2!B188,Nuclides!A:E,2,FALSE)</f>
        <v>52</v>
      </c>
      <c r="F188">
        <f>VLOOKUP(B188,Nuclides!A:E,3,FALSE)</f>
        <v>46</v>
      </c>
      <c r="G188" s="1">
        <f t="shared" si="8"/>
        <v>4992000000</v>
      </c>
      <c r="H188">
        <f>VLOOKUP(B188,Nuclides!A:E,4,FALSE)</f>
        <v>1062</v>
      </c>
      <c r="J188" s="1">
        <v>46098</v>
      </c>
      <c r="K188" s="1">
        <v>4.9999999999999998E-7</v>
      </c>
      <c r="L188" t="str">
        <f>VLOOKUP(J188,Nuclides!A:E,5,FALSE)</f>
        <v>Pd98</v>
      </c>
      <c r="M188">
        <f>VLOOKUP(Sheet2!J188,Nuclides!A:E,2,FALSE)</f>
        <v>52</v>
      </c>
      <c r="N188">
        <f>VLOOKUP(J188,Nuclides!A:E,3,FALSE)</f>
        <v>46</v>
      </c>
      <c r="O188" s="1">
        <f t="shared" si="9"/>
        <v>6240000000</v>
      </c>
      <c r="R188" s="1">
        <v>36090</v>
      </c>
      <c r="S188" s="1">
        <v>4.4976399999999999E-5</v>
      </c>
      <c r="T188" t="str">
        <f>VLOOKUP(R188,Nuclides!A:E,5,FALSE)</f>
        <v>Kr90</v>
      </c>
      <c r="U188">
        <f>VLOOKUP(Sheet2!R188,Nuclides!A:E,2,FALSE)</f>
        <v>54</v>
      </c>
      <c r="V188">
        <f>VLOOKUP(R188,Nuclides!A:E,3,FALSE)</f>
        <v>36</v>
      </c>
      <c r="W188" s="1">
        <f t="shared" si="10"/>
        <v>561305472000</v>
      </c>
      <c r="X188" t="s">
        <v>887</v>
      </c>
      <c r="Z188" s="1">
        <v>36074</v>
      </c>
      <c r="AA188" s="1">
        <v>1.0400199999999999E-7</v>
      </c>
      <c r="AB188" t="str">
        <f>VLOOKUP(Z188,Nuclides!A:E,5,FALSE)</f>
        <v>Kr74</v>
      </c>
      <c r="AC188">
        <f>VLOOKUP(Sheet2!Z188,Nuclides!A:E,2,FALSE)</f>
        <v>38</v>
      </c>
      <c r="AD188">
        <f>VLOOKUP(Z188,Nuclides!A:E,3,FALSE)</f>
        <v>36</v>
      </c>
      <c r="AE188" s="1">
        <f t="shared" si="11"/>
        <v>1297944960</v>
      </c>
      <c r="AF188" t="s">
        <v>871</v>
      </c>
    </row>
    <row r="189" spans="2:32" x14ac:dyDescent="0.2">
      <c r="B189">
        <v>46100</v>
      </c>
      <c r="C189" s="1">
        <v>1.9999999999999999E-7</v>
      </c>
      <c r="D189" t="str">
        <f>VLOOKUP(B189,Nuclides!A:E,5,FALSE)</f>
        <v>Pd100</v>
      </c>
      <c r="E189">
        <f>VLOOKUP(Sheet2!B189,Nuclides!A:E,2,FALSE)</f>
        <v>54</v>
      </c>
      <c r="F189">
        <f>VLOOKUP(B189,Nuclides!A:E,3,FALSE)</f>
        <v>46</v>
      </c>
      <c r="G189" s="1">
        <f t="shared" si="8"/>
        <v>2496000000</v>
      </c>
      <c r="H189">
        <f>VLOOKUP(B189,Nuclides!A:E,4,FALSE)</f>
        <v>313632</v>
      </c>
      <c r="J189" s="1">
        <v>46099</v>
      </c>
      <c r="K189" s="1">
        <v>1.9999999999999999E-7</v>
      </c>
      <c r="L189" t="str">
        <f>VLOOKUP(J189,Nuclides!A:E,5,FALSE)</f>
        <v>Pd99</v>
      </c>
      <c r="M189">
        <f>VLOOKUP(Sheet2!J189,Nuclides!A:E,2,FALSE)</f>
        <v>53</v>
      </c>
      <c r="N189">
        <f>VLOOKUP(J189,Nuclides!A:E,3,FALSE)</f>
        <v>46</v>
      </c>
      <c r="O189" s="1">
        <f t="shared" si="9"/>
        <v>2496000000</v>
      </c>
      <c r="R189" s="1">
        <v>36091</v>
      </c>
      <c r="S189" s="1">
        <v>4.1325800000000003E-5</v>
      </c>
      <c r="T189" t="str">
        <f>VLOOKUP(R189,Nuclides!A:E,5,FALSE)</f>
        <v>Kr91</v>
      </c>
      <c r="U189">
        <f>VLOOKUP(Sheet2!R189,Nuclides!A:E,2,FALSE)</f>
        <v>55</v>
      </c>
      <c r="V189">
        <f>VLOOKUP(R189,Nuclides!A:E,3,FALSE)</f>
        <v>36</v>
      </c>
      <c r="W189" s="1">
        <f t="shared" si="10"/>
        <v>515745984000.00006</v>
      </c>
      <c r="X189" t="s">
        <v>888</v>
      </c>
      <c r="Z189" s="1">
        <v>36075</v>
      </c>
      <c r="AA189" s="1">
        <v>3.8808800000000003E-8</v>
      </c>
      <c r="AB189" t="str">
        <f>VLOOKUP(Z189,Nuclides!A:E,5,FALSE)</f>
        <v>Kr75</v>
      </c>
      <c r="AC189">
        <f>VLOOKUP(Sheet2!Z189,Nuclides!A:E,2,FALSE)</f>
        <v>39</v>
      </c>
      <c r="AD189">
        <f>VLOOKUP(Z189,Nuclides!A:E,3,FALSE)</f>
        <v>36</v>
      </c>
      <c r="AE189" s="1">
        <f t="shared" si="11"/>
        <v>484333824.00000006</v>
      </c>
      <c r="AF189" t="s">
        <v>872</v>
      </c>
    </row>
    <row r="190" spans="2:32" x14ac:dyDescent="0.2">
      <c r="B190">
        <v>46111</v>
      </c>
      <c r="C190" s="1">
        <v>9.9999999999999995E-8</v>
      </c>
      <c r="D190" t="str">
        <f>VLOOKUP(B190,Nuclides!A:E,5,FALSE)</f>
        <v>Pd111</v>
      </c>
      <c r="E190">
        <f>VLOOKUP(Sheet2!B190,Nuclides!A:E,2,FALSE)</f>
        <v>65</v>
      </c>
      <c r="F190">
        <f>VLOOKUP(B190,Nuclides!A:E,3,FALSE)</f>
        <v>46</v>
      </c>
      <c r="G190" s="1">
        <f t="shared" si="8"/>
        <v>1248000000</v>
      </c>
      <c r="H190">
        <f>VLOOKUP(B190,Nuclides!A:E,4,FALSE)</f>
        <v>1404</v>
      </c>
      <c r="J190" s="1">
        <v>46100</v>
      </c>
      <c r="K190" s="1">
        <v>1.9999999999999999E-7</v>
      </c>
      <c r="L190" t="str">
        <f>VLOOKUP(J190,Nuclides!A:E,5,FALSE)</f>
        <v>Pd100</v>
      </c>
      <c r="M190">
        <f>VLOOKUP(Sheet2!J190,Nuclides!A:E,2,FALSE)</f>
        <v>54</v>
      </c>
      <c r="N190">
        <f>VLOOKUP(J190,Nuclides!A:E,3,FALSE)</f>
        <v>46</v>
      </c>
      <c r="O190" s="1">
        <f t="shared" si="9"/>
        <v>2496000000</v>
      </c>
      <c r="R190" s="1">
        <v>36092</v>
      </c>
      <c r="S190" s="1">
        <v>3.6357099999999998E-5</v>
      </c>
      <c r="T190" t="str">
        <f>VLOOKUP(R190,Nuclides!A:E,5,FALSE)</f>
        <v>Kr92</v>
      </c>
      <c r="U190">
        <f>VLOOKUP(Sheet2!R190,Nuclides!A:E,2,FALSE)</f>
        <v>56</v>
      </c>
      <c r="V190">
        <f>VLOOKUP(R190,Nuclides!A:E,3,FALSE)</f>
        <v>36</v>
      </c>
      <c r="W190" s="1">
        <f t="shared" si="10"/>
        <v>453736608000</v>
      </c>
      <c r="X190" t="s">
        <v>889</v>
      </c>
      <c r="Z190" s="1">
        <v>36076</v>
      </c>
      <c r="AA190" s="1">
        <v>4.9557999999999998E-9</v>
      </c>
      <c r="AB190" t="str">
        <f>VLOOKUP(Z190,Nuclides!A:E,5,FALSE)</f>
        <v>Kr76</v>
      </c>
      <c r="AC190">
        <f>VLOOKUP(Sheet2!Z190,Nuclides!A:E,2,FALSE)</f>
        <v>40</v>
      </c>
      <c r="AD190">
        <f>VLOOKUP(Z190,Nuclides!A:E,3,FALSE)</f>
        <v>36</v>
      </c>
      <c r="AE190" s="1">
        <f t="shared" si="11"/>
        <v>61848384</v>
      </c>
      <c r="AF190" t="s">
        <v>873</v>
      </c>
    </row>
    <row r="191" spans="2:32" x14ac:dyDescent="0.2">
      <c r="B191">
        <v>46112</v>
      </c>
      <c r="C191" s="1">
        <v>2.9999999999999999E-7</v>
      </c>
      <c r="D191" t="str">
        <f>VLOOKUP(B191,Nuclides!A:E,5,FALSE)</f>
        <v>Pd112</v>
      </c>
      <c r="E191">
        <f>VLOOKUP(Sheet2!B191,Nuclides!A:E,2,FALSE)</f>
        <v>66</v>
      </c>
      <c r="F191">
        <f>VLOOKUP(B191,Nuclides!A:E,3,FALSE)</f>
        <v>46</v>
      </c>
      <c r="G191" s="1">
        <f t="shared" si="8"/>
        <v>3744000000</v>
      </c>
      <c r="H191">
        <f>VLOOKUP(B191,Nuclides!A:E,4,FALSE)</f>
        <v>75744</v>
      </c>
      <c r="J191" s="1">
        <v>46101</v>
      </c>
      <c r="K191" s="1">
        <v>9.9999999999999995E-8</v>
      </c>
      <c r="L191" t="str">
        <f>VLOOKUP(J191,Nuclides!A:E,5,FALSE)</f>
        <v>Pd101</v>
      </c>
      <c r="M191">
        <f>VLOOKUP(Sheet2!J191,Nuclides!A:E,2,FALSE)</f>
        <v>55</v>
      </c>
      <c r="N191">
        <f>VLOOKUP(J191,Nuclides!A:E,3,FALSE)</f>
        <v>46</v>
      </c>
      <c r="O191" s="1">
        <f t="shared" si="9"/>
        <v>1248000000</v>
      </c>
      <c r="R191" s="1">
        <v>36093</v>
      </c>
      <c r="S191" s="1">
        <v>1.60266E-5</v>
      </c>
      <c r="T191" t="str">
        <f>VLOOKUP(R191,Nuclides!A:E,5,FALSE)</f>
        <v>Kr93</v>
      </c>
      <c r="U191">
        <f>VLOOKUP(Sheet2!R191,Nuclides!A:E,2,FALSE)</f>
        <v>57</v>
      </c>
      <c r="V191">
        <f>VLOOKUP(R191,Nuclides!A:E,3,FALSE)</f>
        <v>36</v>
      </c>
      <c r="W191" s="1">
        <f t="shared" si="10"/>
        <v>200011968000</v>
      </c>
      <c r="X191" t="s">
        <v>890</v>
      </c>
      <c r="Z191" s="1">
        <v>36077</v>
      </c>
      <c r="AA191" s="1">
        <v>1.4658E-9</v>
      </c>
      <c r="AB191" t="str">
        <f>VLOOKUP(Z191,Nuclides!A:E,5,FALSE)</f>
        <v>Kr77</v>
      </c>
      <c r="AC191">
        <f>VLOOKUP(Sheet2!Z191,Nuclides!A:E,2,FALSE)</f>
        <v>41</v>
      </c>
      <c r="AD191">
        <f>VLOOKUP(Z191,Nuclides!A:E,3,FALSE)</f>
        <v>36</v>
      </c>
      <c r="AE191" s="1">
        <f t="shared" si="11"/>
        <v>18293184</v>
      </c>
      <c r="AF191" t="s">
        <v>874</v>
      </c>
    </row>
    <row r="192" spans="2:32" x14ac:dyDescent="0.2">
      <c r="B192">
        <v>46113</v>
      </c>
      <c r="C192" s="1">
        <v>2.9999999999999999E-7</v>
      </c>
      <c r="D192" t="str">
        <f>VLOOKUP(B192,Nuclides!A:E,5,FALSE)</f>
        <v>Pd113</v>
      </c>
      <c r="E192">
        <f>VLOOKUP(Sheet2!B192,Nuclides!A:E,2,FALSE)</f>
        <v>67</v>
      </c>
      <c r="F192">
        <f>VLOOKUP(B192,Nuclides!A:E,3,FALSE)</f>
        <v>46</v>
      </c>
      <c r="G192" s="1">
        <f t="shared" si="8"/>
        <v>3744000000</v>
      </c>
      <c r="H192">
        <f>VLOOKUP(B192,Nuclides!A:E,4,FALSE)</f>
        <v>93</v>
      </c>
      <c r="J192" s="1">
        <v>46111</v>
      </c>
      <c r="K192" s="1">
        <v>9.9999999999999995E-8</v>
      </c>
      <c r="L192" t="str">
        <f>VLOOKUP(J192,Nuclides!A:E,5,FALSE)</f>
        <v>Pd111</v>
      </c>
      <c r="M192">
        <f>VLOOKUP(Sheet2!J192,Nuclides!A:E,2,FALSE)</f>
        <v>65</v>
      </c>
      <c r="N192">
        <f>VLOOKUP(J192,Nuclides!A:E,3,FALSE)</f>
        <v>46</v>
      </c>
      <c r="O192" s="1">
        <f t="shared" si="9"/>
        <v>1248000000</v>
      </c>
      <c r="R192" s="1">
        <v>36094</v>
      </c>
      <c r="S192" s="1">
        <v>7.7108099999999998E-6</v>
      </c>
      <c r="T192" t="str">
        <f>VLOOKUP(R192,Nuclides!A:E,5,FALSE)</f>
        <v>Kr94</v>
      </c>
      <c r="U192">
        <f>VLOOKUP(Sheet2!R192,Nuclides!A:E,2,FALSE)</f>
        <v>58</v>
      </c>
      <c r="V192">
        <f>VLOOKUP(R192,Nuclides!A:E,3,FALSE)</f>
        <v>36</v>
      </c>
      <c r="W192" s="1">
        <f t="shared" si="10"/>
        <v>96230908800</v>
      </c>
      <c r="X192" t="s">
        <v>891</v>
      </c>
      <c r="Z192" s="1">
        <v>36078</v>
      </c>
      <c r="AA192" s="1">
        <v>6.9799999999999994E-11</v>
      </c>
      <c r="AB192" t="str">
        <f>VLOOKUP(Z192,Nuclides!A:E,5,FALSE)</f>
        <v>Kr78</v>
      </c>
      <c r="AC192">
        <f>VLOOKUP(Sheet2!Z192,Nuclides!A:E,2,FALSE)</f>
        <v>42</v>
      </c>
      <c r="AD192">
        <f>VLOOKUP(Z192,Nuclides!A:E,3,FALSE)</f>
        <v>36</v>
      </c>
      <c r="AE192" s="1">
        <f t="shared" si="11"/>
        <v>871103.99999999988</v>
      </c>
      <c r="AF192" t="s">
        <v>875</v>
      </c>
    </row>
    <row r="193" spans="2:32" x14ac:dyDescent="0.2">
      <c r="B193">
        <v>46114</v>
      </c>
      <c r="C193" s="1">
        <v>8.9999999999999996E-7</v>
      </c>
      <c r="D193" t="str">
        <f>VLOOKUP(B193,Nuclides!A:E,5,FALSE)</f>
        <v>Pd114</v>
      </c>
      <c r="E193">
        <f>VLOOKUP(Sheet2!B193,Nuclides!A:E,2,FALSE)</f>
        <v>68</v>
      </c>
      <c r="F193">
        <f>VLOOKUP(B193,Nuclides!A:E,3,FALSE)</f>
        <v>46</v>
      </c>
      <c r="G193" s="1">
        <f t="shared" si="8"/>
        <v>11232000000</v>
      </c>
      <c r="H193">
        <f>VLOOKUP(B193,Nuclides!A:E,4,FALSE)</f>
        <v>145.19999999999999</v>
      </c>
      <c r="J193" s="1">
        <v>46112</v>
      </c>
      <c r="K193" s="1">
        <v>2.9999999999999999E-7</v>
      </c>
      <c r="L193" t="str">
        <f>VLOOKUP(J193,Nuclides!A:E,5,FALSE)</f>
        <v>Pd112</v>
      </c>
      <c r="M193">
        <f>VLOOKUP(Sheet2!J193,Nuclides!A:E,2,FALSE)</f>
        <v>66</v>
      </c>
      <c r="N193">
        <f>VLOOKUP(J193,Nuclides!A:E,3,FALSE)</f>
        <v>46</v>
      </c>
      <c r="O193" s="1">
        <f t="shared" si="9"/>
        <v>3744000000</v>
      </c>
      <c r="R193" s="1">
        <v>36095</v>
      </c>
      <c r="S193" s="1">
        <v>1.9912500000000002E-6</v>
      </c>
      <c r="T193" t="str">
        <f>VLOOKUP(R193,Nuclides!A:E,5,FALSE)</f>
        <v>Kr95</v>
      </c>
      <c r="U193">
        <f>VLOOKUP(Sheet2!R193,Nuclides!A:E,2,FALSE)</f>
        <v>59</v>
      </c>
      <c r="V193">
        <f>VLOOKUP(R193,Nuclides!A:E,3,FALSE)</f>
        <v>36</v>
      </c>
      <c r="W193" s="1">
        <f t="shared" si="10"/>
        <v>24850800000.000004</v>
      </c>
      <c r="X193" t="s">
        <v>892</v>
      </c>
      <c r="Z193" s="1">
        <v>36079</v>
      </c>
      <c r="AA193" s="1">
        <v>6.9799999999999994E-11</v>
      </c>
      <c r="AB193" t="str">
        <f>VLOOKUP(Z193,Nuclides!A:E,5,FALSE)</f>
        <v>Kr79</v>
      </c>
      <c r="AC193">
        <f>VLOOKUP(Sheet2!Z193,Nuclides!A:E,2,FALSE)</f>
        <v>43</v>
      </c>
      <c r="AD193">
        <f>VLOOKUP(Z193,Nuclides!A:E,3,FALSE)</f>
        <v>36</v>
      </c>
      <c r="AE193" s="1">
        <f t="shared" si="11"/>
        <v>871103.99999999988</v>
      </c>
      <c r="AF193" t="s">
        <v>876</v>
      </c>
    </row>
    <row r="194" spans="2:32" x14ac:dyDescent="0.2">
      <c r="B194">
        <v>46115</v>
      </c>
      <c r="C194" s="1">
        <v>1.1999999999999999E-6</v>
      </c>
      <c r="D194" t="str">
        <f>VLOOKUP(B194,Nuclides!A:E,5,FALSE)</f>
        <v>Pd115</v>
      </c>
      <c r="E194">
        <f>VLOOKUP(Sheet2!B194,Nuclides!A:E,2,FALSE)</f>
        <v>69</v>
      </c>
      <c r="F194">
        <f>VLOOKUP(B194,Nuclides!A:E,3,FALSE)</f>
        <v>46</v>
      </c>
      <c r="G194" s="1">
        <f t="shared" si="8"/>
        <v>14976000000</v>
      </c>
      <c r="H194">
        <f>VLOOKUP(B194,Nuclides!A:E,4,FALSE)</f>
        <v>25</v>
      </c>
      <c r="J194" s="1">
        <v>46113</v>
      </c>
      <c r="K194" s="1">
        <v>9.9999999999999995E-8</v>
      </c>
      <c r="L194" t="str">
        <f>VLOOKUP(J194,Nuclides!A:E,5,FALSE)</f>
        <v>Pd113</v>
      </c>
      <c r="M194">
        <f>VLOOKUP(Sheet2!J194,Nuclides!A:E,2,FALSE)</f>
        <v>67</v>
      </c>
      <c r="N194">
        <f>VLOOKUP(J194,Nuclides!A:E,3,FALSE)</f>
        <v>46</v>
      </c>
      <c r="O194" s="1">
        <f t="shared" si="9"/>
        <v>1248000000</v>
      </c>
      <c r="R194" s="1">
        <v>36096</v>
      </c>
      <c r="S194" s="1">
        <v>6.5514300000000001E-7</v>
      </c>
      <c r="T194" t="str">
        <f>VLOOKUP(R194,Nuclides!A:E,5,FALSE)</f>
        <v>Kr96</v>
      </c>
      <c r="U194">
        <f>VLOOKUP(Sheet2!R194,Nuclides!A:E,2,FALSE)</f>
        <v>60</v>
      </c>
      <c r="V194">
        <f>VLOOKUP(R194,Nuclides!A:E,3,FALSE)</f>
        <v>36</v>
      </c>
      <c r="W194" s="1">
        <f t="shared" si="10"/>
        <v>8176184640</v>
      </c>
      <c r="X194" t="s">
        <v>893</v>
      </c>
      <c r="Z194" s="1">
        <v>36082</v>
      </c>
      <c r="AA194" s="1">
        <v>2.7919999999999998E-10</v>
      </c>
      <c r="AB194" t="str">
        <f>VLOOKUP(Z194,Nuclides!A:E,5,FALSE)</f>
        <v>Kr82</v>
      </c>
      <c r="AC194">
        <f>VLOOKUP(Sheet2!Z194,Nuclides!A:E,2,FALSE)</f>
        <v>46</v>
      </c>
      <c r="AD194">
        <f>VLOOKUP(Z194,Nuclides!A:E,3,FALSE)</f>
        <v>36</v>
      </c>
      <c r="AE194" s="1">
        <f t="shared" si="11"/>
        <v>3484415.9999999995</v>
      </c>
      <c r="AF194" t="s">
        <v>879</v>
      </c>
    </row>
    <row r="195" spans="2:32" x14ac:dyDescent="0.2">
      <c r="B195">
        <v>46116</v>
      </c>
      <c r="C195" s="1">
        <v>9.9999999999999995E-7</v>
      </c>
      <c r="D195" t="str">
        <f>VLOOKUP(B195,Nuclides!A:E,5,FALSE)</f>
        <v>Pd116</v>
      </c>
      <c r="E195">
        <f>VLOOKUP(Sheet2!B195,Nuclides!A:E,2,FALSE)</f>
        <v>70</v>
      </c>
      <c r="F195">
        <f>VLOOKUP(B195,Nuclides!A:E,3,FALSE)</f>
        <v>46</v>
      </c>
      <c r="G195" s="1">
        <f t="shared" si="8"/>
        <v>12480000000</v>
      </c>
      <c r="H195">
        <f>VLOOKUP(B195,Nuclides!A:E,4,FALSE)</f>
        <v>11.8</v>
      </c>
      <c r="J195" s="1">
        <v>46114</v>
      </c>
      <c r="K195" s="1">
        <v>9.9999999999999995E-7</v>
      </c>
      <c r="L195" t="str">
        <f>VLOOKUP(J195,Nuclides!A:E,5,FALSE)</f>
        <v>Pd114</v>
      </c>
      <c r="M195">
        <f>VLOOKUP(Sheet2!J195,Nuclides!A:E,2,FALSE)</f>
        <v>68</v>
      </c>
      <c r="N195">
        <f>VLOOKUP(J195,Nuclides!A:E,3,FALSE)</f>
        <v>46</v>
      </c>
      <c r="O195" s="1">
        <f t="shared" si="9"/>
        <v>12480000000</v>
      </c>
      <c r="R195" s="1">
        <v>36097</v>
      </c>
      <c r="S195" s="1">
        <v>1.0484E-7</v>
      </c>
      <c r="T195" t="str">
        <f>VLOOKUP(R195,Nuclides!A:E,5,FALSE)</f>
        <v>Kr97</v>
      </c>
      <c r="U195">
        <f>VLOOKUP(Sheet2!R195,Nuclides!A:E,2,FALSE)</f>
        <v>61</v>
      </c>
      <c r="V195">
        <f>VLOOKUP(R195,Nuclides!A:E,3,FALSE)</f>
        <v>36</v>
      </c>
      <c r="W195" s="1">
        <f t="shared" si="10"/>
        <v>1308403200</v>
      </c>
      <c r="X195" t="s">
        <v>894</v>
      </c>
      <c r="Z195" s="1">
        <v>36083</v>
      </c>
      <c r="AA195" s="1">
        <v>8.3759999999999998E-10</v>
      </c>
      <c r="AB195" t="str">
        <f>VLOOKUP(Z195,Nuclides!A:E,5,FALSE)</f>
        <v>Kr83</v>
      </c>
      <c r="AC195">
        <f>VLOOKUP(Sheet2!Z195,Nuclides!A:E,2,FALSE)</f>
        <v>47</v>
      </c>
      <c r="AD195">
        <f>VLOOKUP(Z195,Nuclides!A:E,3,FALSE)</f>
        <v>36</v>
      </c>
      <c r="AE195" s="1">
        <f t="shared" si="11"/>
        <v>10453248</v>
      </c>
      <c r="AF195" t="s">
        <v>880</v>
      </c>
    </row>
    <row r="196" spans="2:32" x14ac:dyDescent="0.2">
      <c r="B196">
        <v>46117</v>
      </c>
      <c r="C196" s="1">
        <v>2.9999999999999999E-7</v>
      </c>
      <c r="D196" t="str">
        <f>VLOOKUP(B196,Nuclides!A:E,5,FALSE)</f>
        <v>Pd117</v>
      </c>
      <c r="E196">
        <f>VLOOKUP(Sheet2!B196,Nuclides!A:E,2,FALSE)</f>
        <v>71</v>
      </c>
      <c r="F196">
        <f>VLOOKUP(B196,Nuclides!A:E,3,FALSE)</f>
        <v>46</v>
      </c>
      <c r="G196" s="1">
        <f t="shared" ref="G196:G259" si="12">C196*12480000000000000</f>
        <v>3744000000</v>
      </c>
      <c r="H196">
        <f>VLOOKUP(B196,Nuclides!A:E,4,FALSE)</f>
        <v>4.3</v>
      </c>
      <c r="J196" s="1">
        <v>46115</v>
      </c>
      <c r="K196" s="1">
        <v>1.5E-6</v>
      </c>
      <c r="L196" t="str">
        <f>VLOOKUP(J196,Nuclides!A:E,5,FALSE)</f>
        <v>Pd115</v>
      </c>
      <c r="M196">
        <f>VLOOKUP(Sheet2!J196,Nuclides!A:E,2,FALSE)</f>
        <v>69</v>
      </c>
      <c r="N196">
        <f>VLOOKUP(J196,Nuclides!A:E,3,FALSE)</f>
        <v>46</v>
      </c>
      <c r="O196" s="1">
        <f t="shared" ref="O196:O259" si="13">K196*12480000000000000</f>
        <v>18720000000</v>
      </c>
      <c r="R196" s="1">
        <v>37074</v>
      </c>
      <c r="S196" s="1">
        <v>2.2335999999999999E-8</v>
      </c>
      <c r="T196" t="str">
        <f>VLOOKUP(R196,Nuclides!A:E,5,FALSE)</f>
        <v>Rb74</v>
      </c>
      <c r="U196">
        <f>VLOOKUP(Sheet2!R196,Nuclides!A:E,2,FALSE)</f>
        <v>37</v>
      </c>
      <c r="V196">
        <f>VLOOKUP(R196,Nuclides!A:E,3,FALSE)</f>
        <v>37</v>
      </c>
      <c r="W196" s="1">
        <f t="shared" ref="W196:W259" si="14">S196*12480000000000000</f>
        <v>278753280</v>
      </c>
      <c r="X196" t="s">
        <v>899</v>
      </c>
      <c r="Z196" s="1">
        <v>36084</v>
      </c>
      <c r="AA196" s="1">
        <v>1.16566E-8</v>
      </c>
      <c r="AB196" t="str">
        <f>VLOOKUP(Z196,Nuclides!A:E,5,FALSE)</f>
        <v>Kr84</v>
      </c>
      <c r="AC196">
        <f>VLOOKUP(Sheet2!Z196,Nuclides!A:E,2,FALSE)</f>
        <v>48</v>
      </c>
      <c r="AD196">
        <f>VLOOKUP(Z196,Nuclides!A:E,3,FALSE)</f>
        <v>36</v>
      </c>
      <c r="AE196" s="1">
        <f t="shared" ref="AE196:AE259" si="15">AA196*12480000000000000</f>
        <v>145474368</v>
      </c>
      <c r="AF196" t="s">
        <v>881</v>
      </c>
    </row>
    <row r="197" spans="2:32" x14ac:dyDescent="0.2">
      <c r="B197">
        <v>46118</v>
      </c>
      <c r="C197" s="1">
        <v>6.9999999999999997E-7</v>
      </c>
      <c r="D197" t="str">
        <f>VLOOKUP(B197,Nuclides!A:E,5,FALSE)</f>
        <v>Pd118</v>
      </c>
      <c r="E197">
        <f>VLOOKUP(Sheet2!B197,Nuclides!A:E,2,FALSE)</f>
        <v>72</v>
      </c>
      <c r="F197">
        <f>VLOOKUP(B197,Nuclides!A:E,3,FALSE)</f>
        <v>46</v>
      </c>
      <c r="G197" s="1">
        <f t="shared" si="12"/>
        <v>8736000000</v>
      </c>
      <c r="H197">
        <f>VLOOKUP(B197,Nuclides!A:E,4,FALSE)</f>
        <v>1.9</v>
      </c>
      <c r="J197" s="1">
        <v>46116</v>
      </c>
      <c r="K197" s="1">
        <v>1.5E-6</v>
      </c>
      <c r="L197" t="str">
        <f>VLOOKUP(J197,Nuclides!A:E,5,FALSE)</f>
        <v>Pd116</v>
      </c>
      <c r="M197">
        <f>VLOOKUP(Sheet2!J197,Nuclides!A:E,2,FALSE)</f>
        <v>70</v>
      </c>
      <c r="N197">
        <f>VLOOKUP(J197,Nuclides!A:E,3,FALSE)</f>
        <v>46</v>
      </c>
      <c r="O197" s="1">
        <f t="shared" si="13"/>
        <v>18720000000</v>
      </c>
      <c r="R197" s="1">
        <v>37075</v>
      </c>
      <c r="S197" s="1">
        <v>2.6524000000000001E-9</v>
      </c>
      <c r="T197" t="str">
        <f>VLOOKUP(R197,Nuclides!A:E,5,FALSE)</f>
        <v>Rb75</v>
      </c>
      <c r="U197">
        <f>VLOOKUP(Sheet2!R197,Nuclides!A:E,2,FALSE)</f>
        <v>38</v>
      </c>
      <c r="V197">
        <f>VLOOKUP(R197,Nuclides!A:E,3,FALSE)</f>
        <v>37</v>
      </c>
      <c r="W197" s="1">
        <f t="shared" si="14"/>
        <v>33101952</v>
      </c>
      <c r="X197" t="s">
        <v>900</v>
      </c>
      <c r="Z197" s="1">
        <v>36085</v>
      </c>
      <c r="AA197" s="1">
        <v>5.90508E-8</v>
      </c>
      <c r="AB197" t="str">
        <f>VLOOKUP(Z197,Nuclides!A:E,5,FALSE)</f>
        <v>Kr85</v>
      </c>
      <c r="AC197">
        <f>VLOOKUP(Sheet2!Z197,Nuclides!A:E,2,FALSE)</f>
        <v>49</v>
      </c>
      <c r="AD197">
        <f>VLOOKUP(Z197,Nuclides!A:E,3,FALSE)</f>
        <v>36</v>
      </c>
      <c r="AE197" s="1">
        <f t="shared" si="15"/>
        <v>736953984</v>
      </c>
      <c r="AF197" t="s">
        <v>882</v>
      </c>
    </row>
    <row r="198" spans="2:32" x14ac:dyDescent="0.2">
      <c r="B198">
        <v>47096</v>
      </c>
      <c r="C198" s="1">
        <v>4.9999999999999998E-7</v>
      </c>
      <c r="D198" t="str">
        <f>VLOOKUP(B198,Nuclides!A:E,5,FALSE)</f>
        <v>Ag96</v>
      </c>
      <c r="E198">
        <f>VLOOKUP(Sheet2!B198,Nuclides!A:E,2,FALSE)</f>
        <v>49</v>
      </c>
      <c r="F198">
        <f>VLOOKUP(B198,Nuclides!A:E,3,FALSE)</f>
        <v>47</v>
      </c>
      <c r="G198" s="1">
        <f t="shared" si="12"/>
        <v>6240000000</v>
      </c>
      <c r="H198">
        <f>VLOOKUP(B198,Nuclides!A:E,4,FALSE)</f>
        <v>4.4000000000000004</v>
      </c>
      <c r="J198" s="1">
        <v>46117</v>
      </c>
      <c r="K198" s="1">
        <v>1.1999999999999999E-6</v>
      </c>
      <c r="L198" t="str">
        <f>VLOOKUP(J198,Nuclides!A:E,5,FALSE)</f>
        <v>Pd117</v>
      </c>
      <c r="M198">
        <f>VLOOKUP(Sheet2!J198,Nuclides!A:E,2,FALSE)</f>
        <v>71</v>
      </c>
      <c r="N198">
        <f>VLOOKUP(J198,Nuclides!A:E,3,FALSE)</f>
        <v>46</v>
      </c>
      <c r="O198" s="1">
        <f t="shared" si="13"/>
        <v>14976000000</v>
      </c>
      <c r="R198" s="1">
        <v>37076</v>
      </c>
      <c r="S198" s="1">
        <v>6.2819999999999996E-10</v>
      </c>
      <c r="T198" t="str">
        <f>VLOOKUP(R198,Nuclides!A:E,5,FALSE)</f>
        <v>Rb76</v>
      </c>
      <c r="U198">
        <f>VLOOKUP(Sheet2!R198,Nuclides!A:E,2,FALSE)</f>
        <v>39</v>
      </c>
      <c r="V198">
        <f>VLOOKUP(R198,Nuclides!A:E,3,FALSE)</f>
        <v>37</v>
      </c>
      <c r="W198" s="1">
        <f t="shared" si="14"/>
        <v>7839935.9999999991</v>
      </c>
      <c r="X198" t="s">
        <v>901</v>
      </c>
      <c r="Z198" s="1">
        <v>36086</v>
      </c>
      <c r="AA198" s="1">
        <v>6.1005200000000004E-7</v>
      </c>
      <c r="AB198" t="str">
        <f>VLOOKUP(Z198,Nuclides!A:E,5,FALSE)</f>
        <v>Kr86</v>
      </c>
      <c r="AC198">
        <f>VLOOKUP(Sheet2!Z198,Nuclides!A:E,2,FALSE)</f>
        <v>50</v>
      </c>
      <c r="AD198">
        <f>VLOOKUP(Z198,Nuclides!A:E,3,FALSE)</f>
        <v>36</v>
      </c>
      <c r="AE198" s="1">
        <f t="shared" si="15"/>
        <v>7613448960.000001</v>
      </c>
      <c r="AF198" t="s">
        <v>883</v>
      </c>
    </row>
    <row r="199" spans="2:32" x14ac:dyDescent="0.2">
      <c r="B199">
        <v>47097</v>
      </c>
      <c r="C199" s="1">
        <v>5.9999999999999997E-7</v>
      </c>
      <c r="D199" t="str">
        <f>VLOOKUP(B199,Nuclides!A:E,5,FALSE)</f>
        <v>Ag97</v>
      </c>
      <c r="E199">
        <f>VLOOKUP(Sheet2!B199,Nuclides!A:E,2,FALSE)</f>
        <v>50</v>
      </c>
      <c r="F199">
        <f>VLOOKUP(B199,Nuclides!A:E,3,FALSE)</f>
        <v>47</v>
      </c>
      <c r="G199" s="1">
        <f t="shared" si="12"/>
        <v>7488000000</v>
      </c>
      <c r="H199">
        <f>VLOOKUP(B199,Nuclides!A:E,4,FALSE)</f>
        <v>25.5</v>
      </c>
      <c r="J199" s="1">
        <v>46118</v>
      </c>
      <c r="K199" s="1">
        <v>1.1999999999999999E-6</v>
      </c>
      <c r="L199" t="str">
        <f>VLOOKUP(J199,Nuclides!A:E,5,FALSE)</f>
        <v>Pd118</v>
      </c>
      <c r="M199">
        <f>VLOOKUP(Sheet2!J199,Nuclides!A:E,2,FALSE)</f>
        <v>72</v>
      </c>
      <c r="N199">
        <f>VLOOKUP(J199,Nuclides!A:E,3,FALSE)</f>
        <v>46</v>
      </c>
      <c r="O199" s="1">
        <f t="shared" si="13"/>
        <v>14976000000</v>
      </c>
      <c r="R199" s="1">
        <v>37082</v>
      </c>
      <c r="S199" s="1">
        <v>1.3959999999999999E-10</v>
      </c>
      <c r="T199" t="str">
        <f>VLOOKUP(R199,Nuclides!A:E,5,FALSE)</f>
        <v>Rb82</v>
      </c>
      <c r="U199">
        <f>VLOOKUP(Sheet2!R199,Nuclides!A:E,2,FALSE)</f>
        <v>45</v>
      </c>
      <c r="V199">
        <f>VLOOKUP(R199,Nuclides!A:E,3,FALSE)</f>
        <v>37</v>
      </c>
      <c r="W199" s="1">
        <f t="shared" si="14"/>
        <v>1742207.9999999998</v>
      </c>
      <c r="X199" t="s">
        <v>907</v>
      </c>
      <c r="Z199" s="1">
        <v>36087</v>
      </c>
      <c r="AA199" s="1">
        <v>1.6130799999999999E-6</v>
      </c>
      <c r="AB199" t="str">
        <f>VLOOKUP(Z199,Nuclides!A:E,5,FALSE)</f>
        <v>Kr87</v>
      </c>
      <c r="AC199">
        <f>VLOOKUP(Sheet2!Z199,Nuclides!A:E,2,FALSE)</f>
        <v>51</v>
      </c>
      <c r="AD199">
        <f>VLOOKUP(Z199,Nuclides!A:E,3,FALSE)</f>
        <v>36</v>
      </c>
      <c r="AE199" s="1">
        <f t="shared" si="15"/>
        <v>20131238400</v>
      </c>
      <c r="AF199" t="s">
        <v>884</v>
      </c>
    </row>
    <row r="200" spans="2:32" x14ac:dyDescent="0.2">
      <c r="B200">
        <v>47099</v>
      </c>
      <c r="C200" s="1">
        <v>9.9999999999999995E-8</v>
      </c>
      <c r="D200" t="str">
        <f>VLOOKUP(B200,Nuclides!A:E,5,FALSE)</f>
        <v>Ag99</v>
      </c>
      <c r="E200">
        <f>VLOOKUP(Sheet2!B200,Nuclides!A:E,2,FALSE)</f>
        <v>52</v>
      </c>
      <c r="F200">
        <f>VLOOKUP(B200,Nuclides!A:E,3,FALSE)</f>
        <v>47</v>
      </c>
      <c r="G200" s="1">
        <f t="shared" si="12"/>
        <v>1248000000</v>
      </c>
      <c r="H200">
        <f>VLOOKUP(B200,Nuclides!A:E,4,FALSE)</f>
        <v>124</v>
      </c>
      <c r="J200" s="1">
        <v>47096</v>
      </c>
      <c r="K200" s="1">
        <v>4.9999999999999998E-7</v>
      </c>
      <c r="L200" t="str">
        <f>VLOOKUP(J200,Nuclides!A:E,5,FALSE)</f>
        <v>Ag96</v>
      </c>
      <c r="M200">
        <f>VLOOKUP(Sheet2!J200,Nuclides!A:E,2,FALSE)</f>
        <v>49</v>
      </c>
      <c r="N200">
        <f>VLOOKUP(J200,Nuclides!A:E,3,FALSE)</f>
        <v>47</v>
      </c>
      <c r="O200" s="1">
        <f t="shared" si="13"/>
        <v>6240000000</v>
      </c>
      <c r="R200" s="1">
        <v>37083</v>
      </c>
      <c r="S200" s="1">
        <v>9.772000000000001E-10</v>
      </c>
      <c r="T200" t="str">
        <f>VLOOKUP(R200,Nuclides!A:E,5,FALSE)</f>
        <v>Rb83</v>
      </c>
      <c r="U200">
        <f>VLOOKUP(Sheet2!R200,Nuclides!A:E,2,FALSE)</f>
        <v>46</v>
      </c>
      <c r="V200">
        <f>VLOOKUP(R200,Nuclides!A:E,3,FALSE)</f>
        <v>37</v>
      </c>
      <c r="W200" s="1">
        <f t="shared" si="14"/>
        <v>12195456.000000002</v>
      </c>
      <c r="X200" t="s">
        <v>908</v>
      </c>
      <c r="Z200" s="1">
        <v>36088</v>
      </c>
      <c r="AA200" s="1">
        <v>5.8275300000000001E-6</v>
      </c>
      <c r="AB200" t="str">
        <f>VLOOKUP(Z200,Nuclides!A:E,5,FALSE)</f>
        <v>Kr88</v>
      </c>
      <c r="AC200">
        <f>VLOOKUP(Sheet2!Z200,Nuclides!A:E,2,FALSE)</f>
        <v>52</v>
      </c>
      <c r="AD200">
        <f>VLOOKUP(Z200,Nuclides!A:E,3,FALSE)</f>
        <v>36</v>
      </c>
      <c r="AE200" s="1">
        <f t="shared" si="15"/>
        <v>72727574400</v>
      </c>
      <c r="AF200" t="s">
        <v>885</v>
      </c>
    </row>
    <row r="201" spans="2:32" x14ac:dyDescent="0.2">
      <c r="B201">
        <v>47115</v>
      </c>
      <c r="C201" s="1">
        <v>1.9999999999999999E-7</v>
      </c>
      <c r="D201" t="str">
        <f>VLOOKUP(B201,Nuclides!A:E,5,FALSE)</f>
        <v>Ag115</v>
      </c>
      <c r="E201">
        <f>VLOOKUP(Sheet2!B201,Nuclides!A:E,2,FALSE)</f>
        <v>68</v>
      </c>
      <c r="F201">
        <f>VLOOKUP(B201,Nuclides!A:E,3,FALSE)</f>
        <v>47</v>
      </c>
      <c r="G201" s="1">
        <f t="shared" si="12"/>
        <v>2496000000</v>
      </c>
      <c r="H201">
        <f>VLOOKUP(B201,Nuclides!A:E,4,FALSE)</f>
        <v>1200</v>
      </c>
      <c r="J201" s="1">
        <v>47097</v>
      </c>
      <c r="K201" s="1">
        <v>7.9999999999999996E-7</v>
      </c>
      <c r="L201" t="str">
        <f>VLOOKUP(J201,Nuclides!A:E,5,FALSE)</f>
        <v>Ag97</v>
      </c>
      <c r="M201">
        <f>VLOOKUP(Sheet2!J201,Nuclides!A:E,2,FALSE)</f>
        <v>50</v>
      </c>
      <c r="N201">
        <f>VLOOKUP(J201,Nuclides!A:E,3,FALSE)</f>
        <v>47</v>
      </c>
      <c r="O201" s="1">
        <f t="shared" si="13"/>
        <v>9984000000</v>
      </c>
      <c r="R201" s="1">
        <v>37084</v>
      </c>
      <c r="S201" s="1">
        <v>8.0269999999999997E-9</v>
      </c>
      <c r="T201" t="str">
        <f>VLOOKUP(R201,Nuclides!A:E,5,FALSE)</f>
        <v>Rb84</v>
      </c>
      <c r="U201">
        <f>VLOOKUP(Sheet2!R201,Nuclides!A:E,2,FALSE)</f>
        <v>47</v>
      </c>
      <c r="V201">
        <f>VLOOKUP(R201,Nuclides!A:E,3,FALSE)</f>
        <v>37</v>
      </c>
      <c r="W201" s="1">
        <f t="shared" si="14"/>
        <v>100176960</v>
      </c>
      <c r="X201" t="s">
        <v>909</v>
      </c>
      <c r="Z201" s="1">
        <v>36089</v>
      </c>
      <c r="AA201" s="1">
        <v>9.9878199999999992E-6</v>
      </c>
      <c r="AB201" t="str">
        <f>VLOOKUP(Z201,Nuclides!A:E,5,FALSE)</f>
        <v>Kr89</v>
      </c>
      <c r="AC201">
        <f>VLOOKUP(Sheet2!Z201,Nuclides!A:E,2,FALSE)</f>
        <v>53</v>
      </c>
      <c r="AD201">
        <f>VLOOKUP(Z201,Nuclides!A:E,3,FALSE)</f>
        <v>36</v>
      </c>
      <c r="AE201" s="1">
        <f t="shared" si="15"/>
        <v>124647993599.99998</v>
      </c>
      <c r="AF201" t="s">
        <v>886</v>
      </c>
    </row>
    <row r="202" spans="2:32" x14ac:dyDescent="0.2">
      <c r="B202">
        <v>47116</v>
      </c>
      <c r="C202" s="1">
        <v>1.9999999999999999E-7</v>
      </c>
      <c r="D202" t="str">
        <f>VLOOKUP(B202,Nuclides!A:E,5,FALSE)</f>
        <v>Ag116</v>
      </c>
      <c r="E202">
        <f>VLOOKUP(Sheet2!B202,Nuclides!A:E,2,FALSE)</f>
        <v>69</v>
      </c>
      <c r="F202">
        <f>VLOOKUP(B202,Nuclides!A:E,3,FALSE)</f>
        <v>47</v>
      </c>
      <c r="G202" s="1">
        <f t="shared" si="12"/>
        <v>2496000000</v>
      </c>
      <c r="H202">
        <f>VLOOKUP(B202,Nuclides!A:E,4,FALSE)</f>
        <v>237</v>
      </c>
      <c r="J202" s="1">
        <v>47098</v>
      </c>
      <c r="K202" s="1">
        <v>3.9999999999999998E-7</v>
      </c>
      <c r="L202" t="str">
        <f>VLOOKUP(J202,Nuclides!A:E,5,FALSE)</f>
        <v>Ag98</v>
      </c>
      <c r="M202">
        <f>VLOOKUP(Sheet2!J202,Nuclides!A:E,2,FALSE)</f>
        <v>51</v>
      </c>
      <c r="N202">
        <f>VLOOKUP(J202,Nuclides!A:E,3,FALSE)</f>
        <v>47</v>
      </c>
      <c r="O202" s="1">
        <f t="shared" si="13"/>
        <v>4992000000</v>
      </c>
      <c r="R202" s="1">
        <v>37085</v>
      </c>
      <c r="S202" s="1">
        <v>3.8878599999999998E-8</v>
      </c>
      <c r="T202" t="str">
        <f>VLOOKUP(R202,Nuclides!A:E,5,FALSE)</f>
        <v>Rb85</v>
      </c>
      <c r="U202">
        <f>VLOOKUP(Sheet2!R202,Nuclides!A:E,2,FALSE)</f>
        <v>48</v>
      </c>
      <c r="V202">
        <f>VLOOKUP(R202,Nuclides!A:E,3,FALSE)</f>
        <v>37</v>
      </c>
      <c r="W202" s="1">
        <f t="shared" si="14"/>
        <v>485204928</v>
      </c>
      <c r="X202" t="s">
        <v>910</v>
      </c>
      <c r="Z202" s="1">
        <v>36090</v>
      </c>
      <c r="AA202" s="1">
        <v>2.0305500000000001E-5</v>
      </c>
      <c r="AB202" t="str">
        <f>VLOOKUP(Z202,Nuclides!A:E,5,FALSE)</f>
        <v>Kr90</v>
      </c>
      <c r="AC202">
        <f>VLOOKUP(Sheet2!Z202,Nuclides!A:E,2,FALSE)</f>
        <v>54</v>
      </c>
      <c r="AD202">
        <f>VLOOKUP(Z202,Nuclides!A:E,3,FALSE)</f>
        <v>36</v>
      </c>
      <c r="AE202" s="1">
        <f t="shared" si="15"/>
        <v>253412640000</v>
      </c>
      <c r="AF202" t="s">
        <v>887</v>
      </c>
    </row>
    <row r="203" spans="2:32" x14ac:dyDescent="0.2">
      <c r="B203">
        <v>47117</v>
      </c>
      <c r="C203" s="1">
        <v>4.9999999999999998E-7</v>
      </c>
      <c r="D203" t="str">
        <f>VLOOKUP(B203,Nuclides!A:E,5,FALSE)</f>
        <v>Ag117</v>
      </c>
      <c r="E203">
        <f>VLOOKUP(Sheet2!B203,Nuclides!A:E,2,FALSE)</f>
        <v>70</v>
      </c>
      <c r="F203">
        <f>VLOOKUP(B203,Nuclides!A:E,3,FALSE)</f>
        <v>47</v>
      </c>
      <c r="G203" s="1">
        <f t="shared" si="12"/>
        <v>6240000000</v>
      </c>
      <c r="H203">
        <f>VLOOKUP(B203,Nuclides!A:E,4,FALSE)</f>
        <v>72.8</v>
      </c>
      <c r="J203" s="1">
        <v>47099</v>
      </c>
      <c r="K203" s="1">
        <v>9.9999999999999995E-8</v>
      </c>
      <c r="L203" t="str">
        <f>VLOOKUP(J203,Nuclides!A:E,5,FALSE)</f>
        <v>Ag99</v>
      </c>
      <c r="M203">
        <f>VLOOKUP(Sheet2!J203,Nuclides!A:E,2,FALSE)</f>
        <v>52</v>
      </c>
      <c r="N203">
        <f>VLOOKUP(J203,Nuclides!A:E,3,FALSE)</f>
        <v>47</v>
      </c>
      <c r="O203" s="1">
        <f t="shared" si="13"/>
        <v>1248000000</v>
      </c>
      <c r="R203" s="1">
        <v>37086</v>
      </c>
      <c r="S203" s="1">
        <v>1.7149899999999999E-7</v>
      </c>
      <c r="T203" t="str">
        <f>VLOOKUP(R203,Nuclides!A:E,5,FALSE)</f>
        <v>Rb86</v>
      </c>
      <c r="U203">
        <f>VLOOKUP(Sheet2!R203,Nuclides!A:E,2,FALSE)</f>
        <v>49</v>
      </c>
      <c r="V203">
        <f>VLOOKUP(R203,Nuclides!A:E,3,FALSE)</f>
        <v>37</v>
      </c>
      <c r="W203" s="1">
        <f t="shared" si="14"/>
        <v>2140307520</v>
      </c>
      <c r="X203" t="s">
        <v>911</v>
      </c>
      <c r="Z203" s="1">
        <v>36091</v>
      </c>
      <c r="AA203" s="1">
        <v>2.0797399999999998E-5</v>
      </c>
      <c r="AB203" t="str">
        <f>VLOOKUP(Z203,Nuclides!A:E,5,FALSE)</f>
        <v>Kr91</v>
      </c>
      <c r="AC203">
        <f>VLOOKUP(Sheet2!Z203,Nuclides!A:E,2,FALSE)</f>
        <v>55</v>
      </c>
      <c r="AD203">
        <f>VLOOKUP(Z203,Nuclides!A:E,3,FALSE)</f>
        <v>36</v>
      </c>
      <c r="AE203" s="1">
        <f t="shared" si="15"/>
        <v>259551551999.99997</v>
      </c>
      <c r="AF203" t="s">
        <v>888</v>
      </c>
    </row>
    <row r="204" spans="2:32" x14ac:dyDescent="0.2">
      <c r="B204">
        <v>47118</v>
      </c>
      <c r="C204" s="1">
        <v>6.9999999999999997E-7</v>
      </c>
      <c r="D204" t="str">
        <f>VLOOKUP(B204,Nuclides!A:E,5,FALSE)</f>
        <v>Ag118</v>
      </c>
      <c r="E204">
        <f>VLOOKUP(Sheet2!B204,Nuclides!A:E,2,FALSE)</f>
        <v>71</v>
      </c>
      <c r="F204">
        <f>VLOOKUP(B204,Nuclides!A:E,3,FALSE)</f>
        <v>47</v>
      </c>
      <c r="G204" s="1">
        <f t="shared" si="12"/>
        <v>8736000000</v>
      </c>
      <c r="H204">
        <f>VLOOKUP(B204,Nuclides!A:E,4,FALSE)</f>
        <v>3.76</v>
      </c>
      <c r="J204" s="1">
        <v>47100</v>
      </c>
      <c r="K204" s="1">
        <v>9.9999999999999995E-8</v>
      </c>
      <c r="L204" t="str">
        <f>VLOOKUP(J204,Nuclides!A:E,5,FALSE)</f>
        <v>Ag100</v>
      </c>
      <c r="M204">
        <f>VLOOKUP(Sheet2!J204,Nuclides!A:E,2,FALSE)</f>
        <v>53</v>
      </c>
      <c r="N204">
        <f>VLOOKUP(J204,Nuclides!A:E,3,FALSE)</f>
        <v>47</v>
      </c>
      <c r="O204" s="1">
        <f t="shared" si="13"/>
        <v>1248000000</v>
      </c>
      <c r="R204" s="1">
        <v>37087</v>
      </c>
      <c r="S204" s="1">
        <v>6.7273199999999997E-7</v>
      </c>
      <c r="T204" t="str">
        <f>VLOOKUP(R204,Nuclides!A:E,5,FALSE)</f>
        <v>Rb87</v>
      </c>
      <c r="U204">
        <f>VLOOKUP(Sheet2!R204,Nuclides!A:E,2,FALSE)</f>
        <v>50</v>
      </c>
      <c r="V204">
        <f>VLOOKUP(R204,Nuclides!A:E,3,FALSE)</f>
        <v>37</v>
      </c>
      <c r="W204" s="1">
        <f t="shared" si="14"/>
        <v>8395695360</v>
      </c>
      <c r="X204" t="s">
        <v>912</v>
      </c>
      <c r="Z204" s="1">
        <v>36092</v>
      </c>
      <c r="AA204" s="1">
        <v>2.4842400000000001E-5</v>
      </c>
      <c r="AB204" t="str">
        <f>VLOOKUP(Z204,Nuclides!A:E,5,FALSE)</f>
        <v>Kr92</v>
      </c>
      <c r="AC204">
        <f>VLOOKUP(Sheet2!Z204,Nuclides!A:E,2,FALSE)</f>
        <v>56</v>
      </c>
      <c r="AD204">
        <f>VLOOKUP(Z204,Nuclides!A:E,3,FALSE)</f>
        <v>36</v>
      </c>
      <c r="AE204" s="1">
        <f t="shared" si="15"/>
        <v>310033152000</v>
      </c>
      <c r="AF204" t="s">
        <v>889</v>
      </c>
    </row>
    <row r="205" spans="2:32" x14ac:dyDescent="0.2">
      <c r="B205">
        <v>47119</v>
      </c>
      <c r="C205" s="1">
        <v>7.9999999999999996E-7</v>
      </c>
      <c r="D205" t="str">
        <f>VLOOKUP(B205,Nuclides!A:E,5,FALSE)</f>
        <v>Ag119</v>
      </c>
      <c r="E205">
        <f>VLOOKUP(Sheet2!B205,Nuclides!A:E,2,FALSE)</f>
        <v>72</v>
      </c>
      <c r="F205">
        <f>VLOOKUP(B205,Nuclides!A:E,3,FALSE)</f>
        <v>47</v>
      </c>
      <c r="G205" s="1">
        <f t="shared" si="12"/>
        <v>9984000000</v>
      </c>
      <c r="H205">
        <f>VLOOKUP(B205,Nuclides!A:E,4,FALSE)</f>
        <v>6</v>
      </c>
      <c r="J205" s="1">
        <v>47115</v>
      </c>
      <c r="K205" s="1">
        <v>1.9999999999999999E-7</v>
      </c>
      <c r="L205" t="str">
        <f>VLOOKUP(J205,Nuclides!A:E,5,FALSE)</f>
        <v>Ag115</v>
      </c>
      <c r="M205">
        <f>VLOOKUP(Sheet2!J205,Nuclides!A:E,2,FALSE)</f>
        <v>68</v>
      </c>
      <c r="N205">
        <f>VLOOKUP(J205,Nuclides!A:E,3,FALSE)</f>
        <v>47</v>
      </c>
      <c r="O205" s="1">
        <f t="shared" si="13"/>
        <v>2496000000</v>
      </c>
      <c r="R205" s="1">
        <v>37088</v>
      </c>
      <c r="S205" s="1">
        <v>2.2233399999999998E-6</v>
      </c>
      <c r="T205" t="str">
        <f>VLOOKUP(R205,Nuclides!A:E,5,FALSE)</f>
        <v>Rb88</v>
      </c>
      <c r="U205">
        <f>VLOOKUP(Sheet2!R205,Nuclides!A:E,2,FALSE)</f>
        <v>51</v>
      </c>
      <c r="V205">
        <f>VLOOKUP(R205,Nuclides!A:E,3,FALSE)</f>
        <v>37</v>
      </c>
      <c r="W205" s="1">
        <f t="shared" si="14"/>
        <v>27747283199.999996</v>
      </c>
      <c r="X205" t="s">
        <v>913</v>
      </c>
      <c r="Z205" s="1">
        <v>36093</v>
      </c>
      <c r="AA205" s="1">
        <v>1.28574E-5</v>
      </c>
      <c r="AB205" t="str">
        <f>VLOOKUP(Z205,Nuclides!A:E,5,FALSE)</f>
        <v>Kr93</v>
      </c>
      <c r="AC205">
        <f>VLOOKUP(Sheet2!Z205,Nuclides!A:E,2,FALSE)</f>
        <v>57</v>
      </c>
      <c r="AD205">
        <f>VLOOKUP(Z205,Nuclides!A:E,3,FALSE)</f>
        <v>36</v>
      </c>
      <c r="AE205" s="1">
        <f t="shared" si="15"/>
        <v>160460352000</v>
      </c>
      <c r="AF205" t="s">
        <v>890</v>
      </c>
    </row>
    <row r="206" spans="2:32" x14ac:dyDescent="0.2">
      <c r="B206">
        <v>47120</v>
      </c>
      <c r="C206" s="1">
        <v>7.9999999999999996E-7</v>
      </c>
      <c r="D206" t="str">
        <f>VLOOKUP(B206,Nuclides!A:E,5,FALSE)</f>
        <v>Ag120</v>
      </c>
      <c r="E206">
        <f>VLOOKUP(Sheet2!B206,Nuclides!A:E,2,FALSE)</f>
        <v>73</v>
      </c>
      <c r="F206">
        <f>VLOOKUP(B206,Nuclides!A:E,3,FALSE)</f>
        <v>47</v>
      </c>
      <c r="G206" s="1">
        <f t="shared" si="12"/>
        <v>9984000000</v>
      </c>
      <c r="H206">
        <f>VLOOKUP(B206,Nuclides!A:E,4,FALSE)</f>
        <v>1.23</v>
      </c>
      <c r="J206" s="1">
        <v>47116</v>
      </c>
      <c r="K206" s="1">
        <v>2.9999999999999999E-7</v>
      </c>
      <c r="L206" t="str">
        <f>VLOOKUP(J206,Nuclides!A:E,5,FALSE)</f>
        <v>Ag116</v>
      </c>
      <c r="M206">
        <f>VLOOKUP(Sheet2!J206,Nuclides!A:E,2,FALSE)</f>
        <v>69</v>
      </c>
      <c r="N206">
        <f>VLOOKUP(J206,Nuclides!A:E,3,FALSE)</f>
        <v>47</v>
      </c>
      <c r="O206" s="1">
        <f t="shared" si="13"/>
        <v>3744000000</v>
      </c>
      <c r="R206" s="1">
        <v>37089</v>
      </c>
      <c r="S206" s="1">
        <v>7.1252500000000001E-6</v>
      </c>
      <c r="T206" t="str">
        <f>VLOOKUP(R206,Nuclides!A:E,5,FALSE)</f>
        <v>Rb89</v>
      </c>
      <c r="U206">
        <f>VLOOKUP(Sheet2!R206,Nuclides!A:E,2,FALSE)</f>
        <v>52</v>
      </c>
      <c r="V206">
        <f>VLOOKUP(R206,Nuclides!A:E,3,FALSE)</f>
        <v>37</v>
      </c>
      <c r="W206" s="1">
        <f t="shared" si="14"/>
        <v>88923120000</v>
      </c>
      <c r="X206" t="s">
        <v>914</v>
      </c>
      <c r="Z206" s="1">
        <v>36094</v>
      </c>
      <c r="AA206" s="1">
        <v>1.13819E-5</v>
      </c>
      <c r="AB206" t="str">
        <f>VLOOKUP(Z206,Nuclides!A:E,5,FALSE)</f>
        <v>Kr94</v>
      </c>
      <c r="AC206">
        <f>VLOOKUP(Sheet2!Z206,Nuclides!A:E,2,FALSE)</f>
        <v>58</v>
      </c>
      <c r="AD206">
        <f>VLOOKUP(Z206,Nuclides!A:E,3,FALSE)</f>
        <v>36</v>
      </c>
      <c r="AE206" s="1">
        <f t="shared" si="15"/>
        <v>142046112000</v>
      </c>
      <c r="AF206" t="s">
        <v>891</v>
      </c>
    </row>
    <row r="207" spans="2:32" x14ac:dyDescent="0.2">
      <c r="B207">
        <v>47121</v>
      </c>
      <c r="C207" s="1">
        <v>5.9999999999999997E-7</v>
      </c>
      <c r="D207" t="str">
        <f>VLOOKUP(B207,Nuclides!A:E,5,FALSE)</f>
        <v>Ag121</v>
      </c>
      <c r="E207">
        <f>VLOOKUP(Sheet2!B207,Nuclides!A:E,2,FALSE)</f>
        <v>74</v>
      </c>
      <c r="F207">
        <f>VLOOKUP(B207,Nuclides!A:E,3,FALSE)</f>
        <v>47</v>
      </c>
      <c r="G207" s="1">
        <f t="shared" si="12"/>
        <v>7488000000</v>
      </c>
      <c r="H207">
        <f>VLOOKUP(B207,Nuclides!A:E,4,FALSE)</f>
        <v>0.78</v>
      </c>
      <c r="J207" s="1">
        <v>47117</v>
      </c>
      <c r="K207" s="1">
        <v>6.9999999999999997E-7</v>
      </c>
      <c r="L207" t="str">
        <f>VLOOKUP(J207,Nuclides!A:E,5,FALSE)</f>
        <v>Ag117</v>
      </c>
      <c r="M207">
        <f>VLOOKUP(Sheet2!J207,Nuclides!A:E,2,FALSE)</f>
        <v>70</v>
      </c>
      <c r="N207">
        <f>VLOOKUP(J207,Nuclides!A:E,3,FALSE)</f>
        <v>47</v>
      </c>
      <c r="O207" s="1">
        <f t="shared" si="13"/>
        <v>8736000000</v>
      </c>
      <c r="R207" s="1">
        <v>37090</v>
      </c>
      <c r="S207" s="1">
        <v>1.5968799999999999E-5</v>
      </c>
      <c r="T207" t="str">
        <f>VLOOKUP(R207,Nuclides!A:E,5,FALSE)</f>
        <v>Rb90</v>
      </c>
      <c r="U207">
        <f>VLOOKUP(Sheet2!R207,Nuclides!A:E,2,FALSE)</f>
        <v>53</v>
      </c>
      <c r="V207">
        <f>VLOOKUP(R207,Nuclides!A:E,3,FALSE)</f>
        <v>37</v>
      </c>
      <c r="W207" s="1">
        <f t="shared" si="14"/>
        <v>199290623999.99997</v>
      </c>
      <c r="X207" t="s">
        <v>915</v>
      </c>
      <c r="Z207" s="1">
        <v>36095</v>
      </c>
      <c r="AA207" s="1">
        <v>4.6708799999999999E-6</v>
      </c>
      <c r="AB207" t="str">
        <f>VLOOKUP(Z207,Nuclides!A:E,5,FALSE)</f>
        <v>Kr95</v>
      </c>
      <c r="AC207">
        <f>VLOOKUP(Sheet2!Z207,Nuclides!A:E,2,FALSE)</f>
        <v>59</v>
      </c>
      <c r="AD207">
        <f>VLOOKUP(Z207,Nuclides!A:E,3,FALSE)</f>
        <v>36</v>
      </c>
      <c r="AE207" s="1">
        <f t="shared" si="15"/>
        <v>58292582400</v>
      </c>
      <c r="AF207" t="s">
        <v>892</v>
      </c>
    </row>
    <row r="208" spans="2:32" x14ac:dyDescent="0.2">
      <c r="B208">
        <v>47122</v>
      </c>
      <c r="C208" s="1">
        <v>4.9999999999999998E-7</v>
      </c>
      <c r="D208" t="str">
        <f>VLOOKUP(B208,Nuclides!A:E,5,FALSE)</f>
        <v>Ag122</v>
      </c>
      <c r="E208">
        <f>VLOOKUP(Sheet2!B208,Nuclides!A:E,2,FALSE)</f>
        <v>75</v>
      </c>
      <c r="F208">
        <f>VLOOKUP(B208,Nuclides!A:E,3,FALSE)</f>
        <v>47</v>
      </c>
      <c r="G208" s="1">
        <f t="shared" si="12"/>
        <v>6240000000</v>
      </c>
      <c r="H208">
        <f>VLOOKUP(B208,Nuclides!A:E,4,FALSE)</f>
        <v>0.52900000000000003</v>
      </c>
      <c r="J208" s="1">
        <v>47118</v>
      </c>
      <c r="K208" s="1">
        <v>1.1999999999999999E-6</v>
      </c>
      <c r="L208" t="str">
        <f>VLOOKUP(J208,Nuclides!A:E,5,FALSE)</f>
        <v>Ag118</v>
      </c>
      <c r="M208">
        <f>VLOOKUP(Sheet2!J208,Nuclides!A:E,2,FALSE)</f>
        <v>71</v>
      </c>
      <c r="N208">
        <f>VLOOKUP(J208,Nuclides!A:E,3,FALSE)</f>
        <v>47</v>
      </c>
      <c r="O208" s="1">
        <f t="shared" si="13"/>
        <v>14976000000</v>
      </c>
      <c r="R208" s="1">
        <v>37091</v>
      </c>
      <c r="S208" s="1">
        <v>3.4290299999999999E-5</v>
      </c>
      <c r="T208" t="str">
        <f>VLOOKUP(R208,Nuclides!A:E,5,FALSE)</f>
        <v>Rb91</v>
      </c>
      <c r="U208">
        <f>VLOOKUP(Sheet2!R208,Nuclides!A:E,2,FALSE)</f>
        <v>54</v>
      </c>
      <c r="V208">
        <f>VLOOKUP(R208,Nuclides!A:E,3,FALSE)</f>
        <v>37</v>
      </c>
      <c r="W208" s="1">
        <f t="shared" si="14"/>
        <v>427942944000</v>
      </c>
      <c r="X208" t="s">
        <v>916</v>
      </c>
      <c r="Z208" s="1">
        <v>36096</v>
      </c>
      <c r="AA208" s="1">
        <v>5.5634799999999996E-6</v>
      </c>
      <c r="AB208" t="str">
        <f>VLOOKUP(Z208,Nuclides!A:E,5,FALSE)</f>
        <v>Kr96</v>
      </c>
      <c r="AC208">
        <f>VLOOKUP(Sheet2!Z208,Nuclides!A:E,2,FALSE)</f>
        <v>60</v>
      </c>
      <c r="AD208">
        <f>VLOOKUP(Z208,Nuclides!A:E,3,FALSE)</f>
        <v>36</v>
      </c>
      <c r="AE208" s="1">
        <f t="shared" si="15"/>
        <v>69432230400</v>
      </c>
      <c r="AF208" t="s">
        <v>893</v>
      </c>
    </row>
    <row r="209" spans="2:32" x14ac:dyDescent="0.2">
      <c r="B209">
        <v>47123</v>
      </c>
      <c r="C209" s="1">
        <v>1.9999999999999999E-7</v>
      </c>
      <c r="D209" t="str">
        <f>VLOOKUP(B209,Nuclides!A:E,5,FALSE)</f>
        <v>Ag123</v>
      </c>
      <c r="E209">
        <f>VLOOKUP(Sheet2!B209,Nuclides!A:E,2,FALSE)</f>
        <v>76</v>
      </c>
      <c r="F209">
        <f>VLOOKUP(B209,Nuclides!A:E,3,FALSE)</f>
        <v>47</v>
      </c>
      <c r="G209" s="1">
        <f t="shared" si="12"/>
        <v>2496000000</v>
      </c>
      <c r="H209">
        <f>VLOOKUP(B209,Nuclides!A:E,4,FALSE)</f>
        <v>0.3</v>
      </c>
      <c r="J209" s="1">
        <v>47119</v>
      </c>
      <c r="K209" s="1">
        <v>1.3E-6</v>
      </c>
      <c r="L209" t="str">
        <f>VLOOKUP(J209,Nuclides!A:E,5,FALSE)</f>
        <v>Ag119</v>
      </c>
      <c r="M209">
        <f>VLOOKUP(Sheet2!J209,Nuclides!A:E,2,FALSE)</f>
        <v>72</v>
      </c>
      <c r="N209">
        <f>VLOOKUP(J209,Nuclides!A:E,3,FALSE)</f>
        <v>47</v>
      </c>
      <c r="O209" s="1">
        <f t="shared" si="13"/>
        <v>16224000000</v>
      </c>
      <c r="R209" s="1">
        <v>37092</v>
      </c>
      <c r="S209" s="1">
        <v>4.6752799999999997E-5</v>
      </c>
      <c r="T209" t="str">
        <f>VLOOKUP(R209,Nuclides!A:E,5,FALSE)</f>
        <v>Rb92</v>
      </c>
      <c r="U209">
        <f>VLOOKUP(Sheet2!R209,Nuclides!A:E,2,FALSE)</f>
        <v>55</v>
      </c>
      <c r="V209">
        <f>VLOOKUP(R209,Nuclides!A:E,3,FALSE)</f>
        <v>37</v>
      </c>
      <c r="W209" s="1">
        <f t="shared" si="14"/>
        <v>583474944000</v>
      </c>
      <c r="X209" t="s">
        <v>917</v>
      </c>
      <c r="Z209" s="1">
        <v>36097</v>
      </c>
      <c r="AA209" s="1">
        <v>5.58679E-7</v>
      </c>
      <c r="AB209" t="str">
        <f>VLOOKUP(Z209,Nuclides!A:E,5,FALSE)</f>
        <v>Kr97</v>
      </c>
      <c r="AC209">
        <f>VLOOKUP(Sheet2!Z209,Nuclides!A:E,2,FALSE)</f>
        <v>61</v>
      </c>
      <c r="AD209">
        <f>VLOOKUP(Z209,Nuclides!A:E,3,FALSE)</f>
        <v>36</v>
      </c>
      <c r="AE209" s="1">
        <f t="shared" si="15"/>
        <v>6972313920</v>
      </c>
      <c r="AF209" t="s">
        <v>894</v>
      </c>
    </row>
    <row r="210" spans="2:32" x14ac:dyDescent="0.2">
      <c r="B210">
        <v>48097</v>
      </c>
      <c r="C210" s="1">
        <v>9.9999999999999995E-8</v>
      </c>
      <c r="D210" t="str">
        <f>VLOOKUP(B210,Nuclides!A:E,5,FALSE)</f>
        <v>Cd97</v>
      </c>
      <c r="E210">
        <f>VLOOKUP(Sheet2!B210,Nuclides!A:E,2,FALSE)</f>
        <v>49</v>
      </c>
      <c r="F210">
        <f>VLOOKUP(B210,Nuclides!A:E,3,FALSE)</f>
        <v>48</v>
      </c>
      <c r="G210" s="1">
        <f t="shared" si="12"/>
        <v>1248000000</v>
      </c>
      <c r="H210">
        <f>VLOOKUP(B210,Nuclides!A:E,4,FALSE)</f>
        <v>1.1000000000000001</v>
      </c>
      <c r="J210" s="1">
        <v>47120</v>
      </c>
      <c r="K210" s="1">
        <v>1.3E-6</v>
      </c>
      <c r="L210" t="str">
        <f>VLOOKUP(J210,Nuclides!A:E,5,FALSE)</f>
        <v>Ag120</v>
      </c>
      <c r="M210">
        <f>VLOOKUP(Sheet2!J210,Nuclides!A:E,2,FALSE)</f>
        <v>73</v>
      </c>
      <c r="N210">
        <f>VLOOKUP(J210,Nuclides!A:E,3,FALSE)</f>
        <v>47</v>
      </c>
      <c r="O210" s="1">
        <f t="shared" si="13"/>
        <v>16224000000</v>
      </c>
      <c r="R210" s="1">
        <v>37093</v>
      </c>
      <c r="S210" s="1">
        <v>5.9101300000000003E-5</v>
      </c>
      <c r="T210" t="str">
        <f>VLOOKUP(R210,Nuclides!A:E,5,FALSE)</f>
        <v>Rb93</v>
      </c>
      <c r="U210">
        <f>VLOOKUP(Sheet2!R210,Nuclides!A:E,2,FALSE)</f>
        <v>56</v>
      </c>
      <c r="V210">
        <f>VLOOKUP(R210,Nuclides!A:E,3,FALSE)</f>
        <v>37</v>
      </c>
      <c r="W210" s="1">
        <f t="shared" si="14"/>
        <v>737584224000</v>
      </c>
      <c r="X210" t="s">
        <v>918</v>
      </c>
      <c r="Z210" s="1">
        <v>37074</v>
      </c>
      <c r="AA210" s="1">
        <v>2.8262000000000003E-7</v>
      </c>
      <c r="AB210" t="str">
        <f>VLOOKUP(Z210,Nuclides!A:E,5,FALSE)</f>
        <v>Rb74</v>
      </c>
      <c r="AC210">
        <f>VLOOKUP(Sheet2!Z210,Nuclides!A:E,2,FALSE)</f>
        <v>37</v>
      </c>
      <c r="AD210">
        <f>VLOOKUP(Z210,Nuclides!A:E,3,FALSE)</f>
        <v>37</v>
      </c>
      <c r="AE210" s="1">
        <f t="shared" si="15"/>
        <v>3527097600.0000005</v>
      </c>
      <c r="AF210" t="s">
        <v>899</v>
      </c>
    </row>
    <row r="211" spans="2:32" x14ac:dyDescent="0.2">
      <c r="B211">
        <v>48116</v>
      </c>
      <c r="C211" s="1">
        <v>1.9999999999999999E-7</v>
      </c>
      <c r="D211" t="str">
        <f>VLOOKUP(B211,Nuclides!A:E,5,FALSE)</f>
        <v>Cd116</v>
      </c>
      <c r="E211">
        <f>VLOOKUP(Sheet2!B211,Nuclides!A:E,2,FALSE)</f>
        <v>68</v>
      </c>
      <c r="F211">
        <f>VLOOKUP(B211,Nuclides!A:E,3,FALSE)</f>
        <v>48</v>
      </c>
      <c r="G211" s="1">
        <f t="shared" si="12"/>
        <v>2496000000</v>
      </c>
      <c r="H211">
        <f>VLOOKUP(B211,Nuclides!A:E,4,FALSE)</f>
        <v>1.0414008E+27</v>
      </c>
      <c r="J211" s="1">
        <v>47121</v>
      </c>
      <c r="K211" s="1">
        <v>3.9999999999999998E-7</v>
      </c>
      <c r="L211" t="str">
        <f>VLOOKUP(J211,Nuclides!A:E,5,FALSE)</f>
        <v>Ag121</v>
      </c>
      <c r="M211">
        <f>VLOOKUP(Sheet2!J211,Nuclides!A:E,2,FALSE)</f>
        <v>74</v>
      </c>
      <c r="N211">
        <f>VLOOKUP(J211,Nuclides!A:E,3,FALSE)</f>
        <v>47</v>
      </c>
      <c r="O211" s="1">
        <f t="shared" si="13"/>
        <v>4992000000</v>
      </c>
      <c r="R211" s="1">
        <v>37094</v>
      </c>
      <c r="S211" s="1">
        <v>4.0043999999999998E-5</v>
      </c>
      <c r="T211" t="str">
        <f>VLOOKUP(R211,Nuclides!A:E,5,FALSE)</f>
        <v>Rb94</v>
      </c>
      <c r="U211">
        <f>VLOOKUP(Sheet2!R211,Nuclides!A:E,2,FALSE)</f>
        <v>57</v>
      </c>
      <c r="V211">
        <f>VLOOKUP(R211,Nuclides!A:E,3,FALSE)</f>
        <v>37</v>
      </c>
      <c r="W211" s="1">
        <f t="shared" si="14"/>
        <v>499749120000</v>
      </c>
      <c r="X211" t="s">
        <v>919</v>
      </c>
      <c r="Z211" s="1">
        <v>37075</v>
      </c>
      <c r="AA211" s="1">
        <v>3.2666399999999998E-8</v>
      </c>
      <c r="AB211" t="str">
        <f>VLOOKUP(Z211,Nuclides!A:E,5,FALSE)</f>
        <v>Rb75</v>
      </c>
      <c r="AC211">
        <f>VLOOKUP(Sheet2!Z211,Nuclides!A:E,2,FALSE)</f>
        <v>38</v>
      </c>
      <c r="AD211">
        <f>VLOOKUP(Z211,Nuclides!A:E,3,FALSE)</f>
        <v>37</v>
      </c>
      <c r="AE211" s="1">
        <f t="shared" si="15"/>
        <v>407676672</v>
      </c>
      <c r="AF211" t="s">
        <v>900</v>
      </c>
    </row>
    <row r="212" spans="2:32" x14ac:dyDescent="0.2">
      <c r="B212">
        <v>48117</v>
      </c>
      <c r="C212" s="1">
        <v>9.9999999999999995E-8</v>
      </c>
      <c r="D212" t="str">
        <f>VLOOKUP(B212,Nuclides!A:E,5,FALSE)</f>
        <v>Cd117</v>
      </c>
      <c r="E212">
        <f>VLOOKUP(Sheet2!B212,Nuclides!A:E,2,FALSE)</f>
        <v>69</v>
      </c>
      <c r="F212">
        <f>VLOOKUP(B212,Nuclides!A:E,3,FALSE)</f>
        <v>48</v>
      </c>
      <c r="G212" s="1">
        <f t="shared" si="12"/>
        <v>1248000000</v>
      </c>
      <c r="H212">
        <f>VLOOKUP(B212,Nuclides!A:E,4,FALSE)</f>
        <v>8964</v>
      </c>
      <c r="J212" s="1">
        <v>47122</v>
      </c>
      <c r="K212" s="1">
        <v>8.9999999999999996E-7</v>
      </c>
      <c r="L212" t="str">
        <f>VLOOKUP(J212,Nuclides!A:E,5,FALSE)</f>
        <v>Ag122</v>
      </c>
      <c r="M212">
        <f>VLOOKUP(Sheet2!J212,Nuclides!A:E,2,FALSE)</f>
        <v>75</v>
      </c>
      <c r="N212">
        <f>VLOOKUP(J212,Nuclides!A:E,3,FALSE)</f>
        <v>47</v>
      </c>
      <c r="O212" s="1">
        <f t="shared" si="13"/>
        <v>11232000000</v>
      </c>
      <c r="R212" s="1">
        <v>37095</v>
      </c>
      <c r="S212" s="1">
        <v>3.0660600000000003E-5</v>
      </c>
      <c r="T212" t="str">
        <f>VLOOKUP(R212,Nuclides!A:E,5,FALSE)</f>
        <v>Rb95</v>
      </c>
      <c r="U212">
        <f>VLOOKUP(Sheet2!R212,Nuclides!A:E,2,FALSE)</f>
        <v>58</v>
      </c>
      <c r="V212">
        <f>VLOOKUP(R212,Nuclides!A:E,3,FALSE)</f>
        <v>37</v>
      </c>
      <c r="W212" s="1">
        <f t="shared" si="14"/>
        <v>382644288000.00006</v>
      </c>
      <c r="X212" t="s">
        <v>920</v>
      </c>
      <c r="Z212" s="1">
        <v>37076</v>
      </c>
      <c r="AA212" s="1">
        <v>1.43788E-8</v>
      </c>
      <c r="AB212" t="str">
        <f>VLOOKUP(Z212,Nuclides!A:E,5,FALSE)</f>
        <v>Rb76</v>
      </c>
      <c r="AC212">
        <f>VLOOKUP(Sheet2!Z212,Nuclides!A:E,2,FALSE)</f>
        <v>39</v>
      </c>
      <c r="AD212">
        <f>VLOOKUP(Z212,Nuclides!A:E,3,FALSE)</f>
        <v>37</v>
      </c>
      <c r="AE212" s="1">
        <f t="shared" si="15"/>
        <v>179447424</v>
      </c>
      <c r="AF212" t="s">
        <v>901</v>
      </c>
    </row>
    <row r="213" spans="2:32" x14ac:dyDescent="0.2">
      <c r="B213">
        <v>48118</v>
      </c>
      <c r="C213" s="1">
        <v>2.9999999999999999E-7</v>
      </c>
      <c r="D213" t="str">
        <f>VLOOKUP(B213,Nuclides!A:E,5,FALSE)</f>
        <v>Cd118</v>
      </c>
      <c r="E213">
        <f>VLOOKUP(Sheet2!B213,Nuclides!A:E,2,FALSE)</f>
        <v>70</v>
      </c>
      <c r="F213">
        <f>VLOOKUP(B213,Nuclides!A:E,3,FALSE)</f>
        <v>48</v>
      </c>
      <c r="G213" s="1">
        <f t="shared" si="12"/>
        <v>3744000000</v>
      </c>
      <c r="H213">
        <f>VLOOKUP(B213,Nuclides!A:E,4,FALSE)</f>
        <v>3018</v>
      </c>
      <c r="J213" s="1">
        <v>47123</v>
      </c>
      <c r="K213" s="1">
        <v>1.9999999999999999E-7</v>
      </c>
      <c r="L213" t="str">
        <f>VLOOKUP(J213,Nuclides!A:E,5,FALSE)</f>
        <v>Ag123</v>
      </c>
      <c r="M213">
        <f>VLOOKUP(Sheet2!J213,Nuclides!A:E,2,FALSE)</f>
        <v>76</v>
      </c>
      <c r="N213">
        <f>VLOOKUP(J213,Nuclides!A:E,3,FALSE)</f>
        <v>47</v>
      </c>
      <c r="O213" s="1">
        <f t="shared" si="13"/>
        <v>2496000000</v>
      </c>
      <c r="R213" s="1">
        <v>37096</v>
      </c>
      <c r="S213" s="1">
        <v>1.19838E-5</v>
      </c>
      <c r="T213" t="str">
        <f>VLOOKUP(R213,Nuclides!A:E,5,FALSE)</f>
        <v>Rb96</v>
      </c>
      <c r="U213">
        <f>VLOOKUP(Sheet2!R213,Nuclides!A:E,2,FALSE)</f>
        <v>59</v>
      </c>
      <c r="V213">
        <f>VLOOKUP(R213,Nuclides!A:E,3,FALSE)</f>
        <v>37</v>
      </c>
      <c r="W213" s="1">
        <f t="shared" si="14"/>
        <v>149557824000</v>
      </c>
      <c r="X213" t="s">
        <v>921</v>
      </c>
      <c r="Z213" s="1">
        <v>37077</v>
      </c>
      <c r="AA213" s="1">
        <v>1.1866E-9</v>
      </c>
      <c r="AB213" t="str">
        <f>VLOOKUP(Z213,Nuclides!A:E,5,FALSE)</f>
        <v>Rb77</v>
      </c>
      <c r="AC213">
        <f>VLOOKUP(Sheet2!Z213,Nuclides!A:E,2,FALSE)</f>
        <v>40</v>
      </c>
      <c r="AD213">
        <f>VLOOKUP(Z213,Nuclides!A:E,3,FALSE)</f>
        <v>37</v>
      </c>
      <c r="AE213" s="1">
        <f t="shared" si="15"/>
        <v>14808768</v>
      </c>
      <c r="AF213" t="s">
        <v>902</v>
      </c>
    </row>
    <row r="214" spans="2:32" x14ac:dyDescent="0.2">
      <c r="B214">
        <v>48119</v>
      </c>
      <c r="C214" s="1">
        <v>9.9999999999999995E-8</v>
      </c>
      <c r="D214" t="str">
        <f>VLOOKUP(B214,Nuclides!A:E,5,FALSE)</f>
        <v>Cd119</v>
      </c>
      <c r="E214">
        <f>VLOOKUP(Sheet2!B214,Nuclides!A:E,2,FALSE)</f>
        <v>71</v>
      </c>
      <c r="F214">
        <f>VLOOKUP(B214,Nuclides!A:E,3,FALSE)</f>
        <v>48</v>
      </c>
      <c r="G214" s="1">
        <f t="shared" si="12"/>
        <v>1248000000</v>
      </c>
      <c r="H214">
        <f>VLOOKUP(B214,Nuclides!A:E,4,FALSE)</f>
        <v>161.4</v>
      </c>
      <c r="J214" s="1">
        <v>48097</v>
      </c>
      <c r="K214" s="1">
        <v>9.9999999999999995E-8</v>
      </c>
      <c r="L214" t="str">
        <f>VLOOKUP(J214,Nuclides!A:E,5,FALSE)</f>
        <v>Cd97</v>
      </c>
      <c r="M214">
        <f>VLOOKUP(Sheet2!J214,Nuclides!A:E,2,FALSE)</f>
        <v>49</v>
      </c>
      <c r="N214">
        <f>VLOOKUP(J214,Nuclides!A:E,3,FALSE)</f>
        <v>48</v>
      </c>
      <c r="O214" s="1">
        <f t="shared" si="13"/>
        <v>1248000000</v>
      </c>
      <c r="R214" s="1">
        <v>37097</v>
      </c>
      <c r="S214" s="1">
        <v>5.6120599999999998E-6</v>
      </c>
      <c r="T214" t="str">
        <f>VLOOKUP(R214,Nuclides!A:E,5,FALSE)</f>
        <v>Rb97</v>
      </c>
      <c r="U214">
        <f>VLOOKUP(Sheet2!R214,Nuclides!A:E,2,FALSE)</f>
        <v>60</v>
      </c>
      <c r="V214">
        <f>VLOOKUP(R214,Nuclides!A:E,3,FALSE)</f>
        <v>37</v>
      </c>
      <c r="W214" s="1">
        <f t="shared" si="14"/>
        <v>70038508800</v>
      </c>
      <c r="X214" t="s">
        <v>922</v>
      </c>
      <c r="Z214" s="1">
        <v>37078</v>
      </c>
      <c r="AA214" s="1">
        <v>2.7919999999999998E-10</v>
      </c>
      <c r="AB214" t="str">
        <f>VLOOKUP(Z214,Nuclides!A:E,5,FALSE)</f>
        <v>Rb78</v>
      </c>
      <c r="AC214">
        <f>VLOOKUP(Sheet2!Z214,Nuclides!A:E,2,FALSE)</f>
        <v>41</v>
      </c>
      <c r="AD214">
        <f>VLOOKUP(Z214,Nuclides!A:E,3,FALSE)</f>
        <v>37</v>
      </c>
      <c r="AE214" s="1">
        <f t="shared" si="15"/>
        <v>3484415.9999999995</v>
      </c>
      <c r="AF214" t="s">
        <v>903</v>
      </c>
    </row>
    <row r="215" spans="2:32" x14ac:dyDescent="0.2">
      <c r="B215">
        <v>48120</v>
      </c>
      <c r="C215" s="1">
        <v>1.1999999999999999E-6</v>
      </c>
      <c r="D215" t="str">
        <f>VLOOKUP(B215,Nuclides!A:E,5,FALSE)</f>
        <v>Cd120</v>
      </c>
      <c r="E215">
        <f>VLOOKUP(Sheet2!B215,Nuclides!A:E,2,FALSE)</f>
        <v>72</v>
      </c>
      <c r="F215">
        <f>VLOOKUP(B215,Nuclides!A:E,3,FALSE)</f>
        <v>48</v>
      </c>
      <c r="G215" s="1">
        <f t="shared" si="12"/>
        <v>14976000000</v>
      </c>
      <c r="H215">
        <f>VLOOKUP(B215,Nuclides!A:E,4,FALSE)</f>
        <v>50.8</v>
      </c>
      <c r="J215" s="1">
        <v>48116</v>
      </c>
      <c r="K215" s="1">
        <v>9.9999999999999995E-8</v>
      </c>
      <c r="L215" t="str">
        <f>VLOOKUP(J215,Nuclides!A:E,5,FALSE)</f>
        <v>Cd116</v>
      </c>
      <c r="M215">
        <f>VLOOKUP(Sheet2!J215,Nuclides!A:E,2,FALSE)</f>
        <v>68</v>
      </c>
      <c r="N215">
        <f>VLOOKUP(J215,Nuclides!A:E,3,FALSE)</f>
        <v>48</v>
      </c>
      <c r="O215" s="1">
        <f t="shared" si="13"/>
        <v>1248000000</v>
      </c>
      <c r="R215" s="1">
        <v>37098</v>
      </c>
      <c r="S215" s="1">
        <v>1.6683599999999999E-6</v>
      </c>
      <c r="T215" t="str">
        <f>VLOOKUP(R215,Nuclides!A:E,5,FALSE)</f>
        <v>Rb98</v>
      </c>
      <c r="U215">
        <f>VLOOKUP(Sheet2!R215,Nuclides!A:E,2,FALSE)</f>
        <v>61</v>
      </c>
      <c r="V215">
        <f>VLOOKUP(R215,Nuclides!A:E,3,FALSE)</f>
        <v>37</v>
      </c>
      <c r="W215" s="1">
        <f t="shared" si="14"/>
        <v>20821132800</v>
      </c>
      <c r="X215" t="s">
        <v>923</v>
      </c>
      <c r="Z215" s="1">
        <v>37085</v>
      </c>
      <c r="AA215" s="1">
        <v>5.5839999999999995E-10</v>
      </c>
      <c r="AB215" t="str">
        <f>VLOOKUP(Z215,Nuclides!A:E,5,FALSE)</f>
        <v>Rb85</v>
      </c>
      <c r="AC215">
        <f>VLOOKUP(Sheet2!Z215,Nuclides!A:E,2,FALSE)</f>
        <v>48</v>
      </c>
      <c r="AD215">
        <f>VLOOKUP(Z215,Nuclides!A:E,3,FALSE)</f>
        <v>37</v>
      </c>
      <c r="AE215" s="1">
        <f t="shared" si="15"/>
        <v>6968831.9999999991</v>
      </c>
      <c r="AF215" t="s">
        <v>910</v>
      </c>
    </row>
    <row r="216" spans="2:32" x14ac:dyDescent="0.2">
      <c r="B216">
        <v>48121</v>
      </c>
      <c r="C216" s="1">
        <v>1.1999999999999999E-6</v>
      </c>
      <c r="D216" t="str">
        <f>VLOOKUP(B216,Nuclides!A:E,5,FALSE)</f>
        <v>Cd121</v>
      </c>
      <c r="E216">
        <f>VLOOKUP(Sheet2!B216,Nuclides!A:E,2,FALSE)</f>
        <v>73</v>
      </c>
      <c r="F216">
        <f>VLOOKUP(B216,Nuclides!A:E,3,FALSE)</f>
        <v>48</v>
      </c>
      <c r="G216" s="1">
        <f t="shared" si="12"/>
        <v>14976000000</v>
      </c>
      <c r="H216">
        <f>VLOOKUP(B216,Nuclides!A:E,4,FALSE)</f>
        <v>13.5</v>
      </c>
      <c r="J216" s="1">
        <v>48117</v>
      </c>
      <c r="K216" s="1">
        <v>9.9999999999999995E-8</v>
      </c>
      <c r="L216" t="str">
        <f>VLOOKUP(J216,Nuclides!A:E,5,FALSE)</f>
        <v>Cd117</v>
      </c>
      <c r="M216">
        <f>VLOOKUP(Sheet2!J216,Nuclides!A:E,2,FALSE)</f>
        <v>69</v>
      </c>
      <c r="N216">
        <f>VLOOKUP(J216,Nuclides!A:E,3,FALSE)</f>
        <v>48</v>
      </c>
      <c r="O216" s="1">
        <f t="shared" si="13"/>
        <v>1248000000</v>
      </c>
      <c r="R216" s="1">
        <v>37099</v>
      </c>
      <c r="S216" s="1">
        <v>4.79177E-7</v>
      </c>
      <c r="T216" t="str">
        <f>VLOOKUP(R216,Nuclides!A:E,5,FALSE)</f>
        <v>Rb99</v>
      </c>
      <c r="U216">
        <f>VLOOKUP(Sheet2!R216,Nuclides!A:E,2,FALSE)</f>
        <v>62</v>
      </c>
      <c r="V216">
        <f>VLOOKUP(R216,Nuclides!A:E,3,FALSE)</f>
        <v>37</v>
      </c>
      <c r="W216" s="1">
        <f t="shared" si="14"/>
        <v>5980128960</v>
      </c>
      <c r="X216" t="s">
        <v>924</v>
      </c>
      <c r="Z216" s="1">
        <v>37086</v>
      </c>
      <c r="AA216" s="1">
        <v>4.6068000000000003E-9</v>
      </c>
      <c r="AB216" t="str">
        <f>VLOOKUP(Z216,Nuclides!A:E,5,FALSE)</f>
        <v>Rb86</v>
      </c>
      <c r="AC216">
        <f>VLOOKUP(Sheet2!Z216,Nuclides!A:E,2,FALSE)</f>
        <v>49</v>
      </c>
      <c r="AD216">
        <f>VLOOKUP(Z216,Nuclides!A:E,3,FALSE)</f>
        <v>37</v>
      </c>
      <c r="AE216" s="1">
        <f t="shared" si="15"/>
        <v>57492864</v>
      </c>
      <c r="AF216" t="s">
        <v>911</v>
      </c>
    </row>
    <row r="217" spans="2:32" x14ac:dyDescent="0.2">
      <c r="B217">
        <v>48122</v>
      </c>
      <c r="C217" s="1">
        <v>1.9999999999999999E-6</v>
      </c>
      <c r="D217" t="str">
        <f>VLOOKUP(B217,Nuclides!A:E,5,FALSE)</f>
        <v>Cd122</v>
      </c>
      <c r="E217">
        <f>VLOOKUP(Sheet2!B217,Nuclides!A:E,2,FALSE)</f>
        <v>74</v>
      </c>
      <c r="F217">
        <f>VLOOKUP(B217,Nuclides!A:E,3,FALSE)</f>
        <v>48</v>
      </c>
      <c r="G217" s="1">
        <f t="shared" si="12"/>
        <v>24960000000</v>
      </c>
      <c r="H217">
        <f>VLOOKUP(B217,Nuclides!A:E,4,FALSE)</f>
        <v>5.24</v>
      </c>
      <c r="J217" s="1">
        <v>48118</v>
      </c>
      <c r="K217" s="1">
        <v>9.9999999999999995E-8</v>
      </c>
      <c r="L217" t="str">
        <f>VLOOKUP(J217,Nuclides!A:E,5,FALSE)</f>
        <v>Cd118</v>
      </c>
      <c r="M217">
        <f>VLOOKUP(Sheet2!J217,Nuclides!A:E,2,FALSE)</f>
        <v>70</v>
      </c>
      <c r="N217">
        <f>VLOOKUP(J217,Nuclides!A:E,3,FALSE)</f>
        <v>48</v>
      </c>
      <c r="O217" s="1">
        <f t="shared" si="13"/>
        <v>1248000000</v>
      </c>
      <c r="R217" s="1">
        <v>37100</v>
      </c>
      <c r="S217" s="1">
        <v>1.08609E-7</v>
      </c>
      <c r="T217" t="str">
        <f>VLOOKUP(R217,Nuclides!A:E,5,FALSE)</f>
        <v>Rb100</v>
      </c>
      <c r="U217">
        <f>VLOOKUP(Sheet2!R217,Nuclides!A:E,2,FALSE)</f>
        <v>63</v>
      </c>
      <c r="V217">
        <f>VLOOKUP(R217,Nuclides!A:E,3,FALSE)</f>
        <v>37</v>
      </c>
      <c r="W217" s="1">
        <f t="shared" si="14"/>
        <v>1355440320</v>
      </c>
      <c r="X217" t="s">
        <v>925</v>
      </c>
      <c r="Z217" s="1">
        <v>37087</v>
      </c>
      <c r="AA217" s="1">
        <v>7.4825600000000003E-8</v>
      </c>
      <c r="AB217" t="str">
        <f>VLOOKUP(Z217,Nuclides!A:E,5,FALSE)</f>
        <v>Rb87</v>
      </c>
      <c r="AC217">
        <f>VLOOKUP(Sheet2!Z217,Nuclides!A:E,2,FALSE)</f>
        <v>50</v>
      </c>
      <c r="AD217">
        <f>VLOOKUP(Z217,Nuclides!A:E,3,FALSE)</f>
        <v>37</v>
      </c>
      <c r="AE217" s="1">
        <f t="shared" si="15"/>
        <v>933823488</v>
      </c>
      <c r="AF217" t="s">
        <v>912</v>
      </c>
    </row>
    <row r="218" spans="2:32" x14ac:dyDescent="0.2">
      <c r="B218">
        <v>48123</v>
      </c>
      <c r="C218" s="1">
        <v>1.1999999999999999E-6</v>
      </c>
      <c r="D218" t="str">
        <f>VLOOKUP(B218,Nuclides!A:E,5,FALSE)</f>
        <v>Cd123</v>
      </c>
      <c r="E218">
        <f>VLOOKUP(Sheet2!B218,Nuclides!A:E,2,FALSE)</f>
        <v>75</v>
      </c>
      <c r="F218">
        <f>VLOOKUP(B218,Nuclides!A:E,3,FALSE)</f>
        <v>48</v>
      </c>
      <c r="G218" s="1">
        <f t="shared" si="12"/>
        <v>14976000000</v>
      </c>
      <c r="H218">
        <f>VLOOKUP(B218,Nuclides!A:E,4,FALSE)</f>
        <v>2.1</v>
      </c>
      <c r="J218" s="1">
        <v>48119</v>
      </c>
      <c r="K218" s="1">
        <v>7.9999999999999996E-7</v>
      </c>
      <c r="L218" t="str">
        <f>VLOOKUP(J218,Nuclides!A:E,5,FALSE)</f>
        <v>Cd119</v>
      </c>
      <c r="M218">
        <f>VLOOKUP(Sheet2!J218,Nuclides!A:E,2,FALSE)</f>
        <v>71</v>
      </c>
      <c r="N218">
        <f>VLOOKUP(J218,Nuclides!A:E,3,FALSE)</f>
        <v>48</v>
      </c>
      <c r="O218" s="1">
        <f t="shared" si="13"/>
        <v>9984000000</v>
      </c>
      <c r="R218" s="1">
        <v>38077</v>
      </c>
      <c r="S218" s="1">
        <v>1.40996E-8</v>
      </c>
      <c r="T218" t="str">
        <f>VLOOKUP(R218,Nuclides!A:E,5,FALSE)</f>
        <v>Sr77</v>
      </c>
      <c r="U218">
        <f>VLOOKUP(Sheet2!R218,Nuclides!A:E,2,FALSE)</f>
        <v>39</v>
      </c>
      <c r="V218">
        <f>VLOOKUP(R218,Nuclides!A:E,3,FALSE)</f>
        <v>38</v>
      </c>
      <c r="W218" s="1">
        <f t="shared" si="14"/>
        <v>175963008</v>
      </c>
      <c r="X218" t="s">
        <v>933</v>
      </c>
      <c r="Z218" s="1">
        <v>37088</v>
      </c>
      <c r="AA218" s="1">
        <v>3.0844599999999998E-7</v>
      </c>
      <c r="AB218" t="str">
        <f>VLOOKUP(Z218,Nuclides!A:E,5,FALSE)</f>
        <v>Rb88</v>
      </c>
      <c r="AC218">
        <f>VLOOKUP(Sheet2!Z218,Nuclides!A:E,2,FALSE)</f>
        <v>51</v>
      </c>
      <c r="AD218">
        <f>VLOOKUP(Z218,Nuclides!A:E,3,FALSE)</f>
        <v>37</v>
      </c>
      <c r="AE218" s="1">
        <f t="shared" si="15"/>
        <v>3849406080</v>
      </c>
      <c r="AF218" t="s">
        <v>913</v>
      </c>
    </row>
    <row r="219" spans="2:32" x14ac:dyDescent="0.2">
      <c r="B219">
        <v>48124</v>
      </c>
      <c r="C219" s="1">
        <v>2.2000000000000001E-6</v>
      </c>
      <c r="D219" t="str">
        <f>VLOOKUP(B219,Nuclides!A:E,5,FALSE)</f>
        <v>Cd124</v>
      </c>
      <c r="E219">
        <f>VLOOKUP(Sheet2!B219,Nuclides!A:E,2,FALSE)</f>
        <v>76</v>
      </c>
      <c r="F219">
        <f>VLOOKUP(B219,Nuclides!A:E,3,FALSE)</f>
        <v>48</v>
      </c>
      <c r="G219" s="1">
        <f t="shared" si="12"/>
        <v>27456000000</v>
      </c>
      <c r="H219">
        <f>VLOOKUP(B219,Nuclides!A:E,4,FALSE)</f>
        <v>1.25</v>
      </c>
      <c r="J219" s="1">
        <v>48120</v>
      </c>
      <c r="K219" s="1">
        <v>8.9999999999999996E-7</v>
      </c>
      <c r="L219" t="str">
        <f>VLOOKUP(J219,Nuclides!A:E,5,FALSE)</f>
        <v>Cd120</v>
      </c>
      <c r="M219">
        <f>VLOOKUP(Sheet2!J219,Nuclides!A:E,2,FALSE)</f>
        <v>72</v>
      </c>
      <c r="N219">
        <f>VLOOKUP(J219,Nuclides!A:E,3,FALSE)</f>
        <v>48</v>
      </c>
      <c r="O219" s="1">
        <f t="shared" si="13"/>
        <v>11232000000</v>
      </c>
      <c r="R219" s="1">
        <v>38078</v>
      </c>
      <c r="S219" s="1">
        <v>1.1866E-9</v>
      </c>
      <c r="T219" t="str">
        <f>VLOOKUP(R219,Nuclides!A:E,5,FALSE)</f>
        <v>Sr78</v>
      </c>
      <c r="U219">
        <f>VLOOKUP(Sheet2!R219,Nuclides!A:E,2,FALSE)</f>
        <v>40</v>
      </c>
      <c r="V219">
        <f>VLOOKUP(R219,Nuclides!A:E,3,FALSE)</f>
        <v>38</v>
      </c>
      <c r="W219" s="1">
        <f t="shared" si="14"/>
        <v>14808768</v>
      </c>
      <c r="X219" t="s">
        <v>934</v>
      </c>
      <c r="Z219" s="1">
        <v>37089</v>
      </c>
      <c r="AA219" s="1">
        <v>1.5353200000000001E-6</v>
      </c>
      <c r="AB219" t="str">
        <f>VLOOKUP(Z219,Nuclides!A:E,5,FALSE)</f>
        <v>Rb89</v>
      </c>
      <c r="AC219">
        <f>VLOOKUP(Sheet2!Z219,Nuclides!A:E,2,FALSE)</f>
        <v>52</v>
      </c>
      <c r="AD219">
        <f>VLOOKUP(Z219,Nuclides!A:E,3,FALSE)</f>
        <v>37</v>
      </c>
      <c r="AE219" s="1">
        <f t="shared" si="15"/>
        <v>19160793600</v>
      </c>
      <c r="AF219" t="s">
        <v>914</v>
      </c>
    </row>
    <row r="220" spans="2:32" x14ac:dyDescent="0.2">
      <c r="B220">
        <v>48125</v>
      </c>
      <c r="C220" s="1">
        <v>9.9999999999999995E-7</v>
      </c>
      <c r="D220" t="str">
        <f>VLOOKUP(B220,Nuclides!A:E,5,FALSE)</f>
        <v>Cd125</v>
      </c>
      <c r="E220">
        <f>VLOOKUP(Sheet2!B220,Nuclides!A:E,2,FALSE)</f>
        <v>77</v>
      </c>
      <c r="F220">
        <f>VLOOKUP(B220,Nuclides!A:E,3,FALSE)</f>
        <v>48</v>
      </c>
      <c r="G220" s="1">
        <f t="shared" si="12"/>
        <v>12480000000</v>
      </c>
      <c r="H220">
        <f>VLOOKUP(B220,Nuclides!A:E,4,FALSE)</f>
        <v>0.68</v>
      </c>
      <c r="J220" s="1">
        <v>48121</v>
      </c>
      <c r="K220" s="1">
        <v>7.9999999999999996E-7</v>
      </c>
      <c r="L220" t="str">
        <f>VLOOKUP(J220,Nuclides!A:E,5,FALSE)</f>
        <v>Cd121</v>
      </c>
      <c r="M220">
        <f>VLOOKUP(Sheet2!J220,Nuclides!A:E,2,FALSE)</f>
        <v>73</v>
      </c>
      <c r="N220">
        <f>VLOOKUP(J220,Nuclides!A:E,3,FALSE)</f>
        <v>48</v>
      </c>
      <c r="O220" s="1">
        <f t="shared" si="13"/>
        <v>9984000000</v>
      </c>
      <c r="R220" s="1">
        <v>38079</v>
      </c>
      <c r="S220" s="1">
        <v>6.9799999999999994E-11</v>
      </c>
      <c r="T220" t="str">
        <f>VLOOKUP(R220,Nuclides!A:E,5,FALSE)</f>
        <v>Sr79</v>
      </c>
      <c r="U220">
        <f>VLOOKUP(Sheet2!R220,Nuclides!A:E,2,FALSE)</f>
        <v>41</v>
      </c>
      <c r="V220">
        <f>VLOOKUP(R220,Nuclides!A:E,3,FALSE)</f>
        <v>38</v>
      </c>
      <c r="W220" s="1">
        <f t="shared" si="14"/>
        <v>871103.99999999988</v>
      </c>
      <c r="X220" t="s">
        <v>935</v>
      </c>
      <c r="Z220" s="1">
        <v>37090</v>
      </c>
      <c r="AA220" s="1">
        <v>4.2028699999999996E-6</v>
      </c>
      <c r="AB220" t="str">
        <f>VLOOKUP(Z220,Nuclides!A:E,5,FALSE)</f>
        <v>Rb90</v>
      </c>
      <c r="AC220">
        <f>VLOOKUP(Sheet2!Z220,Nuclides!A:E,2,FALSE)</f>
        <v>53</v>
      </c>
      <c r="AD220">
        <f>VLOOKUP(Z220,Nuclides!A:E,3,FALSE)</f>
        <v>37</v>
      </c>
      <c r="AE220" s="1">
        <f t="shared" si="15"/>
        <v>52451817599.999992</v>
      </c>
      <c r="AF220" t="s">
        <v>915</v>
      </c>
    </row>
    <row r="221" spans="2:32" x14ac:dyDescent="0.2">
      <c r="B221">
        <v>48126</v>
      </c>
      <c r="C221" s="1">
        <v>3.9999999999999998E-7</v>
      </c>
      <c r="D221" t="str">
        <f>VLOOKUP(B221,Nuclides!A:E,5,FALSE)</f>
        <v>Cd126</v>
      </c>
      <c r="E221">
        <f>VLOOKUP(Sheet2!B221,Nuclides!A:E,2,FALSE)</f>
        <v>78</v>
      </c>
      <c r="F221">
        <f>VLOOKUP(B221,Nuclides!A:E,3,FALSE)</f>
        <v>48</v>
      </c>
      <c r="G221" s="1">
        <f t="shared" si="12"/>
        <v>4992000000</v>
      </c>
      <c r="H221">
        <f>VLOOKUP(B221,Nuclides!A:E,4,FALSE)</f>
        <v>0.51500000000000001</v>
      </c>
      <c r="J221" s="1">
        <v>48122</v>
      </c>
      <c r="K221" s="1">
        <v>1.9999999999999999E-6</v>
      </c>
      <c r="L221" t="str">
        <f>VLOOKUP(J221,Nuclides!A:E,5,FALSE)</f>
        <v>Cd122</v>
      </c>
      <c r="M221">
        <f>VLOOKUP(Sheet2!J221,Nuclides!A:E,2,FALSE)</f>
        <v>74</v>
      </c>
      <c r="N221">
        <f>VLOOKUP(J221,Nuclides!A:E,3,FALSE)</f>
        <v>48</v>
      </c>
      <c r="O221" s="1">
        <f t="shared" si="13"/>
        <v>24960000000</v>
      </c>
      <c r="R221" s="1">
        <v>38084</v>
      </c>
      <c r="S221" s="1">
        <v>2.094E-10</v>
      </c>
      <c r="T221" t="str">
        <f>VLOOKUP(R221,Nuclides!A:E,5,FALSE)</f>
        <v>Sr84</v>
      </c>
      <c r="U221">
        <f>VLOOKUP(Sheet2!R221,Nuclides!A:E,2,FALSE)</f>
        <v>46</v>
      </c>
      <c r="V221">
        <f>VLOOKUP(R221,Nuclides!A:E,3,FALSE)</f>
        <v>38</v>
      </c>
      <c r="W221" s="1">
        <f t="shared" si="14"/>
        <v>2613312</v>
      </c>
      <c r="X221" t="s">
        <v>940</v>
      </c>
      <c r="Z221" s="1">
        <v>37091</v>
      </c>
      <c r="AA221" s="1">
        <v>1.1511999999999999E-5</v>
      </c>
      <c r="AB221" t="str">
        <f>VLOOKUP(Z221,Nuclides!A:E,5,FALSE)</f>
        <v>Rb91</v>
      </c>
      <c r="AC221">
        <f>VLOOKUP(Sheet2!Z221,Nuclides!A:E,2,FALSE)</f>
        <v>54</v>
      </c>
      <c r="AD221">
        <f>VLOOKUP(Z221,Nuclides!A:E,3,FALSE)</f>
        <v>37</v>
      </c>
      <c r="AE221" s="1">
        <f t="shared" si="15"/>
        <v>143669760000</v>
      </c>
      <c r="AF221" t="s">
        <v>916</v>
      </c>
    </row>
    <row r="222" spans="2:32" x14ac:dyDescent="0.2">
      <c r="B222">
        <v>49100</v>
      </c>
      <c r="C222" s="1">
        <v>2.9999999999999999E-7</v>
      </c>
      <c r="D222" t="str">
        <f>VLOOKUP(B222,Nuclides!A:E,5,FALSE)</f>
        <v>In100</v>
      </c>
      <c r="E222">
        <f>VLOOKUP(Sheet2!B222,Nuclides!A:E,2,FALSE)</f>
        <v>51</v>
      </c>
      <c r="F222">
        <f>VLOOKUP(B222,Nuclides!A:E,3,FALSE)</f>
        <v>49</v>
      </c>
      <c r="G222" s="1">
        <f t="shared" si="12"/>
        <v>3744000000</v>
      </c>
      <c r="H222">
        <f>VLOOKUP(B222,Nuclides!A:E,4,FALSE)</f>
        <v>5.8</v>
      </c>
      <c r="J222" s="1">
        <v>48123</v>
      </c>
      <c r="K222" s="1">
        <v>1.5E-6</v>
      </c>
      <c r="L222" t="str">
        <f>VLOOKUP(J222,Nuclides!A:E,5,FALSE)</f>
        <v>Cd123</v>
      </c>
      <c r="M222">
        <f>VLOOKUP(Sheet2!J222,Nuclides!A:E,2,FALSE)</f>
        <v>75</v>
      </c>
      <c r="N222">
        <f>VLOOKUP(J222,Nuclides!A:E,3,FALSE)</f>
        <v>48</v>
      </c>
      <c r="O222" s="1">
        <f t="shared" si="13"/>
        <v>18720000000</v>
      </c>
      <c r="R222" s="1">
        <v>38085</v>
      </c>
      <c r="S222" s="1">
        <v>9.0739999999999999E-10</v>
      </c>
      <c r="T222" t="str">
        <f>VLOOKUP(R222,Nuclides!A:E,5,FALSE)</f>
        <v>Sr85</v>
      </c>
      <c r="U222">
        <f>VLOOKUP(Sheet2!R222,Nuclides!A:E,2,FALSE)</f>
        <v>47</v>
      </c>
      <c r="V222">
        <f>VLOOKUP(R222,Nuclides!A:E,3,FALSE)</f>
        <v>38</v>
      </c>
      <c r="W222" s="1">
        <f t="shared" si="14"/>
        <v>11324352</v>
      </c>
      <c r="X222" t="s">
        <v>941</v>
      </c>
      <c r="Z222" s="1">
        <v>37092</v>
      </c>
      <c r="AA222" s="1">
        <v>1.8562800000000001E-5</v>
      </c>
      <c r="AB222" t="str">
        <f>VLOOKUP(Z222,Nuclides!A:E,5,FALSE)</f>
        <v>Rb92</v>
      </c>
      <c r="AC222">
        <f>VLOOKUP(Sheet2!Z222,Nuclides!A:E,2,FALSE)</f>
        <v>55</v>
      </c>
      <c r="AD222">
        <f>VLOOKUP(Z222,Nuclides!A:E,3,FALSE)</f>
        <v>37</v>
      </c>
      <c r="AE222" s="1">
        <f t="shared" si="15"/>
        <v>231663744000.00003</v>
      </c>
      <c r="AF222" t="s">
        <v>917</v>
      </c>
    </row>
    <row r="223" spans="2:32" x14ac:dyDescent="0.2">
      <c r="B223">
        <v>49120</v>
      </c>
      <c r="C223" s="1">
        <v>9.9999999999999995E-8</v>
      </c>
      <c r="D223" t="str">
        <f>VLOOKUP(B223,Nuclides!A:E,5,FALSE)</f>
        <v>In120</v>
      </c>
      <c r="E223">
        <f>VLOOKUP(Sheet2!B223,Nuclides!A:E,2,FALSE)</f>
        <v>71</v>
      </c>
      <c r="F223">
        <f>VLOOKUP(B223,Nuclides!A:E,3,FALSE)</f>
        <v>49</v>
      </c>
      <c r="G223" s="1">
        <f t="shared" si="12"/>
        <v>1248000000</v>
      </c>
      <c r="H223">
        <f>VLOOKUP(B223,Nuclides!A:E,4,FALSE)</f>
        <v>3.08</v>
      </c>
      <c r="J223" s="1">
        <v>48124</v>
      </c>
      <c r="K223" s="1">
        <v>1.3E-6</v>
      </c>
      <c r="L223" t="str">
        <f>VLOOKUP(J223,Nuclides!A:E,5,FALSE)</f>
        <v>Cd124</v>
      </c>
      <c r="M223">
        <f>VLOOKUP(Sheet2!J223,Nuclides!A:E,2,FALSE)</f>
        <v>76</v>
      </c>
      <c r="N223">
        <f>VLOOKUP(J223,Nuclides!A:E,3,FALSE)</f>
        <v>48</v>
      </c>
      <c r="O223" s="1">
        <f t="shared" si="13"/>
        <v>16224000000</v>
      </c>
      <c r="R223" s="1">
        <v>38086</v>
      </c>
      <c r="S223" s="1">
        <v>7.6082000000000003E-9</v>
      </c>
      <c r="T223" t="str">
        <f>VLOOKUP(R223,Nuclides!A:E,5,FALSE)</f>
        <v>Sr86</v>
      </c>
      <c r="U223">
        <f>VLOOKUP(Sheet2!R223,Nuclides!A:E,2,FALSE)</f>
        <v>48</v>
      </c>
      <c r="V223">
        <f>VLOOKUP(R223,Nuclides!A:E,3,FALSE)</f>
        <v>38</v>
      </c>
      <c r="W223" s="1">
        <f t="shared" si="14"/>
        <v>94950336</v>
      </c>
      <c r="X223" t="s">
        <v>942</v>
      </c>
      <c r="Z223" s="1">
        <v>37093</v>
      </c>
      <c r="AA223" s="1">
        <v>3.0247799999999999E-5</v>
      </c>
      <c r="AB223" t="str">
        <f>VLOOKUP(Z223,Nuclides!A:E,5,FALSE)</f>
        <v>Rb93</v>
      </c>
      <c r="AC223">
        <f>VLOOKUP(Sheet2!Z223,Nuclides!A:E,2,FALSE)</f>
        <v>56</v>
      </c>
      <c r="AD223">
        <f>VLOOKUP(Z223,Nuclides!A:E,3,FALSE)</f>
        <v>37</v>
      </c>
      <c r="AE223" s="1">
        <f t="shared" si="15"/>
        <v>377492544000</v>
      </c>
      <c r="AF223" t="s">
        <v>918</v>
      </c>
    </row>
    <row r="224" spans="2:32" x14ac:dyDescent="0.2">
      <c r="B224">
        <v>49121</v>
      </c>
      <c r="C224" s="1">
        <v>4.9999999999999998E-7</v>
      </c>
      <c r="D224" t="str">
        <f>VLOOKUP(B224,Nuclides!A:E,5,FALSE)</f>
        <v>In121</v>
      </c>
      <c r="E224">
        <f>VLOOKUP(Sheet2!B224,Nuclides!A:E,2,FALSE)</f>
        <v>72</v>
      </c>
      <c r="F224">
        <f>VLOOKUP(B224,Nuclides!A:E,3,FALSE)</f>
        <v>49</v>
      </c>
      <c r="G224" s="1">
        <f t="shared" si="12"/>
        <v>6240000000</v>
      </c>
      <c r="H224">
        <f>VLOOKUP(B224,Nuclides!A:E,4,FALSE)</f>
        <v>23.1</v>
      </c>
      <c r="J224" s="1">
        <v>48125</v>
      </c>
      <c r="K224" s="1">
        <v>6.9999999999999997E-7</v>
      </c>
      <c r="L224" t="str">
        <f>VLOOKUP(J224,Nuclides!A:E,5,FALSE)</f>
        <v>Cd125</v>
      </c>
      <c r="M224">
        <f>VLOOKUP(Sheet2!J224,Nuclides!A:E,2,FALSE)</f>
        <v>77</v>
      </c>
      <c r="N224">
        <f>VLOOKUP(J224,Nuclides!A:E,3,FALSE)</f>
        <v>48</v>
      </c>
      <c r="O224" s="1">
        <f t="shared" si="13"/>
        <v>8736000000</v>
      </c>
      <c r="R224" s="1">
        <v>38087</v>
      </c>
      <c r="S224" s="1">
        <v>3.9786000000000003E-8</v>
      </c>
      <c r="T224" t="str">
        <f>VLOOKUP(R224,Nuclides!A:E,5,FALSE)</f>
        <v>Sr87</v>
      </c>
      <c r="U224">
        <f>VLOOKUP(Sheet2!R224,Nuclides!A:E,2,FALSE)</f>
        <v>49</v>
      </c>
      <c r="V224">
        <f>VLOOKUP(R224,Nuclides!A:E,3,FALSE)</f>
        <v>38</v>
      </c>
      <c r="W224" s="1">
        <f t="shared" si="14"/>
        <v>496529280.00000006</v>
      </c>
      <c r="X224" t="s">
        <v>943</v>
      </c>
      <c r="Z224" s="1">
        <v>37094</v>
      </c>
      <c r="AA224" s="1">
        <v>2.4550599999999998E-5</v>
      </c>
      <c r="AB224" t="str">
        <f>VLOOKUP(Z224,Nuclides!A:E,5,FALSE)</f>
        <v>Rb94</v>
      </c>
      <c r="AC224">
        <f>VLOOKUP(Sheet2!Z224,Nuclides!A:E,2,FALSE)</f>
        <v>57</v>
      </c>
      <c r="AD224">
        <f>VLOOKUP(Z224,Nuclides!A:E,3,FALSE)</f>
        <v>37</v>
      </c>
      <c r="AE224" s="1">
        <f t="shared" si="15"/>
        <v>306391488000</v>
      </c>
      <c r="AF224" t="s">
        <v>919</v>
      </c>
    </row>
    <row r="225" spans="2:32" x14ac:dyDescent="0.2">
      <c r="B225">
        <v>49122</v>
      </c>
      <c r="C225" s="1">
        <v>8.9999999999999996E-7</v>
      </c>
      <c r="D225" t="str">
        <f>VLOOKUP(B225,Nuclides!A:E,5,FALSE)</f>
        <v>In122</v>
      </c>
      <c r="E225">
        <f>VLOOKUP(Sheet2!B225,Nuclides!A:E,2,FALSE)</f>
        <v>73</v>
      </c>
      <c r="F225">
        <f>VLOOKUP(B225,Nuclides!A:E,3,FALSE)</f>
        <v>49</v>
      </c>
      <c r="G225" s="1">
        <f t="shared" si="12"/>
        <v>11232000000</v>
      </c>
      <c r="H225">
        <f>VLOOKUP(B225,Nuclides!A:E,4,FALSE)</f>
        <v>1.5</v>
      </c>
      <c r="J225" s="1">
        <v>48126</v>
      </c>
      <c r="K225" s="1">
        <v>5.9999999999999997E-7</v>
      </c>
      <c r="L225" t="str">
        <f>VLOOKUP(J225,Nuclides!A:E,5,FALSE)</f>
        <v>Cd126</v>
      </c>
      <c r="M225">
        <f>VLOOKUP(Sheet2!J225,Nuclides!A:E,2,FALSE)</f>
        <v>78</v>
      </c>
      <c r="N225">
        <f>VLOOKUP(J225,Nuclides!A:E,3,FALSE)</f>
        <v>48</v>
      </c>
      <c r="O225" s="1">
        <f t="shared" si="13"/>
        <v>7488000000</v>
      </c>
      <c r="R225" s="1">
        <v>38088</v>
      </c>
      <c r="S225" s="1">
        <v>1.7450000000000001E-7</v>
      </c>
      <c r="T225" t="str">
        <f>VLOOKUP(R225,Nuclides!A:E,5,FALSE)</f>
        <v>Sr88</v>
      </c>
      <c r="U225">
        <f>VLOOKUP(Sheet2!R225,Nuclides!A:E,2,FALSE)</f>
        <v>50</v>
      </c>
      <c r="V225">
        <f>VLOOKUP(R225,Nuclides!A:E,3,FALSE)</f>
        <v>38</v>
      </c>
      <c r="W225" s="1">
        <f t="shared" si="14"/>
        <v>2177760000</v>
      </c>
      <c r="X225" t="s">
        <v>944</v>
      </c>
      <c r="Z225" s="1">
        <v>37095</v>
      </c>
      <c r="AA225" s="1">
        <v>2.6670899999999999E-5</v>
      </c>
      <c r="AB225" t="str">
        <f>VLOOKUP(Z225,Nuclides!A:E,5,FALSE)</f>
        <v>Rb95</v>
      </c>
      <c r="AC225">
        <f>VLOOKUP(Sheet2!Z225,Nuclides!A:E,2,FALSE)</f>
        <v>58</v>
      </c>
      <c r="AD225">
        <f>VLOOKUP(Z225,Nuclides!A:E,3,FALSE)</f>
        <v>37</v>
      </c>
      <c r="AE225" s="1">
        <f t="shared" si="15"/>
        <v>332852832000</v>
      </c>
      <c r="AF225" t="s">
        <v>920</v>
      </c>
    </row>
    <row r="226" spans="2:32" x14ac:dyDescent="0.2">
      <c r="B226">
        <v>49123</v>
      </c>
      <c r="C226" s="1">
        <v>1.1999999999999999E-6</v>
      </c>
      <c r="D226" t="str">
        <f>VLOOKUP(B226,Nuclides!A:E,5,FALSE)</f>
        <v>In123</v>
      </c>
      <c r="E226">
        <f>VLOOKUP(Sheet2!B226,Nuclides!A:E,2,FALSE)</f>
        <v>74</v>
      </c>
      <c r="F226">
        <f>VLOOKUP(B226,Nuclides!A:E,3,FALSE)</f>
        <v>49</v>
      </c>
      <c r="G226" s="1">
        <f t="shared" si="12"/>
        <v>14976000000</v>
      </c>
      <c r="H226">
        <f>VLOOKUP(B226,Nuclides!A:E,4,FALSE)</f>
        <v>6.17</v>
      </c>
      <c r="J226" s="1">
        <v>49100</v>
      </c>
      <c r="K226" s="1">
        <v>2.9999999999999999E-7</v>
      </c>
      <c r="L226" t="str">
        <f>VLOOKUP(J226,Nuclides!A:E,5,FALSE)</f>
        <v>In100</v>
      </c>
      <c r="M226">
        <f>VLOOKUP(Sheet2!J226,Nuclides!A:E,2,FALSE)</f>
        <v>51</v>
      </c>
      <c r="N226">
        <f>VLOOKUP(J226,Nuclides!A:E,3,FALSE)</f>
        <v>49</v>
      </c>
      <c r="O226" s="1">
        <f t="shared" si="13"/>
        <v>3744000000</v>
      </c>
      <c r="R226" s="1">
        <v>38089</v>
      </c>
      <c r="S226" s="1">
        <v>7.3234199999999995E-7</v>
      </c>
      <c r="T226" t="str">
        <f>VLOOKUP(R226,Nuclides!A:E,5,FALSE)</f>
        <v>Sr89</v>
      </c>
      <c r="U226">
        <f>VLOOKUP(Sheet2!R226,Nuclides!A:E,2,FALSE)</f>
        <v>51</v>
      </c>
      <c r="V226">
        <f>VLOOKUP(R226,Nuclides!A:E,3,FALSE)</f>
        <v>38</v>
      </c>
      <c r="W226" s="1">
        <f t="shared" si="14"/>
        <v>9139628160</v>
      </c>
      <c r="X226" t="s">
        <v>945</v>
      </c>
      <c r="Z226" s="1">
        <v>37096</v>
      </c>
      <c r="AA226" s="1">
        <v>1.3219E-5</v>
      </c>
      <c r="AB226" t="str">
        <f>VLOOKUP(Z226,Nuclides!A:E,5,FALSE)</f>
        <v>Rb96</v>
      </c>
      <c r="AC226">
        <f>VLOOKUP(Sheet2!Z226,Nuclides!A:E,2,FALSE)</f>
        <v>59</v>
      </c>
      <c r="AD226">
        <f>VLOOKUP(Z226,Nuclides!A:E,3,FALSE)</f>
        <v>37</v>
      </c>
      <c r="AE226" s="1">
        <f t="shared" si="15"/>
        <v>164973120000</v>
      </c>
      <c r="AF226" t="s">
        <v>921</v>
      </c>
    </row>
    <row r="227" spans="2:32" x14ac:dyDescent="0.2">
      <c r="B227">
        <v>49124</v>
      </c>
      <c r="C227" s="1">
        <v>1.7999999999999999E-6</v>
      </c>
      <c r="D227" t="str">
        <f>VLOOKUP(B227,Nuclides!A:E,5,FALSE)</f>
        <v>In124</v>
      </c>
      <c r="E227">
        <f>VLOOKUP(Sheet2!B227,Nuclides!A:E,2,FALSE)</f>
        <v>75</v>
      </c>
      <c r="F227">
        <f>VLOOKUP(B227,Nuclides!A:E,3,FALSE)</f>
        <v>49</v>
      </c>
      <c r="G227" s="1">
        <f t="shared" si="12"/>
        <v>22464000000</v>
      </c>
      <c r="H227">
        <f>VLOOKUP(B227,Nuclides!A:E,4,FALSE)</f>
        <v>3.12</v>
      </c>
      <c r="J227" s="1">
        <v>49101</v>
      </c>
      <c r="K227" s="1">
        <v>4.9999999999999998E-7</v>
      </c>
      <c r="L227" t="str">
        <f>VLOOKUP(J227,Nuclides!A:E,5,FALSE)</f>
        <v>In101</v>
      </c>
      <c r="M227">
        <f>VLOOKUP(Sheet2!J227,Nuclides!A:E,2,FALSE)</f>
        <v>52</v>
      </c>
      <c r="N227">
        <f>VLOOKUP(J227,Nuclides!A:E,3,FALSE)</f>
        <v>49</v>
      </c>
      <c r="O227" s="1">
        <f t="shared" si="13"/>
        <v>6240000000</v>
      </c>
      <c r="R227" s="1">
        <v>38090</v>
      </c>
      <c r="S227" s="1">
        <v>2.4836900000000002E-6</v>
      </c>
      <c r="T227" t="str">
        <f>VLOOKUP(R227,Nuclides!A:E,5,FALSE)</f>
        <v>Sr90</v>
      </c>
      <c r="U227">
        <f>VLOOKUP(Sheet2!R227,Nuclides!A:E,2,FALSE)</f>
        <v>52</v>
      </c>
      <c r="V227">
        <f>VLOOKUP(R227,Nuclides!A:E,3,FALSE)</f>
        <v>38</v>
      </c>
      <c r="W227" s="1">
        <f t="shared" si="14"/>
        <v>30996451200.000004</v>
      </c>
      <c r="X227" t="s">
        <v>946</v>
      </c>
      <c r="Z227" s="1">
        <v>37097</v>
      </c>
      <c r="AA227" s="1">
        <v>1.0947999999999999E-5</v>
      </c>
      <c r="AB227" t="str">
        <f>VLOOKUP(Z227,Nuclides!A:E,5,FALSE)</f>
        <v>Rb97</v>
      </c>
      <c r="AC227">
        <f>VLOOKUP(Sheet2!Z227,Nuclides!A:E,2,FALSE)</f>
        <v>60</v>
      </c>
      <c r="AD227">
        <f>VLOOKUP(Z227,Nuclides!A:E,3,FALSE)</f>
        <v>37</v>
      </c>
      <c r="AE227" s="1">
        <f t="shared" si="15"/>
        <v>136631039999.99998</v>
      </c>
      <c r="AF227" t="s">
        <v>922</v>
      </c>
    </row>
    <row r="228" spans="2:32" x14ac:dyDescent="0.2">
      <c r="B228">
        <v>49125</v>
      </c>
      <c r="C228" s="1">
        <v>3.4999999999999999E-6</v>
      </c>
      <c r="D228" t="str">
        <f>VLOOKUP(B228,Nuclides!A:E,5,FALSE)</f>
        <v>In125</v>
      </c>
      <c r="E228">
        <f>VLOOKUP(Sheet2!B228,Nuclides!A:E,2,FALSE)</f>
        <v>76</v>
      </c>
      <c r="F228">
        <f>VLOOKUP(B228,Nuclides!A:E,3,FALSE)</f>
        <v>49</v>
      </c>
      <c r="G228" s="1">
        <f t="shared" si="12"/>
        <v>43680000000</v>
      </c>
      <c r="H228">
        <f>VLOOKUP(B228,Nuclides!A:E,4,FALSE)</f>
        <v>2.36</v>
      </c>
      <c r="J228" s="1">
        <v>49121</v>
      </c>
      <c r="K228" s="1">
        <v>3.9999999999999998E-7</v>
      </c>
      <c r="L228" t="str">
        <f>VLOOKUP(J228,Nuclides!A:E,5,FALSE)</f>
        <v>In121</v>
      </c>
      <c r="M228">
        <f>VLOOKUP(Sheet2!J228,Nuclides!A:E,2,FALSE)</f>
        <v>72</v>
      </c>
      <c r="N228">
        <f>VLOOKUP(J228,Nuclides!A:E,3,FALSE)</f>
        <v>49</v>
      </c>
      <c r="O228" s="1">
        <f t="shared" si="13"/>
        <v>4992000000</v>
      </c>
      <c r="R228" s="1">
        <v>38091</v>
      </c>
      <c r="S228" s="1">
        <v>7.0508499999999996E-6</v>
      </c>
      <c r="T228" t="str">
        <f>VLOOKUP(R228,Nuclides!A:E,5,FALSE)</f>
        <v>Sr91</v>
      </c>
      <c r="U228">
        <f>VLOOKUP(Sheet2!R228,Nuclides!A:E,2,FALSE)</f>
        <v>53</v>
      </c>
      <c r="V228">
        <f>VLOOKUP(R228,Nuclides!A:E,3,FALSE)</f>
        <v>38</v>
      </c>
      <c r="W228" s="1">
        <f t="shared" si="14"/>
        <v>87994608000</v>
      </c>
      <c r="X228" t="s">
        <v>947</v>
      </c>
      <c r="Z228" s="1">
        <v>37098</v>
      </c>
      <c r="AA228" s="1">
        <v>3.9120099999999998E-6</v>
      </c>
      <c r="AB228" t="str">
        <f>VLOOKUP(Z228,Nuclides!A:E,5,FALSE)</f>
        <v>Rb98</v>
      </c>
      <c r="AC228">
        <f>VLOOKUP(Sheet2!Z228,Nuclides!A:E,2,FALSE)</f>
        <v>61</v>
      </c>
      <c r="AD228">
        <f>VLOOKUP(Z228,Nuclides!A:E,3,FALSE)</f>
        <v>37</v>
      </c>
      <c r="AE228" s="1">
        <f t="shared" si="15"/>
        <v>48821884800</v>
      </c>
      <c r="AF228" t="s">
        <v>923</v>
      </c>
    </row>
    <row r="229" spans="2:32" x14ac:dyDescent="0.2">
      <c r="B229">
        <v>49126</v>
      </c>
      <c r="C229" s="1">
        <v>2.2000000000000001E-6</v>
      </c>
      <c r="D229" t="str">
        <f>VLOOKUP(B229,Nuclides!A:E,5,FALSE)</f>
        <v>In126</v>
      </c>
      <c r="E229">
        <f>VLOOKUP(Sheet2!B229,Nuclides!A:E,2,FALSE)</f>
        <v>77</v>
      </c>
      <c r="F229">
        <f>VLOOKUP(B229,Nuclides!A:E,3,FALSE)</f>
        <v>49</v>
      </c>
      <c r="G229" s="1">
        <f t="shared" si="12"/>
        <v>27456000000</v>
      </c>
      <c r="H229">
        <f>VLOOKUP(B229,Nuclides!A:E,4,FALSE)</f>
        <v>1.53</v>
      </c>
      <c r="J229" s="1">
        <v>49122</v>
      </c>
      <c r="K229" s="1">
        <v>1.9999999999999999E-7</v>
      </c>
      <c r="L229" t="str">
        <f>VLOOKUP(J229,Nuclides!A:E,5,FALSE)</f>
        <v>In122</v>
      </c>
      <c r="M229">
        <f>VLOOKUP(Sheet2!J229,Nuclides!A:E,2,FALSE)</f>
        <v>73</v>
      </c>
      <c r="N229">
        <f>VLOOKUP(J229,Nuclides!A:E,3,FALSE)</f>
        <v>49</v>
      </c>
      <c r="O229" s="1">
        <f t="shared" si="13"/>
        <v>2496000000</v>
      </c>
      <c r="R229" s="1">
        <v>38092</v>
      </c>
      <c r="S229" s="1">
        <v>1.6656399999999999E-5</v>
      </c>
      <c r="T229" t="str">
        <f>VLOOKUP(R229,Nuclides!A:E,5,FALSE)</f>
        <v>Sr92</v>
      </c>
      <c r="U229">
        <f>VLOOKUP(Sheet2!R229,Nuclides!A:E,2,FALSE)</f>
        <v>54</v>
      </c>
      <c r="V229">
        <f>VLOOKUP(R229,Nuclides!A:E,3,FALSE)</f>
        <v>38</v>
      </c>
      <c r="W229" s="1">
        <f t="shared" si="14"/>
        <v>207871871999.99997</v>
      </c>
      <c r="X229" t="s">
        <v>948</v>
      </c>
      <c r="Z229" s="1">
        <v>37099</v>
      </c>
      <c r="AA229" s="1">
        <v>1.76447E-6</v>
      </c>
      <c r="AB229" t="str">
        <f>VLOOKUP(Z229,Nuclides!A:E,5,FALSE)</f>
        <v>Rb99</v>
      </c>
      <c r="AC229">
        <f>VLOOKUP(Sheet2!Z229,Nuclides!A:E,2,FALSE)</f>
        <v>62</v>
      </c>
      <c r="AD229">
        <f>VLOOKUP(Z229,Nuclides!A:E,3,FALSE)</f>
        <v>37</v>
      </c>
      <c r="AE229" s="1">
        <f t="shared" si="15"/>
        <v>22020585600</v>
      </c>
      <c r="AF229" t="s">
        <v>924</v>
      </c>
    </row>
    <row r="230" spans="2:32" x14ac:dyDescent="0.2">
      <c r="B230">
        <v>49127</v>
      </c>
      <c r="C230" s="1">
        <v>2.3999999999999999E-6</v>
      </c>
      <c r="D230" t="str">
        <f>VLOOKUP(B230,Nuclides!A:E,5,FALSE)</f>
        <v>In127</v>
      </c>
      <c r="E230">
        <f>VLOOKUP(Sheet2!B230,Nuclides!A:E,2,FALSE)</f>
        <v>78</v>
      </c>
      <c r="F230">
        <f>VLOOKUP(B230,Nuclides!A:E,3,FALSE)</f>
        <v>49</v>
      </c>
      <c r="G230" s="1">
        <f t="shared" si="12"/>
        <v>29952000000</v>
      </c>
      <c r="H230">
        <f>VLOOKUP(B230,Nuclides!A:E,4,FALSE)</f>
        <v>1.0900000000000001</v>
      </c>
      <c r="J230" s="1">
        <v>49123</v>
      </c>
      <c r="K230" s="1">
        <v>3.9999999999999998E-7</v>
      </c>
      <c r="L230" t="str">
        <f>VLOOKUP(J230,Nuclides!A:E,5,FALSE)</f>
        <v>In123</v>
      </c>
      <c r="M230">
        <f>VLOOKUP(Sheet2!J230,Nuclides!A:E,2,FALSE)</f>
        <v>74</v>
      </c>
      <c r="N230">
        <f>VLOOKUP(J230,Nuclides!A:E,3,FALSE)</f>
        <v>49</v>
      </c>
      <c r="O230" s="1">
        <f t="shared" si="13"/>
        <v>4992000000</v>
      </c>
      <c r="R230" s="1">
        <v>38093</v>
      </c>
      <c r="S230" s="1">
        <v>3.3427199999999997E-5</v>
      </c>
      <c r="T230" t="str">
        <f>VLOOKUP(R230,Nuclides!A:E,5,FALSE)</f>
        <v>Sr93</v>
      </c>
      <c r="U230">
        <f>VLOOKUP(Sheet2!R230,Nuclides!A:E,2,FALSE)</f>
        <v>55</v>
      </c>
      <c r="V230">
        <f>VLOOKUP(R230,Nuclides!A:E,3,FALSE)</f>
        <v>38</v>
      </c>
      <c r="W230" s="1">
        <f t="shared" si="14"/>
        <v>417171455999.99994</v>
      </c>
      <c r="X230" t="s">
        <v>949</v>
      </c>
      <c r="Z230" s="1">
        <v>37100</v>
      </c>
      <c r="AA230" s="1">
        <v>1.0498600000000001E-6</v>
      </c>
      <c r="AB230" t="str">
        <f>VLOOKUP(Z230,Nuclides!A:E,5,FALSE)</f>
        <v>Rb100</v>
      </c>
      <c r="AC230">
        <f>VLOOKUP(Sheet2!Z230,Nuclides!A:E,2,FALSE)</f>
        <v>63</v>
      </c>
      <c r="AD230">
        <f>VLOOKUP(Z230,Nuclides!A:E,3,FALSE)</f>
        <v>37</v>
      </c>
      <c r="AE230" s="1">
        <f t="shared" si="15"/>
        <v>13102252800</v>
      </c>
      <c r="AF230" t="s">
        <v>925</v>
      </c>
    </row>
    <row r="231" spans="2:32" x14ac:dyDescent="0.2">
      <c r="B231">
        <v>49128</v>
      </c>
      <c r="C231" s="1">
        <v>1.5999999999999999E-6</v>
      </c>
      <c r="D231" t="str">
        <f>VLOOKUP(B231,Nuclides!A:E,5,FALSE)</f>
        <v>In128</v>
      </c>
      <c r="E231">
        <f>VLOOKUP(Sheet2!B231,Nuclides!A:E,2,FALSE)</f>
        <v>79</v>
      </c>
      <c r="F231">
        <f>VLOOKUP(B231,Nuclides!A:E,3,FALSE)</f>
        <v>49</v>
      </c>
      <c r="G231" s="1">
        <f t="shared" si="12"/>
        <v>19968000000</v>
      </c>
      <c r="H231">
        <f>VLOOKUP(B231,Nuclides!A:E,4,FALSE)</f>
        <v>0.84</v>
      </c>
      <c r="J231" s="1">
        <v>49124</v>
      </c>
      <c r="K231" s="1">
        <v>9.9999999999999995E-7</v>
      </c>
      <c r="L231" t="str">
        <f>VLOOKUP(J231,Nuclides!A:E,5,FALSE)</f>
        <v>In124</v>
      </c>
      <c r="M231">
        <f>VLOOKUP(Sheet2!J231,Nuclides!A:E,2,FALSE)</f>
        <v>75</v>
      </c>
      <c r="N231">
        <f>VLOOKUP(J231,Nuclides!A:E,3,FALSE)</f>
        <v>49</v>
      </c>
      <c r="O231" s="1">
        <f t="shared" si="13"/>
        <v>12480000000</v>
      </c>
      <c r="R231" s="1">
        <v>38094</v>
      </c>
      <c r="S231" s="1">
        <v>5.7698400000000003E-5</v>
      </c>
      <c r="T231" t="str">
        <f>VLOOKUP(R231,Nuclides!A:E,5,FALSE)</f>
        <v>Sr94</v>
      </c>
      <c r="U231">
        <f>VLOOKUP(Sheet2!R231,Nuclides!A:E,2,FALSE)</f>
        <v>56</v>
      </c>
      <c r="V231">
        <f>VLOOKUP(R231,Nuclides!A:E,3,FALSE)</f>
        <v>38</v>
      </c>
      <c r="W231" s="1">
        <f t="shared" si="14"/>
        <v>720076032000</v>
      </c>
      <c r="X231" t="s">
        <v>950</v>
      </c>
      <c r="Z231" s="1">
        <v>38077</v>
      </c>
      <c r="AA231" s="1">
        <v>1.2375500000000001E-7</v>
      </c>
      <c r="AB231" t="str">
        <f>VLOOKUP(Z231,Nuclides!A:E,5,FALSE)</f>
        <v>Sr77</v>
      </c>
      <c r="AC231">
        <f>VLOOKUP(Sheet2!Z231,Nuclides!A:E,2,FALSE)</f>
        <v>39</v>
      </c>
      <c r="AD231">
        <f>VLOOKUP(Z231,Nuclides!A:E,3,FALSE)</f>
        <v>38</v>
      </c>
      <c r="AE231" s="1">
        <f t="shared" si="15"/>
        <v>1544462400.0000002</v>
      </c>
      <c r="AF231" t="s">
        <v>933</v>
      </c>
    </row>
    <row r="232" spans="2:32" x14ac:dyDescent="0.2">
      <c r="B232">
        <v>49129</v>
      </c>
      <c r="C232" s="1">
        <v>9.9999999999999995E-7</v>
      </c>
      <c r="D232" t="str">
        <f>VLOOKUP(B232,Nuclides!A:E,5,FALSE)</f>
        <v>In129</v>
      </c>
      <c r="E232">
        <f>VLOOKUP(Sheet2!B232,Nuclides!A:E,2,FALSE)</f>
        <v>80</v>
      </c>
      <c r="F232">
        <f>VLOOKUP(B232,Nuclides!A:E,3,FALSE)</f>
        <v>49</v>
      </c>
      <c r="G232" s="1">
        <f t="shared" si="12"/>
        <v>12480000000</v>
      </c>
      <c r="H232">
        <f>VLOOKUP(B232,Nuclides!A:E,4,FALSE)</f>
        <v>0.61099999999999999</v>
      </c>
      <c r="J232" s="1">
        <v>49125</v>
      </c>
      <c r="K232" s="1">
        <v>1.3E-6</v>
      </c>
      <c r="L232" t="str">
        <f>VLOOKUP(J232,Nuclides!A:E,5,FALSE)</f>
        <v>In125</v>
      </c>
      <c r="M232">
        <f>VLOOKUP(Sheet2!J232,Nuclides!A:E,2,FALSE)</f>
        <v>76</v>
      </c>
      <c r="N232">
        <f>VLOOKUP(J232,Nuclides!A:E,3,FALSE)</f>
        <v>49</v>
      </c>
      <c r="O232" s="1">
        <f t="shared" si="13"/>
        <v>16224000000</v>
      </c>
      <c r="R232" s="1">
        <v>38095</v>
      </c>
      <c r="S232" s="1">
        <v>7.0071099999999994E-5</v>
      </c>
      <c r="T232" t="str">
        <f>VLOOKUP(R232,Nuclides!A:E,5,FALSE)</f>
        <v>Sr95</v>
      </c>
      <c r="U232">
        <f>VLOOKUP(Sheet2!R232,Nuclides!A:E,2,FALSE)</f>
        <v>57</v>
      </c>
      <c r="V232">
        <f>VLOOKUP(R232,Nuclides!A:E,3,FALSE)</f>
        <v>38</v>
      </c>
      <c r="W232" s="1">
        <f t="shared" si="14"/>
        <v>874487327999.99988</v>
      </c>
      <c r="X232" t="s">
        <v>951</v>
      </c>
      <c r="Z232" s="1">
        <v>38078</v>
      </c>
      <c r="AA232" s="1">
        <v>1.8845999999999999E-8</v>
      </c>
      <c r="AB232" t="str">
        <f>VLOOKUP(Z232,Nuclides!A:E,5,FALSE)</f>
        <v>Sr78</v>
      </c>
      <c r="AC232">
        <f>VLOOKUP(Sheet2!Z232,Nuclides!A:E,2,FALSE)</f>
        <v>40</v>
      </c>
      <c r="AD232">
        <f>VLOOKUP(Z232,Nuclides!A:E,3,FALSE)</f>
        <v>38</v>
      </c>
      <c r="AE232" s="1">
        <f t="shared" si="15"/>
        <v>235198080</v>
      </c>
      <c r="AF232" t="s">
        <v>934</v>
      </c>
    </row>
    <row r="233" spans="2:32" x14ac:dyDescent="0.2">
      <c r="B233">
        <v>49130</v>
      </c>
      <c r="C233" s="1">
        <v>1.9999999999999999E-7</v>
      </c>
      <c r="D233" t="str">
        <f>VLOOKUP(B233,Nuclides!A:E,5,FALSE)</f>
        <v>In130</v>
      </c>
      <c r="E233">
        <f>VLOOKUP(Sheet2!B233,Nuclides!A:E,2,FALSE)</f>
        <v>81</v>
      </c>
      <c r="F233">
        <f>VLOOKUP(B233,Nuclides!A:E,3,FALSE)</f>
        <v>49</v>
      </c>
      <c r="G233" s="1">
        <f t="shared" si="12"/>
        <v>2496000000</v>
      </c>
      <c r="H233">
        <f>VLOOKUP(B233,Nuclides!A:E,4,FALSE)</f>
        <v>0.28999999999999998</v>
      </c>
      <c r="J233" s="1">
        <v>49126</v>
      </c>
      <c r="K233" s="1">
        <v>1.7E-6</v>
      </c>
      <c r="L233" t="str">
        <f>VLOOKUP(J233,Nuclides!A:E,5,FALSE)</f>
        <v>In126</v>
      </c>
      <c r="M233">
        <f>VLOOKUP(Sheet2!J233,Nuclides!A:E,2,FALSE)</f>
        <v>77</v>
      </c>
      <c r="N233">
        <f>VLOOKUP(J233,Nuclides!A:E,3,FALSE)</f>
        <v>49</v>
      </c>
      <c r="O233" s="1">
        <f t="shared" si="13"/>
        <v>21216000000</v>
      </c>
      <c r="R233" s="1">
        <v>38096</v>
      </c>
      <c r="S233" s="1">
        <v>7.1081599999999994E-5</v>
      </c>
      <c r="T233" t="str">
        <f>VLOOKUP(R233,Nuclides!A:E,5,FALSE)</f>
        <v>Sr96</v>
      </c>
      <c r="U233">
        <f>VLOOKUP(Sheet2!R233,Nuclides!A:E,2,FALSE)</f>
        <v>58</v>
      </c>
      <c r="V233">
        <f>VLOOKUP(R233,Nuclides!A:E,3,FALSE)</f>
        <v>38</v>
      </c>
      <c r="W233" s="1">
        <f t="shared" si="14"/>
        <v>887098367999.99988</v>
      </c>
      <c r="X233" t="s">
        <v>952</v>
      </c>
      <c r="Z233" s="1">
        <v>38079</v>
      </c>
      <c r="AA233" s="1">
        <v>5.7236000000000004E-9</v>
      </c>
      <c r="AB233" t="str">
        <f>VLOOKUP(Z233,Nuclides!A:E,5,FALSE)</f>
        <v>Sr79</v>
      </c>
      <c r="AC233">
        <f>VLOOKUP(Sheet2!Z233,Nuclides!A:E,2,FALSE)</f>
        <v>41</v>
      </c>
      <c r="AD233">
        <f>VLOOKUP(Z233,Nuclides!A:E,3,FALSE)</f>
        <v>38</v>
      </c>
      <c r="AE233" s="1">
        <f t="shared" si="15"/>
        <v>71430528</v>
      </c>
      <c r="AF233" t="s">
        <v>935</v>
      </c>
    </row>
    <row r="234" spans="2:32" x14ac:dyDescent="0.2">
      <c r="B234">
        <v>50103</v>
      </c>
      <c r="C234" s="1">
        <v>9.9999999999999995E-8</v>
      </c>
      <c r="D234" t="str">
        <f>VLOOKUP(B234,Nuclides!A:E,5,FALSE)</f>
        <v>Sn103</v>
      </c>
      <c r="E234">
        <f>VLOOKUP(Sheet2!B234,Nuclides!A:E,2,FALSE)</f>
        <v>53</v>
      </c>
      <c r="F234">
        <f>VLOOKUP(B234,Nuclides!A:E,3,FALSE)</f>
        <v>50</v>
      </c>
      <c r="G234" s="1">
        <f t="shared" si="12"/>
        <v>1248000000</v>
      </c>
      <c r="H234">
        <f>VLOOKUP(B234,Nuclides!A:E,4,FALSE)</f>
        <v>7</v>
      </c>
      <c r="J234" s="1">
        <v>49127</v>
      </c>
      <c r="K234" s="1">
        <v>2.0999999999999998E-6</v>
      </c>
      <c r="L234" t="str">
        <f>VLOOKUP(J234,Nuclides!A:E,5,FALSE)</f>
        <v>In127</v>
      </c>
      <c r="M234">
        <f>VLOOKUP(Sheet2!J234,Nuclides!A:E,2,FALSE)</f>
        <v>78</v>
      </c>
      <c r="N234">
        <f>VLOOKUP(J234,Nuclides!A:E,3,FALSE)</f>
        <v>49</v>
      </c>
      <c r="O234" s="1">
        <f t="shared" si="13"/>
        <v>26207999999.999996</v>
      </c>
      <c r="R234" s="1">
        <v>38097</v>
      </c>
      <c r="S234" s="1">
        <v>4.5796800000000002E-5</v>
      </c>
      <c r="T234" t="str">
        <f>VLOOKUP(R234,Nuclides!A:E,5,FALSE)</f>
        <v>Sr97</v>
      </c>
      <c r="U234">
        <f>VLOOKUP(Sheet2!R234,Nuclides!A:E,2,FALSE)</f>
        <v>59</v>
      </c>
      <c r="V234">
        <f>VLOOKUP(R234,Nuclides!A:E,3,FALSE)</f>
        <v>38</v>
      </c>
      <c r="W234" s="1">
        <f t="shared" si="14"/>
        <v>571544064000</v>
      </c>
      <c r="X234" t="s">
        <v>953</v>
      </c>
      <c r="Z234" s="1">
        <v>38080</v>
      </c>
      <c r="AA234" s="1">
        <v>4.8860000000000005E-10</v>
      </c>
      <c r="AB234" t="str">
        <f>VLOOKUP(Z234,Nuclides!A:E,5,FALSE)</f>
        <v>Sr80</v>
      </c>
      <c r="AC234">
        <f>VLOOKUP(Sheet2!Z234,Nuclides!A:E,2,FALSE)</f>
        <v>42</v>
      </c>
      <c r="AD234">
        <f>VLOOKUP(Z234,Nuclides!A:E,3,FALSE)</f>
        <v>38</v>
      </c>
      <c r="AE234" s="1">
        <f t="shared" si="15"/>
        <v>6097728.0000000009</v>
      </c>
      <c r="AF234" t="s">
        <v>936</v>
      </c>
    </row>
    <row r="235" spans="2:32" x14ac:dyDescent="0.2">
      <c r="B235">
        <v>50122</v>
      </c>
      <c r="C235" s="1">
        <v>1.9999999999999999E-7</v>
      </c>
      <c r="D235" t="str">
        <f>VLOOKUP(B235,Nuclides!A:E,5,FALSE)</f>
        <v>Sn122</v>
      </c>
      <c r="E235">
        <f>VLOOKUP(Sheet2!B235,Nuclides!A:E,2,FALSE)</f>
        <v>72</v>
      </c>
      <c r="F235">
        <f>VLOOKUP(B235,Nuclides!A:E,3,FALSE)</f>
        <v>50</v>
      </c>
      <c r="G235" s="1">
        <f t="shared" si="12"/>
        <v>2496000000</v>
      </c>
      <c r="H235" t="str">
        <f>VLOOKUP(B235,Nuclides!A:E,4,FALSE)</f>
        <v>STABLE</v>
      </c>
      <c r="J235" s="1">
        <v>49128</v>
      </c>
      <c r="K235" s="1">
        <v>3.1999999999999999E-6</v>
      </c>
      <c r="L235" t="str">
        <f>VLOOKUP(J235,Nuclides!A:E,5,FALSE)</f>
        <v>In128</v>
      </c>
      <c r="M235">
        <f>VLOOKUP(Sheet2!J235,Nuclides!A:E,2,FALSE)</f>
        <v>79</v>
      </c>
      <c r="N235">
        <f>VLOOKUP(J235,Nuclides!A:E,3,FALSE)</f>
        <v>49</v>
      </c>
      <c r="O235" s="1">
        <f t="shared" si="13"/>
        <v>39936000000</v>
      </c>
      <c r="R235" s="1">
        <v>38098</v>
      </c>
      <c r="S235" s="1">
        <v>2.60672E-5</v>
      </c>
      <c r="T235" t="str">
        <f>VLOOKUP(R235,Nuclides!A:E,5,FALSE)</f>
        <v>Sr98</v>
      </c>
      <c r="U235">
        <f>VLOOKUP(Sheet2!R235,Nuclides!A:E,2,FALSE)</f>
        <v>60</v>
      </c>
      <c r="V235">
        <f>VLOOKUP(R235,Nuclides!A:E,3,FALSE)</f>
        <v>38</v>
      </c>
      <c r="W235" s="1">
        <f t="shared" si="14"/>
        <v>325318656000</v>
      </c>
      <c r="X235" t="s">
        <v>954</v>
      </c>
      <c r="Z235" s="1">
        <v>38081</v>
      </c>
      <c r="AA235" s="1">
        <v>2.094E-10</v>
      </c>
      <c r="AB235" t="str">
        <f>VLOOKUP(Z235,Nuclides!A:E,5,FALSE)</f>
        <v>Sr81</v>
      </c>
      <c r="AC235">
        <f>VLOOKUP(Sheet2!Z235,Nuclides!A:E,2,FALSE)</f>
        <v>43</v>
      </c>
      <c r="AD235">
        <f>VLOOKUP(Z235,Nuclides!A:E,3,FALSE)</f>
        <v>38</v>
      </c>
      <c r="AE235" s="1">
        <f t="shared" si="15"/>
        <v>2613312</v>
      </c>
      <c r="AF235" t="s">
        <v>937</v>
      </c>
    </row>
    <row r="236" spans="2:32" x14ac:dyDescent="0.2">
      <c r="B236">
        <v>50123</v>
      </c>
      <c r="C236" s="1">
        <v>4.9999999999999998E-7</v>
      </c>
      <c r="D236" t="str">
        <f>VLOOKUP(B236,Nuclides!A:E,5,FALSE)</f>
        <v>Sn123</v>
      </c>
      <c r="E236">
        <f>VLOOKUP(Sheet2!B236,Nuclides!A:E,2,FALSE)</f>
        <v>73</v>
      </c>
      <c r="F236">
        <f>VLOOKUP(B236,Nuclides!A:E,3,FALSE)</f>
        <v>50</v>
      </c>
      <c r="G236" s="1">
        <f t="shared" si="12"/>
        <v>6240000000</v>
      </c>
      <c r="H236">
        <f>VLOOKUP(B236,Nuclides!A:E,4,FALSE)</f>
        <v>11162879.999999899</v>
      </c>
      <c r="J236" s="1">
        <v>49129</v>
      </c>
      <c r="K236" s="1">
        <v>3.1E-6</v>
      </c>
      <c r="L236" t="str">
        <f>VLOOKUP(J236,Nuclides!A:E,5,FALSE)</f>
        <v>In129</v>
      </c>
      <c r="M236">
        <f>VLOOKUP(Sheet2!J236,Nuclides!A:E,2,FALSE)</f>
        <v>80</v>
      </c>
      <c r="N236">
        <f>VLOOKUP(J236,Nuclides!A:E,3,FALSE)</f>
        <v>49</v>
      </c>
      <c r="O236" s="1">
        <f t="shared" si="13"/>
        <v>38688000000</v>
      </c>
      <c r="R236" s="1">
        <v>38099</v>
      </c>
      <c r="S236" s="1">
        <v>8.4500599999999995E-6</v>
      </c>
      <c r="T236" t="str">
        <f>VLOOKUP(R236,Nuclides!A:E,5,FALSE)</f>
        <v>Sr99</v>
      </c>
      <c r="U236">
        <f>VLOOKUP(Sheet2!R236,Nuclides!A:E,2,FALSE)</f>
        <v>61</v>
      </c>
      <c r="V236">
        <f>VLOOKUP(R236,Nuclides!A:E,3,FALSE)</f>
        <v>38</v>
      </c>
      <c r="W236" s="1">
        <f t="shared" si="14"/>
        <v>105456748800</v>
      </c>
      <c r="X236" t="s">
        <v>955</v>
      </c>
      <c r="Z236" s="1">
        <v>38086</v>
      </c>
      <c r="AA236" s="1">
        <v>6.9799999999999994E-11</v>
      </c>
      <c r="AB236" t="str">
        <f>VLOOKUP(Z236,Nuclides!A:E,5,FALSE)</f>
        <v>Sr86</v>
      </c>
      <c r="AC236">
        <f>VLOOKUP(Sheet2!Z236,Nuclides!A:E,2,FALSE)</f>
        <v>48</v>
      </c>
      <c r="AD236">
        <f>VLOOKUP(Z236,Nuclides!A:E,3,FALSE)</f>
        <v>38</v>
      </c>
      <c r="AE236" s="1">
        <f t="shared" si="15"/>
        <v>871103.99999999988</v>
      </c>
      <c r="AF236" t="s">
        <v>942</v>
      </c>
    </row>
    <row r="237" spans="2:32" x14ac:dyDescent="0.2">
      <c r="B237">
        <v>50124</v>
      </c>
      <c r="C237" s="1">
        <v>9.9999999999999995E-7</v>
      </c>
      <c r="D237" t="str">
        <f>VLOOKUP(B237,Nuclides!A:E,5,FALSE)</f>
        <v>Sn124</v>
      </c>
      <c r="E237">
        <f>VLOOKUP(Sheet2!B237,Nuclides!A:E,2,FALSE)</f>
        <v>74</v>
      </c>
      <c r="F237">
        <f>VLOOKUP(B237,Nuclides!A:E,3,FALSE)</f>
        <v>50</v>
      </c>
      <c r="G237" s="1">
        <f t="shared" si="12"/>
        <v>12480000000</v>
      </c>
      <c r="H237">
        <f>VLOOKUP(B237,Nuclides!A:E,4,FALSE)</f>
        <v>3.786912E+28</v>
      </c>
      <c r="J237" s="1">
        <v>49130</v>
      </c>
      <c r="K237" s="1">
        <v>3.4000000000000001E-6</v>
      </c>
      <c r="L237" t="str">
        <f>VLOOKUP(J237,Nuclides!A:E,5,FALSE)</f>
        <v>In130</v>
      </c>
      <c r="M237">
        <f>VLOOKUP(Sheet2!J237,Nuclides!A:E,2,FALSE)</f>
        <v>81</v>
      </c>
      <c r="N237">
        <f>VLOOKUP(J237,Nuclides!A:E,3,FALSE)</f>
        <v>49</v>
      </c>
      <c r="O237" s="1">
        <f t="shared" si="13"/>
        <v>42432000000</v>
      </c>
      <c r="R237" s="1">
        <v>38100</v>
      </c>
      <c r="S237" s="1">
        <v>2.6510000000000001E-6</v>
      </c>
      <c r="T237" t="str">
        <f>VLOOKUP(R237,Nuclides!A:E,5,FALSE)</f>
        <v>Sr100</v>
      </c>
      <c r="U237">
        <f>VLOOKUP(Sheet2!R237,Nuclides!A:E,2,FALSE)</f>
        <v>62</v>
      </c>
      <c r="V237">
        <f>VLOOKUP(R237,Nuclides!A:E,3,FALSE)</f>
        <v>38</v>
      </c>
      <c r="W237" s="1">
        <f t="shared" si="14"/>
        <v>33084480000</v>
      </c>
      <c r="X237" t="s">
        <v>956</v>
      </c>
      <c r="Z237" s="1">
        <v>38087</v>
      </c>
      <c r="AA237" s="1">
        <v>4.1879999999999999E-10</v>
      </c>
      <c r="AB237" t="str">
        <f>VLOOKUP(Z237,Nuclides!A:E,5,FALSE)</f>
        <v>Sr87</v>
      </c>
      <c r="AC237">
        <f>VLOOKUP(Sheet2!Z237,Nuclides!A:E,2,FALSE)</f>
        <v>49</v>
      </c>
      <c r="AD237">
        <f>VLOOKUP(Z237,Nuclides!A:E,3,FALSE)</f>
        <v>38</v>
      </c>
      <c r="AE237" s="1">
        <f t="shared" si="15"/>
        <v>5226624</v>
      </c>
      <c r="AF237" t="s">
        <v>943</v>
      </c>
    </row>
    <row r="238" spans="2:32" x14ac:dyDescent="0.2">
      <c r="B238">
        <v>50125</v>
      </c>
      <c r="C238" s="1">
        <v>1.9999999999999999E-6</v>
      </c>
      <c r="D238" t="str">
        <f>VLOOKUP(B238,Nuclides!A:E,5,FALSE)</f>
        <v>Sn125</v>
      </c>
      <c r="E238">
        <f>VLOOKUP(Sheet2!B238,Nuclides!A:E,2,FALSE)</f>
        <v>75</v>
      </c>
      <c r="F238">
        <f>VLOOKUP(B238,Nuclides!A:E,3,FALSE)</f>
        <v>50</v>
      </c>
      <c r="G238" s="1">
        <f t="shared" si="12"/>
        <v>24960000000</v>
      </c>
      <c r="H238">
        <f>VLOOKUP(B238,Nuclides!A:E,4,FALSE)</f>
        <v>832896</v>
      </c>
      <c r="J238" s="1">
        <v>49131</v>
      </c>
      <c r="K238" s="1">
        <v>1.3E-6</v>
      </c>
      <c r="L238" t="str">
        <f>VLOOKUP(J238,Nuclides!A:E,5,FALSE)</f>
        <v>In131</v>
      </c>
      <c r="M238">
        <f>VLOOKUP(Sheet2!J238,Nuclides!A:E,2,FALSE)</f>
        <v>82</v>
      </c>
      <c r="N238">
        <f>VLOOKUP(J238,Nuclides!A:E,3,FALSE)</f>
        <v>49</v>
      </c>
      <c r="O238" s="1">
        <f t="shared" si="13"/>
        <v>16224000000</v>
      </c>
      <c r="R238" s="1">
        <v>39080</v>
      </c>
      <c r="S238" s="1">
        <v>4.9746499999999999E-7</v>
      </c>
      <c r="T238" t="str">
        <f>VLOOKUP(R238,Nuclides!A:E,5,FALSE)</f>
        <v>Y80</v>
      </c>
      <c r="U238">
        <f>VLOOKUP(Sheet2!R238,Nuclides!A:E,2,FALSE)</f>
        <v>41</v>
      </c>
      <c r="V238">
        <f>VLOOKUP(R238,Nuclides!A:E,3,FALSE)</f>
        <v>39</v>
      </c>
      <c r="W238" s="1">
        <f t="shared" si="14"/>
        <v>6208363200</v>
      </c>
      <c r="X238" t="s">
        <v>968</v>
      </c>
      <c r="Z238" s="1">
        <v>38088</v>
      </c>
      <c r="AA238" s="1">
        <v>5.5141999999999998E-9</v>
      </c>
      <c r="AB238" t="str">
        <f>VLOOKUP(Z238,Nuclides!A:E,5,FALSE)</f>
        <v>Sr88</v>
      </c>
      <c r="AC238">
        <f>VLOOKUP(Sheet2!Z238,Nuclides!A:E,2,FALSE)</f>
        <v>50</v>
      </c>
      <c r="AD238">
        <f>VLOOKUP(Z238,Nuclides!A:E,3,FALSE)</f>
        <v>38</v>
      </c>
      <c r="AE238" s="1">
        <f t="shared" si="15"/>
        <v>68817216</v>
      </c>
      <c r="AF238" t="s">
        <v>944</v>
      </c>
    </row>
    <row r="239" spans="2:32" x14ac:dyDescent="0.2">
      <c r="B239">
        <v>50126</v>
      </c>
      <c r="C239" s="1">
        <v>3.8E-6</v>
      </c>
      <c r="D239" t="str">
        <f>VLOOKUP(B239,Nuclides!A:E,5,FALSE)</f>
        <v>Sn126</v>
      </c>
      <c r="E239">
        <f>VLOOKUP(Sheet2!B239,Nuclides!A:E,2,FALSE)</f>
        <v>76</v>
      </c>
      <c r="F239">
        <f>VLOOKUP(B239,Nuclides!A:E,3,FALSE)</f>
        <v>50</v>
      </c>
      <c r="G239" s="1">
        <f t="shared" si="12"/>
        <v>47424000000</v>
      </c>
      <c r="H239">
        <f>VLOOKUP(B239,Nuclides!A:E,4,FALSE)</f>
        <v>7258248000000</v>
      </c>
      <c r="J239" s="1">
        <v>50103</v>
      </c>
      <c r="K239" s="1">
        <v>1.9999999999999999E-7</v>
      </c>
      <c r="L239" t="str">
        <f>VLOOKUP(J239,Nuclides!A:E,5,FALSE)</f>
        <v>Sn103</v>
      </c>
      <c r="M239">
        <f>VLOOKUP(Sheet2!J239,Nuclides!A:E,2,FALSE)</f>
        <v>53</v>
      </c>
      <c r="N239">
        <f>VLOOKUP(J239,Nuclides!A:E,3,FALSE)</f>
        <v>50</v>
      </c>
      <c r="O239" s="1">
        <f t="shared" si="13"/>
        <v>2496000000</v>
      </c>
      <c r="R239" s="1">
        <v>39081</v>
      </c>
      <c r="S239" s="1">
        <v>7.9222999999999994E-8</v>
      </c>
      <c r="T239" t="str">
        <f>VLOOKUP(R239,Nuclides!A:E,5,FALSE)</f>
        <v>Y81</v>
      </c>
      <c r="U239">
        <f>VLOOKUP(Sheet2!R239,Nuclides!A:E,2,FALSE)</f>
        <v>42</v>
      </c>
      <c r="V239">
        <f>VLOOKUP(R239,Nuclides!A:E,3,FALSE)</f>
        <v>39</v>
      </c>
      <c r="W239" s="1">
        <f t="shared" si="14"/>
        <v>988703039.99999988</v>
      </c>
      <c r="X239" t="s">
        <v>969</v>
      </c>
      <c r="Z239" s="1">
        <v>38089</v>
      </c>
      <c r="AA239" s="1">
        <v>4.1391399999999998E-8</v>
      </c>
      <c r="AB239" t="str">
        <f>VLOOKUP(Z239,Nuclides!A:E,5,FALSE)</f>
        <v>Sr89</v>
      </c>
      <c r="AC239">
        <f>VLOOKUP(Sheet2!Z239,Nuclides!A:E,2,FALSE)</f>
        <v>51</v>
      </c>
      <c r="AD239">
        <f>VLOOKUP(Z239,Nuclides!A:E,3,FALSE)</f>
        <v>38</v>
      </c>
      <c r="AE239" s="1">
        <f t="shared" si="15"/>
        <v>516564672</v>
      </c>
      <c r="AF239" t="s">
        <v>945</v>
      </c>
    </row>
    <row r="240" spans="2:32" x14ac:dyDescent="0.2">
      <c r="B240">
        <v>50127</v>
      </c>
      <c r="C240" s="1">
        <v>4.0999999999999997E-6</v>
      </c>
      <c r="D240" t="str">
        <f>VLOOKUP(B240,Nuclides!A:E,5,FALSE)</f>
        <v>Sn127</v>
      </c>
      <c r="E240">
        <f>VLOOKUP(Sheet2!B240,Nuclides!A:E,2,FALSE)</f>
        <v>77</v>
      </c>
      <c r="F240">
        <f>VLOOKUP(B240,Nuclides!A:E,3,FALSE)</f>
        <v>50</v>
      </c>
      <c r="G240" s="1">
        <f t="shared" si="12"/>
        <v>51168000000</v>
      </c>
      <c r="H240">
        <f>VLOOKUP(B240,Nuclides!A:E,4,FALSE)</f>
        <v>7560</v>
      </c>
      <c r="J240" s="1">
        <v>50122</v>
      </c>
      <c r="K240" s="1">
        <v>2.9999999999999999E-7</v>
      </c>
      <c r="L240" t="str">
        <f>VLOOKUP(J240,Nuclides!A:E,5,FALSE)</f>
        <v>Sn122</v>
      </c>
      <c r="M240">
        <f>VLOOKUP(Sheet2!J240,Nuclides!A:E,2,FALSE)</f>
        <v>72</v>
      </c>
      <c r="N240">
        <f>VLOOKUP(J240,Nuclides!A:E,3,FALSE)</f>
        <v>50</v>
      </c>
      <c r="O240" s="1">
        <f t="shared" si="13"/>
        <v>3744000000</v>
      </c>
      <c r="R240" s="1">
        <v>39082</v>
      </c>
      <c r="S240" s="1">
        <v>6.4216000000000002E-9</v>
      </c>
      <c r="T240" t="str">
        <f>VLOOKUP(R240,Nuclides!A:E,5,FALSE)</f>
        <v>Y82</v>
      </c>
      <c r="U240">
        <f>VLOOKUP(Sheet2!R240,Nuclides!A:E,2,FALSE)</f>
        <v>43</v>
      </c>
      <c r="V240">
        <f>VLOOKUP(R240,Nuclides!A:E,3,FALSE)</f>
        <v>39</v>
      </c>
      <c r="W240" s="1">
        <f t="shared" si="14"/>
        <v>80141568</v>
      </c>
      <c r="X240" t="s">
        <v>970</v>
      </c>
      <c r="Z240" s="1">
        <v>38090</v>
      </c>
      <c r="AA240" s="1">
        <v>2.9993099999999999E-7</v>
      </c>
      <c r="AB240" t="str">
        <f>VLOOKUP(Z240,Nuclides!A:E,5,FALSE)</f>
        <v>Sr90</v>
      </c>
      <c r="AC240">
        <f>VLOOKUP(Sheet2!Z240,Nuclides!A:E,2,FALSE)</f>
        <v>52</v>
      </c>
      <c r="AD240">
        <f>VLOOKUP(Z240,Nuclides!A:E,3,FALSE)</f>
        <v>38</v>
      </c>
      <c r="AE240" s="1">
        <f t="shared" si="15"/>
        <v>3743138880</v>
      </c>
      <c r="AF240" t="s">
        <v>946</v>
      </c>
    </row>
    <row r="241" spans="2:32" x14ac:dyDescent="0.2">
      <c r="B241">
        <v>50128</v>
      </c>
      <c r="C241" s="1">
        <v>7.0999999999999998E-6</v>
      </c>
      <c r="D241" t="str">
        <f>VLOOKUP(B241,Nuclides!A:E,5,FALSE)</f>
        <v>Sn128</v>
      </c>
      <c r="E241">
        <f>VLOOKUP(Sheet2!B241,Nuclides!A:E,2,FALSE)</f>
        <v>78</v>
      </c>
      <c r="F241">
        <f>VLOOKUP(B241,Nuclides!A:E,3,FALSE)</f>
        <v>50</v>
      </c>
      <c r="G241" s="1">
        <f t="shared" si="12"/>
        <v>88608000000</v>
      </c>
      <c r="H241">
        <f>VLOOKUP(B241,Nuclides!A:E,4,FALSE)</f>
        <v>3544.2</v>
      </c>
      <c r="J241" s="1">
        <v>50123</v>
      </c>
      <c r="K241" s="1">
        <v>3.9999999999999998E-7</v>
      </c>
      <c r="L241" t="str">
        <f>VLOOKUP(J241,Nuclides!A:E,5,FALSE)</f>
        <v>Sn123</v>
      </c>
      <c r="M241">
        <f>VLOOKUP(Sheet2!J241,Nuclides!A:E,2,FALSE)</f>
        <v>73</v>
      </c>
      <c r="N241">
        <f>VLOOKUP(J241,Nuclides!A:E,3,FALSE)</f>
        <v>50</v>
      </c>
      <c r="O241" s="1">
        <f t="shared" si="13"/>
        <v>4992000000</v>
      </c>
      <c r="R241" s="1">
        <v>39083</v>
      </c>
      <c r="S241" s="1">
        <v>1.3262E-9</v>
      </c>
      <c r="T241" t="str">
        <f>VLOOKUP(R241,Nuclides!A:E,5,FALSE)</f>
        <v>Y83</v>
      </c>
      <c r="U241">
        <f>VLOOKUP(Sheet2!R241,Nuclides!A:E,2,FALSE)</f>
        <v>44</v>
      </c>
      <c r="V241">
        <f>VLOOKUP(R241,Nuclides!A:E,3,FALSE)</f>
        <v>39</v>
      </c>
      <c r="W241" s="1">
        <f t="shared" si="14"/>
        <v>16550976</v>
      </c>
      <c r="X241" t="s">
        <v>971</v>
      </c>
      <c r="Z241" s="1">
        <v>38091</v>
      </c>
      <c r="AA241" s="1">
        <v>1.02913E-6</v>
      </c>
      <c r="AB241" t="str">
        <f>VLOOKUP(Z241,Nuclides!A:E,5,FALSE)</f>
        <v>Sr91</v>
      </c>
      <c r="AC241">
        <f>VLOOKUP(Sheet2!Z241,Nuclides!A:E,2,FALSE)</f>
        <v>53</v>
      </c>
      <c r="AD241">
        <f>VLOOKUP(Z241,Nuclides!A:E,3,FALSE)</f>
        <v>38</v>
      </c>
      <c r="AE241" s="1">
        <f t="shared" si="15"/>
        <v>12843542400</v>
      </c>
      <c r="AF241" t="s">
        <v>947</v>
      </c>
    </row>
    <row r="242" spans="2:32" x14ac:dyDescent="0.2">
      <c r="B242">
        <v>50129</v>
      </c>
      <c r="C242" s="1">
        <v>4.1999999999999996E-6</v>
      </c>
      <c r="D242" t="str">
        <f>VLOOKUP(B242,Nuclides!A:E,5,FALSE)</f>
        <v>Sn129</v>
      </c>
      <c r="E242">
        <f>VLOOKUP(Sheet2!B242,Nuclides!A:E,2,FALSE)</f>
        <v>79</v>
      </c>
      <c r="F242">
        <f>VLOOKUP(B242,Nuclides!A:E,3,FALSE)</f>
        <v>50</v>
      </c>
      <c r="G242" s="1">
        <f t="shared" si="12"/>
        <v>52415999999.999992</v>
      </c>
      <c r="H242">
        <f>VLOOKUP(B242,Nuclides!A:E,4,FALSE)</f>
        <v>133.80000000000001</v>
      </c>
      <c r="J242" s="1">
        <v>50124</v>
      </c>
      <c r="K242" s="1">
        <v>8.9999999999999996E-7</v>
      </c>
      <c r="L242" t="str">
        <f>VLOOKUP(J242,Nuclides!A:E,5,FALSE)</f>
        <v>Sn124</v>
      </c>
      <c r="M242">
        <f>VLOOKUP(Sheet2!J242,Nuclides!A:E,2,FALSE)</f>
        <v>74</v>
      </c>
      <c r="N242">
        <f>VLOOKUP(J242,Nuclides!A:E,3,FALSE)</f>
        <v>50</v>
      </c>
      <c r="O242" s="1">
        <f t="shared" si="13"/>
        <v>11232000000</v>
      </c>
      <c r="R242" s="1">
        <v>39087</v>
      </c>
      <c r="S242" s="1">
        <v>2.094E-10</v>
      </c>
      <c r="T242" t="str">
        <f>VLOOKUP(R242,Nuclides!A:E,5,FALSE)</f>
        <v>Y87</v>
      </c>
      <c r="U242">
        <f>VLOOKUP(Sheet2!R242,Nuclides!A:E,2,FALSE)</f>
        <v>48</v>
      </c>
      <c r="V242">
        <f>VLOOKUP(R242,Nuclides!A:E,3,FALSE)</f>
        <v>39</v>
      </c>
      <c r="W242" s="1">
        <f t="shared" si="14"/>
        <v>2613312</v>
      </c>
      <c r="X242" t="s">
        <v>975</v>
      </c>
      <c r="Z242" s="1">
        <v>38092</v>
      </c>
      <c r="AA242" s="1">
        <v>4.5028000000000003E-6</v>
      </c>
      <c r="AB242" t="str">
        <f>VLOOKUP(Z242,Nuclides!A:E,5,FALSE)</f>
        <v>Sr92</v>
      </c>
      <c r="AC242">
        <f>VLOOKUP(Sheet2!Z242,Nuclides!A:E,2,FALSE)</f>
        <v>54</v>
      </c>
      <c r="AD242">
        <f>VLOOKUP(Z242,Nuclides!A:E,3,FALSE)</f>
        <v>38</v>
      </c>
      <c r="AE242" s="1">
        <f t="shared" si="15"/>
        <v>56194944000.000008</v>
      </c>
      <c r="AF242" t="s">
        <v>948</v>
      </c>
    </row>
    <row r="243" spans="2:32" x14ac:dyDescent="0.2">
      <c r="B243">
        <v>50130</v>
      </c>
      <c r="C243" s="1">
        <v>3.5999999999999998E-6</v>
      </c>
      <c r="D243" t="str">
        <f>VLOOKUP(B243,Nuclides!A:E,5,FALSE)</f>
        <v>Sn130</v>
      </c>
      <c r="E243">
        <f>VLOOKUP(Sheet2!B243,Nuclides!A:E,2,FALSE)</f>
        <v>80</v>
      </c>
      <c r="F243">
        <f>VLOOKUP(B243,Nuclides!A:E,3,FALSE)</f>
        <v>50</v>
      </c>
      <c r="G243" s="1">
        <f t="shared" si="12"/>
        <v>44928000000</v>
      </c>
      <c r="H243">
        <f>VLOOKUP(B243,Nuclides!A:E,4,FALSE)</f>
        <v>223.2</v>
      </c>
      <c r="J243" s="1">
        <v>50125</v>
      </c>
      <c r="K243" s="1">
        <v>1.1000000000000001E-6</v>
      </c>
      <c r="L243" t="str">
        <f>VLOOKUP(J243,Nuclides!A:E,5,FALSE)</f>
        <v>Sn125</v>
      </c>
      <c r="M243">
        <f>VLOOKUP(Sheet2!J243,Nuclides!A:E,2,FALSE)</f>
        <v>75</v>
      </c>
      <c r="N243">
        <f>VLOOKUP(J243,Nuclides!A:E,3,FALSE)</f>
        <v>50</v>
      </c>
      <c r="O243" s="1">
        <f t="shared" si="13"/>
        <v>13728000000</v>
      </c>
      <c r="R243" s="1">
        <v>39088</v>
      </c>
      <c r="S243" s="1">
        <v>1.3959999999999999E-9</v>
      </c>
      <c r="T243" t="str">
        <f>VLOOKUP(R243,Nuclides!A:E,5,FALSE)</f>
        <v>Y88</v>
      </c>
      <c r="U243">
        <f>VLOOKUP(Sheet2!R243,Nuclides!A:E,2,FALSE)</f>
        <v>49</v>
      </c>
      <c r="V243">
        <f>VLOOKUP(R243,Nuclides!A:E,3,FALSE)</f>
        <v>39</v>
      </c>
      <c r="W243" s="1">
        <f t="shared" si="14"/>
        <v>17422080</v>
      </c>
      <c r="X243" t="s">
        <v>976</v>
      </c>
      <c r="Z243" s="1">
        <v>38093</v>
      </c>
      <c r="AA243" s="1">
        <v>9.5610599999999996E-6</v>
      </c>
      <c r="AB243" t="str">
        <f>VLOOKUP(Z243,Nuclides!A:E,5,FALSE)</f>
        <v>Sr93</v>
      </c>
      <c r="AC243">
        <f>VLOOKUP(Sheet2!Z243,Nuclides!A:E,2,FALSE)</f>
        <v>55</v>
      </c>
      <c r="AD243">
        <f>VLOOKUP(Z243,Nuclides!A:E,3,FALSE)</f>
        <v>38</v>
      </c>
      <c r="AE243" s="1">
        <f t="shared" si="15"/>
        <v>119322028800</v>
      </c>
      <c r="AF243" t="s">
        <v>949</v>
      </c>
    </row>
    <row r="244" spans="2:32" x14ac:dyDescent="0.2">
      <c r="B244">
        <v>50131</v>
      </c>
      <c r="C244" s="1">
        <v>1.5999999999999999E-6</v>
      </c>
      <c r="D244" t="str">
        <f>VLOOKUP(B244,Nuclides!A:E,5,FALSE)</f>
        <v>Sn131</v>
      </c>
      <c r="E244">
        <f>VLOOKUP(Sheet2!B244,Nuclides!A:E,2,FALSE)</f>
        <v>81</v>
      </c>
      <c r="F244">
        <f>VLOOKUP(B244,Nuclides!A:E,3,FALSE)</f>
        <v>50</v>
      </c>
      <c r="G244" s="1">
        <f t="shared" si="12"/>
        <v>19968000000</v>
      </c>
      <c r="H244">
        <f>VLOOKUP(B244,Nuclides!A:E,4,FALSE)</f>
        <v>56</v>
      </c>
      <c r="J244" s="1">
        <v>50126</v>
      </c>
      <c r="K244" s="1">
        <v>2.7999999999999999E-6</v>
      </c>
      <c r="L244" t="str">
        <f>VLOOKUP(J244,Nuclides!A:E,5,FALSE)</f>
        <v>Sn126</v>
      </c>
      <c r="M244">
        <f>VLOOKUP(Sheet2!J244,Nuclides!A:E,2,FALSE)</f>
        <v>76</v>
      </c>
      <c r="N244">
        <f>VLOOKUP(J244,Nuclides!A:E,3,FALSE)</f>
        <v>50</v>
      </c>
      <c r="O244" s="1">
        <f t="shared" si="13"/>
        <v>34944000000</v>
      </c>
      <c r="R244" s="1">
        <v>39089</v>
      </c>
      <c r="S244" s="1">
        <v>1.02606E-8</v>
      </c>
      <c r="T244" t="str">
        <f>VLOOKUP(R244,Nuclides!A:E,5,FALSE)</f>
        <v>Y89</v>
      </c>
      <c r="U244">
        <f>VLOOKUP(Sheet2!R244,Nuclides!A:E,2,FALSE)</f>
        <v>50</v>
      </c>
      <c r="V244">
        <f>VLOOKUP(R244,Nuclides!A:E,3,FALSE)</f>
        <v>39</v>
      </c>
      <c r="W244" s="1">
        <f t="shared" si="14"/>
        <v>128052288</v>
      </c>
      <c r="X244" t="s">
        <v>977</v>
      </c>
      <c r="Z244" s="1">
        <v>38094</v>
      </c>
      <c r="AA244" s="1">
        <v>2.42979E-5</v>
      </c>
      <c r="AB244" t="str">
        <f>VLOOKUP(Z244,Nuclides!A:E,5,FALSE)</f>
        <v>Sr94</v>
      </c>
      <c r="AC244">
        <f>VLOOKUP(Sheet2!Z244,Nuclides!A:E,2,FALSE)</f>
        <v>56</v>
      </c>
      <c r="AD244">
        <f>VLOOKUP(Z244,Nuclides!A:E,3,FALSE)</f>
        <v>38</v>
      </c>
      <c r="AE244" s="1">
        <f t="shared" si="15"/>
        <v>303237792000</v>
      </c>
      <c r="AF244" t="s">
        <v>950</v>
      </c>
    </row>
    <row r="245" spans="2:32" x14ac:dyDescent="0.2">
      <c r="B245">
        <v>50132</v>
      </c>
      <c r="C245" s="1">
        <v>7.9999999999999996E-7</v>
      </c>
      <c r="D245" t="str">
        <f>VLOOKUP(B245,Nuclides!A:E,5,FALSE)</f>
        <v>Sn132</v>
      </c>
      <c r="E245">
        <f>VLOOKUP(Sheet2!B245,Nuclides!A:E,2,FALSE)</f>
        <v>82</v>
      </c>
      <c r="F245">
        <f>VLOOKUP(B245,Nuclides!A:E,3,FALSE)</f>
        <v>50</v>
      </c>
      <c r="G245" s="1">
        <f t="shared" si="12"/>
        <v>9984000000</v>
      </c>
      <c r="H245">
        <f>VLOOKUP(B245,Nuclides!A:E,4,FALSE)</f>
        <v>39.700000000000003</v>
      </c>
      <c r="J245" s="1">
        <v>50127</v>
      </c>
      <c r="K245" s="1">
        <v>5.1000000000000003E-6</v>
      </c>
      <c r="L245" t="str">
        <f>VLOOKUP(J245,Nuclides!A:E,5,FALSE)</f>
        <v>Sn127</v>
      </c>
      <c r="M245">
        <f>VLOOKUP(Sheet2!J245,Nuclides!A:E,2,FALSE)</f>
        <v>77</v>
      </c>
      <c r="N245">
        <f>VLOOKUP(J245,Nuclides!A:E,3,FALSE)</f>
        <v>50</v>
      </c>
      <c r="O245" s="1">
        <f t="shared" si="13"/>
        <v>63648000000</v>
      </c>
      <c r="R245" s="1">
        <v>39090</v>
      </c>
      <c r="S245" s="1">
        <v>5.6468199999999997E-8</v>
      </c>
      <c r="T245" t="str">
        <f>VLOOKUP(R245,Nuclides!A:E,5,FALSE)</f>
        <v>Y90</v>
      </c>
      <c r="U245">
        <f>VLOOKUP(Sheet2!R245,Nuclides!A:E,2,FALSE)</f>
        <v>51</v>
      </c>
      <c r="V245">
        <f>VLOOKUP(R245,Nuclides!A:E,3,FALSE)</f>
        <v>39</v>
      </c>
      <c r="W245" s="1">
        <f t="shared" si="14"/>
        <v>704723136</v>
      </c>
      <c r="X245" t="s">
        <v>978</v>
      </c>
      <c r="Z245" s="1">
        <v>38095</v>
      </c>
      <c r="AA245" s="1">
        <v>2.46254E-5</v>
      </c>
      <c r="AB245" t="str">
        <f>VLOOKUP(Z245,Nuclides!A:E,5,FALSE)</f>
        <v>Sr95</v>
      </c>
      <c r="AC245">
        <f>VLOOKUP(Sheet2!Z245,Nuclides!A:E,2,FALSE)</f>
        <v>57</v>
      </c>
      <c r="AD245">
        <f>VLOOKUP(Z245,Nuclides!A:E,3,FALSE)</f>
        <v>38</v>
      </c>
      <c r="AE245" s="1">
        <f t="shared" si="15"/>
        <v>307324992000</v>
      </c>
      <c r="AF245" t="s">
        <v>951</v>
      </c>
    </row>
    <row r="246" spans="2:32" x14ac:dyDescent="0.2">
      <c r="B246">
        <v>51108</v>
      </c>
      <c r="C246" s="1">
        <v>9.9999999999999995E-8</v>
      </c>
      <c r="D246" t="str">
        <f>VLOOKUP(B246,Nuclides!A:E,5,FALSE)</f>
        <v>Sb108</v>
      </c>
      <c r="E246">
        <f>VLOOKUP(Sheet2!B246,Nuclides!A:E,2,FALSE)</f>
        <v>57</v>
      </c>
      <c r="F246">
        <f>VLOOKUP(B246,Nuclides!A:E,3,FALSE)</f>
        <v>51</v>
      </c>
      <c r="G246" s="1">
        <f t="shared" si="12"/>
        <v>1248000000</v>
      </c>
      <c r="H246">
        <f>VLOOKUP(B246,Nuclides!A:E,4,FALSE)</f>
        <v>7.4</v>
      </c>
      <c r="J246" s="1">
        <v>50128</v>
      </c>
      <c r="K246" s="1">
        <v>7.7999999999999999E-6</v>
      </c>
      <c r="L246" t="str">
        <f>VLOOKUP(J246,Nuclides!A:E,5,FALSE)</f>
        <v>Sn128</v>
      </c>
      <c r="M246">
        <f>VLOOKUP(Sheet2!J246,Nuclides!A:E,2,FALSE)</f>
        <v>78</v>
      </c>
      <c r="N246">
        <f>VLOOKUP(J246,Nuclides!A:E,3,FALSE)</f>
        <v>50</v>
      </c>
      <c r="O246" s="1">
        <f t="shared" si="13"/>
        <v>97344000000</v>
      </c>
      <c r="R246" s="1">
        <v>39091</v>
      </c>
      <c r="S246" s="1">
        <v>2.53234E-7</v>
      </c>
      <c r="T246" t="str">
        <f>VLOOKUP(R246,Nuclides!A:E,5,FALSE)</f>
        <v>Y91</v>
      </c>
      <c r="U246">
        <f>VLOOKUP(Sheet2!R246,Nuclides!A:E,2,FALSE)</f>
        <v>52</v>
      </c>
      <c r="V246">
        <f>VLOOKUP(R246,Nuclides!A:E,3,FALSE)</f>
        <v>39</v>
      </c>
      <c r="W246" s="1">
        <f t="shared" si="14"/>
        <v>3160360320</v>
      </c>
      <c r="X246" t="s">
        <v>979</v>
      </c>
      <c r="Z246" s="1">
        <v>38096</v>
      </c>
      <c r="AA246" s="1">
        <v>3.47111E-5</v>
      </c>
      <c r="AB246" t="str">
        <f>VLOOKUP(Z246,Nuclides!A:E,5,FALSE)</f>
        <v>Sr96</v>
      </c>
      <c r="AC246">
        <f>VLOOKUP(Sheet2!Z246,Nuclides!A:E,2,FALSE)</f>
        <v>58</v>
      </c>
      <c r="AD246">
        <f>VLOOKUP(Z246,Nuclides!A:E,3,FALSE)</f>
        <v>38</v>
      </c>
      <c r="AE246" s="1">
        <f t="shared" si="15"/>
        <v>433194528000</v>
      </c>
      <c r="AF246" t="s">
        <v>952</v>
      </c>
    </row>
    <row r="247" spans="2:32" x14ac:dyDescent="0.2">
      <c r="B247">
        <v>51109</v>
      </c>
      <c r="C247" s="1">
        <v>9.9999999999999995E-8</v>
      </c>
      <c r="D247" t="str">
        <f>VLOOKUP(B247,Nuclides!A:E,5,FALSE)</f>
        <v>Sb109</v>
      </c>
      <c r="E247">
        <f>VLOOKUP(Sheet2!B247,Nuclides!A:E,2,FALSE)</f>
        <v>58</v>
      </c>
      <c r="F247">
        <f>VLOOKUP(B247,Nuclides!A:E,3,FALSE)</f>
        <v>51</v>
      </c>
      <c r="G247" s="1">
        <f t="shared" si="12"/>
        <v>1248000000</v>
      </c>
      <c r="H247">
        <f>VLOOKUP(B247,Nuclides!A:E,4,FALSE)</f>
        <v>17</v>
      </c>
      <c r="J247" s="1">
        <v>50129</v>
      </c>
      <c r="K247" s="1">
        <v>1.7099999999999999E-5</v>
      </c>
      <c r="L247" t="str">
        <f>VLOOKUP(J247,Nuclides!A:E,5,FALSE)</f>
        <v>Sn129</v>
      </c>
      <c r="M247">
        <f>VLOOKUP(Sheet2!J247,Nuclides!A:E,2,FALSE)</f>
        <v>79</v>
      </c>
      <c r="N247">
        <f>VLOOKUP(J247,Nuclides!A:E,3,FALSE)</f>
        <v>50</v>
      </c>
      <c r="O247" s="1">
        <f t="shared" si="13"/>
        <v>213408000000</v>
      </c>
      <c r="R247" s="1">
        <v>39092</v>
      </c>
      <c r="S247" s="1">
        <v>9.8885700000000005E-7</v>
      </c>
      <c r="T247" t="str">
        <f>VLOOKUP(R247,Nuclides!A:E,5,FALSE)</f>
        <v>Y92</v>
      </c>
      <c r="U247">
        <f>VLOOKUP(Sheet2!R247,Nuclides!A:E,2,FALSE)</f>
        <v>53</v>
      </c>
      <c r="V247">
        <f>VLOOKUP(R247,Nuclides!A:E,3,FALSE)</f>
        <v>39</v>
      </c>
      <c r="W247" s="1">
        <f t="shared" si="14"/>
        <v>12340935360</v>
      </c>
      <c r="X247" t="s">
        <v>980</v>
      </c>
      <c r="Z247" s="1">
        <v>38097</v>
      </c>
      <c r="AA247" s="1">
        <v>2.2148199999999999E-5</v>
      </c>
      <c r="AB247" t="str">
        <f>VLOOKUP(Z247,Nuclides!A:E,5,FALSE)</f>
        <v>Sr97</v>
      </c>
      <c r="AC247">
        <f>VLOOKUP(Sheet2!Z247,Nuclides!A:E,2,FALSE)</f>
        <v>59</v>
      </c>
      <c r="AD247">
        <f>VLOOKUP(Z247,Nuclides!A:E,3,FALSE)</f>
        <v>38</v>
      </c>
      <c r="AE247" s="1">
        <f t="shared" si="15"/>
        <v>276409536000</v>
      </c>
      <c r="AF247" t="s">
        <v>953</v>
      </c>
    </row>
    <row r="248" spans="2:32" x14ac:dyDescent="0.2">
      <c r="B248">
        <v>51125</v>
      </c>
      <c r="C248" s="1">
        <v>4.9999999999999998E-7</v>
      </c>
      <c r="D248" t="str">
        <f>VLOOKUP(B248,Nuclides!A:E,5,FALSE)</f>
        <v>Sb125</v>
      </c>
      <c r="E248">
        <f>VLOOKUP(Sheet2!B248,Nuclides!A:E,2,FALSE)</f>
        <v>74</v>
      </c>
      <c r="F248">
        <f>VLOOKUP(B248,Nuclides!A:E,3,FALSE)</f>
        <v>51</v>
      </c>
      <c r="G248" s="1">
        <f t="shared" si="12"/>
        <v>6240000000</v>
      </c>
      <c r="H248">
        <f>VLOOKUP(B248,Nuclides!A:E,4,FALSE)</f>
        <v>87053533.055999994</v>
      </c>
      <c r="J248" s="1">
        <v>50130</v>
      </c>
      <c r="K248" s="1">
        <v>2.51E-5</v>
      </c>
      <c r="L248" t="str">
        <f>VLOOKUP(J248,Nuclides!A:E,5,FALSE)</f>
        <v>Sn130</v>
      </c>
      <c r="M248">
        <f>VLOOKUP(Sheet2!J248,Nuclides!A:E,2,FALSE)</f>
        <v>80</v>
      </c>
      <c r="N248">
        <f>VLOOKUP(J248,Nuclides!A:E,3,FALSE)</f>
        <v>50</v>
      </c>
      <c r="O248" s="1">
        <f t="shared" si="13"/>
        <v>313248000000</v>
      </c>
      <c r="R248" s="1">
        <v>39093</v>
      </c>
      <c r="S248" s="1">
        <v>3.5352999999999998E-6</v>
      </c>
      <c r="T248" t="str">
        <f>VLOOKUP(R248,Nuclides!A:E,5,FALSE)</f>
        <v>Y93</v>
      </c>
      <c r="U248">
        <f>VLOOKUP(Sheet2!R248,Nuclides!A:E,2,FALSE)</f>
        <v>54</v>
      </c>
      <c r="V248">
        <f>VLOOKUP(R248,Nuclides!A:E,3,FALSE)</f>
        <v>39</v>
      </c>
      <c r="W248" s="1">
        <f t="shared" si="14"/>
        <v>44120544000</v>
      </c>
      <c r="X248" t="s">
        <v>981</v>
      </c>
      <c r="Z248" s="1">
        <v>38098</v>
      </c>
      <c r="AA248" s="1">
        <v>2.07114E-5</v>
      </c>
      <c r="AB248" t="str">
        <f>VLOOKUP(Z248,Nuclides!A:E,5,FALSE)</f>
        <v>Sr98</v>
      </c>
      <c r="AC248">
        <f>VLOOKUP(Sheet2!Z248,Nuclides!A:E,2,FALSE)</f>
        <v>60</v>
      </c>
      <c r="AD248">
        <f>VLOOKUP(Z248,Nuclides!A:E,3,FALSE)</f>
        <v>38</v>
      </c>
      <c r="AE248" s="1">
        <f t="shared" si="15"/>
        <v>258478272000</v>
      </c>
      <c r="AF248" t="s">
        <v>954</v>
      </c>
    </row>
    <row r="249" spans="2:32" x14ac:dyDescent="0.2">
      <c r="B249">
        <v>51126</v>
      </c>
      <c r="C249" s="1">
        <v>3.9999999999999998E-7</v>
      </c>
      <c r="D249" t="str">
        <f>VLOOKUP(B249,Nuclides!A:E,5,FALSE)</f>
        <v>Sb126</v>
      </c>
      <c r="E249">
        <f>VLOOKUP(Sheet2!B249,Nuclides!A:E,2,FALSE)</f>
        <v>75</v>
      </c>
      <c r="F249">
        <f>VLOOKUP(B249,Nuclides!A:E,3,FALSE)</f>
        <v>51</v>
      </c>
      <c r="G249" s="1">
        <f t="shared" si="12"/>
        <v>4992000000</v>
      </c>
      <c r="H249">
        <f>VLOOKUP(B249,Nuclides!A:E,4,FALSE)</f>
        <v>1067040</v>
      </c>
      <c r="J249" s="1">
        <v>50131</v>
      </c>
      <c r="K249" s="1">
        <v>2.51E-5</v>
      </c>
      <c r="L249" t="str">
        <f>VLOOKUP(J249,Nuclides!A:E,5,FALSE)</f>
        <v>Sn131</v>
      </c>
      <c r="M249">
        <f>VLOOKUP(Sheet2!J249,Nuclides!A:E,2,FALSE)</f>
        <v>81</v>
      </c>
      <c r="N249">
        <f>VLOOKUP(J249,Nuclides!A:E,3,FALSE)</f>
        <v>50</v>
      </c>
      <c r="O249" s="1">
        <f t="shared" si="13"/>
        <v>313248000000</v>
      </c>
      <c r="R249" s="1">
        <v>39094</v>
      </c>
      <c r="S249" s="1">
        <v>9.3795799999999994E-6</v>
      </c>
      <c r="T249" t="str">
        <f>VLOOKUP(R249,Nuclides!A:E,5,FALSE)</f>
        <v>Y94</v>
      </c>
      <c r="U249">
        <f>VLOOKUP(Sheet2!R249,Nuclides!A:E,2,FALSE)</f>
        <v>55</v>
      </c>
      <c r="V249">
        <f>VLOOKUP(R249,Nuclides!A:E,3,FALSE)</f>
        <v>39</v>
      </c>
      <c r="W249" s="1">
        <f t="shared" si="14"/>
        <v>117057158400</v>
      </c>
      <c r="X249" t="s">
        <v>982</v>
      </c>
      <c r="Z249" s="1">
        <v>38099</v>
      </c>
      <c r="AA249" s="1">
        <v>7.7651100000000003E-6</v>
      </c>
      <c r="AB249" t="str">
        <f>VLOOKUP(Z249,Nuclides!A:E,5,FALSE)</f>
        <v>Sr99</v>
      </c>
      <c r="AC249">
        <f>VLOOKUP(Sheet2!Z249,Nuclides!A:E,2,FALSE)</f>
        <v>61</v>
      </c>
      <c r="AD249">
        <f>VLOOKUP(Z249,Nuclides!A:E,3,FALSE)</f>
        <v>38</v>
      </c>
      <c r="AE249" s="1">
        <f t="shared" si="15"/>
        <v>96908572800</v>
      </c>
      <c r="AF249" t="s">
        <v>955</v>
      </c>
    </row>
    <row r="250" spans="2:32" x14ac:dyDescent="0.2">
      <c r="B250">
        <v>51127</v>
      </c>
      <c r="C250" s="1">
        <v>2.3E-6</v>
      </c>
      <c r="D250" t="str">
        <f>VLOOKUP(B250,Nuclides!A:E,5,FALSE)</f>
        <v>Sb127</v>
      </c>
      <c r="E250">
        <f>VLOOKUP(Sheet2!B250,Nuclides!A:E,2,FALSE)</f>
        <v>76</v>
      </c>
      <c r="F250">
        <f>VLOOKUP(B250,Nuclides!A:E,3,FALSE)</f>
        <v>51</v>
      </c>
      <c r="G250" s="1">
        <f t="shared" si="12"/>
        <v>28704000000</v>
      </c>
      <c r="H250">
        <f>VLOOKUP(B250,Nuclides!A:E,4,FALSE)</f>
        <v>332640</v>
      </c>
      <c r="J250" s="1">
        <v>50132</v>
      </c>
      <c r="K250" s="1">
        <v>1.7099999999999999E-5</v>
      </c>
      <c r="L250" t="str">
        <f>VLOOKUP(J250,Nuclides!A:E,5,FALSE)</f>
        <v>Sn132</v>
      </c>
      <c r="M250">
        <f>VLOOKUP(Sheet2!J250,Nuclides!A:E,2,FALSE)</f>
        <v>82</v>
      </c>
      <c r="N250">
        <f>VLOOKUP(J250,Nuclides!A:E,3,FALSE)</f>
        <v>50</v>
      </c>
      <c r="O250" s="1">
        <f t="shared" si="13"/>
        <v>213408000000</v>
      </c>
      <c r="R250" s="1">
        <v>39095</v>
      </c>
      <c r="S250" s="1">
        <v>2.52543E-5</v>
      </c>
      <c r="T250" t="str">
        <f>VLOOKUP(R250,Nuclides!A:E,5,FALSE)</f>
        <v>Y95</v>
      </c>
      <c r="U250">
        <f>VLOOKUP(Sheet2!R250,Nuclides!A:E,2,FALSE)</f>
        <v>56</v>
      </c>
      <c r="V250">
        <f>VLOOKUP(R250,Nuclides!A:E,3,FALSE)</f>
        <v>39</v>
      </c>
      <c r="W250" s="1">
        <f t="shared" si="14"/>
        <v>315173664000</v>
      </c>
      <c r="X250" t="s">
        <v>983</v>
      </c>
      <c r="Z250" s="1">
        <v>38100</v>
      </c>
      <c r="AA250" s="1">
        <v>6.7033800000000004E-6</v>
      </c>
      <c r="AB250" t="str">
        <f>VLOOKUP(Z250,Nuclides!A:E,5,FALSE)</f>
        <v>Sr100</v>
      </c>
      <c r="AC250">
        <f>VLOOKUP(Sheet2!Z250,Nuclides!A:E,2,FALSE)</f>
        <v>62</v>
      </c>
      <c r="AD250">
        <f>VLOOKUP(Z250,Nuclides!A:E,3,FALSE)</f>
        <v>38</v>
      </c>
      <c r="AE250" s="1">
        <f t="shared" si="15"/>
        <v>83658182400</v>
      </c>
      <c r="AF250" t="s">
        <v>956</v>
      </c>
    </row>
    <row r="251" spans="2:32" x14ac:dyDescent="0.2">
      <c r="B251">
        <v>51128</v>
      </c>
      <c r="C251" s="1">
        <v>3.4000000000000001E-6</v>
      </c>
      <c r="D251" t="str">
        <f>VLOOKUP(B251,Nuclides!A:E,5,FALSE)</f>
        <v>Sb128</v>
      </c>
      <c r="E251">
        <f>VLOOKUP(Sheet2!B251,Nuclides!A:E,2,FALSE)</f>
        <v>77</v>
      </c>
      <c r="F251">
        <f>VLOOKUP(B251,Nuclides!A:E,3,FALSE)</f>
        <v>51</v>
      </c>
      <c r="G251" s="1">
        <f t="shared" si="12"/>
        <v>42432000000</v>
      </c>
      <c r="H251">
        <f>VLOOKUP(B251,Nuclides!A:E,4,FALSE)</f>
        <v>32580</v>
      </c>
      <c r="J251" s="1">
        <v>50133</v>
      </c>
      <c r="K251" s="1">
        <v>7.7999999999999999E-6</v>
      </c>
      <c r="L251" t="str">
        <f>VLOOKUP(J251,Nuclides!A:E,5,FALSE)</f>
        <v>Sn133</v>
      </c>
      <c r="M251">
        <f>VLOOKUP(Sheet2!J251,Nuclides!A:E,2,FALSE)</f>
        <v>83</v>
      </c>
      <c r="N251">
        <f>VLOOKUP(J251,Nuclides!A:E,3,FALSE)</f>
        <v>50</v>
      </c>
      <c r="O251" s="1">
        <f t="shared" si="13"/>
        <v>97344000000</v>
      </c>
      <c r="R251" s="1">
        <v>39096</v>
      </c>
      <c r="S251" s="1">
        <v>4.24339E-5</v>
      </c>
      <c r="T251" t="str">
        <f>VLOOKUP(R251,Nuclides!A:E,5,FALSE)</f>
        <v>Y96</v>
      </c>
      <c r="U251">
        <f>VLOOKUP(Sheet2!R251,Nuclides!A:E,2,FALSE)</f>
        <v>57</v>
      </c>
      <c r="V251">
        <f>VLOOKUP(R251,Nuclides!A:E,3,FALSE)</f>
        <v>39</v>
      </c>
      <c r="W251" s="1">
        <f t="shared" si="14"/>
        <v>529575072000</v>
      </c>
      <c r="X251" t="s">
        <v>984</v>
      </c>
      <c r="Z251" s="1">
        <v>39080</v>
      </c>
      <c r="AA251" s="1">
        <v>2.9618199999999999E-6</v>
      </c>
      <c r="AB251" t="str">
        <f>VLOOKUP(Z251,Nuclides!A:E,5,FALSE)</f>
        <v>Y80</v>
      </c>
      <c r="AC251">
        <f>VLOOKUP(Sheet2!Z251,Nuclides!A:E,2,FALSE)</f>
        <v>41</v>
      </c>
      <c r="AD251">
        <f>VLOOKUP(Z251,Nuclides!A:E,3,FALSE)</f>
        <v>39</v>
      </c>
      <c r="AE251" s="1">
        <f t="shared" si="15"/>
        <v>36963513600</v>
      </c>
      <c r="AF251" t="s">
        <v>968</v>
      </c>
    </row>
    <row r="252" spans="2:32" x14ac:dyDescent="0.2">
      <c r="B252">
        <v>51129</v>
      </c>
      <c r="C252" s="1">
        <v>8.6999999999999997E-6</v>
      </c>
      <c r="D252" t="str">
        <f>VLOOKUP(B252,Nuclides!A:E,5,FALSE)</f>
        <v>Sb129</v>
      </c>
      <c r="E252">
        <f>VLOOKUP(Sheet2!B252,Nuclides!A:E,2,FALSE)</f>
        <v>78</v>
      </c>
      <c r="F252">
        <f>VLOOKUP(B252,Nuclides!A:E,3,FALSE)</f>
        <v>51</v>
      </c>
      <c r="G252" s="1">
        <f t="shared" si="12"/>
        <v>108576000000</v>
      </c>
      <c r="H252">
        <f>VLOOKUP(B252,Nuclides!A:E,4,FALSE)</f>
        <v>15717.5999999999</v>
      </c>
      <c r="J252" s="1">
        <v>50134</v>
      </c>
      <c r="K252" s="1">
        <v>1.1999999999999999E-6</v>
      </c>
      <c r="L252" t="str">
        <f>VLOOKUP(J252,Nuclides!A:E,5,FALSE)</f>
        <v>Sn134</v>
      </c>
      <c r="M252">
        <f>VLOOKUP(Sheet2!J252,Nuclides!A:E,2,FALSE)</f>
        <v>84</v>
      </c>
      <c r="N252">
        <f>VLOOKUP(J252,Nuclides!A:E,3,FALSE)</f>
        <v>50</v>
      </c>
      <c r="O252" s="1">
        <f t="shared" si="13"/>
        <v>14976000000</v>
      </c>
      <c r="R252" s="1">
        <v>39097</v>
      </c>
      <c r="S252" s="1">
        <v>6.9031900000000006E-5</v>
      </c>
      <c r="T252" t="str">
        <f>VLOOKUP(R252,Nuclides!A:E,5,FALSE)</f>
        <v>Y97</v>
      </c>
      <c r="U252">
        <f>VLOOKUP(Sheet2!R252,Nuclides!A:E,2,FALSE)</f>
        <v>58</v>
      </c>
      <c r="V252">
        <f>VLOOKUP(R252,Nuclides!A:E,3,FALSE)</f>
        <v>39</v>
      </c>
      <c r="W252" s="1">
        <f t="shared" si="14"/>
        <v>861518112000.00012</v>
      </c>
      <c r="X252" t="s">
        <v>985</v>
      </c>
      <c r="Z252" s="1">
        <v>39081</v>
      </c>
      <c r="AA252" s="1">
        <v>5.2992199999999997E-7</v>
      </c>
      <c r="AB252" t="str">
        <f>VLOOKUP(Z252,Nuclides!A:E,5,FALSE)</f>
        <v>Y81</v>
      </c>
      <c r="AC252">
        <f>VLOOKUP(Sheet2!Z252,Nuclides!A:E,2,FALSE)</f>
        <v>42</v>
      </c>
      <c r="AD252">
        <f>VLOOKUP(Z252,Nuclides!A:E,3,FALSE)</f>
        <v>39</v>
      </c>
      <c r="AE252" s="1">
        <f t="shared" si="15"/>
        <v>6613426560</v>
      </c>
      <c r="AF252" t="s">
        <v>969</v>
      </c>
    </row>
    <row r="253" spans="2:32" x14ac:dyDescent="0.2">
      <c r="B253">
        <v>51130</v>
      </c>
      <c r="C253" s="1">
        <v>8.1999999999999994E-6</v>
      </c>
      <c r="D253" t="str">
        <f>VLOOKUP(B253,Nuclides!A:E,5,FALSE)</f>
        <v>Sb130</v>
      </c>
      <c r="E253">
        <f>VLOOKUP(Sheet2!B253,Nuclides!A:E,2,FALSE)</f>
        <v>79</v>
      </c>
      <c r="F253">
        <f>VLOOKUP(B253,Nuclides!A:E,3,FALSE)</f>
        <v>51</v>
      </c>
      <c r="G253" s="1">
        <f t="shared" si="12"/>
        <v>102336000000</v>
      </c>
      <c r="H253">
        <f>VLOOKUP(B253,Nuclides!A:E,4,FALSE)</f>
        <v>2370</v>
      </c>
      <c r="J253" s="1">
        <v>51108</v>
      </c>
      <c r="K253" s="1">
        <v>3.9999999999999998E-7</v>
      </c>
      <c r="L253" t="str">
        <f>VLOOKUP(J253,Nuclides!A:E,5,FALSE)</f>
        <v>Sb108</v>
      </c>
      <c r="M253">
        <f>VLOOKUP(Sheet2!J253,Nuclides!A:E,2,FALSE)</f>
        <v>57</v>
      </c>
      <c r="N253">
        <f>VLOOKUP(J253,Nuclides!A:E,3,FALSE)</f>
        <v>51</v>
      </c>
      <c r="O253" s="1">
        <f t="shared" si="13"/>
        <v>4992000000</v>
      </c>
      <c r="R253" s="1">
        <v>39098</v>
      </c>
      <c r="S253" s="1">
        <v>6.3832900000000003E-5</v>
      </c>
      <c r="T253" t="str">
        <f>VLOOKUP(R253,Nuclides!A:E,5,FALSE)</f>
        <v>Y98</v>
      </c>
      <c r="U253">
        <f>VLOOKUP(Sheet2!R253,Nuclides!A:E,2,FALSE)</f>
        <v>59</v>
      </c>
      <c r="V253">
        <f>VLOOKUP(R253,Nuclides!A:E,3,FALSE)</f>
        <v>39</v>
      </c>
      <c r="W253" s="1">
        <f t="shared" si="14"/>
        <v>796634592000</v>
      </c>
      <c r="X253" t="s">
        <v>986</v>
      </c>
      <c r="Z253" s="1">
        <v>39082</v>
      </c>
      <c r="AA253" s="1">
        <v>8.6831200000000003E-8</v>
      </c>
      <c r="AB253" t="str">
        <f>VLOOKUP(Z253,Nuclides!A:E,5,FALSE)</f>
        <v>Y82</v>
      </c>
      <c r="AC253">
        <f>VLOOKUP(Sheet2!Z253,Nuclides!A:E,2,FALSE)</f>
        <v>43</v>
      </c>
      <c r="AD253">
        <f>VLOOKUP(Z253,Nuclides!A:E,3,FALSE)</f>
        <v>39</v>
      </c>
      <c r="AE253" s="1">
        <f t="shared" si="15"/>
        <v>1083653376</v>
      </c>
      <c r="AF253" t="s">
        <v>970</v>
      </c>
    </row>
    <row r="254" spans="2:32" x14ac:dyDescent="0.2">
      <c r="B254">
        <v>51131</v>
      </c>
      <c r="C254" s="1">
        <v>1.2999999999999999E-5</v>
      </c>
      <c r="D254" t="str">
        <f>VLOOKUP(B254,Nuclides!A:E,5,FALSE)</f>
        <v>Sb131</v>
      </c>
      <c r="E254">
        <f>VLOOKUP(Sheet2!B254,Nuclides!A:E,2,FALSE)</f>
        <v>80</v>
      </c>
      <c r="F254">
        <f>VLOOKUP(B254,Nuclides!A:E,3,FALSE)</f>
        <v>51</v>
      </c>
      <c r="G254" s="1">
        <f t="shared" si="12"/>
        <v>162240000000</v>
      </c>
      <c r="H254">
        <f>VLOOKUP(B254,Nuclides!A:E,4,FALSE)</f>
        <v>1381.8</v>
      </c>
      <c r="J254" s="1">
        <v>51109</v>
      </c>
      <c r="K254" s="1">
        <v>9.9999999999999995E-8</v>
      </c>
      <c r="L254" t="str">
        <f>VLOOKUP(J254,Nuclides!A:E,5,FALSE)</f>
        <v>Sb109</v>
      </c>
      <c r="M254">
        <f>VLOOKUP(Sheet2!J254,Nuclides!A:E,2,FALSE)</f>
        <v>58</v>
      </c>
      <c r="N254">
        <f>VLOOKUP(J254,Nuclides!A:E,3,FALSE)</f>
        <v>51</v>
      </c>
      <c r="O254" s="1">
        <f t="shared" si="13"/>
        <v>1248000000</v>
      </c>
      <c r="R254" s="1">
        <v>39099</v>
      </c>
      <c r="S254" s="1">
        <v>5.4675700000000002E-5</v>
      </c>
      <c r="T254" t="str">
        <f>VLOOKUP(R254,Nuclides!A:E,5,FALSE)</f>
        <v>Y99</v>
      </c>
      <c r="U254">
        <f>VLOOKUP(Sheet2!R254,Nuclides!A:E,2,FALSE)</f>
        <v>60</v>
      </c>
      <c r="V254">
        <f>VLOOKUP(R254,Nuclides!A:E,3,FALSE)</f>
        <v>39</v>
      </c>
      <c r="W254" s="1">
        <f t="shared" si="14"/>
        <v>682352736000</v>
      </c>
      <c r="X254" t="s">
        <v>987</v>
      </c>
      <c r="Z254" s="1">
        <v>39083</v>
      </c>
      <c r="AA254" s="1">
        <v>4.1321600000000003E-8</v>
      </c>
      <c r="AB254" t="str">
        <f>VLOOKUP(Z254,Nuclides!A:E,5,FALSE)</f>
        <v>Y83</v>
      </c>
      <c r="AC254">
        <f>VLOOKUP(Sheet2!Z254,Nuclides!A:E,2,FALSE)</f>
        <v>44</v>
      </c>
      <c r="AD254">
        <f>VLOOKUP(Z254,Nuclides!A:E,3,FALSE)</f>
        <v>39</v>
      </c>
      <c r="AE254" s="1">
        <f t="shared" si="15"/>
        <v>515693568.00000006</v>
      </c>
      <c r="AF254" t="s">
        <v>971</v>
      </c>
    </row>
    <row r="255" spans="2:32" x14ac:dyDescent="0.2">
      <c r="B255">
        <v>51132</v>
      </c>
      <c r="C255" s="1">
        <v>7.7000000000000008E-6</v>
      </c>
      <c r="D255" t="str">
        <f>VLOOKUP(B255,Nuclides!A:E,5,FALSE)</f>
        <v>Sb132</v>
      </c>
      <c r="E255">
        <f>VLOOKUP(Sheet2!B255,Nuclides!A:E,2,FALSE)</f>
        <v>81</v>
      </c>
      <c r="F255">
        <f>VLOOKUP(B255,Nuclides!A:E,3,FALSE)</f>
        <v>51</v>
      </c>
      <c r="G255" s="1">
        <f t="shared" si="12"/>
        <v>96096000000.000015</v>
      </c>
      <c r="H255">
        <f>VLOOKUP(B255,Nuclides!A:E,4,FALSE)</f>
        <v>167.4</v>
      </c>
      <c r="J255" s="1">
        <v>51124</v>
      </c>
      <c r="K255" s="1">
        <v>9.9999999999999995E-8</v>
      </c>
      <c r="L255" t="str">
        <f>VLOOKUP(J255,Nuclides!A:E,5,FALSE)</f>
        <v>Sb124</v>
      </c>
      <c r="M255">
        <f>VLOOKUP(Sheet2!J255,Nuclides!A:E,2,FALSE)</f>
        <v>73</v>
      </c>
      <c r="N255">
        <f>VLOOKUP(J255,Nuclides!A:E,3,FALSE)</f>
        <v>51</v>
      </c>
      <c r="O255" s="1">
        <f t="shared" si="13"/>
        <v>1248000000</v>
      </c>
      <c r="R255" s="1">
        <v>39100</v>
      </c>
      <c r="S255" s="1">
        <v>2.6766799999999999E-5</v>
      </c>
      <c r="T255" t="str">
        <f>VLOOKUP(R255,Nuclides!A:E,5,FALSE)</f>
        <v>Y100</v>
      </c>
      <c r="U255">
        <f>VLOOKUP(Sheet2!R255,Nuclides!A:E,2,FALSE)</f>
        <v>61</v>
      </c>
      <c r="V255">
        <f>VLOOKUP(R255,Nuclides!A:E,3,FALSE)</f>
        <v>39</v>
      </c>
      <c r="W255" s="1">
        <f t="shared" si="14"/>
        <v>334049664000</v>
      </c>
      <c r="X255" t="s">
        <v>988</v>
      </c>
      <c r="Z255" s="1">
        <v>39084</v>
      </c>
      <c r="AA255" s="1">
        <v>5.2350000000000002E-9</v>
      </c>
      <c r="AB255" t="str">
        <f>VLOOKUP(Z255,Nuclides!A:E,5,FALSE)</f>
        <v>Y84</v>
      </c>
      <c r="AC255">
        <f>VLOOKUP(Sheet2!Z255,Nuclides!A:E,2,FALSE)</f>
        <v>45</v>
      </c>
      <c r="AD255">
        <f>VLOOKUP(Z255,Nuclides!A:E,3,FALSE)</f>
        <v>39</v>
      </c>
      <c r="AE255" s="1">
        <f t="shared" si="15"/>
        <v>65332800</v>
      </c>
      <c r="AF255" t="s">
        <v>972</v>
      </c>
    </row>
    <row r="256" spans="2:32" x14ac:dyDescent="0.2">
      <c r="B256">
        <v>51133</v>
      </c>
      <c r="C256" s="1">
        <v>4.5000000000000001E-6</v>
      </c>
      <c r="D256" t="str">
        <f>VLOOKUP(B256,Nuclides!A:E,5,FALSE)</f>
        <v>Sb133</v>
      </c>
      <c r="E256">
        <f>VLOOKUP(Sheet2!B256,Nuclides!A:E,2,FALSE)</f>
        <v>82</v>
      </c>
      <c r="F256">
        <f>VLOOKUP(B256,Nuclides!A:E,3,FALSE)</f>
        <v>51</v>
      </c>
      <c r="G256" s="1">
        <f t="shared" si="12"/>
        <v>56160000000</v>
      </c>
      <c r="H256">
        <f>VLOOKUP(B256,Nuclides!A:E,4,FALSE)</f>
        <v>140.39999999999901</v>
      </c>
      <c r="J256" s="1">
        <v>51125</v>
      </c>
      <c r="K256" s="1">
        <v>1.9999999999999999E-7</v>
      </c>
      <c r="L256" t="str">
        <f>VLOOKUP(J256,Nuclides!A:E,5,FALSE)</f>
        <v>Sb125</v>
      </c>
      <c r="M256">
        <f>VLOOKUP(Sheet2!J256,Nuclides!A:E,2,FALSE)</f>
        <v>74</v>
      </c>
      <c r="N256">
        <f>VLOOKUP(J256,Nuclides!A:E,3,FALSE)</f>
        <v>51</v>
      </c>
      <c r="O256" s="1">
        <f t="shared" si="13"/>
        <v>2496000000</v>
      </c>
      <c r="R256" s="1">
        <v>39101</v>
      </c>
      <c r="S256" s="1">
        <v>1.21421E-5</v>
      </c>
      <c r="T256" t="str">
        <f>VLOOKUP(R256,Nuclides!A:E,5,FALSE)</f>
        <v>Y101</v>
      </c>
      <c r="U256">
        <f>VLOOKUP(Sheet2!R256,Nuclides!A:E,2,FALSE)</f>
        <v>62</v>
      </c>
      <c r="V256">
        <f>VLOOKUP(R256,Nuclides!A:E,3,FALSE)</f>
        <v>39</v>
      </c>
      <c r="W256" s="1">
        <f t="shared" si="14"/>
        <v>151533408000</v>
      </c>
      <c r="X256" t="s">
        <v>989</v>
      </c>
      <c r="Z256" s="1">
        <v>39085</v>
      </c>
      <c r="AA256" s="1">
        <v>1.3959999999999999E-9</v>
      </c>
      <c r="AB256" t="str">
        <f>VLOOKUP(Z256,Nuclides!A:E,5,FALSE)</f>
        <v>Y85</v>
      </c>
      <c r="AC256">
        <f>VLOOKUP(Sheet2!Z256,Nuclides!A:E,2,FALSE)</f>
        <v>46</v>
      </c>
      <c r="AD256">
        <f>VLOOKUP(Z256,Nuclides!A:E,3,FALSE)</f>
        <v>39</v>
      </c>
      <c r="AE256" s="1">
        <f t="shared" si="15"/>
        <v>17422080</v>
      </c>
      <c r="AF256" t="s">
        <v>973</v>
      </c>
    </row>
    <row r="257" spans="2:32" x14ac:dyDescent="0.2">
      <c r="B257">
        <v>51134</v>
      </c>
      <c r="C257" s="1">
        <v>5.9999999999999997E-7</v>
      </c>
      <c r="D257" t="str">
        <f>VLOOKUP(B257,Nuclides!A:E,5,FALSE)</f>
        <v>Sb134</v>
      </c>
      <c r="E257">
        <f>VLOOKUP(Sheet2!B257,Nuclides!A:E,2,FALSE)</f>
        <v>83</v>
      </c>
      <c r="F257">
        <f>VLOOKUP(B257,Nuclides!A:E,3,FALSE)</f>
        <v>51</v>
      </c>
      <c r="G257" s="1">
        <f t="shared" si="12"/>
        <v>7488000000</v>
      </c>
      <c r="H257">
        <f>VLOOKUP(B257,Nuclides!A:E,4,FALSE)</f>
        <v>0.78</v>
      </c>
      <c r="J257" s="1">
        <v>51126</v>
      </c>
      <c r="K257" s="1">
        <v>5.9999999999999997E-7</v>
      </c>
      <c r="L257" t="str">
        <f>VLOOKUP(J257,Nuclides!A:E,5,FALSE)</f>
        <v>Sb126</v>
      </c>
      <c r="M257">
        <f>VLOOKUP(Sheet2!J257,Nuclides!A:E,2,FALSE)</f>
        <v>75</v>
      </c>
      <c r="N257">
        <f>VLOOKUP(J257,Nuclides!A:E,3,FALSE)</f>
        <v>51</v>
      </c>
      <c r="O257" s="1">
        <f t="shared" si="13"/>
        <v>7488000000</v>
      </c>
      <c r="R257" s="1">
        <v>39102</v>
      </c>
      <c r="S257" s="1">
        <v>3.1645899999999999E-6</v>
      </c>
      <c r="T257" t="str">
        <f>VLOOKUP(R257,Nuclides!A:E,5,FALSE)</f>
        <v>Y102</v>
      </c>
      <c r="U257">
        <f>VLOOKUP(Sheet2!R257,Nuclides!A:E,2,FALSE)</f>
        <v>63</v>
      </c>
      <c r="V257">
        <f>VLOOKUP(R257,Nuclides!A:E,3,FALSE)</f>
        <v>39</v>
      </c>
      <c r="W257" s="1">
        <f t="shared" si="14"/>
        <v>39494083200</v>
      </c>
      <c r="X257" t="s">
        <v>990</v>
      </c>
      <c r="Z257" s="1">
        <v>39086</v>
      </c>
      <c r="AA257" s="1">
        <v>1.3959999999999999E-10</v>
      </c>
      <c r="AB257" t="str">
        <f>VLOOKUP(Z257,Nuclides!A:E,5,FALSE)</f>
        <v>Y86</v>
      </c>
      <c r="AC257">
        <f>VLOOKUP(Sheet2!Z257,Nuclides!A:E,2,FALSE)</f>
        <v>47</v>
      </c>
      <c r="AD257">
        <f>VLOOKUP(Z257,Nuclides!A:E,3,FALSE)</f>
        <v>39</v>
      </c>
      <c r="AE257" s="1">
        <f t="shared" si="15"/>
        <v>1742207.9999999998</v>
      </c>
      <c r="AF257" t="s">
        <v>974</v>
      </c>
    </row>
    <row r="258" spans="2:32" x14ac:dyDescent="0.2">
      <c r="B258">
        <v>51135</v>
      </c>
      <c r="C258" s="1">
        <v>6.9999999999999997E-7</v>
      </c>
      <c r="D258" t="str">
        <f>VLOOKUP(B258,Nuclides!A:E,5,FALSE)</f>
        <v>Sb135</v>
      </c>
      <c r="E258">
        <f>VLOOKUP(Sheet2!B258,Nuclides!A:E,2,FALSE)</f>
        <v>84</v>
      </c>
      <c r="F258">
        <f>VLOOKUP(B258,Nuclides!A:E,3,FALSE)</f>
        <v>51</v>
      </c>
      <c r="G258" s="1">
        <f t="shared" si="12"/>
        <v>8736000000</v>
      </c>
      <c r="H258">
        <f>VLOOKUP(B258,Nuclides!A:E,4,FALSE)</f>
        <v>1.679</v>
      </c>
      <c r="J258" s="1">
        <v>51127</v>
      </c>
      <c r="K258" s="1">
        <v>1.3E-6</v>
      </c>
      <c r="L258" t="str">
        <f>VLOOKUP(J258,Nuclides!A:E,5,FALSE)</f>
        <v>Sb127</v>
      </c>
      <c r="M258">
        <f>VLOOKUP(Sheet2!J258,Nuclides!A:E,2,FALSE)</f>
        <v>76</v>
      </c>
      <c r="N258">
        <f>VLOOKUP(J258,Nuclides!A:E,3,FALSE)</f>
        <v>51</v>
      </c>
      <c r="O258" s="1">
        <f t="shared" si="13"/>
        <v>16224000000</v>
      </c>
      <c r="R258" s="1">
        <v>40081</v>
      </c>
      <c r="S258" s="1">
        <v>8.33552E-7</v>
      </c>
      <c r="T258" t="str">
        <f>VLOOKUP(R258,Nuclides!A:E,5,FALSE)</f>
        <v>Zr81</v>
      </c>
      <c r="U258">
        <f>VLOOKUP(Sheet2!R258,Nuclides!A:E,2,FALSE)</f>
        <v>41</v>
      </c>
      <c r="V258">
        <f>VLOOKUP(R258,Nuclides!A:E,3,FALSE)</f>
        <v>40</v>
      </c>
      <c r="W258" s="1">
        <f t="shared" si="14"/>
        <v>10402728960</v>
      </c>
      <c r="X258" t="s">
        <v>1001</v>
      </c>
      <c r="Z258" s="1">
        <v>39087</v>
      </c>
      <c r="AA258" s="1">
        <v>6.9799999999999994E-11</v>
      </c>
      <c r="AB258" t="str">
        <f>VLOOKUP(Z258,Nuclides!A:E,5,FALSE)</f>
        <v>Y87</v>
      </c>
      <c r="AC258">
        <f>VLOOKUP(Sheet2!Z258,Nuclides!A:E,2,FALSE)</f>
        <v>48</v>
      </c>
      <c r="AD258">
        <f>VLOOKUP(Z258,Nuclides!A:E,3,FALSE)</f>
        <v>39</v>
      </c>
      <c r="AE258" s="1">
        <f t="shared" si="15"/>
        <v>871103.99999999988</v>
      </c>
      <c r="AF258" t="s">
        <v>975</v>
      </c>
    </row>
    <row r="259" spans="2:32" x14ac:dyDescent="0.2">
      <c r="B259">
        <v>51136</v>
      </c>
      <c r="C259" s="1">
        <v>9.9999999999999995E-8</v>
      </c>
      <c r="D259" t="str">
        <f>VLOOKUP(B259,Nuclides!A:E,5,FALSE)</f>
        <v>Sb136</v>
      </c>
      <c r="E259">
        <f>VLOOKUP(Sheet2!B259,Nuclides!A:E,2,FALSE)</f>
        <v>85</v>
      </c>
      <c r="F259">
        <f>VLOOKUP(B259,Nuclides!A:E,3,FALSE)</f>
        <v>51</v>
      </c>
      <c r="G259" s="1">
        <f t="shared" si="12"/>
        <v>1248000000</v>
      </c>
      <c r="H259">
        <f>VLOOKUP(B259,Nuclides!A:E,4,FALSE)</f>
        <v>0.92300000000000004</v>
      </c>
      <c r="J259" s="1">
        <v>51128</v>
      </c>
      <c r="K259" s="1">
        <v>2.0999999999999998E-6</v>
      </c>
      <c r="L259" t="str">
        <f>VLOOKUP(J259,Nuclides!A:E,5,FALSE)</f>
        <v>Sb128</v>
      </c>
      <c r="M259">
        <f>VLOOKUP(Sheet2!J259,Nuclides!A:E,2,FALSE)</f>
        <v>77</v>
      </c>
      <c r="N259">
        <f>VLOOKUP(J259,Nuclides!A:E,3,FALSE)</f>
        <v>51</v>
      </c>
      <c r="O259" s="1">
        <f t="shared" si="13"/>
        <v>26207999999.999996</v>
      </c>
      <c r="R259" s="1">
        <v>40082</v>
      </c>
      <c r="S259" s="1">
        <v>1.09865E-7</v>
      </c>
      <c r="T259" t="str">
        <f>VLOOKUP(R259,Nuclides!A:E,5,FALSE)</f>
        <v>Zr82</v>
      </c>
      <c r="U259">
        <f>VLOOKUP(Sheet2!R259,Nuclides!A:E,2,FALSE)</f>
        <v>42</v>
      </c>
      <c r="V259">
        <f>VLOOKUP(R259,Nuclides!A:E,3,FALSE)</f>
        <v>40</v>
      </c>
      <c r="W259" s="1">
        <f t="shared" si="14"/>
        <v>1371115200</v>
      </c>
      <c r="X259" t="s">
        <v>1002</v>
      </c>
      <c r="Z259" s="1">
        <v>39089</v>
      </c>
      <c r="AA259" s="1">
        <v>4.8860000000000005E-10</v>
      </c>
      <c r="AB259" t="str">
        <f>VLOOKUP(Z259,Nuclides!A:E,5,FALSE)</f>
        <v>Y89</v>
      </c>
      <c r="AC259">
        <f>VLOOKUP(Sheet2!Z259,Nuclides!A:E,2,FALSE)</f>
        <v>50</v>
      </c>
      <c r="AD259">
        <f>VLOOKUP(Z259,Nuclides!A:E,3,FALSE)</f>
        <v>39</v>
      </c>
      <c r="AE259" s="1">
        <f t="shared" si="15"/>
        <v>6097728.0000000009</v>
      </c>
      <c r="AF259" t="s">
        <v>977</v>
      </c>
    </row>
    <row r="260" spans="2:32" x14ac:dyDescent="0.2">
      <c r="B260">
        <v>52108</v>
      </c>
      <c r="C260" s="1">
        <v>9.9999999999999995E-8</v>
      </c>
      <c r="D260" t="str">
        <f>VLOOKUP(B260,Nuclides!A:E,5,FALSE)</f>
        <v>Te108</v>
      </c>
      <c r="E260">
        <f>VLOOKUP(Sheet2!B260,Nuclides!A:E,2,FALSE)</f>
        <v>56</v>
      </c>
      <c r="F260">
        <f>VLOOKUP(B260,Nuclides!A:E,3,FALSE)</f>
        <v>52</v>
      </c>
      <c r="G260" s="1">
        <f t="shared" ref="G260:G323" si="16">C260*12480000000000000</f>
        <v>1248000000</v>
      </c>
      <c r="H260">
        <f>VLOOKUP(B260,Nuclides!A:E,4,FALSE)</f>
        <v>2.1</v>
      </c>
      <c r="J260" s="1">
        <v>51129</v>
      </c>
      <c r="K260" s="1">
        <v>5.3000000000000001E-6</v>
      </c>
      <c r="L260" t="str">
        <f>VLOOKUP(J260,Nuclides!A:E,5,FALSE)</f>
        <v>Sb129</v>
      </c>
      <c r="M260">
        <f>VLOOKUP(Sheet2!J260,Nuclides!A:E,2,FALSE)</f>
        <v>78</v>
      </c>
      <c r="N260">
        <f>VLOOKUP(J260,Nuclides!A:E,3,FALSE)</f>
        <v>51</v>
      </c>
      <c r="O260" s="1">
        <f t="shared" ref="O260:O323" si="17">K260*12480000000000000</f>
        <v>66144000000</v>
      </c>
      <c r="R260" s="1">
        <v>40083</v>
      </c>
      <c r="S260" s="1">
        <v>1.8845999999999999E-8</v>
      </c>
      <c r="T260" t="str">
        <f>VLOOKUP(R260,Nuclides!A:E,5,FALSE)</f>
        <v>Zr83</v>
      </c>
      <c r="U260">
        <f>VLOOKUP(Sheet2!R260,Nuclides!A:E,2,FALSE)</f>
        <v>43</v>
      </c>
      <c r="V260">
        <f>VLOOKUP(R260,Nuclides!A:E,3,FALSE)</f>
        <v>40</v>
      </c>
      <c r="W260" s="1">
        <f t="shared" ref="W260:W323" si="18">S260*12480000000000000</f>
        <v>235198080</v>
      </c>
      <c r="X260" t="s">
        <v>1003</v>
      </c>
      <c r="Z260" s="1">
        <v>39090</v>
      </c>
      <c r="AA260" s="1">
        <v>1.3262E-9</v>
      </c>
      <c r="AB260" t="str">
        <f>VLOOKUP(Z260,Nuclides!A:E,5,FALSE)</f>
        <v>Y90</v>
      </c>
      <c r="AC260">
        <f>VLOOKUP(Sheet2!Z260,Nuclides!A:E,2,FALSE)</f>
        <v>51</v>
      </c>
      <c r="AD260">
        <f>VLOOKUP(Z260,Nuclides!A:E,3,FALSE)</f>
        <v>39</v>
      </c>
      <c r="AE260" s="1">
        <f t="shared" ref="AE260:AE323" si="19">AA260*12480000000000000</f>
        <v>16550976</v>
      </c>
      <c r="AF260" t="s">
        <v>978</v>
      </c>
    </row>
    <row r="261" spans="2:32" x14ac:dyDescent="0.2">
      <c r="B261">
        <v>52126</v>
      </c>
      <c r="C261" s="1">
        <v>9.9999999999999995E-8</v>
      </c>
      <c r="D261" t="str">
        <f>VLOOKUP(B261,Nuclides!A:E,5,FALSE)</f>
        <v>Te126</v>
      </c>
      <c r="E261">
        <f>VLOOKUP(Sheet2!B261,Nuclides!A:E,2,FALSE)</f>
        <v>74</v>
      </c>
      <c r="F261">
        <f>VLOOKUP(B261,Nuclides!A:E,3,FALSE)</f>
        <v>52</v>
      </c>
      <c r="G261" s="1">
        <f t="shared" si="16"/>
        <v>1248000000</v>
      </c>
      <c r="H261" t="str">
        <f>VLOOKUP(B261,Nuclides!A:E,4,FALSE)</f>
        <v>STABLE</v>
      </c>
      <c r="J261" s="1">
        <v>51130</v>
      </c>
      <c r="K261" s="1">
        <v>1.0699999999999999E-5</v>
      </c>
      <c r="L261" t="str">
        <f>VLOOKUP(J261,Nuclides!A:E,5,FALSE)</f>
        <v>Sb130</v>
      </c>
      <c r="M261">
        <f>VLOOKUP(Sheet2!J261,Nuclides!A:E,2,FALSE)</f>
        <v>79</v>
      </c>
      <c r="N261">
        <f>VLOOKUP(J261,Nuclides!A:E,3,FALSE)</f>
        <v>51</v>
      </c>
      <c r="O261" s="1">
        <f t="shared" si="17"/>
        <v>133535999999.99998</v>
      </c>
      <c r="R261" s="1">
        <v>40084</v>
      </c>
      <c r="S261" s="1">
        <v>1.8148E-9</v>
      </c>
      <c r="T261" t="str">
        <f>VLOOKUP(R261,Nuclides!A:E,5,FALSE)</f>
        <v>Zr84</v>
      </c>
      <c r="U261">
        <f>VLOOKUP(Sheet2!R261,Nuclides!A:E,2,FALSE)</f>
        <v>44</v>
      </c>
      <c r="V261">
        <f>VLOOKUP(R261,Nuclides!A:E,3,FALSE)</f>
        <v>40</v>
      </c>
      <c r="W261" s="1">
        <f t="shared" si="18"/>
        <v>22648704</v>
      </c>
      <c r="X261" t="s">
        <v>1004</v>
      </c>
      <c r="Z261" s="1">
        <v>39091</v>
      </c>
      <c r="AA261" s="1">
        <v>1.6123799999999998E-8</v>
      </c>
      <c r="AB261" t="str">
        <f>VLOOKUP(Z261,Nuclides!A:E,5,FALSE)</f>
        <v>Y91</v>
      </c>
      <c r="AC261">
        <f>VLOOKUP(Sheet2!Z261,Nuclides!A:E,2,FALSE)</f>
        <v>52</v>
      </c>
      <c r="AD261">
        <f>VLOOKUP(Z261,Nuclides!A:E,3,FALSE)</f>
        <v>39</v>
      </c>
      <c r="AE261" s="1">
        <f t="shared" si="19"/>
        <v>201225023.99999997</v>
      </c>
      <c r="AF261" t="s">
        <v>979</v>
      </c>
    </row>
    <row r="262" spans="2:32" x14ac:dyDescent="0.2">
      <c r="B262">
        <v>52127</v>
      </c>
      <c r="C262" s="1">
        <v>2.9999999999999999E-7</v>
      </c>
      <c r="D262" t="str">
        <f>VLOOKUP(B262,Nuclides!A:E,5,FALSE)</f>
        <v>Te127</v>
      </c>
      <c r="E262">
        <f>VLOOKUP(Sheet2!B262,Nuclides!A:E,2,FALSE)</f>
        <v>75</v>
      </c>
      <c r="F262">
        <f>VLOOKUP(B262,Nuclides!A:E,3,FALSE)</f>
        <v>52</v>
      </c>
      <c r="G262" s="1">
        <f t="shared" si="16"/>
        <v>3744000000</v>
      </c>
      <c r="H262">
        <f>VLOOKUP(B262,Nuclides!A:E,4,FALSE)</f>
        <v>33660</v>
      </c>
      <c r="J262" s="1">
        <v>51131</v>
      </c>
      <c r="K262" s="1">
        <v>3.0300000000000001E-5</v>
      </c>
      <c r="L262" t="str">
        <f>VLOOKUP(J262,Nuclides!A:E,5,FALSE)</f>
        <v>Sb131</v>
      </c>
      <c r="M262">
        <f>VLOOKUP(Sheet2!J262,Nuclides!A:E,2,FALSE)</f>
        <v>80</v>
      </c>
      <c r="N262">
        <f>VLOOKUP(J262,Nuclides!A:E,3,FALSE)</f>
        <v>51</v>
      </c>
      <c r="O262" s="1">
        <f t="shared" si="17"/>
        <v>378144000000</v>
      </c>
      <c r="R262" s="1">
        <v>40085</v>
      </c>
      <c r="S262" s="1">
        <v>4.8860000000000005E-10</v>
      </c>
      <c r="T262" t="str">
        <f>VLOOKUP(R262,Nuclides!A:E,5,FALSE)</f>
        <v>Zr85</v>
      </c>
      <c r="U262">
        <f>VLOOKUP(Sheet2!R262,Nuclides!A:E,2,FALSE)</f>
        <v>45</v>
      </c>
      <c r="V262">
        <f>VLOOKUP(R262,Nuclides!A:E,3,FALSE)</f>
        <v>40</v>
      </c>
      <c r="W262" s="1">
        <f t="shared" si="18"/>
        <v>6097728.0000000009</v>
      </c>
      <c r="X262" t="s">
        <v>1005</v>
      </c>
      <c r="Z262" s="1">
        <v>39092</v>
      </c>
      <c r="AA262" s="1">
        <v>9.7580399999999999E-8</v>
      </c>
      <c r="AB262" t="str">
        <f>VLOOKUP(Z262,Nuclides!A:E,5,FALSE)</f>
        <v>Y92</v>
      </c>
      <c r="AC262">
        <f>VLOOKUP(Sheet2!Z262,Nuclides!A:E,2,FALSE)</f>
        <v>53</v>
      </c>
      <c r="AD262">
        <f>VLOOKUP(Z262,Nuclides!A:E,3,FALSE)</f>
        <v>39</v>
      </c>
      <c r="AE262" s="1">
        <f t="shared" si="19"/>
        <v>1217803392</v>
      </c>
      <c r="AF262" t="s">
        <v>980</v>
      </c>
    </row>
    <row r="263" spans="2:32" x14ac:dyDescent="0.2">
      <c r="B263">
        <v>52128</v>
      </c>
      <c r="C263" s="1">
        <v>1.3E-6</v>
      </c>
      <c r="D263" t="str">
        <f>VLOOKUP(B263,Nuclides!A:E,5,FALSE)</f>
        <v>Te128</v>
      </c>
      <c r="E263">
        <f>VLOOKUP(Sheet2!B263,Nuclides!A:E,2,FALSE)</f>
        <v>76</v>
      </c>
      <c r="F263">
        <f>VLOOKUP(B263,Nuclides!A:E,3,FALSE)</f>
        <v>52</v>
      </c>
      <c r="G263" s="1">
        <f t="shared" si="16"/>
        <v>16224000000</v>
      </c>
      <c r="H263">
        <f>VLOOKUP(B263,Nuclides!A:E,4,FALSE)</f>
        <v>7.6053815999999996E+31</v>
      </c>
      <c r="J263" s="1">
        <v>51132</v>
      </c>
      <c r="K263" s="1">
        <v>4.4700000000000002E-5</v>
      </c>
      <c r="L263" t="str">
        <f>VLOOKUP(J263,Nuclides!A:E,5,FALSE)</f>
        <v>Sb132</v>
      </c>
      <c r="M263">
        <f>VLOOKUP(Sheet2!J263,Nuclides!A:E,2,FALSE)</f>
        <v>81</v>
      </c>
      <c r="N263">
        <f>VLOOKUP(J263,Nuclides!A:E,3,FALSE)</f>
        <v>51</v>
      </c>
      <c r="O263" s="1">
        <f t="shared" si="17"/>
        <v>557856000000</v>
      </c>
      <c r="R263" s="1">
        <v>40086</v>
      </c>
      <c r="S263" s="1">
        <v>1.3959999999999999E-10</v>
      </c>
      <c r="T263" t="str">
        <f>VLOOKUP(R263,Nuclides!A:E,5,FALSE)</f>
        <v>Zr86</v>
      </c>
      <c r="U263">
        <f>VLOOKUP(Sheet2!R263,Nuclides!A:E,2,FALSE)</f>
        <v>46</v>
      </c>
      <c r="V263">
        <f>VLOOKUP(R263,Nuclides!A:E,3,FALSE)</f>
        <v>40</v>
      </c>
      <c r="W263" s="1">
        <f t="shared" si="18"/>
        <v>1742207.9999999998</v>
      </c>
      <c r="X263" t="s">
        <v>1006</v>
      </c>
      <c r="Z263" s="1">
        <v>39093</v>
      </c>
      <c r="AA263" s="1">
        <v>6.3720400000000002E-7</v>
      </c>
      <c r="AB263" t="str">
        <f>VLOOKUP(Z263,Nuclides!A:E,5,FALSE)</f>
        <v>Y93</v>
      </c>
      <c r="AC263">
        <f>VLOOKUP(Sheet2!Z263,Nuclides!A:E,2,FALSE)</f>
        <v>54</v>
      </c>
      <c r="AD263">
        <f>VLOOKUP(Z263,Nuclides!A:E,3,FALSE)</f>
        <v>39</v>
      </c>
      <c r="AE263" s="1">
        <f t="shared" si="19"/>
        <v>7952305920</v>
      </c>
      <c r="AF263" t="s">
        <v>981</v>
      </c>
    </row>
    <row r="264" spans="2:32" x14ac:dyDescent="0.2">
      <c r="B264">
        <v>52129</v>
      </c>
      <c r="C264" s="1">
        <v>8.9999999999999996E-7</v>
      </c>
      <c r="D264" t="str">
        <f>VLOOKUP(B264,Nuclides!A:E,5,FALSE)</f>
        <v>Te129</v>
      </c>
      <c r="E264">
        <f>VLOOKUP(Sheet2!B264,Nuclides!A:E,2,FALSE)</f>
        <v>77</v>
      </c>
      <c r="F264">
        <f>VLOOKUP(B264,Nuclides!A:E,3,FALSE)</f>
        <v>52</v>
      </c>
      <c r="G264" s="1">
        <f t="shared" si="16"/>
        <v>11232000000</v>
      </c>
      <c r="H264">
        <f>VLOOKUP(B264,Nuclides!A:E,4,FALSE)</f>
        <v>4194</v>
      </c>
      <c r="J264" s="1">
        <v>51133</v>
      </c>
      <c r="K264" s="1">
        <v>5.7399999999999999E-5</v>
      </c>
      <c r="L264" t="str">
        <f>VLOOKUP(J264,Nuclides!A:E,5,FALSE)</f>
        <v>Sb133</v>
      </c>
      <c r="M264">
        <f>VLOOKUP(Sheet2!J264,Nuclides!A:E,2,FALSE)</f>
        <v>82</v>
      </c>
      <c r="N264">
        <f>VLOOKUP(J264,Nuclides!A:E,3,FALSE)</f>
        <v>51</v>
      </c>
      <c r="O264" s="1">
        <f t="shared" si="17"/>
        <v>716352000000</v>
      </c>
      <c r="R264" s="1">
        <v>40089</v>
      </c>
      <c r="S264" s="1">
        <v>1.3959999999999999E-10</v>
      </c>
      <c r="T264" t="str">
        <f>VLOOKUP(R264,Nuclides!A:E,5,FALSE)</f>
        <v>Zr89</v>
      </c>
      <c r="U264">
        <f>VLOOKUP(Sheet2!R264,Nuclides!A:E,2,FALSE)</f>
        <v>49</v>
      </c>
      <c r="V264">
        <f>VLOOKUP(R264,Nuclides!A:E,3,FALSE)</f>
        <v>40</v>
      </c>
      <c r="W264" s="1">
        <f t="shared" si="18"/>
        <v>1742207.9999999998</v>
      </c>
      <c r="X264" t="s">
        <v>1009</v>
      </c>
      <c r="Z264" s="1">
        <v>39094</v>
      </c>
      <c r="AA264" s="1">
        <v>2.2451899999999998E-6</v>
      </c>
      <c r="AB264" t="str">
        <f>VLOOKUP(Z264,Nuclides!A:E,5,FALSE)</f>
        <v>Y94</v>
      </c>
      <c r="AC264">
        <f>VLOOKUP(Sheet2!Z264,Nuclides!A:E,2,FALSE)</f>
        <v>55</v>
      </c>
      <c r="AD264">
        <f>VLOOKUP(Z264,Nuclides!A:E,3,FALSE)</f>
        <v>39</v>
      </c>
      <c r="AE264" s="1">
        <f t="shared" si="19"/>
        <v>28019971199.999996</v>
      </c>
      <c r="AF264" t="s">
        <v>982</v>
      </c>
    </row>
    <row r="265" spans="2:32" x14ac:dyDescent="0.2">
      <c r="B265">
        <v>52130</v>
      </c>
      <c r="C265" s="1">
        <v>7.9999999999999996E-6</v>
      </c>
      <c r="D265" t="str">
        <f>VLOOKUP(B265,Nuclides!A:E,5,FALSE)</f>
        <v>Te130</v>
      </c>
      <c r="E265">
        <f>VLOOKUP(Sheet2!B265,Nuclides!A:E,2,FALSE)</f>
        <v>78</v>
      </c>
      <c r="F265">
        <f>VLOOKUP(B265,Nuclides!A:E,3,FALSE)</f>
        <v>52</v>
      </c>
      <c r="G265" s="1">
        <f t="shared" si="16"/>
        <v>99840000000</v>
      </c>
      <c r="H265">
        <f>VLOOKUP(B265,Nuclides!A:E,4,FALSE)</f>
        <v>9.46728E+31</v>
      </c>
      <c r="J265" s="1">
        <v>51134</v>
      </c>
      <c r="K265" s="1">
        <v>3.1900000000000003E-5</v>
      </c>
      <c r="L265" t="str">
        <f>VLOOKUP(J265,Nuclides!A:E,5,FALSE)</f>
        <v>Sb134</v>
      </c>
      <c r="M265">
        <f>VLOOKUP(Sheet2!J265,Nuclides!A:E,2,FALSE)</f>
        <v>83</v>
      </c>
      <c r="N265">
        <f>VLOOKUP(J265,Nuclides!A:E,3,FALSE)</f>
        <v>51</v>
      </c>
      <c r="O265" s="1">
        <f t="shared" si="17"/>
        <v>398112000000.00006</v>
      </c>
      <c r="R265" s="1">
        <v>40090</v>
      </c>
      <c r="S265" s="1">
        <v>9.772000000000001E-10</v>
      </c>
      <c r="T265" t="str">
        <f>VLOOKUP(R265,Nuclides!A:E,5,FALSE)</f>
        <v>Zr90</v>
      </c>
      <c r="U265">
        <f>VLOOKUP(Sheet2!R265,Nuclides!A:E,2,FALSE)</f>
        <v>50</v>
      </c>
      <c r="V265">
        <f>VLOOKUP(R265,Nuclides!A:E,3,FALSE)</f>
        <v>40</v>
      </c>
      <c r="W265" s="1">
        <f t="shared" si="18"/>
        <v>12195456.000000002</v>
      </c>
      <c r="X265" t="s">
        <v>1010</v>
      </c>
      <c r="Z265" s="1">
        <v>39095</v>
      </c>
      <c r="AA265" s="1">
        <v>8.2075700000000004E-6</v>
      </c>
      <c r="AB265" t="str">
        <f>VLOOKUP(Z265,Nuclides!A:E,5,FALSE)</f>
        <v>Y95</v>
      </c>
      <c r="AC265">
        <f>VLOOKUP(Sheet2!Z265,Nuclides!A:E,2,FALSE)</f>
        <v>56</v>
      </c>
      <c r="AD265">
        <f>VLOOKUP(Z265,Nuclides!A:E,3,FALSE)</f>
        <v>39</v>
      </c>
      <c r="AE265" s="1">
        <f t="shared" si="19"/>
        <v>102430473600</v>
      </c>
      <c r="AF265" t="s">
        <v>983</v>
      </c>
    </row>
    <row r="266" spans="2:32" x14ac:dyDescent="0.2">
      <c r="B266">
        <v>52131</v>
      </c>
      <c r="C266" s="1">
        <v>7.9000000000000006E-6</v>
      </c>
      <c r="D266" t="str">
        <f>VLOOKUP(B266,Nuclides!A:E,5,FALSE)</f>
        <v>Te131</v>
      </c>
      <c r="E266">
        <f>VLOOKUP(Sheet2!B266,Nuclides!A:E,2,FALSE)</f>
        <v>79</v>
      </c>
      <c r="F266">
        <f>VLOOKUP(B266,Nuclides!A:E,3,FALSE)</f>
        <v>52</v>
      </c>
      <c r="G266" s="1">
        <f t="shared" si="16"/>
        <v>98592000000</v>
      </c>
      <c r="H266">
        <f>VLOOKUP(B266,Nuclides!A:E,4,FALSE)</f>
        <v>1500</v>
      </c>
      <c r="J266" s="1">
        <v>51135</v>
      </c>
      <c r="K266" s="1">
        <v>1.6500000000000001E-5</v>
      </c>
      <c r="L266" t="str">
        <f>VLOOKUP(J266,Nuclides!A:E,5,FALSE)</f>
        <v>Sb135</v>
      </c>
      <c r="M266">
        <f>VLOOKUP(Sheet2!J266,Nuclides!A:E,2,FALSE)</f>
        <v>84</v>
      </c>
      <c r="N266">
        <f>VLOOKUP(J266,Nuclides!A:E,3,FALSE)</f>
        <v>51</v>
      </c>
      <c r="O266" s="1">
        <f t="shared" si="17"/>
        <v>205920000000.00003</v>
      </c>
      <c r="R266" s="1">
        <v>40091</v>
      </c>
      <c r="S266" s="1">
        <v>7.3987999999999997E-9</v>
      </c>
      <c r="T266" t="str">
        <f>VLOOKUP(R266,Nuclides!A:E,5,FALSE)</f>
        <v>Zr91</v>
      </c>
      <c r="U266">
        <f>VLOOKUP(Sheet2!R266,Nuclides!A:E,2,FALSE)</f>
        <v>51</v>
      </c>
      <c r="V266">
        <f>VLOOKUP(R266,Nuclides!A:E,3,FALSE)</f>
        <v>40</v>
      </c>
      <c r="W266" s="1">
        <f t="shared" si="18"/>
        <v>92337024</v>
      </c>
      <c r="X266" t="s">
        <v>1011</v>
      </c>
      <c r="Z266" s="1">
        <v>39096</v>
      </c>
      <c r="AA266" s="1">
        <v>1.5322799999999998E-5</v>
      </c>
      <c r="AB266" t="str">
        <f>VLOOKUP(Z266,Nuclides!A:E,5,FALSE)</f>
        <v>Y96</v>
      </c>
      <c r="AC266">
        <f>VLOOKUP(Sheet2!Z266,Nuclides!A:E,2,FALSE)</f>
        <v>57</v>
      </c>
      <c r="AD266">
        <f>VLOOKUP(Z266,Nuclides!A:E,3,FALSE)</f>
        <v>39</v>
      </c>
      <c r="AE266" s="1">
        <f t="shared" si="19"/>
        <v>191228543999.99997</v>
      </c>
      <c r="AF266" t="s">
        <v>984</v>
      </c>
    </row>
    <row r="267" spans="2:32" x14ac:dyDescent="0.2">
      <c r="B267">
        <v>52132</v>
      </c>
      <c r="C267" s="1">
        <v>1.7499999999999998E-5</v>
      </c>
      <c r="D267" t="str">
        <f>VLOOKUP(B267,Nuclides!A:E,5,FALSE)</f>
        <v>Te132</v>
      </c>
      <c r="E267">
        <f>VLOOKUP(Sheet2!B267,Nuclides!A:E,2,FALSE)</f>
        <v>80</v>
      </c>
      <c r="F267">
        <f>VLOOKUP(B267,Nuclides!A:E,3,FALSE)</f>
        <v>52</v>
      </c>
      <c r="G267" s="1">
        <f t="shared" si="16"/>
        <v>218399999999.99997</v>
      </c>
      <c r="H267">
        <f>VLOOKUP(B267,Nuclides!A:E,4,FALSE)</f>
        <v>276825.59999999998</v>
      </c>
      <c r="J267" s="1">
        <v>51136</v>
      </c>
      <c r="K267" s="1">
        <v>3.8999999999999999E-6</v>
      </c>
      <c r="L267" t="str">
        <f>VLOOKUP(J267,Nuclides!A:E,5,FALSE)</f>
        <v>Sb136</v>
      </c>
      <c r="M267">
        <f>VLOOKUP(Sheet2!J267,Nuclides!A:E,2,FALSE)</f>
        <v>85</v>
      </c>
      <c r="N267">
        <f>VLOOKUP(J267,Nuclides!A:E,3,FALSE)</f>
        <v>51</v>
      </c>
      <c r="O267" s="1">
        <f t="shared" si="17"/>
        <v>48672000000</v>
      </c>
      <c r="R267" s="1">
        <v>40092</v>
      </c>
      <c r="S267" s="1">
        <v>3.8041000000000003E-8</v>
      </c>
      <c r="T267" t="str">
        <f>VLOOKUP(R267,Nuclides!A:E,5,FALSE)</f>
        <v>Zr92</v>
      </c>
      <c r="U267">
        <f>VLOOKUP(Sheet2!R267,Nuclides!A:E,2,FALSE)</f>
        <v>52</v>
      </c>
      <c r="V267">
        <f>VLOOKUP(R267,Nuclides!A:E,3,FALSE)</f>
        <v>40</v>
      </c>
      <c r="W267" s="1">
        <f t="shared" si="18"/>
        <v>474751680.00000006</v>
      </c>
      <c r="X267" t="s">
        <v>1012</v>
      </c>
      <c r="Z267" s="1">
        <v>39097</v>
      </c>
      <c r="AA267" s="1">
        <v>2.64968E-5</v>
      </c>
      <c r="AB267" t="str">
        <f>VLOOKUP(Z267,Nuclides!A:E,5,FALSE)</f>
        <v>Y97</v>
      </c>
      <c r="AC267">
        <f>VLOOKUP(Sheet2!Z267,Nuclides!A:E,2,FALSE)</f>
        <v>58</v>
      </c>
      <c r="AD267">
        <f>VLOOKUP(Z267,Nuclides!A:E,3,FALSE)</f>
        <v>39</v>
      </c>
      <c r="AE267" s="1">
        <f t="shared" si="19"/>
        <v>330680064000</v>
      </c>
      <c r="AF267" t="s">
        <v>985</v>
      </c>
    </row>
    <row r="268" spans="2:32" x14ac:dyDescent="0.2">
      <c r="B268">
        <v>52133</v>
      </c>
      <c r="C268" s="1">
        <v>1.34E-5</v>
      </c>
      <c r="D268" t="str">
        <f>VLOOKUP(B268,Nuclides!A:E,5,FALSE)</f>
        <v>Te133</v>
      </c>
      <c r="E268">
        <f>VLOOKUP(Sheet2!B268,Nuclides!A:E,2,FALSE)</f>
        <v>81</v>
      </c>
      <c r="F268">
        <f>VLOOKUP(B268,Nuclides!A:E,3,FALSE)</f>
        <v>52</v>
      </c>
      <c r="G268" s="1">
        <f t="shared" si="16"/>
        <v>167232000000</v>
      </c>
      <c r="H268">
        <f>VLOOKUP(B268,Nuclides!A:E,4,FALSE)</f>
        <v>750</v>
      </c>
      <c r="J268" s="1">
        <v>52106</v>
      </c>
      <c r="K268" s="1">
        <v>1.3999999999999999E-6</v>
      </c>
      <c r="L268" t="str">
        <f>VLOOKUP(J268,Nuclides!A:E,5,FALSE)</f>
        <v>Te106</v>
      </c>
      <c r="M268">
        <f>VLOOKUP(Sheet2!J268,Nuclides!A:E,2,FALSE)</f>
        <v>54</v>
      </c>
      <c r="N268">
        <f>VLOOKUP(J268,Nuclides!A:E,3,FALSE)</f>
        <v>52</v>
      </c>
      <c r="O268" s="1">
        <f t="shared" si="17"/>
        <v>17472000000</v>
      </c>
      <c r="R268" s="1">
        <v>40093</v>
      </c>
      <c r="S268" s="1">
        <v>1.91601E-7</v>
      </c>
      <c r="T268" t="str">
        <f>VLOOKUP(R268,Nuclides!A:E,5,FALSE)</f>
        <v>Zr93</v>
      </c>
      <c r="U268">
        <f>VLOOKUP(Sheet2!R268,Nuclides!A:E,2,FALSE)</f>
        <v>53</v>
      </c>
      <c r="V268">
        <f>VLOOKUP(R268,Nuclides!A:E,3,FALSE)</f>
        <v>40</v>
      </c>
      <c r="W268" s="1">
        <f t="shared" si="18"/>
        <v>2391180480</v>
      </c>
      <c r="X268" t="s">
        <v>1013</v>
      </c>
      <c r="Z268" s="1">
        <v>39098</v>
      </c>
      <c r="AA268" s="1">
        <v>2.36196E-5</v>
      </c>
      <c r="AB268" t="str">
        <f>VLOOKUP(Z268,Nuclides!A:E,5,FALSE)</f>
        <v>Y98</v>
      </c>
      <c r="AC268">
        <f>VLOOKUP(Sheet2!Z268,Nuclides!A:E,2,FALSE)</f>
        <v>59</v>
      </c>
      <c r="AD268">
        <f>VLOOKUP(Z268,Nuclides!A:E,3,FALSE)</f>
        <v>39</v>
      </c>
      <c r="AE268" s="1">
        <f t="shared" si="19"/>
        <v>294772608000</v>
      </c>
      <c r="AF268" t="s">
        <v>986</v>
      </c>
    </row>
    <row r="269" spans="2:32" x14ac:dyDescent="0.2">
      <c r="B269">
        <v>52134</v>
      </c>
      <c r="C269" s="1">
        <v>1.4800000000000001E-5</v>
      </c>
      <c r="D269" t="str">
        <f>VLOOKUP(B269,Nuclides!A:E,5,FALSE)</f>
        <v>Te134</v>
      </c>
      <c r="E269">
        <f>VLOOKUP(Sheet2!B269,Nuclides!A:E,2,FALSE)</f>
        <v>82</v>
      </c>
      <c r="F269">
        <f>VLOOKUP(B269,Nuclides!A:E,3,FALSE)</f>
        <v>52</v>
      </c>
      <c r="G269" s="1">
        <f t="shared" si="16"/>
        <v>184704000000</v>
      </c>
      <c r="H269">
        <f>VLOOKUP(B269,Nuclides!A:E,4,FALSE)</f>
        <v>2508</v>
      </c>
      <c r="J269" s="1">
        <v>52107</v>
      </c>
      <c r="K269" s="1">
        <v>9.9999999999999995E-8</v>
      </c>
      <c r="L269" t="str">
        <f>VLOOKUP(J269,Nuclides!A:E,5,FALSE)</f>
        <v>Te107</v>
      </c>
      <c r="M269">
        <f>VLOOKUP(Sheet2!J269,Nuclides!A:E,2,FALSE)</f>
        <v>55</v>
      </c>
      <c r="N269">
        <f>VLOOKUP(J269,Nuclides!A:E,3,FALSE)</f>
        <v>52</v>
      </c>
      <c r="O269" s="1">
        <f t="shared" si="17"/>
        <v>1248000000</v>
      </c>
      <c r="R269" s="1">
        <v>40094</v>
      </c>
      <c r="S269" s="1">
        <v>8.0276999999999998E-7</v>
      </c>
      <c r="T269" t="str">
        <f>VLOOKUP(R269,Nuclides!A:E,5,FALSE)</f>
        <v>Zr94</v>
      </c>
      <c r="U269">
        <f>VLOOKUP(Sheet2!R269,Nuclides!A:E,2,FALSE)</f>
        <v>54</v>
      </c>
      <c r="V269">
        <f>VLOOKUP(R269,Nuclides!A:E,3,FALSE)</f>
        <v>40</v>
      </c>
      <c r="W269" s="1">
        <f t="shared" si="18"/>
        <v>10018569600</v>
      </c>
      <c r="X269" t="s">
        <v>1014</v>
      </c>
      <c r="Z269" s="1">
        <v>39099</v>
      </c>
      <c r="AA269" s="1">
        <v>2.86367E-5</v>
      </c>
      <c r="AB269" t="str">
        <f>VLOOKUP(Z269,Nuclides!A:E,5,FALSE)</f>
        <v>Y99</v>
      </c>
      <c r="AC269">
        <f>VLOOKUP(Sheet2!Z269,Nuclides!A:E,2,FALSE)</f>
        <v>60</v>
      </c>
      <c r="AD269">
        <f>VLOOKUP(Z269,Nuclides!A:E,3,FALSE)</f>
        <v>39</v>
      </c>
      <c r="AE269" s="1">
        <f t="shared" si="19"/>
        <v>357386016000</v>
      </c>
      <c r="AF269" t="s">
        <v>987</v>
      </c>
    </row>
    <row r="270" spans="2:32" x14ac:dyDescent="0.2">
      <c r="B270">
        <v>52135</v>
      </c>
      <c r="C270" s="1">
        <v>4.1999999999999996E-6</v>
      </c>
      <c r="D270" t="str">
        <f>VLOOKUP(B270,Nuclides!A:E,5,FALSE)</f>
        <v>Te135</v>
      </c>
      <c r="E270">
        <f>VLOOKUP(Sheet2!B270,Nuclides!A:E,2,FALSE)</f>
        <v>83</v>
      </c>
      <c r="F270">
        <f>VLOOKUP(B270,Nuclides!A:E,3,FALSE)</f>
        <v>52</v>
      </c>
      <c r="G270" s="1">
        <f t="shared" si="16"/>
        <v>52415999999.999992</v>
      </c>
      <c r="H270">
        <f>VLOOKUP(B270,Nuclides!A:E,4,FALSE)</f>
        <v>19</v>
      </c>
      <c r="J270" s="1">
        <v>52127</v>
      </c>
      <c r="K270" s="1">
        <v>9.9999999999999995E-8</v>
      </c>
      <c r="L270" t="str">
        <f>VLOOKUP(J270,Nuclides!A:E,5,FALSE)</f>
        <v>Te127</v>
      </c>
      <c r="M270">
        <f>VLOOKUP(Sheet2!J270,Nuclides!A:E,2,FALSE)</f>
        <v>75</v>
      </c>
      <c r="N270">
        <f>VLOOKUP(J270,Nuclides!A:E,3,FALSE)</f>
        <v>52</v>
      </c>
      <c r="O270" s="1">
        <f t="shared" si="17"/>
        <v>1248000000</v>
      </c>
      <c r="R270" s="1">
        <v>40095</v>
      </c>
      <c r="S270" s="1">
        <v>2.8452599999999998E-6</v>
      </c>
      <c r="T270" t="str">
        <f>VLOOKUP(R270,Nuclides!A:E,5,FALSE)</f>
        <v>Zr95</v>
      </c>
      <c r="U270">
        <f>VLOOKUP(Sheet2!R270,Nuclides!A:E,2,FALSE)</f>
        <v>55</v>
      </c>
      <c r="V270">
        <f>VLOOKUP(R270,Nuclides!A:E,3,FALSE)</f>
        <v>40</v>
      </c>
      <c r="W270" s="1">
        <f t="shared" si="18"/>
        <v>35508844800</v>
      </c>
      <c r="X270" t="s">
        <v>1015</v>
      </c>
      <c r="Z270" s="1">
        <v>39100</v>
      </c>
      <c r="AA270" s="1">
        <v>1.96514E-5</v>
      </c>
      <c r="AB270" t="str">
        <f>VLOOKUP(Z270,Nuclides!A:E,5,FALSE)</f>
        <v>Y100</v>
      </c>
      <c r="AC270">
        <f>VLOOKUP(Sheet2!Z270,Nuclides!A:E,2,FALSE)</f>
        <v>61</v>
      </c>
      <c r="AD270">
        <f>VLOOKUP(Z270,Nuclides!A:E,3,FALSE)</f>
        <v>39</v>
      </c>
      <c r="AE270" s="1">
        <f t="shared" si="19"/>
        <v>245249472000</v>
      </c>
      <c r="AF270" t="s">
        <v>988</v>
      </c>
    </row>
    <row r="271" spans="2:32" x14ac:dyDescent="0.2">
      <c r="B271">
        <v>52136</v>
      </c>
      <c r="C271" s="1">
        <v>3.4000000000000001E-6</v>
      </c>
      <c r="D271" t="str">
        <f>VLOOKUP(B271,Nuclides!A:E,5,FALSE)</f>
        <v>Te136</v>
      </c>
      <c r="E271">
        <f>VLOOKUP(Sheet2!B271,Nuclides!A:E,2,FALSE)</f>
        <v>84</v>
      </c>
      <c r="F271">
        <f>VLOOKUP(B271,Nuclides!A:E,3,FALSE)</f>
        <v>52</v>
      </c>
      <c r="G271" s="1">
        <f t="shared" si="16"/>
        <v>42432000000</v>
      </c>
      <c r="H271">
        <f>VLOOKUP(B271,Nuclides!A:E,4,FALSE)</f>
        <v>17.63</v>
      </c>
      <c r="J271" s="1">
        <v>52128</v>
      </c>
      <c r="K271" s="1">
        <v>3.9999999999999998E-7</v>
      </c>
      <c r="L271" t="str">
        <f>VLOOKUP(J271,Nuclides!A:E,5,FALSE)</f>
        <v>Te128</v>
      </c>
      <c r="M271">
        <f>VLOOKUP(Sheet2!J271,Nuclides!A:E,2,FALSE)</f>
        <v>76</v>
      </c>
      <c r="N271">
        <f>VLOOKUP(J271,Nuclides!A:E,3,FALSE)</f>
        <v>52</v>
      </c>
      <c r="O271" s="1">
        <f t="shared" si="17"/>
        <v>4992000000</v>
      </c>
      <c r="R271" s="1">
        <v>40096</v>
      </c>
      <c r="S271" s="1">
        <v>8.3706299999999995E-6</v>
      </c>
      <c r="T271" t="str">
        <f>VLOOKUP(R271,Nuclides!A:E,5,FALSE)</f>
        <v>Zr96</v>
      </c>
      <c r="U271">
        <f>VLOOKUP(Sheet2!R271,Nuclides!A:E,2,FALSE)</f>
        <v>56</v>
      </c>
      <c r="V271">
        <f>VLOOKUP(R271,Nuclides!A:E,3,FALSE)</f>
        <v>40</v>
      </c>
      <c r="W271" s="1">
        <f t="shared" si="18"/>
        <v>104465462400</v>
      </c>
      <c r="X271" t="s">
        <v>1016</v>
      </c>
      <c r="Z271" s="1">
        <v>39101</v>
      </c>
      <c r="AA271" s="1">
        <v>1.24008E-5</v>
      </c>
      <c r="AB271" t="str">
        <f>VLOOKUP(Z271,Nuclides!A:E,5,FALSE)</f>
        <v>Y101</v>
      </c>
      <c r="AC271">
        <f>VLOOKUP(Sheet2!Z271,Nuclides!A:E,2,FALSE)</f>
        <v>62</v>
      </c>
      <c r="AD271">
        <f>VLOOKUP(Z271,Nuclides!A:E,3,FALSE)</f>
        <v>39</v>
      </c>
      <c r="AE271" s="1">
        <f t="shared" si="19"/>
        <v>154761984000</v>
      </c>
      <c r="AF271" t="s">
        <v>989</v>
      </c>
    </row>
    <row r="272" spans="2:32" x14ac:dyDescent="0.2">
      <c r="B272">
        <v>52137</v>
      </c>
      <c r="C272" s="1">
        <v>7.9999999999999996E-7</v>
      </c>
      <c r="D272" t="str">
        <f>VLOOKUP(B272,Nuclides!A:E,5,FALSE)</f>
        <v>Te137</v>
      </c>
      <c r="E272">
        <f>VLOOKUP(Sheet2!B272,Nuclides!A:E,2,FALSE)</f>
        <v>85</v>
      </c>
      <c r="F272">
        <f>VLOOKUP(B272,Nuclides!A:E,3,FALSE)</f>
        <v>52</v>
      </c>
      <c r="G272" s="1">
        <f t="shared" si="16"/>
        <v>9984000000</v>
      </c>
      <c r="H272">
        <f>VLOOKUP(B272,Nuclides!A:E,4,FALSE)</f>
        <v>2.4900000000000002</v>
      </c>
      <c r="J272" s="1">
        <v>52129</v>
      </c>
      <c r="K272" s="1">
        <v>4.9999999999999998E-7</v>
      </c>
      <c r="L272" t="str">
        <f>VLOOKUP(J272,Nuclides!A:E,5,FALSE)</f>
        <v>Te129</v>
      </c>
      <c r="M272">
        <f>VLOOKUP(Sheet2!J272,Nuclides!A:E,2,FALSE)</f>
        <v>77</v>
      </c>
      <c r="N272">
        <f>VLOOKUP(J272,Nuclides!A:E,3,FALSE)</f>
        <v>52</v>
      </c>
      <c r="O272" s="1">
        <f t="shared" si="17"/>
        <v>6240000000</v>
      </c>
      <c r="R272" s="1">
        <v>40097</v>
      </c>
      <c r="S272" s="1">
        <v>2.0043699999999999E-5</v>
      </c>
      <c r="T272" t="str">
        <f>VLOOKUP(R272,Nuclides!A:E,5,FALSE)</f>
        <v>Zr97</v>
      </c>
      <c r="U272">
        <f>VLOOKUP(Sheet2!R272,Nuclides!A:E,2,FALSE)</f>
        <v>57</v>
      </c>
      <c r="V272">
        <f>VLOOKUP(R272,Nuclides!A:E,3,FALSE)</f>
        <v>40</v>
      </c>
      <c r="W272" s="1">
        <f t="shared" si="18"/>
        <v>250145376000</v>
      </c>
      <c r="X272" t="s">
        <v>1017</v>
      </c>
      <c r="Z272" s="1">
        <v>39102</v>
      </c>
      <c r="AA272" s="1">
        <v>6.2177800000000003E-6</v>
      </c>
      <c r="AB272" t="str">
        <f>VLOOKUP(Z272,Nuclides!A:E,5,FALSE)</f>
        <v>Y102</v>
      </c>
      <c r="AC272">
        <f>VLOOKUP(Sheet2!Z272,Nuclides!A:E,2,FALSE)</f>
        <v>63</v>
      </c>
      <c r="AD272">
        <f>VLOOKUP(Z272,Nuclides!A:E,3,FALSE)</f>
        <v>39</v>
      </c>
      <c r="AE272" s="1">
        <f t="shared" si="19"/>
        <v>77597894400</v>
      </c>
      <c r="AF272" t="s">
        <v>990</v>
      </c>
    </row>
    <row r="273" spans="2:32" x14ac:dyDescent="0.2">
      <c r="B273">
        <v>52138</v>
      </c>
      <c r="C273" s="1">
        <v>4.9999999999999998E-7</v>
      </c>
      <c r="D273" t="str">
        <f>VLOOKUP(B273,Nuclides!A:E,5,FALSE)</f>
        <v>Te138</v>
      </c>
      <c r="E273">
        <f>VLOOKUP(Sheet2!B273,Nuclides!A:E,2,FALSE)</f>
        <v>86</v>
      </c>
      <c r="F273">
        <f>VLOOKUP(B273,Nuclides!A:E,3,FALSE)</f>
        <v>52</v>
      </c>
      <c r="G273" s="1">
        <f t="shared" si="16"/>
        <v>6240000000</v>
      </c>
      <c r="H273">
        <f>VLOOKUP(B273,Nuclides!A:E,4,FALSE)</f>
        <v>1.4</v>
      </c>
      <c r="J273" s="1">
        <v>52130</v>
      </c>
      <c r="K273" s="1">
        <v>2.6000000000000001E-6</v>
      </c>
      <c r="L273" t="str">
        <f>VLOOKUP(J273,Nuclides!A:E,5,FALSE)</f>
        <v>Te130</v>
      </c>
      <c r="M273">
        <f>VLOOKUP(Sheet2!J273,Nuclides!A:E,2,FALSE)</f>
        <v>78</v>
      </c>
      <c r="N273">
        <f>VLOOKUP(J273,Nuclides!A:E,3,FALSE)</f>
        <v>52</v>
      </c>
      <c r="O273" s="1">
        <f t="shared" si="17"/>
        <v>32448000000</v>
      </c>
      <c r="R273" s="1">
        <v>40098</v>
      </c>
      <c r="S273" s="1">
        <v>4.1214899999999997E-5</v>
      </c>
      <c r="T273" t="str">
        <f>VLOOKUP(R273,Nuclides!A:E,5,FALSE)</f>
        <v>Zr98</v>
      </c>
      <c r="U273">
        <f>VLOOKUP(Sheet2!R273,Nuclides!A:E,2,FALSE)</f>
        <v>58</v>
      </c>
      <c r="V273">
        <f>VLOOKUP(R273,Nuclides!A:E,3,FALSE)</f>
        <v>40</v>
      </c>
      <c r="W273" s="1">
        <f t="shared" si="18"/>
        <v>514361951999.99994</v>
      </c>
      <c r="X273" t="s">
        <v>1018</v>
      </c>
      <c r="Z273" s="1">
        <v>40081</v>
      </c>
      <c r="AA273" s="1">
        <v>4.1241299999999996E-6</v>
      </c>
      <c r="AB273" t="str">
        <f>VLOOKUP(Z273,Nuclides!A:E,5,FALSE)</f>
        <v>Zr81</v>
      </c>
      <c r="AC273">
        <f>VLOOKUP(Sheet2!Z273,Nuclides!A:E,2,FALSE)</f>
        <v>41</v>
      </c>
      <c r="AD273">
        <f>VLOOKUP(Z273,Nuclides!A:E,3,FALSE)</f>
        <v>40</v>
      </c>
      <c r="AE273" s="1">
        <f t="shared" si="19"/>
        <v>51469142399.999992</v>
      </c>
      <c r="AF273" t="s">
        <v>1001</v>
      </c>
    </row>
    <row r="274" spans="2:32" x14ac:dyDescent="0.2">
      <c r="B274">
        <v>53129</v>
      </c>
      <c r="C274" s="1">
        <v>9.9999999999999995E-8</v>
      </c>
      <c r="D274" t="str">
        <f>VLOOKUP(B274,Nuclides!A:E,5,FALSE)</f>
        <v>I129</v>
      </c>
      <c r="E274">
        <f>VLOOKUP(Sheet2!B274,Nuclides!A:E,2,FALSE)</f>
        <v>76</v>
      </c>
      <c r="F274">
        <f>VLOOKUP(B274,Nuclides!A:E,3,FALSE)</f>
        <v>53</v>
      </c>
      <c r="G274" s="1">
        <f t="shared" si="16"/>
        <v>1248000000</v>
      </c>
      <c r="H274">
        <f>VLOOKUP(B274,Nuclides!A:E,4,FALSE)</f>
        <v>495454320000000</v>
      </c>
      <c r="J274" s="1">
        <v>52131</v>
      </c>
      <c r="K274" s="1">
        <v>6.7000000000000002E-6</v>
      </c>
      <c r="L274" t="str">
        <f>VLOOKUP(J274,Nuclides!A:E,5,FALSE)</f>
        <v>Te131</v>
      </c>
      <c r="M274">
        <f>VLOOKUP(Sheet2!J274,Nuclides!A:E,2,FALSE)</f>
        <v>79</v>
      </c>
      <c r="N274">
        <f>VLOOKUP(J274,Nuclides!A:E,3,FALSE)</f>
        <v>52</v>
      </c>
      <c r="O274" s="1">
        <f t="shared" si="17"/>
        <v>83616000000</v>
      </c>
      <c r="R274" s="1">
        <v>40099</v>
      </c>
      <c r="S274" s="1">
        <v>6.3559599999999994E-5</v>
      </c>
      <c r="T274" t="str">
        <f>VLOOKUP(R274,Nuclides!A:E,5,FALSE)</f>
        <v>Zr99</v>
      </c>
      <c r="U274">
        <f>VLOOKUP(Sheet2!R274,Nuclides!A:E,2,FALSE)</f>
        <v>59</v>
      </c>
      <c r="V274">
        <f>VLOOKUP(R274,Nuclides!A:E,3,FALSE)</f>
        <v>40</v>
      </c>
      <c r="W274" s="1">
        <f t="shared" si="18"/>
        <v>793223807999.99988</v>
      </c>
      <c r="X274" t="s">
        <v>1019</v>
      </c>
      <c r="Z274" s="1">
        <v>40082</v>
      </c>
      <c r="AA274" s="1">
        <v>5.1135500000000002E-7</v>
      </c>
      <c r="AB274" t="str">
        <f>VLOOKUP(Z274,Nuclides!A:E,5,FALSE)</f>
        <v>Zr82</v>
      </c>
      <c r="AC274">
        <f>VLOOKUP(Sheet2!Z274,Nuclides!A:E,2,FALSE)</f>
        <v>42</v>
      </c>
      <c r="AD274">
        <f>VLOOKUP(Z274,Nuclides!A:E,3,FALSE)</f>
        <v>40</v>
      </c>
      <c r="AE274" s="1">
        <f t="shared" si="19"/>
        <v>6381710400</v>
      </c>
      <c r="AF274" t="s">
        <v>1002</v>
      </c>
    </row>
    <row r="275" spans="2:32" x14ac:dyDescent="0.2">
      <c r="B275">
        <v>53130</v>
      </c>
      <c r="C275" s="1">
        <v>3.9999999999999998E-7</v>
      </c>
      <c r="D275" t="str">
        <f>VLOOKUP(B275,Nuclides!A:E,5,FALSE)</f>
        <v>I130</v>
      </c>
      <c r="E275">
        <f>VLOOKUP(Sheet2!B275,Nuclides!A:E,2,FALSE)</f>
        <v>77</v>
      </c>
      <c r="F275">
        <f>VLOOKUP(B275,Nuclides!A:E,3,FALSE)</f>
        <v>53</v>
      </c>
      <c r="G275" s="1">
        <f t="shared" si="16"/>
        <v>4992000000</v>
      </c>
      <c r="H275">
        <f>VLOOKUP(B275,Nuclides!A:E,4,FALSE)</f>
        <v>44496</v>
      </c>
      <c r="J275" s="1">
        <v>52132</v>
      </c>
      <c r="K275" s="1">
        <v>2.1500000000000001E-5</v>
      </c>
      <c r="L275" t="str">
        <f>VLOOKUP(J275,Nuclides!A:E,5,FALSE)</f>
        <v>Te132</v>
      </c>
      <c r="M275">
        <f>VLOOKUP(Sheet2!J275,Nuclides!A:E,2,FALSE)</f>
        <v>80</v>
      </c>
      <c r="N275">
        <f>VLOOKUP(J275,Nuclides!A:E,3,FALSE)</f>
        <v>52</v>
      </c>
      <c r="O275" s="1">
        <f t="shared" si="17"/>
        <v>268320000000</v>
      </c>
      <c r="R275" s="1">
        <v>40100</v>
      </c>
      <c r="S275" s="1">
        <v>7.5980800000000003E-5</v>
      </c>
      <c r="T275" t="str">
        <f>VLOOKUP(R275,Nuclides!A:E,5,FALSE)</f>
        <v>Zr100</v>
      </c>
      <c r="U275">
        <f>VLOOKUP(Sheet2!R275,Nuclides!A:E,2,FALSE)</f>
        <v>60</v>
      </c>
      <c r="V275">
        <f>VLOOKUP(R275,Nuclides!A:E,3,FALSE)</f>
        <v>40</v>
      </c>
      <c r="W275" s="1">
        <f t="shared" si="18"/>
        <v>948240384000</v>
      </c>
      <c r="X275" t="s">
        <v>1020</v>
      </c>
      <c r="Z275" s="1">
        <v>40083</v>
      </c>
      <c r="AA275" s="1">
        <v>2.3711100000000001E-7</v>
      </c>
      <c r="AB275" t="str">
        <f>VLOOKUP(Z275,Nuclides!A:E,5,FALSE)</f>
        <v>Zr83</v>
      </c>
      <c r="AC275">
        <f>VLOOKUP(Sheet2!Z275,Nuclides!A:E,2,FALSE)</f>
        <v>43</v>
      </c>
      <c r="AD275">
        <f>VLOOKUP(Z275,Nuclides!A:E,3,FALSE)</f>
        <v>40</v>
      </c>
      <c r="AE275" s="1">
        <f t="shared" si="19"/>
        <v>2959145280</v>
      </c>
      <c r="AF275" t="s">
        <v>1003</v>
      </c>
    </row>
    <row r="276" spans="2:32" x14ac:dyDescent="0.2">
      <c r="B276">
        <v>53131</v>
      </c>
      <c r="C276" s="1">
        <v>2.2000000000000001E-6</v>
      </c>
      <c r="D276" t="str">
        <f>VLOOKUP(B276,Nuclides!A:E,5,FALSE)</f>
        <v>I131</v>
      </c>
      <c r="E276">
        <f>VLOOKUP(Sheet2!B276,Nuclides!A:E,2,FALSE)</f>
        <v>78</v>
      </c>
      <c r="F276">
        <f>VLOOKUP(B276,Nuclides!A:E,3,FALSE)</f>
        <v>53</v>
      </c>
      <c r="G276" s="1">
        <f t="shared" si="16"/>
        <v>27456000000</v>
      </c>
      <c r="H276">
        <f>VLOOKUP(B276,Nuclides!A:E,4,FALSE)</f>
        <v>693377.28</v>
      </c>
      <c r="J276" s="1">
        <v>52133</v>
      </c>
      <c r="K276" s="1">
        <v>5.0000000000000002E-5</v>
      </c>
      <c r="L276" t="str">
        <f>VLOOKUP(J276,Nuclides!A:E,5,FALSE)</f>
        <v>Te133</v>
      </c>
      <c r="M276">
        <f>VLOOKUP(Sheet2!J276,Nuclides!A:E,2,FALSE)</f>
        <v>81</v>
      </c>
      <c r="N276">
        <f>VLOOKUP(J276,Nuclides!A:E,3,FALSE)</f>
        <v>52</v>
      </c>
      <c r="O276" s="1">
        <f t="shared" si="17"/>
        <v>624000000000</v>
      </c>
      <c r="R276" s="1">
        <v>40101</v>
      </c>
      <c r="S276" s="1">
        <v>6.0205099999999997E-5</v>
      </c>
      <c r="T276" t="str">
        <f>VLOOKUP(R276,Nuclides!A:E,5,FALSE)</f>
        <v>Zr101</v>
      </c>
      <c r="U276">
        <f>VLOOKUP(Sheet2!R276,Nuclides!A:E,2,FALSE)</f>
        <v>61</v>
      </c>
      <c r="V276">
        <f>VLOOKUP(R276,Nuclides!A:E,3,FALSE)</f>
        <v>40</v>
      </c>
      <c r="W276" s="1">
        <f t="shared" si="18"/>
        <v>751359648000</v>
      </c>
      <c r="X276" t="s">
        <v>1021</v>
      </c>
      <c r="Z276" s="1">
        <v>40084</v>
      </c>
      <c r="AA276" s="1">
        <v>3.9576600000000002E-8</v>
      </c>
      <c r="AB276" t="str">
        <f>VLOOKUP(Z276,Nuclides!A:E,5,FALSE)</f>
        <v>Zr84</v>
      </c>
      <c r="AC276">
        <f>VLOOKUP(Sheet2!Z276,Nuclides!A:E,2,FALSE)</f>
        <v>44</v>
      </c>
      <c r="AD276">
        <f>VLOOKUP(Z276,Nuclides!A:E,3,FALSE)</f>
        <v>40</v>
      </c>
      <c r="AE276" s="1">
        <f t="shared" si="19"/>
        <v>493915968.00000006</v>
      </c>
      <c r="AF276" t="s">
        <v>1004</v>
      </c>
    </row>
    <row r="277" spans="2:32" x14ac:dyDescent="0.2">
      <c r="B277">
        <v>53132</v>
      </c>
      <c r="C277" s="1">
        <v>4.5000000000000001E-6</v>
      </c>
      <c r="D277" t="str">
        <f>VLOOKUP(B277,Nuclides!A:E,5,FALSE)</f>
        <v>I132</v>
      </c>
      <c r="E277">
        <f>VLOOKUP(Sheet2!B277,Nuclides!A:E,2,FALSE)</f>
        <v>79</v>
      </c>
      <c r="F277">
        <f>VLOOKUP(B277,Nuclides!A:E,3,FALSE)</f>
        <v>53</v>
      </c>
      <c r="G277" s="1">
        <f t="shared" si="16"/>
        <v>56160000000</v>
      </c>
      <c r="H277">
        <f>VLOOKUP(B277,Nuclides!A:E,4,FALSE)</f>
        <v>8262</v>
      </c>
      <c r="J277" s="1">
        <v>52134</v>
      </c>
      <c r="K277" s="1">
        <v>8.0599999999999994E-5</v>
      </c>
      <c r="L277" t="str">
        <f>VLOOKUP(J277,Nuclides!A:E,5,FALSE)</f>
        <v>Te134</v>
      </c>
      <c r="M277">
        <f>VLOOKUP(Sheet2!J277,Nuclides!A:E,2,FALSE)</f>
        <v>82</v>
      </c>
      <c r="N277">
        <f>VLOOKUP(J277,Nuclides!A:E,3,FALSE)</f>
        <v>52</v>
      </c>
      <c r="O277" s="1">
        <f t="shared" si="17"/>
        <v>1005887999999.9999</v>
      </c>
      <c r="R277" s="1">
        <v>40102</v>
      </c>
      <c r="S277" s="1">
        <v>3.4218199999999997E-5</v>
      </c>
      <c r="T277" t="str">
        <f>VLOOKUP(R277,Nuclides!A:E,5,FALSE)</f>
        <v>Zr102</v>
      </c>
      <c r="U277">
        <f>VLOOKUP(Sheet2!R277,Nuclides!A:E,2,FALSE)</f>
        <v>62</v>
      </c>
      <c r="V277">
        <f>VLOOKUP(R277,Nuclides!A:E,3,FALSE)</f>
        <v>40</v>
      </c>
      <c r="W277" s="1">
        <f t="shared" si="18"/>
        <v>427043135999.99994</v>
      </c>
      <c r="X277" t="s">
        <v>1022</v>
      </c>
      <c r="Z277" s="1">
        <v>40085</v>
      </c>
      <c r="AA277" s="1">
        <v>1.34016E-8</v>
      </c>
      <c r="AB277" t="str">
        <f>VLOOKUP(Z277,Nuclides!A:E,5,FALSE)</f>
        <v>Zr85</v>
      </c>
      <c r="AC277">
        <f>VLOOKUP(Sheet2!Z277,Nuclides!A:E,2,FALSE)</f>
        <v>45</v>
      </c>
      <c r="AD277">
        <f>VLOOKUP(Z277,Nuclides!A:E,3,FALSE)</f>
        <v>40</v>
      </c>
      <c r="AE277" s="1">
        <f t="shared" si="19"/>
        <v>167251968</v>
      </c>
      <c r="AF277" t="s">
        <v>1005</v>
      </c>
    </row>
    <row r="278" spans="2:32" x14ac:dyDescent="0.2">
      <c r="B278">
        <v>53133</v>
      </c>
      <c r="C278" s="1">
        <v>1.19E-5</v>
      </c>
      <c r="D278" t="str">
        <f>VLOOKUP(B278,Nuclides!A:E,5,FALSE)</f>
        <v>I133</v>
      </c>
      <c r="E278">
        <f>VLOOKUP(Sheet2!B278,Nuclides!A:E,2,FALSE)</f>
        <v>80</v>
      </c>
      <c r="F278">
        <f>VLOOKUP(B278,Nuclides!A:E,3,FALSE)</f>
        <v>53</v>
      </c>
      <c r="G278" s="1">
        <f t="shared" si="16"/>
        <v>148512000000</v>
      </c>
      <c r="H278">
        <f>VLOOKUP(B278,Nuclides!A:E,4,FALSE)</f>
        <v>74988</v>
      </c>
      <c r="J278" s="1">
        <v>52135</v>
      </c>
      <c r="K278" s="1">
        <v>7.7799999999999994E-5</v>
      </c>
      <c r="L278" t="str">
        <f>VLOOKUP(J278,Nuclides!A:E,5,FALSE)</f>
        <v>Te135</v>
      </c>
      <c r="M278">
        <f>VLOOKUP(Sheet2!J278,Nuclides!A:E,2,FALSE)</f>
        <v>83</v>
      </c>
      <c r="N278">
        <f>VLOOKUP(J278,Nuclides!A:E,3,FALSE)</f>
        <v>52</v>
      </c>
      <c r="O278" s="1">
        <f t="shared" si="17"/>
        <v>970943999999.99988</v>
      </c>
      <c r="R278" s="1">
        <v>41084</v>
      </c>
      <c r="S278" s="1">
        <v>1.23821E-5</v>
      </c>
      <c r="T278" t="str">
        <f>VLOOKUP(R278,Nuclides!A:E,5,FALSE)</f>
        <v>Nb84</v>
      </c>
      <c r="U278">
        <f>VLOOKUP(Sheet2!R278,Nuclides!A:E,2,FALSE)</f>
        <v>43</v>
      </c>
      <c r="V278">
        <f>VLOOKUP(R278,Nuclides!A:E,3,FALSE)</f>
        <v>41</v>
      </c>
      <c r="W278" s="1">
        <f t="shared" si="18"/>
        <v>154528608000</v>
      </c>
      <c r="X278" t="s">
        <v>1035</v>
      </c>
      <c r="Z278" s="1">
        <v>40086</v>
      </c>
      <c r="AA278" s="1">
        <v>1.8845999999999999E-9</v>
      </c>
      <c r="AB278" t="str">
        <f>VLOOKUP(Z278,Nuclides!A:E,5,FALSE)</f>
        <v>Zr86</v>
      </c>
      <c r="AC278">
        <f>VLOOKUP(Sheet2!Z278,Nuclides!A:E,2,FALSE)</f>
        <v>46</v>
      </c>
      <c r="AD278">
        <f>VLOOKUP(Z278,Nuclides!A:E,3,FALSE)</f>
        <v>40</v>
      </c>
      <c r="AE278" s="1">
        <f t="shared" si="19"/>
        <v>23519808</v>
      </c>
      <c r="AF278" t="s">
        <v>1006</v>
      </c>
    </row>
    <row r="279" spans="2:32" x14ac:dyDescent="0.2">
      <c r="B279">
        <v>53134</v>
      </c>
      <c r="C279" s="1">
        <v>1.4800000000000001E-5</v>
      </c>
      <c r="D279" t="str">
        <f>VLOOKUP(B279,Nuclides!A:E,5,FALSE)</f>
        <v>I134</v>
      </c>
      <c r="E279">
        <f>VLOOKUP(Sheet2!B279,Nuclides!A:E,2,FALSE)</f>
        <v>81</v>
      </c>
      <c r="F279">
        <f>VLOOKUP(B279,Nuclides!A:E,3,FALSE)</f>
        <v>53</v>
      </c>
      <c r="G279" s="1">
        <f t="shared" si="16"/>
        <v>184704000000</v>
      </c>
      <c r="H279">
        <f>VLOOKUP(B279,Nuclides!A:E,4,FALSE)</f>
        <v>3150</v>
      </c>
      <c r="J279" s="1">
        <v>52136</v>
      </c>
      <c r="K279" s="1">
        <v>5.77E-5</v>
      </c>
      <c r="L279" t="str">
        <f>VLOOKUP(J279,Nuclides!A:E,5,FALSE)</f>
        <v>Te136</v>
      </c>
      <c r="M279">
        <f>VLOOKUP(Sheet2!J279,Nuclides!A:E,2,FALSE)</f>
        <v>84</v>
      </c>
      <c r="N279">
        <f>VLOOKUP(J279,Nuclides!A:E,3,FALSE)</f>
        <v>52</v>
      </c>
      <c r="O279" s="1">
        <f t="shared" si="17"/>
        <v>720096000000</v>
      </c>
      <c r="R279" s="1">
        <v>41085</v>
      </c>
      <c r="S279" s="1">
        <v>3.6280600000000002E-6</v>
      </c>
      <c r="T279" t="str">
        <f>VLOOKUP(R279,Nuclides!A:E,5,FALSE)</f>
        <v>Nb85</v>
      </c>
      <c r="U279">
        <f>VLOOKUP(Sheet2!R279,Nuclides!A:E,2,FALSE)</f>
        <v>44</v>
      </c>
      <c r="V279">
        <f>VLOOKUP(R279,Nuclides!A:E,3,FALSE)</f>
        <v>41</v>
      </c>
      <c r="W279" s="1">
        <f t="shared" si="18"/>
        <v>45278188800</v>
      </c>
      <c r="X279" t="s">
        <v>1036</v>
      </c>
      <c r="Z279" s="1">
        <v>40087</v>
      </c>
      <c r="AA279" s="1">
        <v>2.7919999999999998E-10</v>
      </c>
      <c r="AB279" t="str">
        <f>VLOOKUP(Z279,Nuclides!A:E,5,FALSE)</f>
        <v>Zr87</v>
      </c>
      <c r="AC279">
        <f>VLOOKUP(Sheet2!Z279,Nuclides!A:E,2,FALSE)</f>
        <v>47</v>
      </c>
      <c r="AD279">
        <f>VLOOKUP(Z279,Nuclides!A:E,3,FALSE)</f>
        <v>40</v>
      </c>
      <c r="AE279" s="1">
        <f t="shared" si="19"/>
        <v>3484415.9999999995</v>
      </c>
      <c r="AF279" t="s">
        <v>1007</v>
      </c>
    </row>
    <row r="280" spans="2:32" x14ac:dyDescent="0.2">
      <c r="B280">
        <v>53135</v>
      </c>
      <c r="C280" s="1">
        <v>2.37E-5</v>
      </c>
      <c r="D280" t="str">
        <f>VLOOKUP(B280,Nuclides!A:E,5,FALSE)</f>
        <v>I135</v>
      </c>
      <c r="E280">
        <f>VLOOKUP(Sheet2!B280,Nuclides!A:E,2,FALSE)</f>
        <v>82</v>
      </c>
      <c r="F280">
        <f>VLOOKUP(B280,Nuclides!A:E,3,FALSE)</f>
        <v>53</v>
      </c>
      <c r="G280" s="1">
        <f t="shared" si="16"/>
        <v>295776000000</v>
      </c>
      <c r="H280">
        <f>VLOOKUP(B280,Nuclides!A:E,4,FALSE)</f>
        <v>23688</v>
      </c>
      <c r="J280" s="1">
        <v>52137</v>
      </c>
      <c r="K280" s="1">
        <v>2.72E-5</v>
      </c>
      <c r="L280" t="str">
        <f>VLOOKUP(J280,Nuclides!A:E,5,FALSE)</f>
        <v>Te137</v>
      </c>
      <c r="M280">
        <f>VLOOKUP(Sheet2!J280,Nuclides!A:E,2,FALSE)</f>
        <v>85</v>
      </c>
      <c r="N280">
        <f>VLOOKUP(J280,Nuclides!A:E,3,FALSE)</f>
        <v>52</v>
      </c>
      <c r="O280" s="1">
        <f t="shared" si="17"/>
        <v>339456000000</v>
      </c>
      <c r="R280" s="1">
        <v>41086</v>
      </c>
      <c r="S280" s="1">
        <v>7.1531000000000002E-7</v>
      </c>
      <c r="T280" t="str">
        <f>VLOOKUP(R280,Nuclides!A:E,5,FALSE)</f>
        <v>Nb86</v>
      </c>
      <c r="U280">
        <f>VLOOKUP(Sheet2!R280,Nuclides!A:E,2,FALSE)</f>
        <v>45</v>
      </c>
      <c r="V280">
        <f>VLOOKUP(R280,Nuclides!A:E,3,FALSE)</f>
        <v>41</v>
      </c>
      <c r="W280" s="1">
        <f t="shared" si="18"/>
        <v>8927068800</v>
      </c>
      <c r="X280" t="s">
        <v>1037</v>
      </c>
      <c r="Z280" s="1">
        <v>40091</v>
      </c>
      <c r="AA280" s="1">
        <v>1.3959999999999999E-10</v>
      </c>
      <c r="AB280" t="str">
        <f>VLOOKUP(Z280,Nuclides!A:E,5,FALSE)</f>
        <v>Zr91</v>
      </c>
      <c r="AC280">
        <f>VLOOKUP(Sheet2!Z280,Nuclides!A:E,2,FALSE)</f>
        <v>51</v>
      </c>
      <c r="AD280">
        <f>VLOOKUP(Z280,Nuclides!A:E,3,FALSE)</f>
        <v>40</v>
      </c>
      <c r="AE280" s="1">
        <f t="shared" si="19"/>
        <v>1742207.9999999998</v>
      </c>
      <c r="AF280" t="s">
        <v>1011</v>
      </c>
    </row>
    <row r="281" spans="2:32" x14ac:dyDescent="0.2">
      <c r="B281">
        <v>53136</v>
      </c>
      <c r="C281" s="1">
        <v>1.1399999999999999E-5</v>
      </c>
      <c r="D281" t="str">
        <f>VLOOKUP(B281,Nuclides!A:E,5,FALSE)</f>
        <v>I136</v>
      </c>
      <c r="E281">
        <f>VLOOKUP(Sheet2!B281,Nuclides!A:E,2,FALSE)</f>
        <v>83</v>
      </c>
      <c r="F281">
        <f>VLOOKUP(B281,Nuclides!A:E,3,FALSE)</f>
        <v>53</v>
      </c>
      <c r="G281" s="1">
        <f t="shared" si="16"/>
        <v>142272000000</v>
      </c>
      <c r="H281">
        <f>VLOOKUP(B281,Nuclides!A:E,4,FALSE)</f>
        <v>83.4</v>
      </c>
      <c r="J281" s="1">
        <v>52138</v>
      </c>
      <c r="K281" s="1">
        <v>1.04E-5</v>
      </c>
      <c r="L281" t="str">
        <f>VLOOKUP(J281,Nuclides!A:E,5,FALSE)</f>
        <v>Te138</v>
      </c>
      <c r="M281">
        <f>VLOOKUP(Sheet2!J281,Nuclides!A:E,2,FALSE)</f>
        <v>86</v>
      </c>
      <c r="N281">
        <f>VLOOKUP(J281,Nuclides!A:E,3,FALSE)</f>
        <v>52</v>
      </c>
      <c r="O281" s="1">
        <f t="shared" si="17"/>
        <v>129792000000</v>
      </c>
      <c r="R281" s="1">
        <v>41087</v>
      </c>
      <c r="S281" s="1">
        <v>1.42252E-7</v>
      </c>
      <c r="T281" t="str">
        <f>VLOOKUP(R281,Nuclides!A:E,5,FALSE)</f>
        <v>Nb87</v>
      </c>
      <c r="U281">
        <f>VLOOKUP(Sheet2!R281,Nuclides!A:E,2,FALSE)</f>
        <v>46</v>
      </c>
      <c r="V281">
        <f>VLOOKUP(R281,Nuclides!A:E,3,FALSE)</f>
        <v>41</v>
      </c>
      <c r="W281" s="1">
        <f t="shared" si="18"/>
        <v>1775304960</v>
      </c>
      <c r="X281" t="s">
        <v>1038</v>
      </c>
      <c r="Z281" s="1">
        <v>40092</v>
      </c>
      <c r="AA281" s="1">
        <v>9.0739999999999999E-10</v>
      </c>
      <c r="AB281" t="str">
        <f>VLOOKUP(Z281,Nuclides!A:E,5,FALSE)</f>
        <v>Zr92</v>
      </c>
      <c r="AC281">
        <f>VLOOKUP(Sheet2!Z281,Nuclides!A:E,2,FALSE)</f>
        <v>52</v>
      </c>
      <c r="AD281">
        <f>VLOOKUP(Z281,Nuclides!A:E,3,FALSE)</f>
        <v>40</v>
      </c>
      <c r="AE281" s="1">
        <f t="shared" si="19"/>
        <v>11324352</v>
      </c>
      <c r="AF281" t="s">
        <v>1012</v>
      </c>
    </row>
    <row r="282" spans="2:32" x14ac:dyDescent="0.2">
      <c r="B282">
        <v>53137</v>
      </c>
      <c r="C282" s="1">
        <v>1.19E-5</v>
      </c>
      <c r="D282" t="str">
        <f>VLOOKUP(B282,Nuclides!A:E,5,FALSE)</f>
        <v>I137</v>
      </c>
      <c r="E282">
        <f>VLOOKUP(Sheet2!B282,Nuclides!A:E,2,FALSE)</f>
        <v>84</v>
      </c>
      <c r="F282">
        <f>VLOOKUP(B282,Nuclides!A:E,3,FALSE)</f>
        <v>53</v>
      </c>
      <c r="G282" s="1">
        <f t="shared" si="16"/>
        <v>148512000000</v>
      </c>
      <c r="H282">
        <f>VLOOKUP(B282,Nuclides!A:E,4,FALSE)</f>
        <v>24.5</v>
      </c>
      <c r="J282" s="1">
        <v>53110</v>
      </c>
      <c r="K282" s="1">
        <v>2.3999999999999999E-6</v>
      </c>
      <c r="L282" t="str">
        <f>VLOOKUP(J282,Nuclides!A:E,5,FALSE)</f>
        <v>I110</v>
      </c>
      <c r="M282">
        <f>VLOOKUP(Sheet2!J282,Nuclides!A:E,2,FALSE)</f>
        <v>57</v>
      </c>
      <c r="N282">
        <f>VLOOKUP(J282,Nuclides!A:E,3,FALSE)</f>
        <v>53</v>
      </c>
      <c r="O282" s="1">
        <f t="shared" si="17"/>
        <v>29952000000</v>
      </c>
      <c r="R282" s="1">
        <v>41088</v>
      </c>
      <c r="S282" s="1">
        <v>3.0711999999999997E-8</v>
      </c>
      <c r="T282" t="str">
        <f>VLOOKUP(R282,Nuclides!A:E,5,FALSE)</f>
        <v>Nb88</v>
      </c>
      <c r="U282">
        <f>VLOOKUP(Sheet2!R282,Nuclides!A:E,2,FALSE)</f>
        <v>47</v>
      </c>
      <c r="V282">
        <f>VLOOKUP(R282,Nuclides!A:E,3,FALSE)</f>
        <v>41</v>
      </c>
      <c r="W282" s="1">
        <f t="shared" si="18"/>
        <v>383285759.99999994</v>
      </c>
      <c r="X282" t="s">
        <v>1039</v>
      </c>
      <c r="Z282" s="1">
        <v>40093</v>
      </c>
      <c r="AA282" s="1">
        <v>6.631E-9</v>
      </c>
      <c r="AB282" t="str">
        <f>VLOOKUP(Z282,Nuclides!A:E,5,FALSE)</f>
        <v>Zr93</v>
      </c>
      <c r="AC282">
        <f>VLOOKUP(Sheet2!Z282,Nuclides!A:E,2,FALSE)</f>
        <v>53</v>
      </c>
      <c r="AD282">
        <f>VLOOKUP(Z282,Nuclides!A:E,3,FALSE)</f>
        <v>40</v>
      </c>
      <c r="AE282" s="1">
        <f t="shared" si="19"/>
        <v>82754880</v>
      </c>
      <c r="AF282" t="s">
        <v>1013</v>
      </c>
    </row>
    <row r="283" spans="2:32" x14ac:dyDescent="0.2">
      <c r="B283">
        <v>53138</v>
      </c>
      <c r="C283" s="1">
        <v>4.0999999999999997E-6</v>
      </c>
      <c r="D283" t="str">
        <f>VLOOKUP(B283,Nuclides!A:E,5,FALSE)</f>
        <v>I138</v>
      </c>
      <c r="E283">
        <f>VLOOKUP(Sheet2!B283,Nuclides!A:E,2,FALSE)</f>
        <v>85</v>
      </c>
      <c r="F283">
        <f>VLOOKUP(B283,Nuclides!A:E,3,FALSE)</f>
        <v>53</v>
      </c>
      <c r="G283" s="1">
        <f t="shared" si="16"/>
        <v>51168000000</v>
      </c>
      <c r="H283">
        <f>VLOOKUP(B283,Nuclides!A:E,4,FALSE)</f>
        <v>6.23</v>
      </c>
      <c r="J283" s="1">
        <v>53111</v>
      </c>
      <c r="K283" s="1">
        <v>3.9999999999999998E-7</v>
      </c>
      <c r="L283" t="str">
        <f>VLOOKUP(J283,Nuclides!A:E,5,FALSE)</f>
        <v>I111</v>
      </c>
      <c r="M283">
        <f>VLOOKUP(Sheet2!J283,Nuclides!A:E,2,FALSE)</f>
        <v>58</v>
      </c>
      <c r="N283">
        <f>VLOOKUP(J283,Nuclides!A:E,3,FALSE)</f>
        <v>53</v>
      </c>
      <c r="O283" s="1">
        <f t="shared" si="17"/>
        <v>4992000000</v>
      </c>
      <c r="R283" s="1">
        <v>41089</v>
      </c>
      <c r="S283" s="1">
        <v>1.10284E-8</v>
      </c>
      <c r="T283" t="str">
        <f>VLOOKUP(R283,Nuclides!A:E,5,FALSE)</f>
        <v>Nb89</v>
      </c>
      <c r="U283">
        <f>VLOOKUP(Sheet2!R283,Nuclides!A:E,2,FALSE)</f>
        <v>48</v>
      </c>
      <c r="V283">
        <f>VLOOKUP(R283,Nuclides!A:E,3,FALSE)</f>
        <v>41</v>
      </c>
      <c r="W283" s="1">
        <f t="shared" si="18"/>
        <v>137634432</v>
      </c>
      <c r="X283" t="s">
        <v>1040</v>
      </c>
      <c r="Z283" s="1">
        <v>40094</v>
      </c>
      <c r="AA283" s="1">
        <v>6.4215999999999997E-8</v>
      </c>
      <c r="AB283" t="str">
        <f>VLOOKUP(Z283,Nuclides!A:E,5,FALSE)</f>
        <v>Zr94</v>
      </c>
      <c r="AC283">
        <f>VLOOKUP(Sheet2!Z283,Nuclides!A:E,2,FALSE)</f>
        <v>54</v>
      </c>
      <c r="AD283">
        <f>VLOOKUP(Z283,Nuclides!A:E,3,FALSE)</f>
        <v>40</v>
      </c>
      <c r="AE283" s="1">
        <f t="shared" si="19"/>
        <v>801415680</v>
      </c>
      <c r="AF283" t="s">
        <v>1014</v>
      </c>
    </row>
    <row r="284" spans="2:32" x14ac:dyDescent="0.2">
      <c r="B284">
        <v>53139</v>
      </c>
      <c r="C284" s="1">
        <v>2.9000000000000002E-6</v>
      </c>
      <c r="D284" t="str">
        <f>VLOOKUP(B284,Nuclides!A:E,5,FALSE)</f>
        <v>I139</v>
      </c>
      <c r="E284">
        <f>VLOOKUP(Sheet2!B284,Nuclides!A:E,2,FALSE)</f>
        <v>86</v>
      </c>
      <c r="F284">
        <f>VLOOKUP(B284,Nuclides!A:E,3,FALSE)</f>
        <v>53</v>
      </c>
      <c r="G284" s="1">
        <f t="shared" si="16"/>
        <v>36192000000</v>
      </c>
      <c r="H284">
        <f>VLOOKUP(B284,Nuclides!A:E,4,FALSE)</f>
        <v>2.2799999999999998</v>
      </c>
      <c r="J284" s="1">
        <v>53112</v>
      </c>
      <c r="K284" s="1">
        <v>1.9999999999999999E-7</v>
      </c>
      <c r="L284" t="str">
        <f>VLOOKUP(J284,Nuclides!A:E,5,FALSE)</f>
        <v>I112</v>
      </c>
      <c r="M284">
        <f>VLOOKUP(Sheet2!J284,Nuclides!A:E,2,FALSE)</f>
        <v>59</v>
      </c>
      <c r="N284">
        <f>VLOOKUP(J284,Nuclides!A:E,3,FALSE)</f>
        <v>53</v>
      </c>
      <c r="O284" s="1">
        <f t="shared" si="17"/>
        <v>2496000000</v>
      </c>
      <c r="R284" s="1">
        <v>41090</v>
      </c>
      <c r="S284" s="1">
        <v>2.9316000000000001E-9</v>
      </c>
      <c r="T284" t="str">
        <f>VLOOKUP(R284,Nuclides!A:E,5,FALSE)</f>
        <v>Nb90</v>
      </c>
      <c r="U284">
        <f>VLOOKUP(Sheet2!R284,Nuclides!A:E,2,FALSE)</f>
        <v>49</v>
      </c>
      <c r="V284">
        <f>VLOOKUP(R284,Nuclides!A:E,3,FALSE)</f>
        <v>41</v>
      </c>
      <c r="W284" s="1">
        <f t="shared" si="18"/>
        <v>36586368</v>
      </c>
      <c r="X284" t="s">
        <v>1041</v>
      </c>
      <c r="Z284" s="1">
        <v>40095</v>
      </c>
      <c r="AA284" s="1">
        <v>3.2059100000000002E-7</v>
      </c>
      <c r="AB284" t="str">
        <f>VLOOKUP(Z284,Nuclides!A:E,5,FALSE)</f>
        <v>Zr95</v>
      </c>
      <c r="AC284">
        <f>VLOOKUP(Sheet2!Z284,Nuclides!A:E,2,FALSE)</f>
        <v>55</v>
      </c>
      <c r="AD284">
        <f>VLOOKUP(Z284,Nuclides!A:E,3,FALSE)</f>
        <v>40</v>
      </c>
      <c r="AE284" s="1">
        <f t="shared" si="19"/>
        <v>4000975680</v>
      </c>
      <c r="AF284" t="s">
        <v>1015</v>
      </c>
    </row>
    <row r="285" spans="2:32" x14ac:dyDescent="0.2">
      <c r="B285">
        <v>53140</v>
      </c>
      <c r="C285" s="1">
        <v>1.3999999999999999E-6</v>
      </c>
      <c r="D285" t="str">
        <f>VLOOKUP(B285,Nuclides!A:E,5,FALSE)</f>
        <v>I140</v>
      </c>
      <c r="E285">
        <f>VLOOKUP(Sheet2!B285,Nuclides!A:E,2,FALSE)</f>
        <v>87</v>
      </c>
      <c r="F285">
        <f>VLOOKUP(B285,Nuclides!A:E,3,FALSE)</f>
        <v>53</v>
      </c>
      <c r="G285" s="1">
        <f t="shared" si="16"/>
        <v>17472000000</v>
      </c>
      <c r="H285">
        <f>VLOOKUP(B285,Nuclides!A:E,4,FALSE)</f>
        <v>0.86</v>
      </c>
      <c r="J285" s="1">
        <v>53130</v>
      </c>
      <c r="K285" s="1">
        <v>3.9999999999999998E-7</v>
      </c>
      <c r="L285" t="str">
        <f>VLOOKUP(J285,Nuclides!A:E,5,FALSE)</f>
        <v>I130</v>
      </c>
      <c r="M285">
        <f>VLOOKUP(Sheet2!J285,Nuclides!A:E,2,FALSE)</f>
        <v>77</v>
      </c>
      <c r="N285">
        <f>VLOOKUP(J285,Nuclides!A:E,3,FALSE)</f>
        <v>53</v>
      </c>
      <c r="O285" s="1">
        <f t="shared" si="17"/>
        <v>4992000000</v>
      </c>
      <c r="R285" s="1">
        <v>41091</v>
      </c>
      <c r="S285" s="1">
        <v>1.047E-9</v>
      </c>
      <c r="T285" t="str">
        <f>VLOOKUP(R285,Nuclides!A:E,5,FALSE)</f>
        <v>Nb91</v>
      </c>
      <c r="U285">
        <f>VLOOKUP(Sheet2!R285,Nuclides!A:E,2,FALSE)</f>
        <v>50</v>
      </c>
      <c r="V285">
        <f>VLOOKUP(R285,Nuclides!A:E,3,FALSE)</f>
        <v>41</v>
      </c>
      <c r="W285" s="1">
        <f t="shared" si="18"/>
        <v>13066560</v>
      </c>
      <c r="X285" t="s">
        <v>1042</v>
      </c>
      <c r="Z285" s="1">
        <v>40096</v>
      </c>
      <c r="AA285" s="1">
        <v>1.9395299999999998E-6</v>
      </c>
      <c r="AB285" t="str">
        <f>VLOOKUP(Z285,Nuclides!A:E,5,FALSE)</f>
        <v>Zr96</v>
      </c>
      <c r="AC285">
        <f>VLOOKUP(Sheet2!Z285,Nuclides!A:E,2,FALSE)</f>
        <v>56</v>
      </c>
      <c r="AD285">
        <f>VLOOKUP(Z285,Nuclides!A:E,3,FALSE)</f>
        <v>40</v>
      </c>
      <c r="AE285" s="1">
        <f t="shared" si="19"/>
        <v>24205334399.999996</v>
      </c>
      <c r="AF285" t="s">
        <v>1016</v>
      </c>
    </row>
    <row r="286" spans="2:32" x14ac:dyDescent="0.2">
      <c r="B286">
        <v>53141</v>
      </c>
      <c r="C286" s="1">
        <v>3.9999999999999998E-7</v>
      </c>
      <c r="D286" t="str">
        <f>VLOOKUP(B286,Nuclides!A:E,5,FALSE)</f>
        <v>I141</v>
      </c>
      <c r="E286">
        <f>VLOOKUP(Sheet2!B286,Nuclides!A:E,2,FALSE)</f>
        <v>88</v>
      </c>
      <c r="F286">
        <f>VLOOKUP(B286,Nuclides!A:E,3,FALSE)</f>
        <v>53</v>
      </c>
      <c r="G286" s="1">
        <f t="shared" si="16"/>
        <v>4992000000</v>
      </c>
      <c r="H286">
        <f>VLOOKUP(B286,Nuclides!A:E,4,FALSE)</f>
        <v>0.43</v>
      </c>
      <c r="J286" s="1">
        <v>53131</v>
      </c>
      <c r="K286" s="1">
        <v>5.9999999999999997E-7</v>
      </c>
      <c r="L286" t="str">
        <f>VLOOKUP(J286,Nuclides!A:E,5,FALSE)</f>
        <v>I131</v>
      </c>
      <c r="M286">
        <f>VLOOKUP(Sheet2!J286,Nuclides!A:E,2,FALSE)</f>
        <v>78</v>
      </c>
      <c r="N286">
        <f>VLOOKUP(J286,Nuclides!A:E,3,FALSE)</f>
        <v>53</v>
      </c>
      <c r="O286" s="1">
        <f t="shared" si="17"/>
        <v>7488000000</v>
      </c>
      <c r="R286" s="1">
        <v>41092</v>
      </c>
      <c r="S286" s="1">
        <v>5.5839999999999995E-10</v>
      </c>
      <c r="T286" t="str">
        <f>VLOOKUP(R286,Nuclides!A:E,5,FALSE)</f>
        <v>Nb92</v>
      </c>
      <c r="U286">
        <f>VLOOKUP(Sheet2!R286,Nuclides!A:E,2,FALSE)</f>
        <v>51</v>
      </c>
      <c r="V286">
        <f>VLOOKUP(R286,Nuclides!A:E,3,FALSE)</f>
        <v>41</v>
      </c>
      <c r="W286" s="1">
        <f t="shared" si="18"/>
        <v>6968831.9999999991</v>
      </c>
      <c r="X286" t="s">
        <v>1043</v>
      </c>
      <c r="Z286" s="1">
        <v>40097</v>
      </c>
      <c r="AA286" s="1">
        <v>5.0529600000000003E-6</v>
      </c>
      <c r="AB286" t="str">
        <f>VLOOKUP(Z286,Nuclides!A:E,5,FALSE)</f>
        <v>Zr97</v>
      </c>
      <c r="AC286">
        <f>VLOOKUP(Sheet2!Z286,Nuclides!A:E,2,FALSE)</f>
        <v>57</v>
      </c>
      <c r="AD286">
        <f>VLOOKUP(Z286,Nuclides!A:E,3,FALSE)</f>
        <v>40</v>
      </c>
      <c r="AE286" s="1">
        <f t="shared" si="19"/>
        <v>63060940800.000008</v>
      </c>
      <c r="AF286" t="s">
        <v>1017</v>
      </c>
    </row>
    <row r="287" spans="2:32" x14ac:dyDescent="0.2">
      <c r="B287">
        <v>53142</v>
      </c>
      <c r="C287" s="1">
        <v>9.9999999999999995E-8</v>
      </c>
      <c r="D287" t="str">
        <f>VLOOKUP(B287,Nuclides!A:E,5,FALSE)</f>
        <v>I142</v>
      </c>
      <c r="E287">
        <f>VLOOKUP(Sheet2!B287,Nuclides!A:E,2,FALSE)</f>
        <v>89</v>
      </c>
      <c r="F287">
        <f>VLOOKUP(B287,Nuclides!A:E,3,FALSE)</f>
        <v>53</v>
      </c>
      <c r="G287" s="1">
        <f t="shared" si="16"/>
        <v>1248000000</v>
      </c>
      <c r="H287">
        <f>VLOOKUP(B287,Nuclides!A:E,4,FALSE)</f>
        <v>0.222</v>
      </c>
      <c r="J287" s="1">
        <v>53132</v>
      </c>
      <c r="K287" s="1">
        <v>5.9999999999999997E-7</v>
      </c>
      <c r="L287" t="str">
        <f>VLOOKUP(J287,Nuclides!A:E,5,FALSE)</f>
        <v>I132</v>
      </c>
      <c r="M287">
        <f>VLOOKUP(Sheet2!J287,Nuclides!A:E,2,FALSE)</f>
        <v>79</v>
      </c>
      <c r="N287">
        <f>VLOOKUP(J287,Nuclides!A:E,3,FALSE)</f>
        <v>53</v>
      </c>
      <c r="O287" s="1">
        <f t="shared" si="17"/>
        <v>7488000000</v>
      </c>
      <c r="R287" s="1">
        <v>41093</v>
      </c>
      <c r="S287" s="1">
        <v>1.047E-9</v>
      </c>
      <c r="T287" t="str">
        <f>VLOOKUP(R287,Nuclides!A:E,5,FALSE)</f>
        <v>Nb93</v>
      </c>
      <c r="U287">
        <f>VLOOKUP(Sheet2!R287,Nuclides!A:E,2,FALSE)</f>
        <v>52</v>
      </c>
      <c r="V287">
        <f>VLOOKUP(R287,Nuclides!A:E,3,FALSE)</f>
        <v>41</v>
      </c>
      <c r="W287" s="1">
        <f t="shared" si="18"/>
        <v>13066560</v>
      </c>
      <c r="X287" t="s">
        <v>1044</v>
      </c>
      <c r="Z287" s="1">
        <v>40098</v>
      </c>
      <c r="AA287" s="1">
        <v>1.28967E-5</v>
      </c>
      <c r="AB287" t="str">
        <f>VLOOKUP(Z287,Nuclides!A:E,5,FALSE)</f>
        <v>Zr98</v>
      </c>
      <c r="AC287">
        <f>VLOOKUP(Sheet2!Z287,Nuclides!A:E,2,FALSE)</f>
        <v>58</v>
      </c>
      <c r="AD287">
        <f>VLOOKUP(Z287,Nuclides!A:E,3,FALSE)</f>
        <v>40</v>
      </c>
      <c r="AE287" s="1">
        <f t="shared" si="19"/>
        <v>160950816000</v>
      </c>
      <c r="AF287" t="s">
        <v>1018</v>
      </c>
    </row>
    <row r="288" spans="2:32" x14ac:dyDescent="0.2">
      <c r="B288">
        <v>54130</v>
      </c>
      <c r="C288" s="1">
        <v>9.9999999999999995E-8</v>
      </c>
      <c r="D288" t="str">
        <f>VLOOKUP(B288,Nuclides!A:E,5,FALSE)</f>
        <v>Xe130</v>
      </c>
      <c r="E288">
        <f>VLOOKUP(Sheet2!B288,Nuclides!A:E,2,FALSE)</f>
        <v>76</v>
      </c>
      <c r="F288">
        <f>VLOOKUP(B288,Nuclides!A:E,3,FALSE)</f>
        <v>54</v>
      </c>
      <c r="G288" s="1">
        <f t="shared" si="16"/>
        <v>1248000000</v>
      </c>
      <c r="H288" t="str">
        <f>VLOOKUP(B288,Nuclides!A:E,4,FALSE)</f>
        <v>STABLE</v>
      </c>
      <c r="J288" s="1">
        <v>53133</v>
      </c>
      <c r="K288" s="1">
        <v>8.1999999999999994E-6</v>
      </c>
      <c r="L288" t="str">
        <f>VLOOKUP(J288,Nuclides!A:E,5,FALSE)</f>
        <v>I133</v>
      </c>
      <c r="M288">
        <f>VLOOKUP(Sheet2!J288,Nuclides!A:E,2,FALSE)</f>
        <v>80</v>
      </c>
      <c r="N288">
        <f>VLOOKUP(J288,Nuclides!A:E,3,FALSE)</f>
        <v>53</v>
      </c>
      <c r="O288" s="1">
        <f t="shared" si="17"/>
        <v>102336000000</v>
      </c>
      <c r="R288" s="1">
        <v>41094</v>
      </c>
      <c r="S288" s="1">
        <v>9.4928000000000001E-9</v>
      </c>
      <c r="T288" t="str">
        <f>VLOOKUP(R288,Nuclides!A:E,5,FALSE)</f>
        <v>Nb94</v>
      </c>
      <c r="U288">
        <f>VLOOKUP(Sheet2!R288,Nuclides!A:E,2,FALSE)</f>
        <v>53</v>
      </c>
      <c r="V288">
        <f>VLOOKUP(R288,Nuclides!A:E,3,FALSE)</f>
        <v>41</v>
      </c>
      <c r="W288" s="1">
        <f t="shared" si="18"/>
        <v>118470144</v>
      </c>
      <c r="X288" t="s">
        <v>1045</v>
      </c>
      <c r="Z288" s="1">
        <v>40099</v>
      </c>
      <c r="AA288" s="1">
        <v>1.52091E-5</v>
      </c>
      <c r="AB288" t="str">
        <f>VLOOKUP(Z288,Nuclides!A:E,5,FALSE)</f>
        <v>Zr99</v>
      </c>
      <c r="AC288">
        <f>VLOOKUP(Sheet2!Z288,Nuclides!A:E,2,FALSE)</f>
        <v>59</v>
      </c>
      <c r="AD288">
        <f>VLOOKUP(Z288,Nuclides!A:E,3,FALSE)</f>
        <v>40</v>
      </c>
      <c r="AE288" s="1">
        <f t="shared" si="19"/>
        <v>189809568000</v>
      </c>
      <c r="AF288" t="s">
        <v>1019</v>
      </c>
    </row>
    <row r="289" spans="2:32" x14ac:dyDescent="0.2">
      <c r="B289">
        <v>54131</v>
      </c>
      <c r="C289" s="1">
        <v>9.9999999999999995E-8</v>
      </c>
      <c r="D289" t="str">
        <f>VLOOKUP(B289,Nuclides!A:E,5,FALSE)</f>
        <v>Xe131</v>
      </c>
      <c r="E289">
        <f>VLOOKUP(Sheet2!B289,Nuclides!A:E,2,FALSE)</f>
        <v>77</v>
      </c>
      <c r="F289">
        <f>VLOOKUP(B289,Nuclides!A:E,3,FALSE)</f>
        <v>54</v>
      </c>
      <c r="G289" s="1">
        <f t="shared" si="16"/>
        <v>1248000000</v>
      </c>
      <c r="H289" t="str">
        <f>VLOOKUP(B289,Nuclides!A:E,4,FALSE)</f>
        <v>STABLE</v>
      </c>
      <c r="J289" s="1">
        <v>53134</v>
      </c>
      <c r="K289" s="1">
        <v>1.8499999999999999E-5</v>
      </c>
      <c r="L289" t="str">
        <f>VLOOKUP(J289,Nuclides!A:E,5,FALSE)</f>
        <v>I134</v>
      </c>
      <c r="M289">
        <f>VLOOKUP(Sheet2!J289,Nuclides!A:E,2,FALSE)</f>
        <v>81</v>
      </c>
      <c r="N289">
        <f>VLOOKUP(J289,Nuclides!A:E,3,FALSE)</f>
        <v>53</v>
      </c>
      <c r="O289" s="1">
        <f t="shared" si="17"/>
        <v>230880000000</v>
      </c>
      <c r="R289" s="1">
        <v>41095</v>
      </c>
      <c r="S289" s="1">
        <v>5.4444000000000001E-8</v>
      </c>
      <c r="T289" t="str">
        <f>VLOOKUP(R289,Nuclides!A:E,5,FALSE)</f>
        <v>Nb95</v>
      </c>
      <c r="U289">
        <f>VLOOKUP(Sheet2!R289,Nuclides!A:E,2,FALSE)</f>
        <v>54</v>
      </c>
      <c r="V289">
        <f>VLOOKUP(R289,Nuclides!A:E,3,FALSE)</f>
        <v>41</v>
      </c>
      <c r="W289" s="1">
        <f t="shared" si="18"/>
        <v>679461120</v>
      </c>
      <c r="X289" t="s">
        <v>1046</v>
      </c>
      <c r="Z289" s="1">
        <v>40100</v>
      </c>
      <c r="AA289" s="1">
        <v>2.7160200000000001E-5</v>
      </c>
      <c r="AB289" t="str">
        <f>VLOOKUP(Z289,Nuclides!A:E,5,FALSE)</f>
        <v>Zr100</v>
      </c>
      <c r="AC289">
        <f>VLOOKUP(Sheet2!Z289,Nuclides!A:E,2,FALSE)</f>
        <v>60</v>
      </c>
      <c r="AD289">
        <f>VLOOKUP(Z289,Nuclides!A:E,3,FALSE)</f>
        <v>40</v>
      </c>
      <c r="AE289" s="1">
        <f t="shared" si="19"/>
        <v>338959296000</v>
      </c>
      <c r="AF289" t="s">
        <v>1020</v>
      </c>
    </row>
    <row r="290" spans="2:32" x14ac:dyDescent="0.2">
      <c r="B290">
        <v>54132</v>
      </c>
      <c r="C290" s="1">
        <v>1.9999999999999999E-7</v>
      </c>
      <c r="D290" t="str">
        <f>VLOOKUP(B290,Nuclides!A:E,5,FALSE)</f>
        <v>Xe132</v>
      </c>
      <c r="E290">
        <f>VLOOKUP(Sheet2!B290,Nuclides!A:E,2,FALSE)</f>
        <v>78</v>
      </c>
      <c r="F290">
        <f>VLOOKUP(B290,Nuclides!A:E,3,FALSE)</f>
        <v>54</v>
      </c>
      <c r="G290" s="1">
        <f t="shared" si="16"/>
        <v>2496000000</v>
      </c>
      <c r="H290" t="str">
        <f>VLOOKUP(B290,Nuclides!A:E,4,FALSE)</f>
        <v>STABLE</v>
      </c>
      <c r="J290" s="1">
        <v>53135</v>
      </c>
      <c r="K290" s="1">
        <v>4.9100000000000001E-5</v>
      </c>
      <c r="L290" t="str">
        <f>VLOOKUP(J290,Nuclides!A:E,5,FALSE)</f>
        <v>I135</v>
      </c>
      <c r="M290">
        <f>VLOOKUP(Sheet2!J290,Nuclides!A:E,2,FALSE)</f>
        <v>82</v>
      </c>
      <c r="N290">
        <f>VLOOKUP(J290,Nuclides!A:E,3,FALSE)</f>
        <v>53</v>
      </c>
      <c r="O290" s="1">
        <f t="shared" si="17"/>
        <v>612768000000</v>
      </c>
      <c r="R290" s="1">
        <v>41096</v>
      </c>
      <c r="S290" s="1">
        <v>2.5281600000000001E-7</v>
      </c>
      <c r="T290" t="str">
        <f>VLOOKUP(R290,Nuclides!A:E,5,FALSE)</f>
        <v>Nb96</v>
      </c>
      <c r="U290">
        <f>VLOOKUP(Sheet2!R290,Nuclides!A:E,2,FALSE)</f>
        <v>55</v>
      </c>
      <c r="V290">
        <f>VLOOKUP(R290,Nuclides!A:E,3,FALSE)</f>
        <v>41</v>
      </c>
      <c r="W290" s="1">
        <f t="shared" si="18"/>
        <v>3155143680</v>
      </c>
      <c r="X290" t="s">
        <v>1047</v>
      </c>
      <c r="Z290" s="1">
        <v>40101</v>
      </c>
      <c r="AA290" s="1">
        <v>1.9953300000000001E-5</v>
      </c>
      <c r="AB290" t="str">
        <f>VLOOKUP(Z290,Nuclides!A:E,5,FALSE)</f>
        <v>Zr101</v>
      </c>
      <c r="AC290">
        <f>VLOOKUP(Sheet2!Z290,Nuclides!A:E,2,FALSE)</f>
        <v>61</v>
      </c>
      <c r="AD290">
        <f>VLOOKUP(Z290,Nuclides!A:E,3,FALSE)</f>
        <v>40</v>
      </c>
      <c r="AE290" s="1">
        <f t="shared" si="19"/>
        <v>249017184000</v>
      </c>
      <c r="AF290" t="s">
        <v>1021</v>
      </c>
    </row>
    <row r="291" spans="2:32" x14ac:dyDescent="0.2">
      <c r="B291">
        <v>54133</v>
      </c>
      <c r="C291" s="1">
        <v>7.9999999999999996E-7</v>
      </c>
      <c r="D291" t="str">
        <f>VLOOKUP(B291,Nuclides!A:E,5,FALSE)</f>
        <v>Xe133</v>
      </c>
      <c r="E291">
        <f>VLOOKUP(Sheet2!B291,Nuclides!A:E,2,FALSE)</f>
        <v>79</v>
      </c>
      <c r="F291">
        <f>VLOOKUP(B291,Nuclides!A:E,3,FALSE)</f>
        <v>54</v>
      </c>
      <c r="G291" s="1">
        <f t="shared" si="16"/>
        <v>9984000000</v>
      </c>
      <c r="H291">
        <f>VLOOKUP(B291,Nuclides!A:E,4,FALSE)</f>
        <v>453383.99999999901</v>
      </c>
      <c r="J291" s="1">
        <v>53136</v>
      </c>
      <c r="K291" s="1">
        <v>6.3999999999999997E-5</v>
      </c>
      <c r="L291" t="str">
        <f>VLOOKUP(J291,Nuclides!A:E,5,FALSE)</f>
        <v>I136</v>
      </c>
      <c r="M291">
        <f>VLOOKUP(Sheet2!J291,Nuclides!A:E,2,FALSE)</f>
        <v>83</v>
      </c>
      <c r="N291">
        <f>VLOOKUP(J291,Nuclides!A:E,3,FALSE)</f>
        <v>53</v>
      </c>
      <c r="O291" s="1">
        <f t="shared" si="17"/>
        <v>798720000000</v>
      </c>
      <c r="R291" s="1">
        <v>41097</v>
      </c>
      <c r="S291" s="1">
        <v>1.08365E-6</v>
      </c>
      <c r="T291" t="str">
        <f>VLOOKUP(R291,Nuclides!A:E,5,FALSE)</f>
        <v>Nb97</v>
      </c>
      <c r="U291">
        <f>VLOOKUP(Sheet2!R291,Nuclides!A:E,2,FALSE)</f>
        <v>56</v>
      </c>
      <c r="V291">
        <f>VLOOKUP(R291,Nuclides!A:E,3,FALSE)</f>
        <v>41</v>
      </c>
      <c r="W291" s="1">
        <f t="shared" si="18"/>
        <v>13523952000</v>
      </c>
      <c r="X291" t="s">
        <v>1048</v>
      </c>
      <c r="Z291" s="1">
        <v>40102</v>
      </c>
      <c r="AA291" s="1">
        <v>1.7580100000000001E-5</v>
      </c>
      <c r="AB291" t="str">
        <f>VLOOKUP(Z291,Nuclides!A:E,5,FALSE)</f>
        <v>Zr102</v>
      </c>
      <c r="AC291">
        <f>VLOOKUP(Sheet2!Z291,Nuclides!A:E,2,FALSE)</f>
        <v>62</v>
      </c>
      <c r="AD291">
        <f>VLOOKUP(Z291,Nuclides!A:E,3,FALSE)</f>
        <v>40</v>
      </c>
      <c r="AE291" s="1">
        <f t="shared" si="19"/>
        <v>219399648000.00003</v>
      </c>
      <c r="AF291" t="s">
        <v>1022</v>
      </c>
    </row>
    <row r="292" spans="2:32" x14ac:dyDescent="0.2">
      <c r="B292">
        <v>54134</v>
      </c>
      <c r="C292" s="1">
        <v>4.5000000000000001E-6</v>
      </c>
      <c r="D292" t="str">
        <f>VLOOKUP(B292,Nuclides!A:E,5,FALSE)</f>
        <v>Xe134</v>
      </c>
      <c r="E292">
        <f>VLOOKUP(Sheet2!B292,Nuclides!A:E,2,FALSE)</f>
        <v>80</v>
      </c>
      <c r="F292">
        <f>VLOOKUP(B292,Nuclides!A:E,3,FALSE)</f>
        <v>54</v>
      </c>
      <c r="G292" s="1">
        <f t="shared" si="16"/>
        <v>56160000000</v>
      </c>
      <c r="H292">
        <f>VLOOKUP(B292,Nuclides!A:E,4,FALSE)</f>
        <v>1.8303407999999899E+30</v>
      </c>
      <c r="J292" s="1">
        <v>53137</v>
      </c>
      <c r="K292" s="1">
        <v>7.7799999999999994E-5</v>
      </c>
      <c r="L292" t="str">
        <f>VLOOKUP(J292,Nuclides!A:E,5,FALSE)</f>
        <v>I137</v>
      </c>
      <c r="M292">
        <f>VLOOKUP(Sheet2!J292,Nuclides!A:E,2,FALSE)</f>
        <v>84</v>
      </c>
      <c r="N292">
        <f>VLOOKUP(J292,Nuclides!A:E,3,FALSE)</f>
        <v>53</v>
      </c>
      <c r="O292" s="1">
        <f t="shared" si="17"/>
        <v>970943999999.99988</v>
      </c>
      <c r="R292" s="1">
        <v>41098</v>
      </c>
      <c r="S292" s="1">
        <v>3.5865299999999999E-6</v>
      </c>
      <c r="T292" t="str">
        <f>VLOOKUP(R292,Nuclides!A:E,5,FALSE)</f>
        <v>Nb98</v>
      </c>
      <c r="U292">
        <f>VLOOKUP(Sheet2!R292,Nuclides!A:E,2,FALSE)</f>
        <v>57</v>
      </c>
      <c r="V292">
        <f>VLOOKUP(R292,Nuclides!A:E,3,FALSE)</f>
        <v>41</v>
      </c>
      <c r="W292" s="1">
        <f t="shared" si="18"/>
        <v>44759894400</v>
      </c>
      <c r="X292" t="s">
        <v>1049</v>
      </c>
      <c r="Z292" s="1">
        <v>41084</v>
      </c>
      <c r="AA292" s="1">
        <v>8.6783699999999994E-6</v>
      </c>
      <c r="AB292" t="str">
        <f>VLOOKUP(Z292,Nuclides!A:E,5,FALSE)</f>
        <v>Nb84</v>
      </c>
      <c r="AC292">
        <f>VLOOKUP(Sheet2!Z292,Nuclides!A:E,2,FALSE)</f>
        <v>43</v>
      </c>
      <c r="AD292">
        <f>VLOOKUP(Z292,Nuclides!A:E,3,FALSE)</f>
        <v>41</v>
      </c>
      <c r="AE292" s="1">
        <f t="shared" si="19"/>
        <v>108306057599.99998</v>
      </c>
      <c r="AF292" t="s">
        <v>1035</v>
      </c>
    </row>
    <row r="293" spans="2:32" x14ac:dyDescent="0.2">
      <c r="B293">
        <v>54135</v>
      </c>
      <c r="C293" s="1">
        <v>8.1999999999999994E-6</v>
      </c>
      <c r="D293" t="str">
        <f>VLOOKUP(B293,Nuclides!A:E,5,FALSE)</f>
        <v>Xe135</v>
      </c>
      <c r="E293">
        <f>VLOOKUP(Sheet2!B293,Nuclides!A:E,2,FALSE)</f>
        <v>81</v>
      </c>
      <c r="F293">
        <f>VLOOKUP(B293,Nuclides!A:E,3,FALSE)</f>
        <v>54</v>
      </c>
      <c r="G293" s="1">
        <f t="shared" si="16"/>
        <v>102336000000</v>
      </c>
      <c r="H293">
        <f>VLOOKUP(B293,Nuclides!A:E,4,FALSE)</f>
        <v>32904</v>
      </c>
      <c r="J293" s="1">
        <v>53138</v>
      </c>
      <c r="K293" s="1">
        <v>5.0099999999999998E-5</v>
      </c>
      <c r="L293" t="str">
        <f>VLOOKUP(J293,Nuclides!A:E,5,FALSE)</f>
        <v>I138</v>
      </c>
      <c r="M293">
        <f>VLOOKUP(Sheet2!J293,Nuclides!A:E,2,FALSE)</f>
        <v>85</v>
      </c>
      <c r="N293">
        <f>VLOOKUP(J293,Nuclides!A:E,3,FALSE)</f>
        <v>53</v>
      </c>
      <c r="O293" s="1">
        <f t="shared" si="17"/>
        <v>625248000000</v>
      </c>
      <c r="R293" s="1">
        <v>41099</v>
      </c>
      <c r="S293" s="1">
        <v>1.1817100000000001E-5</v>
      </c>
      <c r="T293" t="str">
        <f>VLOOKUP(R293,Nuclides!A:E,5,FALSE)</f>
        <v>Nb99</v>
      </c>
      <c r="U293">
        <f>VLOOKUP(Sheet2!R293,Nuclides!A:E,2,FALSE)</f>
        <v>58</v>
      </c>
      <c r="V293">
        <f>VLOOKUP(R293,Nuclides!A:E,3,FALSE)</f>
        <v>41</v>
      </c>
      <c r="W293" s="1">
        <f t="shared" si="18"/>
        <v>147477408000</v>
      </c>
      <c r="X293" t="s">
        <v>1050</v>
      </c>
      <c r="Z293" s="1">
        <v>41085</v>
      </c>
      <c r="AA293" s="1">
        <v>6.61243E-6</v>
      </c>
      <c r="AB293" t="str">
        <f>VLOOKUP(Z293,Nuclides!A:E,5,FALSE)</f>
        <v>Nb85</v>
      </c>
      <c r="AC293">
        <f>VLOOKUP(Sheet2!Z293,Nuclides!A:E,2,FALSE)</f>
        <v>44</v>
      </c>
      <c r="AD293">
        <f>VLOOKUP(Z293,Nuclides!A:E,3,FALSE)</f>
        <v>41</v>
      </c>
      <c r="AE293" s="1">
        <f t="shared" si="19"/>
        <v>82523126400</v>
      </c>
      <c r="AF293" t="s">
        <v>1036</v>
      </c>
    </row>
    <row r="294" spans="2:32" x14ac:dyDescent="0.2">
      <c r="B294">
        <v>54136</v>
      </c>
      <c r="C294" s="1">
        <v>1.9899999999999999E-5</v>
      </c>
      <c r="D294" t="str">
        <f>VLOOKUP(B294,Nuclides!A:E,5,FALSE)</f>
        <v>Xe136</v>
      </c>
      <c r="E294">
        <f>VLOOKUP(Sheet2!B294,Nuclides!A:E,2,FALSE)</f>
        <v>82</v>
      </c>
      <c r="F294">
        <f>VLOOKUP(B294,Nuclides!A:E,3,FALSE)</f>
        <v>54</v>
      </c>
      <c r="G294" s="1">
        <f t="shared" si="16"/>
        <v>248352000000</v>
      </c>
      <c r="H294">
        <f>VLOOKUP(B294,Nuclides!A:E,4,FALSE)</f>
        <v>7.573824E+28</v>
      </c>
      <c r="J294" s="1">
        <v>53139</v>
      </c>
      <c r="K294" s="1">
        <v>3.3000000000000003E-5</v>
      </c>
      <c r="L294" t="str">
        <f>VLOOKUP(J294,Nuclides!A:E,5,FALSE)</f>
        <v>I139</v>
      </c>
      <c r="M294">
        <f>VLOOKUP(Sheet2!J294,Nuclides!A:E,2,FALSE)</f>
        <v>86</v>
      </c>
      <c r="N294">
        <f>VLOOKUP(J294,Nuclides!A:E,3,FALSE)</f>
        <v>53</v>
      </c>
      <c r="O294" s="1">
        <f t="shared" si="17"/>
        <v>411840000000.00006</v>
      </c>
      <c r="R294" s="1">
        <v>41100</v>
      </c>
      <c r="S294" s="1">
        <v>2.34096E-5</v>
      </c>
      <c r="T294" t="str">
        <f>VLOOKUP(R294,Nuclides!A:E,5,FALSE)</f>
        <v>Nb100</v>
      </c>
      <c r="U294">
        <f>VLOOKUP(Sheet2!R294,Nuclides!A:E,2,FALSE)</f>
        <v>59</v>
      </c>
      <c r="V294">
        <f>VLOOKUP(R294,Nuclides!A:E,3,FALSE)</f>
        <v>41</v>
      </c>
      <c r="W294" s="1">
        <f t="shared" si="18"/>
        <v>292151808000</v>
      </c>
      <c r="X294" t="s">
        <v>1051</v>
      </c>
      <c r="Z294" s="1">
        <v>41086</v>
      </c>
      <c r="AA294" s="1">
        <v>3.0097799999999998E-6</v>
      </c>
      <c r="AB294" t="str">
        <f>VLOOKUP(Z294,Nuclides!A:E,5,FALSE)</f>
        <v>Nb86</v>
      </c>
      <c r="AC294">
        <f>VLOOKUP(Sheet2!Z294,Nuclides!A:E,2,FALSE)</f>
        <v>45</v>
      </c>
      <c r="AD294">
        <f>VLOOKUP(Z294,Nuclides!A:E,3,FALSE)</f>
        <v>41</v>
      </c>
      <c r="AE294" s="1">
        <f t="shared" si="19"/>
        <v>37562054400</v>
      </c>
      <c r="AF294" t="s">
        <v>1037</v>
      </c>
    </row>
    <row r="295" spans="2:32" x14ac:dyDescent="0.2">
      <c r="B295">
        <v>54137</v>
      </c>
      <c r="C295" s="1">
        <v>1.3200000000000001E-5</v>
      </c>
      <c r="D295" t="str">
        <f>VLOOKUP(B295,Nuclides!A:E,5,FALSE)</f>
        <v>Xe137</v>
      </c>
      <c r="E295">
        <f>VLOOKUP(Sheet2!B295,Nuclides!A:E,2,FALSE)</f>
        <v>83</v>
      </c>
      <c r="F295">
        <f>VLOOKUP(B295,Nuclides!A:E,3,FALSE)</f>
        <v>54</v>
      </c>
      <c r="G295" s="1">
        <f t="shared" si="16"/>
        <v>164736000000</v>
      </c>
      <c r="H295">
        <f>VLOOKUP(B295,Nuclides!A:E,4,FALSE)</f>
        <v>229.08</v>
      </c>
      <c r="J295" s="1">
        <v>53140</v>
      </c>
      <c r="K295" s="1">
        <v>1.06E-5</v>
      </c>
      <c r="L295" t="str">
        <f>VLOOKUP(J295,Nuclides!A:E,5,FALSE)</f>
        <v>I140</v>
      </c>
      <c r="M295">
        <f>VLOOKUP(Sheet2!J295,Nuclides!A:E,2,FALSE)</f>
        <v>87</v>
      </c>
      <c r="N295">
        <f>VLOOKUP(J295,Nuclides!A:E,3,FALSE)</f>
        <v>53</v>
      </c>
      <c r="O295" s="1">
        <f t="shared" si="17"/>
        <v>132288000000</v>
      </c>
      <c r="R295" s="1">
        <v>41101</v>
      </c>
      <c r="S295" s="1">
        <v>4.60276E-5</v>
      </c>
      <c r="T295" t="str">
        <f>VLOOKUP(R295,Nuclides!A:E,5,FALSE)</f>
        <v>Nb101</v>
      </c>
      <c r="U295">
        <f>VLOOKUP(Sheet2!R295,Nuclides!A:E,2,FALSE)</f>
        <v>60</v>
      </c>
      <c r="V295">
        <f>VLOOKUP(R295,Nuclides!A:E,3,FALSE)</f>
        <v>41</v>
      </c>
      <c r="W295" s="1">
        <f t="shared" si="18"/>
        <v>574424448000</v>
      </c>
      <c r="X295" t="s">
        <v>1052</v>
      </c>
      <c r="Z295" s="1">
        <v>41087</v>
      </c>
      <c r="AA295" s="1">
        <v>7.1314700000000003E-7</v>
      </c>
      <c r="AB295" t="str">
        <f>VLOOKUP(Z295,Nuclides!A:E,5,FALSE)</f>
        <v>Nb87</v>
      </c>
      <c r="AC295">
        <f>VLOOKUP(Sheet2!Z295,Nuclides!A:E,2,FALSE)</f>
        <v>46</v>
      </c>
      <c r="AD295">
        <f>VLOOKUP(Z295,Nuclides!A:E,3,FALSE)</f>
        <v>41</v>
      </c>
      <c r="AE295" s="1">
        <f t="shared" si="19"/>
        <v>8900074560</v>
      </c>
      <c r="AF295" t="s">
        <v>1038</v>
      </c>
    </row>
    <row r="296" spans="2:32" x14ac:dyDescent="0.2">
      <c r="B296">
        <v>54138</v>
      </c>
      <c r="C296" s="1">
        <v>1.6699999999999999E-5</v>
      </c>
      <c r="D296" t="str">
        <f>VLOOKUP(B296,Nuclides!A:E,5,FALSE)</f>
        <v>Xe138</v>
      </c>
      <c r="E296">
        <f>VLOOKUP(Sheet2!B296,Nuclides!A:E,2,FALSE)</f>
        <v>84</v>
      </c>
      <c r="F296">
        <f>VLOOKUP(B296,Nuclides!A:E,3,FALSE)</f>
        <v>54</v>
      </c>
      <c r="G296" s="1">
        <f t="shared" si="16"/>
        <v>208416000000</v>
      </c>
      <c r="H296">
        <f>VLOOKUP(B296,Nuclides!A:E,4,FALSE)</f>
        <v>848.4</v>
      </c>
      <c r="J296" s="1">
        <v>53141</v>
      </c>
      <c r="K296" s="1">
        <v>3.4000000000000001E-6</v>
      </c>
      <c r="L296" t="str">
        <f>VLOOKUP(J296,Nuclides!A:E,5,FALSE)</f>
        <v>I141</v>
      </c>
      <c r="M296">
        <f>VLOOKUP(Sheet2!J296,Nuclides!A:E,2,FALSE)</f>
        <v>88</v>
      </c>
      <c r="N296">
        <f>VLOOKUP(J296,Nuclides!A:E,3,FALSE)</f>
        <v>53</v>
      </c>
      <c r="O296" s="1">
        <f t="shared" si="17"/>
        <v>42432000000</v>
      </c>
      <c r="R296" s="1">
        <v>41102</v>
      </c>
      <c r="S296" s="1">
        <v>4.4322E-5</v>
      </c>
      <c r="T296" t="str">
        <f>VLOOKUP(R296,Nuclides!A:E,5,FALSE)</f>
        <v>Nb102</v>
      </c>
      <c r="U296">
        <f>VLOOKUP(Sheet2!R296,Nuclides!A:E,2,FALSE)</f>
        <v>61</v>
      </c>
      <c r="V296">
        <f>VLOOKUP(R296,Nuclides!A:E,3,FALSE)</f>
        <v>41</v>
      </c>
      <c r="W296" s="1">
        <f t="shared" si="18"/>
        <v>553138560000</v>
      </c>
      <c r="X296" t="s">
        <v>1053</v>
      </c>
      <c r="Z296" s="1">
        <v>41088</v>
      </c>
      <c r="AA296" s="1">
        <v>1.3701699999999999E-7</v>
      </c>
      <c r="AB296" t="str">
        <f>VLOOKUP(Z296,Nuclides!A:E,5,FALSE)</f>
        <v>Nb88</v>
      </c>
      <c r="AC296">
        <f>VLOOKUP(Sheet2!Z296,Nuclides!A:E,2,FALSE)</f>
        <v>47</v>
      </c>
      <c r="AD296">
        <f>VLOOKUP(Z296,Nuclides!A:E,3,FALSE)</f>
        <v>41</v>
      </c>
      <c r="AE296" s="1">
        <f t="shared" si="19"/>
        <v>1709972159.9999998</v>
      </c>
      <c r="AF296" t="s">
        <v>1039</v>
      </c>
    </row>
    <row r="297" spans="2:32" x14ac:dyDescent="0.2">
      <c r="B297">
        <v>54139</v>
      </c>
      <c r="C297" s="1">
        <v>9.7999999999999993E-6</v>
      </c>
      <c r="D297" t="str">
        <f>VLOOKUP(B297,Nuclides!A:E,5,FALSE)</f>
        <v>Xe139</v>
      </c>
      <c r="E297">
        <f>VLOOKUP(Sheet2!B297,Nuclides!A:E,2,FALSE)</f>
        <v>85</v>
      </c>
      <c r="F297">
        <f>VLOOKUP(B297,Nuclides!A:E,3,FALSE)</f>
        <v>54</v>
      </c>
      <c r="G297" s="1">
        <f t="shared" si="16"/>
        <v>122303999999.99998</v>
      </c>
      <c r="H297">
        <f>VLOOKUP(B297,Nuclides!A:E,4,FALSE)</f>
        <v>39.68</v>
      </c>
      <c r="J297" s="1">
        <v>53142</v>
      </c>
      <c r="K297" s="1">
        <v>8.9999999999999996E-7</v>
      </c>
      <c r="L297" t="str">
        <f>VLOOKUP(J297,Nuclides!A:E,5,FALSE)</f>
        <v>I142</v>
      </c>
      <c r="M297">
        <f>VLOOKUP(Sheet2!J297,Nuclides!A:E,2,FALSE)</f>
        <v>89</v>
      </c>
      <c r="N297">
        <f>VLOOKUP(J297,Nuclides!A:E,3,FALSE)</f>
        <v>53</v>
      </c>
      <c r="O297" s="1">
        <f t="shared" si="17"/>
        <v>11232000000</v>
      </c>
      <c r="R297" s="1">
        <v>41103</v>
      </c>
      <c r="S297" s="1">
        <v>3.9722999999999999E-5</v>
      </c>
      <c r="T297" t="str">
        <f>VLOOKUP(R297,Nuclides!A:E,5,FALSE)</f>
        <v>Nb103</v>
      </c>
      <c r="U297">
        <f>VLOOKUP(Sheet2!R297,Nuclides!A:E,2,FALSE)</f>
        <v>62</v>
      </c>
      <c r="V297">
        <f>VLOOKUP(R297,Nuclides!A:E,3,FALSE)</f>
        <v>41</v>
      </c>
      <c r="W297" s="1">
        <f t="shared" si="18"/>
        <v>495743040000</v>
      </c>
      <c r="X297" t="s">
        <v>1054</v>
      </c>
      <c r="Z297" s="1">
        <v>41089</v>
      </c>
      <c r="AA297" s="1">
        <v>6.3797199999999996E-8</v>
      </c>
      <c r="AB297" t="str">
        <f>VLOOKUP(Z297,Nuclides!A:E,5,FALSE)</f>
        <v>Nb89</v>
      </c>
      <c r="AC297">
        <f>VLOOKUP(Sheet2!Z297,Nuclides!A:E,2,FALSE)</f>
        <v>48</v>
      </c>
      <c r="AD297">
        <f>VLOOKUP(Z297,Nuclides!A:E,3,FALSE)</f>
        <v>41</v>
      </c>
      <c r="AE297" s="1">
        <f t="shared" si="19"/>
        <v>796189056</v>
      </c>
      <c r="AF297" t="s">
        <v>1040</v>
      </c>
    </row>
    <row r="298" spans="2:32" x14ac:dyDescent="0.2">
      <c r="B298">
        <v>54140</v>
      </c>
      <c r="C298" s="1">
        <v>9.0000000000000002E-6</v>
      </c>
      <c r="D298" t="str">
        <f>VLOOKUP(B298,Nuclides!A:E,5,FALSE)</f>
        <v>Xe140</v>
      </c>
      <c r="E298">
        <f>VLOOKUP(Sheet2!B298,Nuclides!A:E,2,FALSE)</f>
        <v>86</v>
      </c>
      <c r="F298">
        <f>VLOOKUP(B298,Nuclides!A:E,3,FALSE)</f>
        <v>54</v>
      </c>
      <c r="G298" s="1">
        <f t="shared" si="16"/>
        <v>112320000000</v>
      </c>
      <c r="H298">
        <f>VLOOKUP(B298,Nuclides!A:E,4,FALSE)</f>
        <v>13.6</v>
      </c>
      <c r="J298" s="1">
        <v>54110</v>
      </c>
      <c r="K298" s="1">
        <v>2.9999999999999999E-7</v>
      </c>
      <c r="L298" t="str">
        <f>VLOOKUP(J298,Nuclides!A:E,5,FALSE)</f>
        <v>Xe110</v>
      </c>
      <c r="M298">
        <f>VLOOKUP(Sheet2!J298,Nuclides!A:E,2,FALSE)</f>
        <v>56</v>
      </c>
      <c r="N298">
        <f>VLOOKUP(J298,Nuclides!A:E,3,FALSE)</f>
        <v>54</v>
      </c>
      <c r="O298" s="1">
        <f t="shared" si="17"/>
        <v>3744000000</v>
      </c>
      <c r="R298" s="1">
        <v>41104</v>
      </c>
      <c r="S298" s="1">
        <v>1.87679E-5</v>
      </c>
      <c r="T298" t="str">
        <f>VLOOKUP(R298,Nuclides!A:E,5,FALSE)</f>
        <v>Nb104</v>
      </c>
      <c r="U298">
        <f>VLOOKUP(Sheet2!R298,Nuclides!A:E,2,FALSE)</f>
        <v>63</v>
      </c>
      <c r="V298">
        <f>VLOOKUP(R298,Nuclides!A:E,3,FALSE)</f>
        <v>41</v>
      </c>
      <c r="W298" s="1">
        <f t="shared" si="18"/>
        <v>234223392000</v>
      </c>
      <c r="X298" t="s">
        <v>1055</v>
      </c>
      <c r="Z298" s="1">
        <v>41090</v>
      </c>
      <c r="AA298" s="1">
        <v>7.6082000000000003E-9</v>
      </c>
      <c r="AB298" t="str">
        <f>VLOOKUP(Z298,Nuclides!A:E,5,FALSE)</f>
        <v>Nb90</v>
      </c>
      <c r="AC298">
        <f>VLOOKUP(Sheet2!Z298,Nuclides!A:E,2,FALSE)</f>
        <v>49</v>
      </c>
      <c r="AD298">
        <f>VLOOKUP(Z298,Nuclides!A:E,3,FALSE)</f>
        <v>41</v>
      </c>
      <c r="AE298" s="1">
        <f t="shared" si="19"/>
        <v>94950336</v>
      </c>
      <c r="AF298" t="s">
        <v>1041</v>
      </c>
    </row>
    <row r="299" spans="2:32" x14ac:dyDescent="0.2">
      <c r="B299">
        <v>54141</v>
      </c>
      <c r="C299" s="1">
        <v>3.8E-6</v>
      </c>
      <c r="D299" t="str">
        <f>VLOOKUP(B299,Nuclides!A:E,5,FALSE)</f>
        <v>Xe141</v>
      </c>
      <c r="E299">
        <f>VLOOKUP(Sheet2!B299,Nuclides!A:E,2,FALSE)</f>
        <v>87</v>
      </c>
      <c r="F299">
        <f>VLOOKUP(B299,Nuclides!A:E,3,FALSE)</f>
        <v>54</v>
      </c>
      <c r="G299" s="1">
        <f t="shared" si="16"/>
        <v>47424000000</v>
      </c>
      <c r="H299">
        <f>VLOOKUP(B299,Nuclides!A:E,4,FALSE)</f>
        <v>1.73</v>
      </c>
      <c r="J299" s="1">
        <v>54130</v>
      </c>
      <c r="K299" s="1">
        <v>9.9999999999999995E-8</v>
      </c>
      <c r="L299" t="str">
        <f>VLOOKUP(J299,Nuclides!A:E,5,FALSE)</f>
        <v>Xe130</v>
      </c>
      <c r="M299">
        <f>VLOOKUP(Sheet2!J299,Nuclides!A:E,2,FALSE)</f>
        <v>76</v>
      </c>
      <c r="N299">
        <f>VLOOKUP(J299,Nuclides!A:E,3,FALSE)</f>
        <v>54</v>
      </c>
      <c r="O299" s="1">
        <f t="shared" si="17"/>
        <v>1248000000</v>
      </c>
      <c r="R299" s="1">
        <v>41105</v>
      </c>
      <c r="S299" s="1">
        <v>8.94752E-6</v>
      </c>
      <c r="T299" t="str">
        <f>VLOOKUP(R299,Nuclides!A:E,5,FALSE)</f>
        <v>Nb105</v>
      </c>
      <c r="U299">
        <f>VLOOKUP(Sheet2!R299,Nuclides!A:E,2,FALSE)</f>
        <v>64</v>
      </c>
      <c r="V299">
        <f>VLOOKUP(R299,Nuclides!A:E,3,FALSE)</f>
        <v>41</v>
      </c>
      <c r="W299" s="1">
        <f t="shared" si="18"/>
        <v>111665049600</v>
      </c>
      <c r="X299" t="s">
        <v>1056</v>
      </c>
      <c r="Z299" s="1">
        <v>41091</v>
      </c>
      <c r="AA299" s="1">
        <v>2.9316000000000001E-9</v>
      </c>
      <c r="AB299" t="str">
        <f>VLOOKUP(Z299,Nuclides!A:E,5,FALSE)</f>
        <v>Nb91</v>
      </c>
      <c r="AC299">
        <f>VLOOKUP(Sheet2!Z299,Nuclides!A:E,2,FALSE)</f>
        <v>50</v>
      </c>
      <c r="AD299">
        <f>VLOOKUP(Z299,Nuclides!A:E,3,FALSE)</f>
        <v>41</v>
      </c>
      <c r="AE299" s="1">
        <f t="shared" si="19"/>
        <v>36586368</v>
      </c>
      <c r="AF299" t="s">
        <v>1042</v>
      </c>
    </row>
    <row r="300" spans="2:32" x14ac:dyDescent="0.2">
      <c r="B300">
        <v>54142</v>
      </c>
      <c r="C300" s="1">
        <v>2.7E-6</v>
      </c>
      <c r="D300" t="str">
        <f>VLOOKUP(B300,Nuclides!A:E,5,FALSE)</f>
        <v>Xe142</v>
      </c>
      <c r="E300">
        <f>VLOOKUP(Sheet2!B300,Nuclides!A:E,2,FALSE)</f>
        <v>88</v>
      </c>
      <c r="F300">
        <f>VLOOKUP(B300,Nuclides!A:E,3,FALSE)</f>
        <v>54</v>
      </c>
      <c r="G300" s="1">
        <f t="shared" si="16"/>
        <v>33696000000</v>
      </c>
      <c r="H300">
        <f>VLOOKUP(B300,Nuclides!A:E,4,FALSE)</f>
        <v>1.23</v>
      </c>
      <c r="J300" s="1">
        <v>54132</v>
      </c>
      <c r="K300" s="1">
        <v>1.9999999999999999E-7</v>
      </c>
      <c r="L300" t="str">
        <f>VLOOKUP(J300,Nuclides!A:E,5,FALSE)</f>
        <v>Xe132</v>
      </c>
      <c r="M300">
        <f>VLOOKUP(Sheet2!J300,Nuclides!A:E,2,FALSE)</f>
        <v>78</v>
      </c>
      <c r="N300">
        <f>VLOOKUP(J300,Nuclides!A:E,3,FALSE)</f>
        <v>54</v>
      </c>
      <c r="O300" s="1">
        <f t="shared" si="17"/>
        <v>2496000000</v>
      </c>
      <c r="R300" s="1">
        <v>41106</v>
      </c>
      <c r="S300" s="1">
        <v>2.97034E-6</v>
      </c>
      <c r="T300" t="str">
        <f>VLOOKUP(R300,Nuclides!A:E,5,FALSE)</f>
        <v>Nb106</v>
      </c>
      <c r="U300">
        <f>VLOOKUP(Sheet2!R300,Nuclides!A:E,2,FALSE)</f>
        <v>65</v>
      </c>
      <c r="V300">
        <f>VLOOKUP(R300,Nuclides!A:E,3,FALSE)</f>
        <v>41</v>
      </c>
      <c r="W300" s="1">
        <f t="shared" si="18"/>
        <v>37069843200</v>
      </c>
      <c r="X300" t="s">
        <v>1057</v>
      </c>
      <c r="Z300" s="1">
        <v>41092</v>
      </c>
      <c r="AA300" s="1">
        <v>4.1879999999999999E-10</v>
      </c>
      <c r="AB300" t="str">
        <f>VLOOKUP(Z300,Nuclides!A:E,5,FALSE)</f>
        <v>Nb92</v>
      </c>
      <c r="AC300">
        <f>VLOOKUP(Sheet2!Z300,Nuclides!A:E,2,FALSE)</f>
        <v>51</v>
      </c>
      <c r="AD300">
        <f>VLOOKUP(Z300,Nuclides!A:E,3,FALSE)</f>
        <v>41</v>
      </c>
      <c r="AE300" s="1">
        <f t="shared" si="19"/>
        <v>5226624</v>
      </c>
      <c r="AF300" t="s">
        <v>1043</v>
      </c>
    </row>
    <row r="301" spans="2:32" x14ac:dyDescent="0.2">
      <c r="B301">
        <v>54143</v>
      </c>
      <c r="C301" s="1">
        <v>5.9999999999999997E-7</v>
      </c>
      <c r="D301" t="str">
        <f>VLOOKUP(B301,Nuclides!A:E,5,FALSE)</f>
        <v>Xe143</v>
      </c>
      <c r="E301">
        <f>VLOOKUP(Sheet2!B301,Nuclides!A:E,2,FALSE)</f>
        <v>89</v>
      </c>
      <c r="F301">
        <f>VLOOKUP(B301,Nuclides!A:E,3,FALSE)</f>
        <v>54</v>
      </c>
      <c r="G301" s="1">
        <f t="shared" si="16"/>
        <v>7488000000</v>
      </c>
      <c r="H301">
        <f>VLOOKUP(B301,Nuclides!A:E,4,FALSE)</f>
        <v>0.51100000000000001</v>
      </c>
      <c r="J301" s="1">
        <v>54133</v>
      </c>
      <c r="K301" s="1">
        <v>9.9999999999999995E-8</v>
      </c>
      <c r="L301" t="str">
        <f>VLOOKUP(J301,Nuclides!A:E,5,FALSE)</f>
        <v>Xe133</v>
      </c>
      <c r="M301">
        <f>VLOOKUP(Sheet2!J301,Nuclides!A:E,2,FALSE)</f>
        <v>79</v>
      </c>
      <c r="N301">
        <f>VLOOKUP(J301,Nuclides!A:E,3,FALSE)</f>
        <v>54</v>
      </c>
      <c r="O301" s="1">
        <f t="shared" si="17"/>
        <v>1248000000</v>
      </c>
      <c r="R301" s="1">
        <v>42087</v>
      </c>
      <c r="S301" s="1">
        <v>1.3649400000000001E-6</v>
      </c>
      <c r="T301" t="str">
        <f>VLOOKUP(R301,Nuclides!A:E,5,FALSE)</f>
        <v>Mo87</v>
      </c>
      <c r="U301">
        <f>VLOOKUP(Sheet2!R301,Nuclides!A:E,2,FALSE)</f>
        <v>45</v>
      </c>
      <c r="V301">
        <f>VLOOKUP(R301,Nuclides!A:E,3,FALSE)</f>
        <v>42</v>
      </c>
      <c r="W301" s="1">
        <f t="shared" si="18"/>
        <v>17034451200.000002</v>
      </c>
      <c r="X301" t="s">
        <v>1073</v>
      </c>
      <c r="Z301" s="1">
        <v>41093</v>
      </c>
      <c r="AA301" s="1">
        <v>2.094E-10</v>
      </c>
      <c r="AB301" t="str">
        <f>VLOOKUP(Z301,Nuclides!A:E,5,FALSE)</f>
        <v>Nb93</v>
      </c>
      <c r="AC301">
        <f>VLOOKUP(Sheet2!Z301,Nuclides!A:E,2,FALSE)</f>
        <v>52</v>
      </c>
      <c r="AD301">
        <f>VLOOKUP(Z301,Nuclides!A:E,3,FALSE)</f>
        <v>41</v>
      </c>
      <c r="AE301" s="1">
        <f t="shared" si="19"/>
        <v>2613312</v>
      </c>
      <c r="AF301" t="s">
        <v>1044</v>
      </c>
    </row>
    <row r="302" spans="2:32" x14ac:dyDescent="0.2">
      <c r="B302">
        <v>54144</v>
      </c>
      <c r="C302" s="1">
        <v>6.9999999999999997E-7</v>
      </c>
      <c r="D302" t="str">
        <f>VLOOKUP(B302,Nuclides!A:E,5,FALSE)</f>
        <v>Xe144</v>
      </c>
      <c r="E302">
        <f>VLOOKUP(Sheet2!B302,Nuclides!A:E,2,FALSE)</f>
        <v>90</v>
      </c>
      <c r="F302">
        <f>VLOOKUP(B302,Nuclides!A:E,3,FALSE)</f>
        <v>54</v>
      </c>
      <c r="G302" s="1">
        <f t="shared" si="16"/>
        <v>8736000000</v>
      </c>
      <c r="H302">
        <f>VLOOKUP(B302,Nuclides!A:E,4,FALSE)</f>
        <v>0.38800000000000001</v>
      </c>
      <c r="J302" s="1">
        <v>54134</v>
      </c>
      <c r="K302" s="1">
        <v>1.3E-6</v>
      </c>
      <c r="L302" t="str">
        <f>VLOOKUP(J302,Nuclides!A:E,5,FALSE)</f>
        <v>Xe134</v>
      </c>
      <c r="M302">
        <f>VLOOKUP(Sheet2!J302,Nuclides!A:E,2,FALSE)</f>
        <v>80</v>
      </c>
      <c r="N302">
        <f>VLOOKUP(J302,Nuclides!A:E,3,FALSE)</f>
        <v>54</v>
      </c>
      <c r="O302" s="1">
        <f t="shared" si="17"/>
        <v>16224000000</v>
      </c>
      <c r="R302" s="1">
        <v>42088</v>
      </c>
      <c r="S302" s="1">
        <v>4.94324E-7</v>
      </c>
      <c r="T302" t="str">
        <f>VLOOKUP(R302,Nuclides!A:E,5,FALSE)</f>
        <v>Mo88</v>
      </c>
      <c r="U302">
        <f>VLOOKUP(Sheet2!R302,Nuclides!A:E,2,FALSE)</f>
        <v>46</v>
      </c>
      <c r="V302">
        <f>VLOOKUP(R302,Nuclides!A:E,3,FALSE)</f>
        <v>42</v>
      </c>
      <c r="W302" s="1">
        <f t="shared" si="18"/>
        <v>6169163520</v>
      </c>
      <c r="X302" t="s">
        <v>1074</v>
      </c>
      <c r="Z302" s="1">
        <v>41095</v>
      </c>
      <c r="AA302" s="1">
        <v>1.6054000000000001E-9</v>
      </c>
      <c r="AB302" t="str">
        <f>VLOOKUP(Z302,Nuclides!A:E,5,FALSE)</f>
        <v>Nb95</v>
      </c>
      <c r="AC302">
        <f>VLOOKUP(Sheet2!Z302,Nuclides!A:E,2,FALSE)</f>
        <v>54</v>
      </c>
      <c r="AD302">
        <f>VLOOKUP(Z302,Nuclides!A:E,3,FALSE)</f>
        <v>41</v>
      </c>
      <c r="AE302" s="1">
        <f t="shared" si="19"/>
        <v>20035392</v>
      </c>
      <c r="AF302" t="s">
        <v>1046</v>
      </c>
    </row>
    <row r="303" spans="2:32" x14ac:dyDescent="0.2">
      <c r="B303">
        <v>54145</v>
      </c>
      <c r="C303" s="1">
        <v>9.9999999999999995E-8</v>
      </c>
      <c r="D303" t="str">
        <f>VLOOKUP(B303,Nuclides!A:E,5,FALSE)</f>
        <v>Xe145</v>
      </c>
      <c r="E303">
        <f>VLOOKUP(Sheet2!B303,Nuclides!A:E,2,FALSE)</f>
        <v>91</v>
      </c>
      <c r="F303">
        <f>VLOOKUP(B303,Nuclides!A:E,3,FALSE)</f>
        <v>54</v>
      </c>
      <c r="G303" s="1">
        <f t="shared" si="16"/>
        <v>1248000000</v>
      </c>
      <c r="H303">
        <f>VLOOKUP(B303,Nuclides!A:E,4,FALSE)</f>
        <v>0.188</v>
      </c>
      <c r="J303" s="1">
        <v>54135</v>
      </c>
      <c r="K303" s="1">
        <v>5.3000000000000001E-6</v>
      </c>
      <c r="L303" t="str">
        <f>VLOOKUP(J303,Nuclides!A:E,5,FALSE)</f>
        <v>Xe135</v>
      </c>
      <c r="M303">
        <f>VLOOKUP(Sheet2!J303,Nuclides!A:E,2,FALSE)</f>
        <v>81</v>
      </c>
      <c r="N303">
        <f>VLOOKUP(J303,Nuclides!A:E,3,FALSE)</f>
        <v>54</v>
      </c>
      <c r="O303" s="1">
        <f t="shared" si="17"/>
        <v>66144000000</v>
      </c>
      <c r="R303" s="1">
        <v>42089</v>
      </c>
      <c r="S303" s="1">
        <v>2.0577E-7</v>
      </c>
      <c r="T303" t="str">
        <f>VLOOKUP(R303,Nuclides!A:E,5,FALSE)</f>
        <v>Mo89</v>
      </c>
      <c r="U303">
        <f>VLOOKUP(Sheet2!R303,Nuclides!A:E,2,FALSE)</f>
        <v>47</v>
      </c>
      <c r="V303">
        <f>VLOOKUP(R303,Nuclides!A:E,3,FALSE)</f>
        <v>42</v>
      </c>
      <c r="W303" s="1">
        <f t="shared" si="18"/>
        <v>2568009600</v>
      </c>
      <c r="X303" t="s">
        <v>1075</v>
      </c>
      <c r="Z303" s="1">
        <v>41096</v>
      </c>
      <c r="AA303" s="1">
        <v>1.5844599999999999E-8</v>
      </c>
      <c r="AB303" t="str">
        <f>VLOOKUP(Z303,Nuclides!A:E,5,FALSE)</f>
        <v>Nb96</v>
      </c>
      <c r="AC303">
        <f>VLOOKUP(Sheet2!Z303,Nuclides!A:E,2,FALSE)</f>
        <v>55</v>
      </c>
      <c r="AD303">
        <f>VLOOKUP(Z303,Nuclides!A:E,3,FALSE)</f>
        <v>41</v>
      </c>
      <c r="AE303" s="1">
        <f t="shared" si="19"/>
        <v>197740608</v>
      </c>
      <c r="AF303" t="s">
        <v>1047</v>
      </c>
    </row>
    <row r="304" spans="2:32" x14ac:dyDescent="0.2">
      <c r="B304">
        <v>55114</v>
      </c>
      <c r="C304" s="1">
        <v>9.9999999999999995E-8</v>
      </c>
      <c r="D304" t="str">
        <f>VLOOKUP(B304,Nuclides!A:E,5,FALSE)</f>
        <v>Cs114</v>
      </c>
      <c r="E304">
        <f>VLOOKUP(Sheet2!B304,Nuclides!A:E,2,FALSE)</f>
        <v>59</v>
      </c>
      <c r="F304">
        <f>VLOOKUP(B304,Nuclides!A:E,3,FALSE)</f>
        <v>55</v>
      </c>
      <c r="G304" s="1">
        <f t="shared" si="16"/>
        <v>1248000000</v>
      </c>
      <c r="H304">
        <f>VLOOKUP(B304,Nuclides!A:E,4,FALSE)</f>
        <v>0.56999999999999995</v>
      </c>
      <c r="J304" s="1">
        <v>54136</v>
      </c>
      <c r="K304" s="1">
        <v>2.1299999999999999E-5</v>
      </c>
      <c r="L304" t="str">
        <f>VLOOKUP(J304,Nuclides!A:E,5,FALSE)</f>
        <v>Xe136</v>
      </c>
      <c r="M304">
        <f>VLOOKUP(Sheet2!J304,Nuclides!A:E,2,FALSE)</f>
        <v>82</v>
      </c>
      <c r="N304">
        <f>VLOOKUP(J304,Nuclides!A:E,3,FALSE)</f>
        <v>54</v>
      </c>
      <c r="O304" s="1">
        <f t="shared" si="17"/>
        <v>265824000000</v>
      </c>
      <c r="R304" s="1">
        <v>42090</v>
      </c>
      <c r="S304" s="1">
        <v>6.4774400000000003E-8</v>
      </c>
      <c r="T304" t="str">
        <f>VLOOKUP(R304,Nuclides!A:E,5,FALSE)</f>
        <v>Mo90</v>
      </c>
      <c r="U304">
        <f>VLOOKUP(Sheet2!R304,Nuclides!A:E,2,FALSE)</f>
        <v>48</v>
      </c>
      <c r="V304">
        <f>VLOOKUP(R304,Nuclides!A:E,3,FALSE)</f>
        <v>42</v>
      </c>
      <c r="W304" s="1">
        <f t="shared" si="18"/>
        <v>808384512</v>
      </c>
      <c r="X304" t="s">
        <v>1076</v>
      </c>
      <c r="Z304" s="1">
        <v>41097</v>
      </c>
      <c r="AA304" s="1">
        <v>1.4406699999999999E-7</v>
      </c>
      <c r="AB304" t="str">
        <f>VLOOKUP(Z304,Nuclides!A:E,5,FALSE)</f>
        <v>Nb97</v>
      </c>
      <c r="AC304">
        <f>VLOOKUP(Sheet2!Z304,Nuclides!A:E,2,FALSE)</f>
        <v>56</v>
      </c>
      <c r="AD304">
        <f>VLOOKUP(Z304,Nuclides!A:E,3,FALSE)</f>
        <v>41</v>
      </c>
      <c r="AE304" s="1">
        <f t="shared" si="19"/>
        <v>1797956159.9999998</v>
      </c>
      <c r="AF304" t="s">
        <v>1048</v>
      </c>
    </row>
    <row r="305" spans="2:32" x14ac:dyDescent="0.2">
      <c r="B305">
        <v>55134</v>
      </c>
      <c r="C305" s="1">
        <v>1.9999999999999999E-7</v>
      </c>
      <c r="D305" t="str">
        <f>VLOOKUP(B305,Nuclides!A:E,5,FALSE)</f>
        <v>Cs134</v>
      </c>
      <c r="E305">
        <f>VLOOKUP(Sheet2!B305,Nuclides!A:E,2,FALSE)</f>
        <v>79</v>
      </c>
      <c r="F305">
        <f>VLOOKUP(B305,Nuclides!A:E,3,FALSE)</f>
        <v>55</v>
      </c>
      <c r="G305" s="1">
        <f t="shared" si="16"/>
        <v>2496000000</v>
      </c>
      <c r="H305">
        <f>VLOOKUP(B305,Nuclides!A:E,4,FALSE)</f>
        <v>65172755.519999899</v>
      </c>
      <c r="J305" s="1">
        <v>54137</v>
      </c>
      <c r="K305" s="1">
        <v>4.0099999999999999E-5</v>
      </c>
      <c r="L305" t="str">
        <f>VLOOKUP(J305,Nuclides!A:E,5,FALSE)</f>
        <v>Xe137</v>
      </c>
      <c r="M305">
        <f>VLOOKUP(Sheet2!J305,Nuclides!A:E,2,FALSE)</f>
        <v>83</v>
      </c>
      <c r="N305">
        <f>VLOOKUP(J305,Nuclides!A:E,3,FALSE)</f>
        <v>54</v>
      </c>
      <c r="O305" s="1">
        <f t="shared" si="17"/>
        <v>500448000000</v>
      </c>
      <c r="R305" s="1">
        <v>42091</v>
      </c>
      <c r="S305" s="1">
        <v>2.3034E-8</v>
      </c>
      <c r="T305" t="str">
        <f>VLOOKUP(R305,Nuclides!A:E,5,FALSE)</f>
        <v>Mo91</v>
      </c>
      <c r="U305">
        <f>VLOOKUP(Sheet2!R305,Nuclides!A:E,2,FALSE)</f>
        <v>49</v>
      </c>
      <c r="V305">
        <f>VLOOKUP(R305,Nuclides!A:E,3,FALSE)</f>
        <v>42</v>
      </c>
      <c r="W305" s="1">
        <f t="shared" si="18"/>
        <v>287464320</v>
      </c>
      <c r="X305" t="s">
        <v>1077</v>
      </c>
      <c r="Z305" s="1">
        <v>41098</v>
      </c>
      <c r="AA305" s="1">
        <v>5.4011200000000004E-7</v>
      </c>
      <c r="AB305" t="str">
        <f>VLOOKUP(Z305,Nuclides!A:E,5,FALSE)</f>
        <v>Nb98</v>
      </c>
      <c r="AC305">
        <f>VLOOKUP(Sheet2!Z305,Nuclides!A:E,2,FALSE)</f>
        <v>57</v>
      </c>
      <c r="AD305">
        <f>VLOOKUP(Z305,Nuclides!A:E,3,FALSE)</f>
        <v>41</v>
      </c>
      <c r="AE305" s="1">
        <f t="shared" si="19"/>
        <v>6740597760.000001</v>
      </c>
      <c r="AF305" t="s">
        <v>1049</v>
      </c>
    </row>
    <row r="306" spans="2:32" x14ac:dyDescent="0.2">
      <c r="B306">
        <v>55135</v>
      </c>
      <c r="C306" s="1">
        <v>5.9999999999999997E-7</v>
      </c>
      <c r="D306" t="str">
        <f>VLOOKUP(B306,Nuclides!A:E,5,FALSE)</f>
        <v>Cs135</v>
      </c>
      <c r="E306">
        <f>VLOOKUP(Sheet2!B306,Nuclides!A:E,2,FALSE)</f>
        <v>80</v>
      </c>
      <c r="F306">
        <f>VLOOKUP(B306,Nuclides!A:E,3,FALSE)</f>
        <v>55</v>
      </c>
      <c r="G306" s="1">
        <f t="shared" si="16"/>
        <v>7488000000</v>
      </c>
      <c r="H306">
        <f>VLOOKUP(B306,Nuclides!A:E,4,FALSE)</f>
        <v>72582480000000</v>
      </c>
      <c r="J306" s="1">
        <v>54138</v>
      </c>
      <c r="K306" s="1">
        <v>7.1899999999999999E-5</v>
      </c>
      <c r="L306" t="str">
        <f>VLOOKUP(J306,Nuclides!A:E,5,FALSE)</f>
        <v>Xe138</v>
      </c>
      <c r="M306">
        <f>VLOOKUP(Sheet2!J306,Nuclides!A:E,2,FALSE)</f>
        <v>84</v>
      </c>
      <c r="N306">
        <f>VLOOKUP(J306,Nuclides!A:E,3,FALSE)</f>
        <v>54</v>
      </c>
      <c r="O306" s="1">
        <f t="shared" si="17"/>
        <v>897312000000</v>
      </c>
      <c r="R306" s="1">
        <v>42092</v>
      </c>
      <c r="S306" s="1">
        <v>6.9102000000000004E-9</v>
      </c>
      <c r="T306" t="str">
        <f>VLOOKUP(R306,Nuclides!A:E,5,FALSE)</f>
        <v>Mo92</v>
      </c>
      <c r="U306">
        <f>VLOOKUP(Sheet2!R306,Nuclides!A:E,2,FALSE)</f>
        <v>50</v>
      </c>
      <c r="V306">
        <f>VLOOKUP(R306,Nuclides!A:E,3,FALSE)</f>
        <v>42</v>
      </c>
      <c r="W306" s="1">
        <f t="shared" si="18"/>
        <v>86239296</v>
      </c>
      <c r="X306" t="s">
        <v>1078</v>
      </c>
      <c r="Z306" s="1">
        <v>41099</v>
      </c>
      <c r="AA306" s="1">
        <v>2.3530300000000002E-6</v>
      </c>
      <c r="AB306" t="str">
        <f>VLOOKUP(Z306,Nuclides!A:E,5,FALSE)</f>
        <v>Nb99</v>
      </c>
      <c r="AC306">
        <f>VLOOKUP(Sheet2!Z306,Nuclides!A:E,2,FALSE)</f>
        <v>58</v>
      </c>
      <c r="AD306">
        <f>VLOOKUP(Z306,Nuclides!A:E,3,FALSE)</f>
        <v>41</v>
      </c>
      <c r="AE306" s="1">
        <f t="shared" si="19"/>
        <v>29365814400.000004</v>
      </c>
      <c r="AF306" t="s">
        <v>1050</v>
      </c>
    </row>
    <row r="307" spans="2:32" x14ac:dyDescent="0.2">
      <c r="B307">
        <v>55136</v>
      </c>
      <c r="C307" s="1">
        <v>1.9E-6</v>
      </c>
      <c r="D307" t="str">
        <f>VLOOKUP(B307,Nuclides!A:E,5,FALSE)</f>
        <v>Cs136</v>
      </c>
      <c r="E307">
        <f>VLOOKUP(Sheet2!B307,Nuclides!A:E,2,FALSE)</f>
        <v>81</v>
      </c>
      <c r="F307">
        <f>VLOOKUP(B307,Nuclides!A:E,3,FALSE)</f>
        <v>55</v>
      </c>
      <c r="G307" s="1">
        <f t="shared" si="16"/>
        <v>23712000000</v>
      </c>
      <c r="H307">
        <f>VLOOKUP(B307,Nuclides!A:E,4,FALSE)</f>
        <v>1126656</v>
      </c>
      <c r="J307" s="1">
        <v>54139</v>
      </c>
      <c r="K307" s="1">
        <v>7.9200000000000001E-5</v>
      </c>
      <c r="L307" t="str">
        <f>VLOOKUP(J307,Nuclides!A:E,5,FALSE)</f>
        <v>Xe139</v>
      </c>
      <c r="M307">
        <f>VLOOKUP(Sheet2!J307,Nuclides!A:E,2,FALSE)</f>
        <v>85</v>
      </c>
      <c r="N307">
        <f>VLOOKUP(J307,Nuclides!A:E,3,FALSE)</f>
        <v>54</v>
      </c>
      <c r="O307" s="1">
        <f t="shared" si="17"/>
        <v>988416000000</v>
      </c>
      <c r="R307" s="1">
        <v>42093</v>
      </c>
      <c r="S307" s="1">
        <v>2.2335999999999998E-9</v>
      </c>
      <c r="T307" t="str">
        <f>VLOOKUP(R307,Nuclides!A:E,5,FALSE)</f>
        <v>Mo93</v>
      </c>
      <c r="U307">
        <f>VLOOKUP(Sheet2!R307,Nuclides!A:E,2,FALSE)</f>
        <v>51</v>
      </c>
      <c r="V307">
        <f>VLOOKUP(R307,Nuclides!A:E,3,FALSE)</f>
        <v>42</v>
      </c>
      <c r="W307" s="1">
        <f t="shared" si="18"/>
        <v>27875327.999999996</v>
      </c>
      <c r="X307" t="s">
        <v>1079</v>
      </c>
      <c r="Z307" s="1">
        <v>41100</v>
      </c>
      <c r="AA307" s="1">
        <v>5.5206899999999997E-6</v>
      </c>
      <c r="AB307" t="str">
        <f>VLOOKUP(Z307,Nuclides!A:E,5,FALSE)</f>
        <v>Nb100</v>
      </c>
      <c r="AC307">
        <f>VLOOKUP(Sheet2!Z307,Nuclides!A:E,2,FALSE)</f>
        <v>59</v>
      </c>
      <c r="AD307">
        <f>VLOOKUP(Z307,Nuclides!A:E,3,FALSE)</f>
        <v>41</v>
      </c>
      <c r="AE307" s="1">
        <f t="shared" si="19"/>
        <v>68898211200</v>
      </c>
      <c r="AF307" t="s">
        <v>1051</v>
      </c>
    </row>
    <row r="308" spans="2:32" x14ac:dyDescent="0.2">
      <c r="B308">
        <v>55137</v>
      </c>
      <c r="C308" s="1">
        <v>6.9999999999999999E-6</v>
      </c>
      <c r="D308" t="str">
        <f>VLOOKUP(B308,Nuclides!A:E,5,FALSE)</f>
        <v>Cs137</v>
      </c>
      <c r="E308">
        <f>VLOOKUP(Sheet2!B308,Nuclides!A:E,2,FALSE)</f>
        <v>82</v>
      </c>
      <c r="F308">
        <f>VLOOKUP(B308,Nuclides!A:E,3,FALSE)</f>
        <v>55</v>
      </c>
      <c r="G308" s="1">
        <f t="shared" si="16"/>
        <v>87360000000</v>
      </c>
      <c r="H308">
        <f>VLOOKUP(B308,Nuclides!A:E,4,FALSE)</f>
        <v>949252608</v>
      </c>
      <c r="J308" s="1">
        <v>54140</v>
      </c>
      <c r="K308" s="1">
        <v>7.5099999999999996E-5</v>
      </c>
      <c r="L308" t="str">
        <f>VLOOKUP(J308,Nuclides!A:E,5,FALSE)</f>
        <v>Xe140</v>
      </c>
      <c r="M308">
        <f>VLOOKUP(Sheet2!J308,Nuclides!A:E,2,FALSE)</f>
        <v>86</v>
      </c>
      <c r="N308">
        <f>VLOOKUP(J308,Nuclides!A:E,3,FALSE)</f>
        <v>54</v>
      </c>
      <c r="O308" s="1">
        <f t="shared" si="17"/>
        <v>937248000000</v>
      </c>
      <c r="R308" s="1">
        <v>42094</v>
      </c>
      <c r="S308" s="1">
        <v>6.9799999999999997E-10</v>
      </c>
      <c r="T308" t="str">
        <f>VLOOKUP(R308,Nuclides!A:E,5,FALSE)</f>
        <v>Mo94</v>
      </c>
      <c r="U308">
        <f>VLOOKUP(Sheet2!R308,Nuclides!A:E,2,FALSE)</f>
        <v>52</v>
      </c>
      <c r="V308">
        <f>VLOOKUP(R308,Nuclides!A:E,3,FALSE)</f>
        <v>42</v>
      </c>
      <c r="W308" s="1">
        <f t="shared" si="18"/>
        <v>8711040</v>
      </c>
      <c r="X308" t="s">
        <v>1080</v>
      </c>
      <c r="Z308" s="1">
        <v>41101</v>
      </c>
      <c r="AA308" s="1">
        <v>1.2611300000000001E-5</v>
      </c>
      <c r="AB308" t="str">
        <f>VLOOKUP(Z308,Nuclides!A:E,5,FALSE)</f>
        <v>Nb101</v>
      </c>
      <c r="AC308">
        <f>VLOOKUP(Sheet2!Z308,Nuclides!A:E,2,FALSE)</f>
        <v>60</v>
      </c>
      <c r="AD308">
        <f>VLOOKUP(Z308,Nuclides!A:E,3,FALSE)</f>
        <v>41</v>
      </c>
      <c r="AE308" s="1">
        <f t="shared" si="19"/>
        <v>157389024000</v>
      </c>
      <c r="AF308" t="s">
        <v>1052</v>
      </c>
    </row>
    <row r="309" spans="2:32" x14ac:dyDescent="0.2">
      <c r="B309">
        <v>55138</v>
      </c>
      <c r="C309" s="1">
        <v>8.4999999999999999E-6</v>
      </c>
      <c r="D309" t="str">
        <f>VLOOKUP(B309,Nuclides!A:E,5,FALSE)</f>
        <v>Cs138</v>
      </c>
      <c r="E309">
        <f>VLOOKUP(Sheet2!B309,Nuclides!A:E,2,FALSE)</f>
        <v>83</v>
      </c>
      <c r="F309">
        <f>VLOOKUP(B309,Nuclides!A:E,3,FALSE)</f>
        <v>55</v>
      </c>
      <c r="G309" s="1">
        <f t="shared" si="16"/>
        <v>106080000000</v>
      </c>
      <c r="H309">
        <f>VLOOKUP(B309,Nuclides!A:E,4,FALSE)</f>
        <v>2004.6</v>
      </c>
      <c r="J309" s="1">
        <v>54141</v>
      </c>
      <c r="K309" s="1">
        <v>4.5599999999999997E-5</v>
      </c>
      <c r="L309" t="str">
        <f>VLOOKUP(J309,Nuclides!A:E,5,FALSE)</f>
        <v>Xe141</v>
      </c>
      <c r="M309">
        <f>VLOOKUP(Sheet2!J309,Nuclides!A:E,2,FALSE)</f>
        <v>87</v>
      </c>
      <c r="N309">
        <f>VLOOKUP(J309,Nuclides!A:E,3,FALSE)</f>
        <v>54</v>
      </c>
      <c r="O309" s="1">
        <f t="shared" si="17"/>
        <v>569088000000</v>
      </c>
      <c r="R309" s="1">
        <v>42095</v>
      </c>
      <c r="S309" s="1">
        <v>1.1167999999999999E-9</v>
      </c>
      <c r="T309" t="str">
        <f>VLOOKUP(R309,Nuclides!A:E,5,FALSE)</f>
        <v>Mo95</v>
      </c>
      <c r="U309">
        <f>VLOOKUP(Sheet2!R309,Nuclides!A:E,2,FALSE)</f>
        <v>53</v>
      </c>
      <c r="V309">
        <f>VLOOKUP(R309,Nuclides!A:E,3,FALSE)</f>
        <v>42</v>
      </c>
      <c r="W309" s="1">
        <f t="shared" si="18"/>
        <v>13937663.999999998</v>
      </c>
      <c r="X309" t="s">
        <v>1081</v>
      </c>
      <c r="Z309" s="1">
        <v>41102</v>
      </c>
      <c r="AA309" s="1">
        <v>1.44658E-5</v>
      </c>
      <c r="AB309" t="str">
        <f>VLOOKUP(Z309,Nuclides!A:E,5,FALSE)</f>
        <v>Nb102</v>
      </c>
      <c r="AC309">
        <f>VLOOKUP(Sheet2!Z309,Nuclides!A:E,2,FALSE)</f>
        <v>61</v>
      </c>
      <c r="AD309">
        <f>VLOOKUP(Z309,Nuclides!A:E,3,FALSE)</f>
        <v>41</v>
      </c>
      <c r="AE309" s="1">
        <f t="shared" si="19"/>
        <v>180533184000</v>
      </c>
      <c r="AF309" t="s">
        <v>1053</v>
      </c>
    </row>
    <row r="310" spans="2:32" x14ac:dyDescent="0.2">
      <c r="B310">
        <v>55139</v>
      </c>
      <c r="C310" s="1">
        <v>1.7799999999999999E-5</v>
      </c>
      <c r="D310" t="str">
        <f>VLOOKUP(B310,Nuclides!A:E,5,FALSE)</f>
        <v>Cs139</v>
      </c>
      <c r="E310">
        <f>VLOOKUP(Sheet2!B310,Nuclides!A:E,2,FALSE)</f>
        <v>84</v>
      </c>
      <c r="F310">
        <f>VLOOKUP(B310,Nuclides!A:E,3,FALSE)</f>
        <v>55</v>
      </c>
      <c r="G310" s="1">
        <f t="shared" si="16"/>
        <v>222144000000</v>
      </c>
      <c r="H310">
        <f>VLOOKUP(B310,Nuclides!A:E,4,FALSE)</f>
        <v>556.19999999999902</v>
      </c>
      <c r="J310" s="1">
        <v>54142</v>
      </c>
      <c r="K310" s="1">
        <v>2.48E-5</v>
      </c>
      <c r="L310" t="str">
        <f>VLOOKUP(J310,Nuclides!A:E,5,FALSE)</f>
        <v>Xe142</v>
      </c>
      <c r="M310">
        <f>VLOOKUP(Sheet2!J310,Nuclides!A:E,2,FALSE)</f>
        <v>88</v>
      </c>
      <c r="N310">
        <f>VLOOKUP(J310,Nuclides!A:E,3,FALSE)</f>
        <v>54</v>
      </c>
      <c r="O310" s="1">
        <f t="shared" si="17"/>
        <v>309504000000</v>
      </c>
      <c r="R310" s="1">
        <v>42096</v>
      </c>
      <c r="S310" s="1">
        <v>5.3048000000000001E-9</v>
      </c>
      <c r="T310" t="str">
        <f>VLOOKUP(R310,Nuclides!A:E,5,FALSE)</f>
        <v>Mo96</v>
      </c>
      <c r="U310">
        <f>VLOOKUP(Sheet2!R310,Nuclides!A:E,2,FALSE)</f>
        <v>54</v>
      </c>
      <c r="V310">
        <f>VLOOKUP(R310,Nuclides!A:E,3,FALSE)</f>
        <v>42</v>
      </c>
      <c r="W310" s="1">
        <f t="shared" si="18"/>
        <v>66203904</v>
      </c>
      <c r="X310" t="s">
        <v>1082</v>
      </c>
      <c r="Z310" s="1">
        <v>41103</v>
      </c>
      <c r="AA310" s="1">
        <v>1.8581699999999999E-5</v>
      </c>
      <c r="AB310" t="str">
        <f>VLOOKUP(Z310,Nuclides!A:E,5,FALSE)</f>
        <v>Nb103</v>
      </c>
      <c r="AC310">
        <f>VLOOKUP(Sheet2!Z310,Nuclides!A:E,2,FALSE)</f>
        <v>62</v>
      </c>
      <c r="AD310">
        <f>VLOOKUP(Z310,Nuclides!A:E,3,FALSE)</f>
        <v>41</v>
      </c>
      <c r="AE310" s="1">
        <f t="shared" si="19"/>
        <v>231899615999.99997</v>
      </c>
      <c r="AF310" t="s">
        <v>1054</v>
      </c>
    </row>
    <row r="311" spans="2:32" x14ac:dyDescent="0.2">
      <c r="B311">
        <v>55140</v>
      </c>
      <c r="C311" s="1">
        <v>1.4600000000000001E-5</v>
      </c>
      <c r="D311" t="str">
        <f>VLOOKUP(B311,Nuclides!A:E,5,FALSE)</f>
        <v>Cs140</v>
      </c>
      <c r="E311">
        <f>VLOOKUP(Sheet2!B311,Nuclides!A:E,2,FALSE)</f>
        <v>85</v>
      </c>
      <c r="F311">
        <f>VLOOKUP(B311,Nuclides!A:E,3,FALSE)</f>
        <v>55</v>
      </c>
      <c r="G311" s="1">
        <f t="shared" si="16"/>
        <v>182208000000</v>
      </c>
      <c r="H311">
        <f>VLOOKUP(B311,Nuclides!A:E,4,FALSE)</f>
        <v>63.7</v>
      </c>
      <c r="J311" s="1">
        <v>54143</v>
      </c>
      <c r="K311" s="1">
        <v>9.0999999999999993E-6</v>
      </c>
      <c r="L311" t="str">
        <f>VLOOKUP(J311,Nuclides!A:E,5,FALSE)</f>
        <v>Xe143</v>
      </c>
      <c r="M311">
        <f>VLOOKUP(Sheet2!J311,Nuclides!A:E,2,FALSE)</f>
        <v>89</v>
      </c>
      <c r="N311">
        <f>VLOOKUP(J311,Nuclides!A:E,3,FALSE)</f>
        <v>54</v>
      </c>
      <c r="O311" s="1">
        <f t="shared" si="17"/>
        <v>113567999999.99998</v>
      </c>
      <c r="R311" s="1">
        <v>42097</v>
      </c>
      <c r="S311" s="1">
        <v>2.6663600000000001E-8</v>
      </c>
      <c r="T311" t="str">
        <f>VLOOKUP(R311,Nuclides!A:E,5,FALSE)</f>
        <v>Mo97</v>
      </c>
      <c r="U311">
        <f>VLOOKUP(Sheet2!R311,Nuclides!A:E,2,FALSE)</f>
        <v>55</v>
      </c>
      <c r="V311">
        <f>VLOOKUP(R311,Nuclides!A:E,3,FALSE)</f>
        <v>42</v>
      </c>
      <c r="W311" s="1">
        <f t="shared" si="18"/>
        <v>332761728</v>
      </c>
      <c r="X311" t="s">
        <v>1083</v>
      </c>
      <c r="Z311" s="1">
        <v>41104</v>
      </c>
      <c r="AA311" s="1">
        <v>1.14173E-5</v>
      </c>
      <c r="AB311" t="str">
        <f>VLOOKUP(Z311,Nuclides!A:E,5,FALSE)</f>
        <v>Nb104</v>
      </c>
      <c r="AC311">
        <f>VLOOKUP(Sheet2!Z311,Nuclides!A:E,2,FALSE)</f>
        <v>63</v>
      </c>
      <c r="AD311">
        <f>VLOOKUP(Z311,Nuclides!A:E,3,FALSE)</f>
        <v>41</v>
      </c>
      <c r="AE311" s="1">
        <f t="shared" si="19"/>
        <v>142487904000</v>
      </c>
      <c r="AF311" t="s">
        <v>1055</v>
      </c>
    </row>
    <row r="312" spans="2:32" x14ac:dyDescent="0.2">
      <c r="B312">
        <v>55141</v>
      </c>
      <c r="C312" s="1">
        <v>1.8E-5</v>
      </c>
      <c r="D312" t="str">
        <f>VLOOKUP(B312,Nuclides!A:E,5,FALSE)</f>
        <v>Cs141</v>
      </c>
      <c r="E312">
        <f>VLOOKUP(Sheet2!B312,Nuclides!A:E,2,FALSE)</f>
        <v>86</v>
      </c>
      <c r="F312">
        <f>VLOOKUP(B312,Nuclides!A:E,3,FALSE)</f>
        <v>55</v>
      </c>
      <c r="G312" s="1">
        <f t="shared" si="16"/>
        <v>224640000000</v>
      </c>
      <c r="H312">
        <f>VLOOKUP(B312,Nuclides!A:E,4,FALSE)</f>
        <v>24.84</v>
      </c>
      <c r="J312" s="1">
        <v>54144</v>
      </c>
      <c r="K312" s="1">
        <v>1.9999999999999999E-6</v>
      </c>
      <c r="L312" t="str">
        <f>VLOOKUP(J312,Nuclides!A:E,5,FALSE)</f>
        <v>Xe144</v>
      </c>
      <c r="M312">
        <f>VLOOKUP(Sheet2!J312,Nuclides!A:E,2,FALSE)</f>
        <v>90</v>
      </c>
      <c r="N312">
        <f>VLOOKUP(J312,Nuclides!A:E,3,FALSE)</f>
        <v>54</v>
      </c>
      <c r="O312" s="1">
        <f t="shared" si="17"/>
        <v>24960000000</v>
      </c>
      <c r="R312" s="1">
        <v>42098</v>
      </c>
      <c r="S312" s="1">
        <v>1.3778500000000001E-7</v>
      </c>
      <c r="T312" t="str">
        <f>VLOOKUP(R312,Nuclides!A:E,5,FALSE)</f>
        <v>Mo98</v>
      </c>
      <c r="U312">
        <f>VLOOKUP(Sheet2!R312,Nuclides!A:E,2,FALSE)</f>
        <v>56</v>
      </c>
      <c r="V312">
        <f>VLOOKUP(R312,Nuclides!A:E,3,FALSE)</f>
        <v>42</v>
      </c>
      <c r="W312" s="1">
        <f t="shared" si="18"/>
        <v>1719556800.0000002</v>
      </c>
      <c r="X312" t="s">
        <v>1084</v>
      </c>
      <c r="Z312" s="1">
        <v>41105</v>
      </c>
      <c r="AA312" s="1">
        <v>9.5032000000000008E-6</v>
      </c>
      <c r="AB312" t="str">
        <f>VLOOKUP(Z312,Nuclides!A:E,5,FALSE)</f>
        <v>Nb105</v>
      </c>
      <c r="AC312">
        <f>VLOOKUP(Sheet2!Z312,Nuclides!A:E,2,FALSE)</f>
        <v>64</v>
      </c>
      <c r="AD312">
        <f>VLOOKUP(Z312,Nuclides!A:E,3,FALSE)</f>
        <v>41</v>
      </c>
      <c r="AE312" s="1">
        <f t="shared" si="19"/>
        <v>118599936000.00002</v>
      </c>
      <c r="AF312" t="s">
        <v>1056</v>
      </c>
    </row>
    <row r="313" spans="2:32" x14ac:dyDescent="0.2">
      <c r="B313">
        <v>55142</v>
      </c>
      <c r="C313" s="1">
        <v>1.2E-5</v>
      </c>
      <c r="D313" t="str">
        <f>VLOOKUP(B313,Nuclides!A:E,5,FALSE)</f>
        <v>Cs142</v>
      </c>
      <c r="E313">
        <f>VLOOKUP(Sheet2!B313,Nuclides!A:E,2,FALSE)</f>
        <v>87</v>
      </c>
      <c r="F313">
        <f>VLOOKUP(B313,Nuclides!A:E,3,FALSE)</f>
        <v>55</v>
      </c>
      <c r="G313" s="1">
        <f t="shared" si="16"/>
        <v>149760000000</v>
      </c>
      <c r="H313">
        <f>VLOOKUP(B313,Nuclides!A:E,4,FALSE)</f>
        <v>1.6839999999999999</v>
      </c>
      <c r="J313" s="1">
        <v>55134</v>
      </c>
      <c r="K313" s="1">
        <v>9.9999999999999995E-8</v>
      </c>
      <c r="L313" t="str">
        <f>VLOOKUP(J313,Nuclides!A:E,5,FALSE)</f>
        <v>Cs134</v>
      </c>
      <c r="M313">
        <f>VLOOKUP(Sheet2!J313,Nuclides!A:E,2,FALSE)</f>
        <v>79</v>
      </c>
      <c r="N313">
        <f>VLOOKUP(J313,Nuclides!A:E,3,FALSE)</f>
        <v>55</v>
      </c>
      <c r="O313" s="1">
        <f t="shared" si="17"/>
        <v>1248000000</v>
      </c>
      <c r="R313" s="1">
        <v>42099</v>
      </c>
      <c r="S313" s="1">
        <v>5.6489100000000005E-7</v>
      </c>
      <c r="T313" t="str">
        <f>VLOOKUP(R313,Nuclides!A:E,5,FALSE)</f>
        <v>Mo99</v>
      </c>
      <c r="U313">
        <f>VLOOKUP(Sheet2!R313,Nuclides!A:E,2,FALSE)</f>
        <v>57</v>
      </c>
      <c r="V313">
        <f>VLOOKUP(R313,Nuclides!A:E,3,FALSE)</f>
        <v>42</v>
      </c>
      <c r="W313" s="1">
        <f t="shared" si="18"/>
        <v>7049839680.000001</v>
      </c>
      <c r="X313" t="s">
        <v>1085</v>
      </c>
      <c r="Z313" s="1">
        <v>41106</v>
      </c>
      <c r="AA313" s="1">
        <v>3.67253E-6</v>
      </c>
      <c r="AB313" t="str">
        <f>VLOOKUP(Z313,Nuclides!A:E,5,FALSE)</f>
        <v>Nb106</v>
      </c>
      <c r="AC313">
        <f>VLOOKUP(Sheet2!Z313,Nuclides!A:E,2,FALSE)</f>
        <v>65</v>
      </c>
      <c r="AD313">
        <f>VLOOKUP(Z313,Nuclides!A:E,3,FALSE)</f>
        <v>41</v>
      </c>
      <c r="AE313" s="1">
        <f t="shared" si="19"/>
        <v>45833174400</v>
      </c>
      <c r="AF313" t="s">
        <v>1057</v>
      </c>
    </row>
    <row r="314" spans="2:32" x14ac:dyDescent="0.2">
      <c r="B314">
        <v>55143</v>
      </c>
      <c r="C314" s="1">
        <v>8.8999999999999995E-6</v>
      </c>
      <c r="D314" t="str">
        <f>VLOOKUP(B314,Nuclides!A:E,5,FALSE)</f>
        <v>Cs143</v>
      </c>
      <c r="E314">
        <f>VLOOKUP(Sheet2!B314,Nuclides!A:E,2,FALSE)</f>
        <v>88</v>
      </c>
      <c r="F314">
        <f>VLOOKUP(B314,Nuclides!A:E,3,FALSE)</f>
        <v>55</v>
      </c>
      <c r="G314" s="1">
        <f t="shared" si="16"/>
        <v>111072000000</v>
      </c>
      <c r="H314">
        <f>VLOOKUP(B314,Nuclides!A:E,4,FALSE)</f>
        <v>1.7909999999999999</v>
      </c>
      <c r="J314" s="1">
        <v>55135</v>
      </c>
      <c r="K314" s="1">
        <v>9.9999999999999995E-8</v>
      </c>
      <c r="L314" t="str">
        <f>VLOOKUP(J314,Nuclides!A:E,5,FALSE)</f>
        <v>Cs135</v>
      </c>
      <c r="M314">
        <f>VLOOKUP(Sheet2!J314,Nuclides!A:E,2,FALSE)</f>
        <v>80</v>
      </c>
      <c r="N314">
        <f>VLOOKUP(J314,Nuclides!A:E,3,FALSE)</f>
        <v>55</v>
      </c>
      <c r="O314" s="1">
        <f t="shared" si="17"/>
        <v>1248000000</v>
      </c>
      <c r="R314" s="1">
        <v>42100</v>
      </c>
      <c r="S314" s="1">
        <v>1.9744300000000001E-6</v>
      </c>
      <c r="T314" t="str">
        <f>VLOOKUP(R314,Nuclides!A:E,5,FALSE)</f>
        <v>Mo100</v>
      </c>
      <c r="U314">
        <f>VLOOKUP(Sheet2!R314,Nuclides!A:E,2,FALSE)</f>
        <v>58</v>
      </c>
      <c r="V314">
        <f>VLOOKUP(R314,Nuclides!A:E,3,FALSE)</f>
        <v>42</v>
      </c>
      <c r="W314" s="1">
        <f t="shared" si="18"/>
        <v>24640886400</v>
      </c>
      <c r="X314" t="s">
        <v>1086</v>
      </c>
      <c r="Z314" s="1">
        <v>42087</v>
      </c>
      <c r="AA314" s="1">
        <v>2.77825E-6</v>
      </c>
      <c r="AB314" t="str">
        <f>VLOOKUP(Z314,Nuclides!A:E,5,FALSE)</f>
        <v>Mo87</v>
      </c>
      <c r="AC314">
        <f>VLOOKUP(Sheet2!Z314,Nuclides!A:E,2,FALSE)</f>
        <v>45</v>
      </c>
      <c r="AD314">
        <f>VLOOKUP(Z314,Nuclides!A:E,3,FALSE)</f>
        <v>42</v>
      </c>
      <c r="AE314" s="1">
        <f t="shared" si="19"/>
        <v>34672560000</v>
      </c>
      <c r="AF314" t="s">
        <v>1073</v>
      </c>
    </row>
    <row r="315" spans="2:32" x14ac:dyDescent="0.2">
      <c r="B315">
        <v>55144</v>
      </c>
      <c r="C315" s="1">
        <v>3.1999999999999999E-6</v>
      </c>
      <c r="D315" t="str">
        <f>VLOOKUP(B315,Nuclides!A:E,5,FALSE)</f>
        <v>Cs144</v>
      </c>
      <c r="E315">
        <f>VLOOKUP(Sheet2!B315,Nuclides!A:E,2,FALSE)</f>
        <v>89</v>
      </c>
      <c r="F315">
        <f>VLOOKUP(B315,Nuclides!A:E,3,FALSE)</f>
        <v>55</v>
      </c>
      <c r="G315" s="1">
        <f t="shared" si="16"/>
        <v>39936000000</v>
      </c>
      <c r="H315">
        <f>VLOOKUP(B315,Nuclides!A:E,4,FALSE)</f>
        <v>0.99399999999999999</v>
      </c>
      <c r="J315" s="1">
        <v>55136</v>
      </c>
      <c r="K315" s="1">
        <v>8.9999999999999996E-7</v>
      </c>
      <c r="L315" t="str">
        <f>VLOOKUP(J315,Nuclides!A:E,5,FALSE)</f>
        <v>Cs136</v>
      </c>
      <c r="M315">
        <f>VLOOKUP(Sheet2!J315,Nuclides!A:E,2,FALSE)</f>
        <v>81</v>
      </c>
      <c r="N315">
        <f>VLOOKUP(J315,Nuclides!A:E,3,FALSE)</f>
        <v>55</v>
      </c>
      <c r="O315" s="1">
        <f t="shared" si="17"/>
        <v>11232000000</v>
      </c>
      <c r="R315" s="1">
        <v>42101</v>
      </c>
      <c r="S315" s="1">
        <v>5.4125700000000001E-6</v>
      </c>
      <c r="T315" t="str">
        <f>VLOOKUP(R315,Nuclides!A:E,5,FALSE)</f>
        <v>Mo101</v>
      </c>
      <c r="U315">
        <f>VLOOKUP(Sheet2!R315,Nuclides!A:E,2,FALSE)</f>
        <v>59</v>
      </c>
      <c r="V315">
        <f>VLOOKUP(R315,Nuclides!A:E,3,FALSE)</f>
        <v>42</v>
      </c>
      <c r="W315" s="1">
        <f t="shared" si="18"/>
        <v>67548873600</v>
      </c>
      <c r="X315" t="s">
        <v>1087</v>
      </c>
      <c r="Z315" s="1">
        <v>42088</v>
      </c>
      <c r="AA315" s="1">
        <v>1.35824E-6</v>
      </c>
      <c r="AB315" t="str">
        <f>VLOOKUP(Z315,Nuclides!A:E,5,FALSE)</f>
        <v>Mo88</v>
      </c>
      <c r="AC315">
        <f>VLOOKUP(Sheet2!Z315,Nuclides!A:E,2,FALSE)</f>
        <v>46</v>
      </c>
      <c r="AD315">
        <f>VLOOKUP(Z315,Nuclides!A:E,3,FALSE)</f>
        <v>42</v>
      </c>
      <c r="AE315" s="1">
        <f t="shared" si="19"/>
        <v>16950835200</v>
      </c>
      <c r="AF315" t="s">
        <v>1074</v>
      </c>
    </row>
    <row r="316" spans="2:32" x14ac:dyDescent="0.2">
      <c r="B316">
        <v>55145</v>
      </c>
      <c r="C316" s="1">
        <v>1.7E-6</v>
      </c>
      <c r="D316" t="str">
        <f>VLOOKUP(B316,Nuclides!A:E,5,FALSE)</f>
        <v>Cs145</v>
      </c>
      <c r="E316">
        <f>VLOOKUP(Sheet2!B316,Nuclides!A:E,2,FALSE)</f>
        <v>90</v>
      </c>
      <c r="F316">
        <f>VLOOKUP(B316,Nuclides!A:E,3,FALSE)</f>
        <v>55</v>
      </c>
      <c r="G316" s="1">
        <f t="shared" si="16"/>
        <v>21216000000</v>
      </c>
      <c r="H316">
        <f>VLOOKUP(B316,Nuclides!A:E,4,FALSE)</f>
        <v>0.58699999999999997</v>
      </c>
      <c r="J316" s="1">
        <v>55137</v>
      </c>
      <c r="K316" s="1">
        <v>3.8E-6</v>
      </c>
      <c r="L316" t="str">
        <f>VLOOKUP(J316,Nuclides!A:E,5,FALSE)</f>
        <v>Cs137</v>
      </c>
      <c r="M316">
        <f>VLOOKUP(Sheet2!J316,Nuclides!A:E,2,FALSE)</f>
        <v>82</v>
      </c>
      <c r="N316">
        <f>VLOOKUP(J316,Nuclides!A:E,3,FALSE)</f>
        <v>55</v>
      </c>
      <c r="O316" s="1">
        <f t="shared" si="17"/>
        <v>47424000000</v>
      </c>
      <c r="R316" s="1">
        <v>42102</v>
      </c>
      <c r="S316" s="1">
        <v>1.28553E-5</v>
      </c>
      <c r="T316" t="str">
        <f>VLOOKUP(R316,Nuclides!A:E,5,FALSE)</f>
        <v>Mo102</v>
      </c>
      <c r="U316">
        <f>VLOOKUP(Sheet2!R316,Nuclides!A:E,2,FALSE)</f>
        <v>60</v>
      </c>
      <c r="V316">
        <f>VLOOKUP(R316,Nuclides!A:E,3,FALSE)</f>
        <v>42</v>
      </c>
      <c r="W316" s="1">
        <f t="shared" si="18"/>
        <v>160434144000</v>
      </c>
      <c r="X316" t="s">
        <v>1088</v>
      </c>
      <c r="Z316" s="1">
        <v>42089</v>
      </c>
      <c r="AA316" s="1">
        <v>2.7221999999999999E-7</v>
      </c>
      <c r="AB316" t="str">
        <f>VLOOKUP(Z316,Nuclides!A:E,5,FALSE)</f>
        <v>Mo89</v>
      </c>
      <c r="AC316">
        <f>VLOOKUP(Sheet2!Z316,Nuclides!A:E,2,FALSE)</f>
        <v>47</v>
      </c>
      <c r="AD316">
        <f>VLOOKUP(Z316,Nuclides!A:E,3,FALSE)</f>
        <v>42</v>
      </c>
      <c r="AE316" s="1">
        <f t="shared" si="19"/>
        <v>3397305600</v>
      </c>
      <c r="AF316" t="s">
        <v>1075</v>
      </c>
    </row>
    <row r="317" spans="2:32" x14ac:dyDescent="0.2">
      <c r="B317">
        <v>55146</v>
      </c>
      <c r="C317" s="1">
        <v>8.9999999999999996E-7</v>
      </c>
      <c r="D317" t="str">
        <f>VLOOKUP(B317,Nuclides!A:E,5,FALSE)</f>
        <v>Cs146</v>
      </c>
      <c r="E317">
        <f>VLOOKUP(Sheet2!B317,Nuclides!A:E,2,FALSE)</f>
        <v>91</v>
      </c>
      <c r="F317">
        <f>VLOOKUP(B317,Nuclides!A:E,3,FALSE)</f>
        <v>55</v>
      </c>
      <c r="G317" s="1">
        <f t="shared" si="16"/>
        <v>11232000000</v>
      </c>
      <c r="H317">
        <f>VLOOKUP(B317,Nuclides!A:E,4,FALSE)</f>
        <v>0.32200000000000001</v>
      </c>
      <c r="J317" s="1">
        <v>55138</v>
      </c>
      <c r="K317" s="1">
        <v>9.7999999999999993E-6</v>
      </c>
      <c r="L317" t="str">
        <f>VLOOKUP(J317,Nuclides!A:E,5,FALSE)</f>
        <v>Cs138</v>
      </c>
      <c r="M317">
        <f>VLOOKUP(Sheet2!J317,Nuclides!A:E,2,FALSE)</f>
        <v>83</v>
      </c>
      <c r="N317">
        <f>VLOOKUP(J317,Nuclides!A:E,3,FALSE)</f>
        <v>55</v>
      </c>
      <c r="O317" s="1">
        <f t="shared" si="17"/>
        <v>122303999999.99998</v>
      </c>
      <c r="R317" s="1">
        <v>42103</v>
      </c>
      <c r="S317" s="1">
        <v>2.0372699999999999E-5</v>
      </c>
      <c r="T317" t="str">
        <f>VLOOKUP(R317,Nuclides!A:E,5,FALSE)</f>
        <v>Mo103</v>
      </c>
      <c r="U317">
        <f>VLOOKUP(Sheet2!R317,Nuclides!A:E,2,FALSE)</f>
        <v>61</v>
      </c>
      <c r="V317">
        <f>VLOOKUP(R317,Nuclides!A:E,3,FALSE)</f>
        <v>42</v>
      </c>
      <c r="W317" s="1">
        <f t="shared" si="18"/>
        <v>254251296000</v>
      </c>
      <c r="X317" t="s">
        <v>1089</v>
      </c>
      <c r="Z317" s="1">
        <v>42090</v>
      </c>
      <c r="AA317" s="1">
        <v>5.5909799999999998E-8</v>
      </c>
      <c r="AB317" t="str">
        <f>VLOOKUP(Z317,Nuclides!A:E,5,FALSE)</f>
        <v>Mo90</v>
      </c>
      <c r="AC317">
        <f>VLOOKUP(Sheet2!Z317,Nuclides!A:E,2,FALSE)</f>
        <v>48</v>
      </c>
      <c r="AD317">
        <f>VLOOKUP(Z317,Nuclides!A:E,3,FALSE)</f>
        <v>42</v>
      </c>
      <c r="AE317" s="1">
        <f t="shared" si="19"/>
        <v>697754304</v>
      </c>
      <c r="AF317" t="s">
        <v>1076</v>
      </c>
    </row>
    <row r="318" spans="2:32" x14ac:dyDescent="0.2">
      <c r="B318">
        <v>55147</v>
      </c>
      <c r="C318" s="1">
        <v>4.9999999999999998E-7</v>
      </c>
      <c r="D318" t="str">
        <f>VLOOKUP(B318,Nuclides!A:E,5,FALSE)</f>
        <v>Cs147</v>
      </c>
      <c r="E318">
        <f>VLOOKUP(Sheet2!B318,Nuclides!A:E,2,FALSE)</f>
        <v>92</v>
      </c>
      <c r="F318">
        <f>VLOOKUP(B318,Nuclides!A:E,3,FALSE)</f>
        <v>55</v>
      </c>
      <c r="G318" s="1">
        <f t="shared" si="16"/>
        <v>6240000000</v>
      </c>
      <c r="H318">
        <f>VLOOKUP(B318,Nuclides!A:E,4,FALSE)</f>
        <v>0.23</v>
      </c>
      <c r="J318" s="1">
        <v>55139</v>
      </c>
      <c r="K318" s="1">
        <v>2.5199999999999999E-5</v>
      </c>
      <c r="L318" t="str">
        <f>VLOOKUP(J318,Nuclides!A:E,5,FALSE)</f>
        <v>Cs139</v>
      </c>
      <c r="M318">
        <f>VLOOKUP(Sheet2!J318,Nuclides!A:E,2,FALSE)</f>
        <v>84</v>
      </c>
      <c r="N318">
        <f>VLOOKUP(J318,Nuclides!A:E,3,FALSE)</f>
        <v>55</v>
      </c>
      <c r="O318" s="1">
        <f t="shared" si="17"/>
        <v>314496000000</v>
      </c>
      <c r="R318" s="1">
        <v>42104</v>
      </c>
      <c r="S318" s="1">
        <v>2.5771599999999999E-5</v>
      </c>
      <c r="T318" t="str">
        <f>VLOOKUP(R318,Nuclides!A:E,5,FALSE)</f>
        <v>Mo104</v>
      </c>
      <c r="U318">
        <f>VLOOKUP(Sheet2!R318,Nuclides!A:E,2,FALSE)</f>
        <v>62</v>
      </c>
      <c r="V318">
        <f>VLOOKUP(R318,Nuclides!A:E,3,FALSE)</f>
        <v>42</v>
      </c>
      <c r="W318" s="1">
        <f t="shared" si="18"/>
        <v>321629568000</v>
      </c>
      <c r="X318" t="s">
        <v>1090</v>
      </c>
      <c r="Z318" s="1">
        <v>42091</v>
      </c>
      <c r="AA318" s="1">
        <v>2.10098E-8</v>
      </c>
      <c r="AB318" t="str">
        <f>VLOOKUP(Z318,Nuclides!A:E,5,FALSE)</f>
        <v>Mo91</v>
      </c>
      <c r="AC318">
        <f>VLOOKUP(Sheet2!Z318,Nuclides!A:E,2,FALSE)</f>
        <v>49</v>
      </c>
      <c r="AD318">
        <f>VLOOKUP(Z318,Nuclides!A:E,3,FALSE)</f>
        <v>42</v>
      </c>
      <c r="AE318" s="1">
        <f t="shared" si="19"/>
        <v>262202304</v>
      </c>
      <c r="AF318" t="s">
        <v>1077</v>
      </c>
    </row>
    <row r="319" spans="2:32" x14ac:dyDescent="0.2">
      <c r="B319">
        <v>55148</v>
      </c>
      <c r="C319" s="1">
        <v>9.9999999999999995E-8</v>
      </c>
      <c r="D319" t="str">
        <f>VLOOKUP(B319,Nuclides!A:E,5,FALSE)</f>
        <v>Cs148</v>
      </c>
      <c r="E319">
        <f>VLOOKUP(Sheet2!B319,Nuclides!A:E,2,FALSE)</f>
        <v>93</v>
      </c>
      <c r="F319">
        <f>VLOOKUP(B319,Nuclides!A:E,3,FALSE)</f>
        <v>55</v>
      </c>
      <c r="G319" s="1">
        <f t="shared" si="16"/>
        <v>1248000000</v>
      </c>
      <c r="H319">
        <f>VLOOKUP(B319,Nuclides!A:E,4,FALSE)</f>
        <v>0.14599999999999999</v>
      </c>
      <c r="J319" s="1">
        <v>55140</v>
      </c>
      <c r="K319" s="1">
        <v>3.8000000000000002E-5</v>
      </c>
      <c r="L319" t="str">
        <f>VLOOKUP(J319,Nuclides!A:E,5,FALSE)</f>
        <v>Cs140</v>
      </c>
      <c r="M319">
        <f>VLOOKUP(Sheet2!J319,Nuclides!A:E,2,FALSE)</f>
        <v>85</v>
      </c>
      <c r="N319">
        <f>VLOOKUP(J319,Nuclides!A:E,3,FALSE)</f>
        <v>55</v>
      </c>
      <c r="O319" s="1">
        <f t="shared" si="17"/>
        <v>474240000000</v>
      </c>
      <c r="R319" s="1">
        <v>42105</v>
      </c>
      <c r="S319" s="1">
        <v>2.09034E-5</v>
      </c>
      <c r="T319" t="str">
        <f>VLOOKUP(R319,Nuclides!A:E,5,FALSE)</f>
        <v>Mo105</v>
      </c>
      <c r="U319">
        <f>VLOOKUP(Sheet2!R319,Nuclides!A:E,2,FALSE)</f>
        <v>63</v>
      </c>
      <c r="V319">
        <f>VLOOKUP(R319,Nuclides!A:E,3,FALSE)</f>
        <v>42</v>
      </c>
      <c r="W319" s="1">
        <f t="shared" si="18"/>
        <v>260874432000</v>
      </c>
      <c r="X319" t="s">
        <v>1091</v>
      </c>
      <c r="Z319" s="1">
        <v>42092</v>
      </c>
      <c r="AA319" s="1">
        <v>3.6296E-9</v>
      </c>
      <c r="AB319" t="str">
        <f>VLOOKUP(Z319,Nuclides!A:E,5,FALSE)</f>
        <v>Mo92</v>
      </c>
      <c r="AC319">
        <f>VLOOKUP(Sheet2!Z319,Nuclides!A:E,2,FALSE)</f>
        <v>50</v>
      </c>
      <c r="AD319">
        <f>VLOOKUP(Z319,Nuclides!A:E,3,FALSE)</f>
        <v>42</v>
      </c>
      <c r="AE319" s="1">
        <f t="shared" si="19"/>
        <v>45297408</v>
      </c>
      <c r="AF319" t="s">
        <v>1078</v>
      </c>
    </row>
    <row r="320" spans="2:32" x14ac:dyDescent="0.2">
      <c r="B320">
        <v>56136</v>
      </c>
      <c r="C320" s="1">
        <v>9.9999999999999995E-8</v>
      </c>
      <c r="D320" t="str">
        <f>VLOOKUP(B320,Nuclides!A:E,5,FALSE)</f>
        <v>Ba136</v>
      </c>
      <c r="E320">
        <f>VLOOKUP(Sheet2!B320,Nuclides!A:E,2,FALSE)</f>
        <v>80</v>
      </c>
      <c r="F320">
        <f>VLOOKUP(B320,Nuclides!A:E,3,FALSE)</f>
        <v>56</v>
      </c>
      <c r="G320" s="1">
        <f t="shared" si="16"/>
        <v>1248000000</v>
      </c>
      <c r="H320" t="str">
        <f>VLOOKUP(B320,Nuclides!A:E,4,FALSE)</f>
        <v>STABLE</v>
      </c>
      <c r="J320" s="1">
        <v>55141</v>
      </c>
      <c r="K320" s="1">
        <v>6.1099999999999994E-5</v>
      </c>
      <c r="L320" t="str">
        <f>VLOOKUP(J320,Nuclides!A:E,5,FALSE)</f>
        <v>Cs141</v>
      </c>
      <c r="M320">
        <f>VLOOKUP(Sheet2!J320,Nuclides!A:E,2,FALSE)</f>
        <v>86</v>
      </c>
      <c r="N320">
        <f>VLOOKUP(J320,Nuclides!A:E,3,FALSE)</f>
        <v>55</v>
      </c>
      <c r="O320" s="1">
        <f t="shared" si="17"/>
        <v>762527999999.99988</v>
      </c>
      <c r="R320" s="1">
        <v>42106</v>
      </c>
      <c r="S320" s="1">
        <v>1.37088E-5</v>
      </c>
      <c r="T320" t="str">
        <f>VLOOKUP(R320,Nuclides!A:E,5,FALSE)</f>
        <v>Mo106</v>
      </c>
      <c r="U320">
        <f>VLOOKUP(Sheet2!R320,Nuclides!A:E,2,FALSE)</f>
        <v>64</v>
      </c>
      <c r="V320">
        <f>VLOOKUP(R320,Nuclides!A:E,3,FALSE)</f>
        <v>42</v>
      </c>
      <c r="W320" s="1">
        <f t="shared" si="18"/>
        <v>171085824000</v>
      </c>
      <c r="X320" t="s">
        <v>1092</v>
      </c>
      <c r="Z320" s="1">
        <v>42093</v>
      </c>
      <c r="AA320" s="1">
        <v>7.6779999999999997E-10</v>
      </c>
      <c r="AB320" t="str">
        <f>VLOOKUP(Z320,Nuclides!A:E,5,FALSE)</f>
        <v>Mo93</v>
      </c>
      <c r="AC320">
        <f>VLOOKUP(Sheet2!Z320,Nuclides!A:E,2,FALSE)</f>
        <v>51</v>
      </c>
      <c r="AD320">
        <f>VLOOKUP(Z320,Nuclides!A:E,3,FALSE)</f>
        <v>42</v>
      </c>
      <c r="AE320" s="1">
        <f t="shared" si="19"/>
        <v>9582144</v>
      </c>
      <c r="AF320" t="s">
        <v>1079</v>
      </c>
    </row>
    <row r="321" spans="2:32" x14ac:dyDescent="0.2">
      <c r="B321">
        <v>56137</v>
      </c>
      <c r="C321" s="1">
        <v>1.9999999999999999E-7</v>
      </c>
      <c r="D321" t="str">
        <f>VLOOKUP(B321,Nuclides!A:E,5,FALSE)</f>
        <v>Ba137</v>
      </c>
      <c r="E321">
        <f>VLOOKUP(Sheet2!B321,Nuclides!A:E,2,FALSE)</f>
        <v>81</v>
      </c>
      <c r="F321">
        <f>VLOOKUP(B321,Nuclides!A:E,3,FALSE)</f>
        <v>56</v>
      </c>
      <c r="G321" s="1">
        <f t="shared" si="16"/>
        <v>2496000000</v>
      </c>
      <c r="H321" t="str">
        <f>VLOOKUP(B321,Nuclides!A:E,4,FALSE)</f>
        <v>STABLE</v>
      </c>
      <c r="J321" s="1">
        <v>55142</v>
      </c>
      <c r="K321" s="1">
        <v>5.2800000000000003E-5</v>
      </c>
      <c r="L321" t="str">
        <f>VLOOKUP(J321,Nuclides!A:E,5,FALSE)</f>
        <v>Cs142</v>
      </c>
      <c r="M321">
        <f>VLOOKUP(Sheet2!J321,Nuclides!A:E,2,FALSE)</f>
        <v>87</v>
      </c>
      <c r="N321">
        <f>VLOOKUP(J321,Nuclides!A:E,3,FALSE)</f>
        <v>55</v>
      </c>
      <c r="O321" s="1">
        <f t="shared" si="17"/>
        <v>658944000000</v>
      </c>
      <c r="R321" s="1">
        <v>42107</v>
      </c>
      <c r="S321" s="1">
        <v>6.7137099999999996E-6</v>
      </c>
      <c r="T321" t="str">
        <f>VLOOKUP(R321,Nuclides!A:E,5,FALSE)</f>
        <v>Mo107</v>
      </c>
      <c r="U321">
        <f>VLOOKUP(Sheet2!R321,Nuclides!A:E,2,FALSE)</f>
        <v>65</v>
      </c>
      <c r="V321">
        <f>VLOOKUP(R321,Nuclides!A:E,3,FALSE)</f>
        <v>42</v>
      </c>
      <c r="W321" s="1">
        <f t="shared" si="18"/>
        <v>83787100800</v>
      </c>
      <c r="X321" t="s">
        <v>1093</v>
      </c>
      <c r="Z321" s="1">
        <v>42097</v>
      </c>
      <c r="AA321" s="1">
        <v>3.4899999999999998E-10</v>
      </c>
      <c r="AB321" t="str">
        <f>VLOOKUP(Z321,Nuclides!A:E,5,FALSE)</f>
        <v>Mo97</v>
      </c>
      <c r="AC321">
        <f>VLOOKUP(Sheet2!Z321,Nuclides!A:E,2,FALSE)</f>
        <v>55</v>
      </c>
      <c r="AD321">
        <f>VLOOKUP(Z321,Nuclides!A:E,3,FALSE)</f>
        <v>42</v>
      </c>
      <c r="AE321" s="1">
        <f t="shared" si="19"/>
        <v>4355520</v>
      </c>
      <c r="AF321" t="s">
        <v>1083</v>
      </c>
    </row>
    <row r="322" spans="2:32" x14ac:dyDescent="0.2">
      <c r="B322">
        <v>56138</v>
      </c>
      <c r="C322" s="1">
        <v>1.9E-6</v>
      </c>
      <c r="D322" t="str">
        <f>VLOOKUP(B322,Nuclides!A:E,5,FALSE)</f>
        <v>Ba138</v>
      </c>
      <c r="E322">
        <f>VLOOKUP(Sheet2!B322,Nuclides!A:E,2,FALSE)</f>
        <v>82</v>
      </c>
      <c r="F322">
        <f>VLOOKUP(B322,Nuclides!A:E,3,FALSE)</f>
        <v>56</v>
      </c>
      <c r="G322" s="1">
        <f t="shared" si="16"/>
        <v>23712000000</v>
      </c>
      <c r="H322" t="str">
        <f>VLOOKUP(B322,Nuclides!A:E,4,FALSE)</f>
        <v>STABLE</v>
      </c>
      <c r="J322" s="1">
        <v>55143</v>
      </c>
      <c r="K322" s="1">
        <v>4.5800000000000002E-5</v>
      </c>
      <c r="L322" t="str">
        <f>VLOOKUP(J322,Nuclides!A:E,5,FALSE)</f>
        <v>Cs143</v>
      </c>
      <c r="M322">
        <f>VLOOKUP(Sheet2!J322,Nuclides!A:E,2,FALSE)</f>
        <v>88</v>
      </c>
      <c r="N322">
        <f>VLOOKUP(J322,Nuclides!A:E,3,FALSE)</f>
        <v>55</v>
      </c>
      <c r="O322" s="1">
        <f t="shared" si="17"/>
        <v>571584000000</v>
      </c>
      <c r="R322" s="1">
        <v>42108</v>
      </c>
      <c r="S322" s="1">
        <v>3.2891200000000001E-6</v>
      </c>
      <c r="T322" t="str">
        <f>VLOOKUP(R322,Nuclides!A:E,5,FALSE)</f>
        <v>Mo108</v>
      </c>
      <c r="U322">
        <f>VLOOKUP(Sheet2!R322,Nuclides!A:E,2,FALSE)</f>
        <v>66</v>
      </c>
      <c r="V322">
        <f>VLOOKUP(R322,Nuclides!A:E,3,FALSE)</f>
        <v>42</v>
      </c>
      <c r="W322" s="1">
        <f t="shared" si="18"/>
        <v>41048217600</v>
      </c>
      <c r="X322" t="s">
        <v>1094</v>
      </c>
      <c r="Z322" s="1">
        <v>42098</v>
      </c>
      <c r="AA322" s="1">
        <v>6.631E-9</v>
      </c>
      <c r="AB322" t="str">
        <f>VLOOKUP(Z322,Nuclides!A:E,5,FALSE)</f>
        <v>Mo98</v>
      </c>
      <c r="AC322">
        <f>VLOOKUP(Sheet2!Z322,Nuclides!A:E,2,FALSE)</f>
        <v>56</v>
      </c>
      <c r="AD322">
        <f>VLOOKUP(Z322,Nuclides!A:E,3,FALSE)</f>
        <v>42</v>
      </c>
      <c r="AE322" s="1">
        <f t="shared" si="19"/>
        <v>82754880</v>
      </c>
      <c r="AF322" t="s">
        <v>1084</v>
      </c>
    </row>
    <row r="323" spans="2:32" x14ac:dyDescent="0.2">
      <c r="B323">
        <v>56139</v>
      </c>
      <c r="C323" s="1">
        <v>3.0000000000000001E-6</v>
      </c>
      <c r="D323" t="str">
        <f>VLOOKUP(B323,Nuclides!A:E,5,FALSE)</f>
        <v>Ba139</v>
      </c>
      <c r="E323">
        <f>VLOOKUP(Sheet2!B323,Nuclides!A:E,2,FALSE)</f>
        <v>83</v>
      </c>
      <c r="F323">
        <f>VLOOKUP(B323,Nuclides!A:E,3,FALSE)</f>
        <v>56</v>
      </c>
      <c r="G323" s="1">
        <f t="shared" si="16"/>
        <v>37440000000</v>
      </c>
      <c r="H323">
        <f>VLOOKUP(B323,Nuclides!A:E,4,FALSE)</f>
        <v>4983.6000000000004</v>
      </c>
      <c r="J323" s="1">
        <v>55144</v>
      </c>
      <c r="K323" s="1">
        <v>2.2099999999999998E-5</v>
      </c>
      <c r="L323" t="str">
        <f>VLOOKUP(J323,Nuclides!A:E,5,FALSE)</f>
        <v>Cs144</v>
      </c>
      <c r="M323">
        <f>VLOOKUP(Sheet2!J323,Nuclides!A:E,2,FALSE)</f>
        <v>89</v>
      </c>
      <c r="N323">
        <f>VLOOKUP(J323,Nuclides!A:E,3,FALSE)</f>
        <v>55</v>
      </c>
      <c r="O323" s="1">
        <f t="shared" si="17"/>
        <v>275808000000</v>
      </c>
      <c r="R323" s="1">
        <v>43090</v>
      </c>
      <c r="S323" s="1">
        <v>1.40403E-6</v>
      </c>
      <c r="T323" t="str">
        <f>VLOOKUP(R323,Nuclides!A:E,5,FALSE)</f>
        <v>Tc90</v>
      </c>
      <c r="U323">
        <f>VLOOKUP(Sheet2!R323,Nuclides!A:E,2,FALSE)</f>
        <v>47</v>
      </c>
      <c r="V323">
        <f>VLOOKUP(R323,Nuclides!A:E,3,FALSE)</f>
        <v>43</v>
      </c>
      <c r="W323" s="1">
        <f t="shared" si="18"/>
        <v>17522294400</v>
      </c>
      <c r="X323" t="s">
        <v>1110</v>
      </c>
      <c r="Z323" s="1">
        <v>42099</v>
      </c>
      <c r="AA323" s="1">
        <v>3.77618E-8</v>
      </c>
      <c r="AB323" t="str">
        <f>VLOOKUP(Z323,Nuclides!A:E,5,FALSE)</f>
        <v>Mo99</v>
      </c>
      <c r="AC323">
        <f>VLOOKUP(Sheet2!Z323,Nuclides!A:E,2,FALSE)</f>
        <v>57</v>
      </c>
      <c r="AD323">
        <f>VLOOKUP(Z323,Nuclides!A:E,3,FALSE)</f>
        <v>42</v>
      </c>
      <c r="AE323" s="1">
        <f t="shared" si="19"/>
        <v>471267264</v>
      </c>
      <c r="AF323" t="s">
        <v>1085</v>
      </c>
    </row>
    <row r="324" spans="2:32" x14ac:dyDescent="0.2">
      <c r="B324">
        <v>56140</v>
      </c>
      <c r="C324" s="1">
        <v>8.3999999999999992E-6</v>
      </c>
      <c r="D324" t="str">
        <f>VLOOKUP(B324,Nuclides!A:E,5,FALSE)</f>
        <v>Ba140</v>
      </c>
      <c r="E324">
        <f>VLOOKUP(Sheet2!B324,Nuclides!A:E,2,FALSE)</f>
        <v>84</v>
      </c>
      <c r="F324">
        <f>VLOOKUP(B324,Nuclides!A:E,3,FALSE)</f>
        <v>56</v>
      </c>
      <c r="G324" s="1">
        <f t="shared" ref="G324:G387" si="20">C324*12480000000000000</f>
        <v>104831999999.99998</v>
      </c>
      <c r="H324">
        <f>VLOOKUP(B324,Nuclides!A:E,4,FALSE)</f>
        <v>1101833.28</v>
      </c>
      <c r="J324" s="1">
        <v>55145</v>
      </c>
      <c r="K324" s="1">
        <v>8.6999999999999997E-6</v>
      </c>
      <c r="L324" t="str">
        <f>VLOOKUP(J324,Nuclides!A:E,5,FALSE)</f>
        <v>Cs145</v>
      </c>
      <c r="M324">
        <f>VLOOKUP(Sheet2!J324,Nuclides!A:E,2,FALSE)</f>
        <v>90</v>
      </c>
      <c r="N324">
        <f>VLOOKUP(J324,Nuclides!A:E,3,FALSE)</f>
        <v>55</v>
      </c>
      <c r="O324" s="1">
        <f t="shared" ref="O324:O387" si="21">K324*12480000000000000</f>
        <v>108576000000</v>
      </c>
      <c r="R324" s="1">
        <v>43091</v>
      </c>
      <c r="S324" s="1">
        <v>6.1542699999999997E-7</v>
      </c>
      <c r="T324" t="str">
        <f>VLOOKUP(R324,Nuclides!A:E,5,FALSE)</f>
        <v>Tc91</v>
      </c>
      <c r="U324">
        <f>VLOOKUP(Sheet2!R324,Nuclides!A:E,2,FALSE)</f>
        <v>48</v>
      </c>
      <c r="V324">
        <f>VLOOKUP(R324,Nuclides!A:E,3,FALSE)</f>
        <v>43</v>
      </c>
      <c r="W324" s="1">
        <f t="shared" ref="W324:W387" si="22">S324*12480000000000000</f>
        <v>7680528960</v>
      </c>
      <c r="X324" t="s">
        <v>1111</v>
      </c>
      <c r="Z324" s="1">
        <v>42100</v>
      </c>
      <c r="AA324" s="1">
        <v>2.7940900000000001E-7</v>
      </c>
      <c r="AB324" t="str">
        <f>VLOOKUP(Z324,Nuclides!A:E,5,FALSE)</f>
        <v>Mo100</v>
      </c>
      <c r="AC324">
        <f>VLOOKUP(Sheet2!Z324,Nuclides!A:E,2,FALSE)</f>
        <v>58</v>
      </c>
      <c r="AD324">
        <f>VLOOKUP(Z324,Nuclides!A:E,3,FALSE)</f>
        <v>42</v>
      </c>
      <c r="AE324" s="1">
        <f t="shared" ref="AE324:AE387" si="23">AA324*12480000000000000</f>
        <v>3487024320</v>
      </c>
      <c r="AF324" t="s">
        <v>1086</v>
      </c>
    </row>
    <row r="325" spans="2:32" x14ac:dyDescent="0.2">
      <c r="B325">
        <v>56141</v>
      </c>
      <c r="C325" s="1">
        <v>8.8000000000000004E-6</v>
      </c>
      <c r="D325" t="str">
        <f>VLOOKUP(B325,Nuclides!A:E,5,FALSE)</f>
        <v>Ba141</v>
      </c>
      <c r="E325">
        <f>VLOOKUP(Sheet2!B325,Nuclides!A:E,2,FALSE)</f>
        <v>85</v>
      </c>
      <c r="F325">
        <f>VLOOKUP(B325,Nuclides!A:E,3,FALSE)</f>
        <v>56</v>
      </c>
      <c r="G325" s="1">
        <f t="shared" si="20"/>
        <v>109824000000</v>
      </c>
      <c r="H325">
        <f>VLOOKUP(B325,Nuclides!A:E,4,FALSE)</f>
        <v>1096.2</v>
      </c>
      <c r="J325" s="1">
        <v>55146</v>
      </c>
      <c r="K325" s="1">
        <v>2.3E-6</v>
      </c>
      <c r="L325" t="str">
        <f>VLOOKUP(J325,Nuclides!A:E,5,FALSE)</f>
        <v>Cs146</v>
      </c>
      <c r="M325">
        <f>VLOOKUP(Sheet2!J325,Nuclides!A:E,2,FALSE)</f>
        <v>91</v>
      </c>
      <c r="N325">
        <f>VLOOKUP(J325,Nuclides!A:E,3,FALSE)</f>
        <v>55</v>
      </c>
      <c r="O325" s="1">
        <f t="shared" si="21"/>
        <v>28704000000</v>
      </c>
      <c r="R325" s="1">
        <v>43092</v>
      </c>
      <c r="S325" s="1">
        <v>2.05352E-7</v>
      </c>
      <c r="T325" t="str">
        <f>VLOOKUP(R325,Nuclides!A:E,5,FALSE)</f>
        <v>Tc92</v>
      </c>
      <c r="U325">
        <f>VLOOKUP(Sheet2!R325,Nuclides!A:E,2,FALSE)</f>
        <v>49</v>
      </c>
      <c r="V325">
        <f>VLOOKUP(R325,Nuclides!A:E,3,FALSE)</f>
        <v>43</v>
      </c>
      <c r="W325" s="1">
        <f t="shared" si="22"/>
        <v>2562792960</v>
      </c>
      <c r="X325" t="s">
        <v>1112</v>
      </c>
      <c r="Z325" s="1">
        <v>42101</v>
      </c>
      <c r="AA325" s="1">
        <v>7.329E-7</v>
      </c>
      <c r="AB325" t="str">
        <f>VLOOKUP(Z325,Nuclides!A:E,5,FALSE)</f>
        <v>Mo101</v>
      </c>
      <c r="AC325">
        <f>VLOOKUP(Sheet2!Z325,Nuclides!A:E,2,FALSE)</f>
        <v>59</v>
      </c>
      <c r="AD325">
        <f>VLOOKUP(Z325,Nuclides!A:E,3,FALSE)</f>
        <v>42</v>
      </c>
      <c r="AE325" s="1">
        <f t="shared" si="23"/>
        <v>9146592000</v>
      </c>
      <c r="AF325" t="s">
        <v>1087</v>
      </c>
    </row>
    <row r="326" spans="2:32" x14ac:dyDescent="0.2">
      <c r="B326">
        <v>56142</v>
      </c>
      <c r="C326" s="1">
        <v>1.17E-5</v>
      </c>
      <c r="D326" t="str">
        <f>VLOOKUP(B326,Nuclides!A:E,5,FALSE)</f>
        <v>Ba142</v>
      </c>
      <c r="E326">
        <f>VLOOKUP(Sheet2!B326,Nuclides!A:E,2,FALSE)</f>
        <v>86</v>
      </c>
      <c r="F326">
        <f>VLOOKUP(B326,Nuclides!A:E,3,FALSE)</f>
        <v>56</v>
      </c>
      <c r="G326" s="1">
        <f t="shared" si="20"/>
        <v>146016000000</v>
      </c>
      <c r="H326">
        <f>VLOOKUP(B326,Nuclides!A:E,4,FALSE)</f>
        <v>636</v>
      </c>
      <c r="J326" s="1">
        <v>55147</v>
      </c>
      <c r="K326" s="1">
        <v>8.9999999999999996E-7</v>
      </c>
      <c r="L326" t="str">
        <f>VLOOKUP(J326,Nuclides!A:E,5,FALSE)</f>
        <v>Cs147</v>
      </c>
      <c r="M326">
        <f>VLOOKUP(Sheet2!J326,Nuclides!A:E,2,FALSE)</f>
        <v>92</v>
      </c>
      <c r="N326">
        <f>VLOOKUP(J326,Nuclides!A:E,3,FALSE)</f>
        <v>55</v>
      </c>
      <c r="O326" s="1">
        <f t="shared" si="21"/>
        <v>11232000000</v>
      </c>
      <c r="R326" s="1">
        <v>43093</v>
      </c>
      <c r="S326" s="1">
        <v>6.3866999999999999E-8</v>
      </c>
      <c r="T326" t="str">
        <f>VLOOKUP(R326,Nuclides!A:E,5,FALSE)</f>
        <v>Tc93</v>
      </c>
      <c r="U326">
        <f>VLOOKUP(Sheet2!R326,Nuclides!A:E,2,FALSE)</f>
        <v>50</v>
      </c>
      <c r="V326">
        <f>VLOOKUP(R326,Nuclides!A:E,3,FALSE)</f>
        <v>43</v>
      </c>
      <c r="W326" s="1">
        <f t="shared" si="22"/>
        <v>797060160</v>
      </c>
      <c r="X326" t="s">
        <v>1113</v>
      </c>
      <c r="Z326" s="1">
        <v>42102</v>
      </c>
      <c r="AA326" s="1">
        <v>3.9265999999999998E-6</v>
      </c>
      <c r="AB326" t="str">
        <f>VLOOKUP(Z326,Nuclides!A:E,5,FALSE)</f>
        <v>Mo102</v>
      </c>
      <c r="AC326">
        <f>VLOOKUP(Sheet2!Z326,Nuclides!A:E,2,FALSE)</f>
        <v>60</v>
      </c>
      <c r="AD326">
        <f>VLOOKUP(Z326,Nuclides!A:E,3,FALSE)</f>
        <v>42</v>
      </c>
      <c r="AE326" s="1">
        <f t="shared" si="23"/>
        <v>49003968000</v>
      </c>
      <c r="AF326" t="s">
        <v>1088</v>
      </c>
    </row>
    <row r="327" spans="2:32" x14ac:dyDescent="0.2">
      <c r="B327">
        <v>56143</v>
      </c>
      <c r="C327" s="1">
        <v>1.1E-5</v>
      </c>
      <c r="D327" t="str">
        <f>VLOOKUP(B327,Nuclides!A:E,5,FALSE)</f>
        <v>Ba143</v>
      </c>
      <c r="E327">
        <f>VLOOKUP(Sheet2!B327,Nuclides!A:E,2,FALSE)</f>
        <v>87</v>
      </c>
      <c r="F327">
        <f>VLOOKUP(B327,Nuclides!A:E,3,FALSE)</f>
        <v>56</v>
      </c>
      <c r="G327" s="1">
        <f t="shared" si="20"/>
        <v>137280000000</v>
      </c>
      <c r="H327">
        <f>VLOOKUP(B327,Nuclides!A:E,4,FALSE)</f>
        <v>14.5</v>
      </c>
      <c r="J327" s="1">
        <v>56137</v>
      </c>
      <c r="K327" s="1">
        <v>1.9999999999999999E-7</v>
      </c>
      <c r="L327" t="str">
        <f>VLOOKUP(J327,Nuclides!A:E,5,FALSE)</f>
        <v>Ba137</v>
      </c>
      <c r="M327">
        <f>VLOOKUP(Sheet2!J327,Nuclides!A:E,2,FALSE)</f>
        <v>81</v>
      </c>
      <c r="N327">
        <f>VLOOKUP(J327,Nuclides!A:E,3,FALSE)</f>
        <v>56</v>
      </c>
      <c r="O327" s="1">
        <f t="shared" si="21"/>
        <v>2496000000</v>
      </c>
      <c r="R327" s="1">
        <v>43094</v>
      </c>
      <c r="S327" s="1">
        <v>1.5355999999999999E-8</v>
      </c>
      <c r="T327" t="str">
        <f>VLOOKUP(R327,Nuclides!A:E,5,FALSE)</f>
        <v>Tc94</v>
      </c>
      <c r="U327">
        <f>VLOOKUP(Sheet2!R327,Nuclides!A:E,2,FALSE)</f>
        <v>51</v>
      </c>
      <c r="V327">
        <f>VLOOKUP(R327,Nuclides!A:E,3,FALSE)</f>
        <v>43</v>
      </c>
      <c r="W327" s="1">
        <f t="shared" si="22"/>
        <v>191642879.99999997</v>
      </c>
      <c r="X327" t="s">
        <v>1114</v>
      </c>
      <c r="Z327" s="1">
        <v>42103</v>
      </c>
      <c r="AA327" s="1">
        <v>5.9638499999999997E-6</v>
      </c>
      <c r="AB327" t="str">
        <f>VLOOKUP(Z327,Nuclides!A:E,5,FALSE)</f>
        <v>Mo103</v>
      </c>
      <c r="AC327">
        <f>VLOOKUP(Sheet2!Z327,Nuclides!A:E,2,FALSE)</f>
        <v>61</v>
      </c>
      <c r="AD327">
        <f>VLOOKUP(Z327,Nuclides!A:E,3,FALSE)</f>
        <v>42</v>
      </c>
      <c r="AE327" s="1">
        <f t="shared" si="23"/>
        <v>74428848000</v>
      </c>
      <c r="AF327" t="s">
        <v>1089</v>
      </c>
    </row>
    <row r="328" spans="2:32" x14ac:dyDescent="0.2">
      <c r="B328">
        <v>56144</v>
      </c>
      <c r="C328" s="1">
        <v>1.24E-5</v>
      </c>
      <c r="D328" t="str">
        <f>VLOOKUP(B328,Nuclides!A:E,5,FALSE)</f>
        <v>Ba144</v>
      </c>
      <c r="E328">
        <f>VLOOKUP(Sheet2!B328,Nuclides!A:E,2,FALSE)</f>
        <v>88</v>
      </c>
      <c r="F328">
        <f>VLOOKUP(B328,Nuclides!A:E,3,FALSE)</f>
        <v>56</v>
      </c>
      <c r="G328" s="1">
        <f t="shared" si="20"/>
        <v>154752000000</v>
      </c>
      <c r="H328">
        <f>VLOOKUP(B328,Nuclides!A:E,4,FALSE)</f>
        <v>11.5</v>
      </c>
      <c r="J328" s="1">
        <v>56138</v>
      </c>
      <c r="K328" s="1">
        <v>6.9999999999999997E-7</v>
      </c>
      <c r="L328" t="str">
        <f>VLOOKUP(J328,Nuclides!A:E,5,FALSE)</f>
        <v>Ba138</v>
      </c>
      <c r="M328">
        <f>VLOOKUP(Sheet2!J328,Nuclides!A:E,2,FALSE)</f>
        <v>82</v>
      </c>
      <c r="N328">
        <f>VLOOKUP(J328,Nuclides!A:E,3,FALSE)</f>
        <v>56</v>
      </c>
      <c r="O328" s="1">
        <f t="shared" si="21"/>
        <v>8736000000</v>
      </c>
      <c r="R328" s="1">
        <v>43095</v>
      </c>
      <c r="S328" s="1">
        <v>5.1652000000000003E-9</v>
      </c>
      <c r="T328" t="str">
        <f>VLOOKUP(R328,Nuclides!A:E,5,FALSE)</f>
        <v>Tc95</v>
      </c>
      <c r="U328">
        <f>VLOOKUP(Sheet2!R328,Nuclides!A:E,2,FALSE)</f>
        <v>52</v>
      </c>
      <c r="V328">
        <f>VLOOKUP(R328,Nuclides!A:E,3,FALSE)</f>
        <v>43</v>
      </c>
      <c r="W328" s="1">
        <f t="shared" si="22"/>
        <v>64461696.000000007</v>
      </c>
      <c r="X328" t="s">
        <v>1115</v>
      </c>
      <c r="Z328" s="1">
        <v>42104</v>
      </c>
      <c r="AA328" s="1">
        <v>1.07374E-5</v>
      </c>
      <c r="AB328" t="str">
        <f>VLOOKUP(Z328,Nuclides!A:E,5,FALSE)</f>
        <v>Mo104</v>
      </c>
      <c r="AC328">
        <f>VLOOKUP(Sheet2!Z328,Nuclides!A:E,2,FALSE)</f>
        <v>62</v>
      </c>
      <c r="AD328">
        <f>VLOOKUP(Z328,Nuclides!A:E,3,FALSE)</f>
        <v>42</v>
      </c>
      <c r="AE328" s="1">
        <f t="shared" si="23"/>
        <v>134002752000</v>
      </c>
      <c r="AF328" t="s">
        <v>1090</v>
      </c>
    </row>
    <row r="329" spans="2:32" x14ac:dyDescent="0.2">
      <c r="B329">
        <v>56145</v>
      </c>
      <c r="C329" s="1">
        <v>6.4999999999999996E-6</v>
      </c>
      <c r="D329" t="str">
        <f>VLOOKUP(B329,Nuclides!A:E,5,FALSE)</f>
        <v>Ba145</v>
      </c>
      <c r="E329">
        <f>VLOOKUP(Sheet2!B329,Nuclides!A:E,2,FALSE)</f>
        <v>89</v>
      </c>
      <c r="F329">
        <f>VLOOKUP(B329,Nuclides!A:E,3,FALSE)</f>
        <v>56</v>
      </c>
      <c r="G329" s="1">
        <f t="shared" si="20"/>
        <v>81120000000</v>
      </c>
      <c r="H329">
        <f>VLOOKUP(B329,Nuclides!A:E,4,FALSE)</f>
        <v>4.3099999999999996</v>
      </c>
      <c r="J329" s="1">
        <v>56139</v>
      </c>
      <c r="K329" s="1">
        <v>1.9E-6</v>
      </c>
      <c r="L329" t="str">
        <f>VLOOKUP(J329,Nuclides!A:E,5,FALSE)</f>
        <v>Ba139</v>
      </c>
      <c r="M329">
        <f>VLOOKUP(Sheet2!J329,Nuclides!A:E,2,FALSE)</f>
        <v>83</v>
      </c>
      <c r="N329">
        <f>VLOOKUP(J329,Nuclides!A:E,3,FALSE)</f>
        <v>56</v>
      </c>
      <c r="O329" s="1">
        <f t="shared" si="21"/>
        <v>23712000000</v>
      </c>
      <c r="R329" s="1">
        <v>43096</v>
      </c>
      <c r="S329" s="1">
        <v>9.772000000000001E-10</v>
      </c>
      <c r="T329" t="str">
        <f>VLOOKUP(R329,Nuclides!A:E,5,FALSE)</f>
        <v>Tc96</v>
      </c>
      <c r="U329">
        <f>VLOOKUP(Sheet2!R329,Nuclides!A:E,2,FALSE)</f>
        <v>53</v>
      </c>
      <c r="V329">
        <f>VLOOKUP(R329,Nuclides!A:E,3,FALSE)</f>
        <v>43</v>
      </c>
      <c r="W329" s="1">
        <f t="shared" si="22"/>
        <v>12195456.000000002</v>
      </c>
      <c r="X329" t="s">
        <v>1116</v>
      </c>
      <c r="Z329" s="1">
        <v>42105</v>
      </c>
      <c r="AA329" s="1">
        <v>8.3656E-6</v>
      </c>
      <c r="AB329" t="str">
        <f>VLOOKUP(Z329,Nuclides!A:E,5,FALSE)</f>
        <v>Mo105</v>
      </c>
      <c r="AC329">
        <f>VLOOKUP(Sheet2!Z329,Nuclides!A:E,2,FALSE)</f>
        <v>63</v>
      </c>
      <c r="AD329">
        <f>VLOOKUP(Z329,Nuclides!A:E,3,FALSE)</f>
        <v>42</v>
      </c>
      <c r="AE329" s="1">
        <f t="shared" si="23"/>
        <v>104402688000</v>
      </c>
      <c r="AF329" t="s">
        <v>1091</v>
      </c>
    </row>
    <row r="330" spans="2:32" x14ac:dyDescent="0.2">
      <c r="B330">
        <v>56146</v>
      </c>
      <c r="C330" s="1">
        <v>3.9999999999999998E-6</v>
      </c>
      <c r="D330" t="str">
        <f>VLOOKUP(B330,Nuclides!A:E,5,FALSE)</f>
        <v>Ba146</v>
      </c>
      <c r="E330">
        <f>VLOOKUP(Sheet2!B330,Nuclides!A:E,2,FALSE)</f>
        <v>90</v>
      </c>
      <c r="F330">
        <f>VLOOKUP(B330,Nuclides!A:E,3,FALSE)</f>
        <v>56</v>
      </c>
      <c r="G330" s="1">
        <f t="shared" si="20"/>
        <v>49920000000</v>
      </c>
      <c r="H330">
        <f>VLOOKUP(B330,Nuclides!A:E,4,FALSE)</f>
        <v>2.2200000000000002</v>
      </c>
      <c r="J330" s="1">
        <v>56140</v>
      </c>
      <c r="K330" s="1">
        <v>5.1000000000000003E-6</v>
      </c>
      <c r="L330" t="str">
        <f>VLOOKUP(J330,Nuclides!A:E,5,FALSE)</f>
        <v>Ba140</v>
      </c>
      <c r="M330">
        <f>VLOOKUP(Sheet2!J330,Nuclides!A:E,2,FALSE)</f>
        <v>84</v>
      </c>
      <c r="N330">
        <f>VLOOKUP(J330,Nuclides!A:E,3,FALSE)</f>
        <v>56</v>
      </c>
      <c r="O330" s="1">
        <f t="shared" si="21"/>
        <v>63648000000</v>
      </c>
      <c r="R330" s="1">
        <v>43097</v>
      </c>
      <c r="S330" s="1">
        <v>3.4899999999999998E-10</v>
      </c>
      <c r="T330" t="str">
        <f>VLOOKUP(R330,Nuclides!A:E,5,FALSE)</f>
        <v>Tc97</v>
      </c>
      <c r="U330">
        <f>VLOOKUP(Sheet2!R330,Nuclides!A:E,2,FALSE)</f>
        <v>54</v>
      </c>
      <c r="V330">
        <f>VLOOKUP(R330,Nuclides!A:E,3,FALSE)</f>
        <v>43</v>
      </c>
      <c r="W330" s="1">
        <f t="shared" si="22"/>
        <v>4355520</v>
      </c>
      <c r="X330" t="s">
        <v>1117</v>
      </c>
      <c r="Z330" s="1">
        <v>42106</v>
      </c>
      <c r="AA330" s="1">
        <v>9.7631399999999992E-6</v>
      </c>
      <c r="AB330" t="str">
        <f>VLOOKUP(Z330,Nuclides!A:E,5,FALSE)</f>
        <v>Mo106</v>
      </c>
      <c r="AC330">
        <f>VLOOKUP(Sheet2!Z330,Nuclides!A:E,2,FALSE)</f>
        <v>64</v>
      </c>
      <c r="AD330">
        <f>VLOOKUP(Z330,Nuclides!A:E,3,FALSE)</f>
        <v>42</v>
      </c>
      <c r="AE330" s="1">
        <f t="shared" si="23"/>
        <v>121843987199.99998</v>
      </c>
      <c r="AF330" t="s">
        <v>1092</v>
      </c>
    </row>
    <row r="331" spans="2:32" x14ac:dyDescent="0.2">
      <c r="B331">
        <v>56147</v>
      </c>
      <c r="C331" s="1">
        <v>1.1999999999999999E-6</v>
      </c>
      <c r="D331" t="str">
        <f>VLOOKUP(B331,Nuclides!A:E,5,FALSE)</f>
        <v>Ba147</v>
      </c>
      <c r="E331">
        <f>VLOOKUP(Sheet2!B331,Nuclides!A:E,2,FALSE)</f>
        <v>91</v>
      </c>
      <c r="F331">
        <f>VLOOKUP(B331,Nuclides!A:E,3,FALSE)</f>
        <v>56</v>
      </c>
      <c r="G331" s="1">
        <f t="shared" si="20"/>
        <v>14976000000</v>
      </c>
      <c r="H331">
        <f>VLOOKUP(B331,Nuclides!A:E,4,FALSE)</f>
        <v>0.89400000000000002</v>
      </c>
      <c r="J331" s="1">
        <v>56141</v>
      </c>
      <c r="K331" s="1">
        <v>1.2E-5</v>
      </c>
      <c r="L331" t="str">
        <f>VLOOKUP(J331,Nuclides!A:E,5,FALSE)</f>
        <v>Ba141</v>
      </c>
      <c r="M331">
        <f>VLOOKUP(Sheet2!J331,Nuclides!A:E,2,FALSE)</f>
        <v>85</v>
      </c>
      <c r="N331">
        <f>VLOOKUP(J331,Nuclides!A:E,3,FALSE)</f>
        <v>56</v>
      </c>
      <c r="O331" s="1">
        <f t="shared" si="21"/>
        <v>149760000000</v>
      </c>
      <c r="R331" s="1">
        <v>43098</v>
      </c>
      <c r="S331" s="1">
        <v>4.1879999999999999E-10</v>
      </c>
      <c r="T331" t="str">
        <f>VLOOKUP(R331,Nuclides!A:E,5,FALSE)</f>
        <v>Tc98</v>
      </c>
      <c r="U331">
        <f>VLOOKUP(Sheet2!R331,Nuclides!A:E,2,FALSE)</f>
        <v>55</v>
      </c>
      <c r="V331">
        <f>VLOOKUP(R331,Nuclides!A:E,3,FALSE)</f>
        <v>43</v>
      </c>
      <c r="W331" s="1">
        <f t="shared" si="22"/>
        <v>5226624</v>
      </c>
      <c r="X331" t="s">
        <v>1118</v>
      </c>
      <c r="Z331" s="1">
        <v>42107</v>
      </c>
      <c r="AA331" s="1">
        <v>4.9592900000000003E-6</v>
      </c>
      <c r="AB331" t="str">
        <f>VLOOKUP(Z331,Nuclides!A:E,5,FALSE)</f>
        <v>Mo107</v>
      </c>
      <c r="AC331">
        <f>VLOOKUP(Sheet2!Z331,Nuclides!A:E,2,FALSE)</f>
        <v>65</v>
      </c>
      <c r="AD331">
        <f>VLOOKUP(Z331,Nuclides!A:E,3,FALSE)</f>
        <v>42</v>
      </c>
      <c r="AE331" s="1">
        <f t="shared" si="23"/>
        <v>61891939200</v>
      </c>
      <c r="AF331" t="s">
        <v>1093</v>
      </c>
    </row>
    <row r="332" spans="2:32" x14ac:dyDescent="0.2">
      <c r="B332">
        <v>56148</v>
      </c>
      <c r="C332" s="1">
        <v>3.9999999999999998E-7</v>
      </c>
      <c r="D332" t="str">
        <f>VLOOKUP(B332,Nuclides!A:E,5,FALSE)</f>
        <v>Ba148</v>
      </c>
      <c r="E332">
        <f>VLOOKUP(Sheet2!B332,Nuclides!A:E,2,FALSE)</f>
        <v>92</v>
      </c>
      <c r="F332">
        <f>VLOOKUP(B332,Nuclides!A:E,3,FALSE)</f>
        <v>56</v>
      </c>
      <c r="G332" s="1">
        <f t="shared" si="20"/>
        <v>4992000000</v>
      </c>
      <c r="H332">
        <f>VLOOKUP(B332,Nuclides!A:E,4,FALSE)</f>
        <v>0.61199999999999999</v>
      </c>
      <c r="J332" s="1">
        <v>56142</v>
      </c>
      <c r="K332" s="1">
        <v>2.8200000000000001E-5</v>
      </c>
      <c r="L332" t="str">
        <f>VLOOKUP(J332,Nuclides!A:E,5,FALSE)</f>
        <v>Ba142</v>
      </c>
      <c r="M332">
        <f>VLOOKUP(Sheet2!J332,Nuclides!A:E,2,FALSE)</f>
        <v>86</v>
      </c>
      <c r="N332">
        <f>VLOOKUP(J332,Nuclides!A:E,3,FALSE)</f>
        <v>56</v>
      </c>
      <c r="O332" s="1">
        <f t="shared" si="21"/>
        <v>351936000000</v>
      </c>
      <c r="R332" s="1">
        <v>43099</v>
      </c>
      <c r="S332" s="1">
        <v>3.8389999999999997E-9</v>
      </c>
      <c r="T332" t="str">
        <f>VLOOKUP(R332,Nuclides!A:E,5,FALSE)</f>
        <v>Tc99</v>
      </c>
      <c r="U332">
        <f>VLOOKUP(Sheet2!R332,Nuclides!A:E,2,FALSE)</f>
        <v>56</v>
      </c>
      <c r="V332">
        <f>VLOOKUP(R332,Nuclides!A:E,3,FALSE)</f>
        <v>43</v>
      </c>
      <c r="W332" s="1">
        <f t="shared" si="22"/>
        <v>47910719.999999993</v>
      </c>
      <c r="X332" t="s">
        <v>1119</v>
      </c>
      <c r="Z332" s="1">
        <v>42108</v>
      </c>
      <c r="AA332" s="1">
        <v>3.6742700000000001E-6</v>
      </c>
      <c r="AB332" t="str">
        <f>VLOOKUP(Z332,Nuclides!A:E,5,FALSE)</f>
        <v>Mo108</v>
      </c>
      <c r="AC332">
        <f>VLOOKUP(Sheet2!Z332,Nuclides!A:E,2,FALSE)</f>
        <v>66</v>
      </c>
      <c r="AD332">
        <f>VLOOKUP(Z332,Nuclides!A:E,3,FALSE)</f>
        <v>42</v>
      </c>
      <c r="AE332" s="1">
        <f t="shared" si="23"/>
        <v>45854889600</v>
      </c>
      <c r="AF332" t="s">
        <v>1094</v>
      </c>
    </row>
    <row r="333" spans="2:32" x14ac:dyDescent="0.2">
      <c r="B333">
        <v>57123</v>
      </c>
      <c r="C333" s="1">
        <v>1.9999999999999999E-7</v>
      </c>
      <c r="D333" t="str">
        <f>VLOOKUP(B333,Nuclides!A:E,5,FALSE)</f>
        <v>La123</v>
      </c>
      <c r="E333">
        <f>VLOOKUP(Sheet2!B333,Nuclides!A:E,2,FALSE)</f>
        <v>66</v>
      </c>
      <c r="F333">
        <f>VLOOKUP(B333,Nuclides!A:E,3,FALSE)</f>
        <v>57</v>
      </c>
      <c r="G333" s="1">
        <f t="shared" si="20"/>
        <v>2496000000</v>
      </c>
      <c r="H333">
        <f>VLOOKUP(B333,Nuclides!A:E,4,FALSE)</f>
        <v>17</v>
      </c>
      <c r="J333" s="1">
        <v>56143</v>
      </c>
      <c r="K333" s="1">
        <v>4.46E-5</v>
      </c>
      <c r="L333" t="str">
        <f>VLOOKUP(J333,Nuclides!A:E,5,FALSE)</f>
        <v>Ba143</v>
      </c>
      <c r="M333">
        <f>VLOOKUP(Sheet2!J333,Nuclides!A:E,2,FALSE)</f>
        <v>87</v>
      </c>
      <c r="N333">
        <f>VLOOKUP(J333,Nuclides!A:E,3,FALSE)</f>
        <v>56</v>
      </c>
      <c r="O333" s="1">
        <f t="shared" si="21"/>
        <v>556608000000</v>
      </c>
      <c r="R333" s="1">
        <v>43100</v>
      </c>
      <c r="S333" s="1">
        <v>1.75198E-8</v>
      </c>
      <c r="T333" t="str">
        <f>VLOOKUP(R333,Nuclides!A:E,5,FALSE)</f>
        <v>Tc100</v>
      </c>
      <c r="U333">
        <f>VLOOKUP(Sheet2!R333,Nuclides!A:E,2,FALSE)</f>
        <v>57</v>
      </c>
      <c r="V333">
        <f>VLOOKUP(R333,Nuclides!A:E,3,FALSE)</f>
        <v>43</v>
      </c>
      <c r="W333" s="1">
        <f t="shared" si="22"/>
        <v>218647104</v>
      </c>
      <c r="X333" t="s">
        <v>1120</v>
      </c>
      <c r="Z333" s="1">
        <v>43090</v>
      </c>
      <c r="AA333" s="1">
        <v>1.3644499999999999E-6</v>
      </c>
      <c r="AB333" t="str">
        <f>VLOOKUP(Z333,Nuclides!A:E,5,FALSE)</f>
        <v>Tc90</v>
      </c>
      <c r="AC333">
        <f>VLOOKUP(Sheet2!Z333,Nuclides!A:E,2,FALSE)</f>
        <v>47</v>
      </c>
      <c r="AD333">
        <f>VLOOKUP(Z333,Nuclides!A:E,3,FALSE)</f>
        <v>43</v>
      </c>
      <c r="AE333" s="1">
        <f t="shared" si="23"/>
        <v>17028335999.999998</v>
      </c>
      <c r="AF333" t="s">
        <v>1110</v>
      </c>
    </row>
    <row r="334" spans="2:32" x14ac:dyDescent="0.2">
      <c r="B334">
        <v>57139</v>
      </c>
      <c r="C334" s="1">
        <v>1.9999999999999999E-7</v>
      </c>
      <c r="D334" t="str">
        <f>VLOOKUP(B334,Nuclides!A:E,5,FALSE)</f>
        <v>La139</v>
      </c>
      <c r="E334">
        <f>VLOOKUP(Sheet2!B334,Nuclides!A:E,2,FALSE)</f>
        <v>82</v>
      </c>
      <c r="F334">
        <f>VLOOKUP(B334,Nuclides!A:E,3,FALSE)</f>
        <v>57</v>
      </c>
      <c r="G334" s="1">
        <f t="shared" si="20"/>
        <v>2496000000</v>
      </c>
      <c r="H334" t="str">
        <f>VLOOKUP(B334,Nuclides!A:E,4,FALSE)</f>
        <v>STABLE</v>
      </c>
      <c r="J334" s="1">
        <v>56144</v>
      </c>
      <c r="K334" s="1">
        <v>4.7700000000000001E-5</v>
      </c>
      <c r="L334" t="str">
        <f>VLOOKUP(J334,Nuclides!A:E,5,FALSE)</f>
        <v>Ba144</v>
      </c>
      <c r="M334">
        <f>VLOOKUP(Sheet2!J334,Nuclides!A:E,2,FALSE)</f>
        <v>88</v>
      </c>
      <c r="N334">
        <f>VLOOKUP(J334,Nuclides!A:E,3,FALSE)</f>
        <v>56</v>
      </c>
      <c r="O334" s="1">
        <f t="shared" si="21"/>
        <v>595296000000</v>
      </c>
      <c r="R334" s="1">
        <v>43101</v>
      </c>
      <c r="S334" s="1">
        <v>8.9204400000000004E-8</v>
      </c>
      <c r="T334" t="str">
        <f>VLOOKUP(R334,Nuclides!A:E,5,FALSE)</f>
        <v>Tc101</v>
      </c>
      <c r="U334">
        <f>VLOOKUP(Sheet2!R334,Nuclides!A:E,2,FALSE)</f>
        <v>58</v>
      </c>
      <c r="V334">
        <f>VLOOKUP(R334,Nuclides!A:E,3,FALSE)</f>
        <v>43</v>
      </c>
      <c r="W334" s="1">
        <f t="shared" si="22"/>
        <v>1113270912</v>
      </c>
      <c r="X334" t="s">
        <v>1121</v>
      </c>
      <c r="Z334" s="1">
        <v>43091</v>
      </c>
      <c r="AA334" s="1">
        <v>9.4041500000000002E-7</v>
      </c>
      <c r="AB334" t="str">
        <f>VLOOKUP(Z334,Nuclides!A:E,5,FALSE)</f>
        <v>Tc91</v>
      </c>
      <c r="AC334">
        <f>VLOOKUP(Sheet2!Z334,Nuclides!A:E,2,FALSE)</f>
        <v>48</v>
      </c>
      <c r="AD334">
        <f>VLOOKUP(Z334,Nuclides!A:E,3,FALSE)</f>
        <v>43</v>
      </c>
      <c r="AE334" s="1">
        <f t="shared" si="23"/>
        <v>11736379200</v>
      </c>
      <c r="AF334" t="s">
        <v>1111</v>
      </c>
    </row>
    <row r="335" spans="2:32" x14ac:dyDescent="0.2">
      <c r="B335">
        <v>57140</v>
      </c>
      <c r="C335" s="1">
        <v>4.9999999999999998E-7</v>
      </c>
      <c r="D335" t="str">
        <f>VLOOKUP(B335,Nuclides!A:E,5,FALSE)</f>
        <v>La140</v>
      </c>
      <c r="E335">
        <f>VLOOKUP(Sheet2!B335,Nuclides!A:E,2,FALSE)</f>
        <v>83</v>
      </c>
      <c r="F335">
        <f>VLOOKUP(B335,Nuclides!A:E,3,FALSE)</f>
        <v>57</v>
      </c>
      <c r="G335" s="1">
        <f t="shared" si="20"/>
        <v>6240000000</v>
      </c>
      <c r="H335">
        <f>VLOOKUP(B335,Nuclides!A:E,4,FALSE)</f>
        <v>145026.72</v>
      </c>
      <c r="J335" s="1">
        <v>56145</v>
      </c>
      <c r="K335" s="1">
        <v>4.1699999999999997E-5</v>
      </c>
      <c r="L335" t="str">
        <f>VLOOKUP(J335,Nuclides!A:E,5,FALSE)</f>
        <v>Ba145</v>
      </c>
      <c r="M335">
        <f>VLOOKUP(Sheet2!J335,Nuclides!A:E,2,FALSE)</f>
        <v>89</v>
      </c>
      <c r="N335">
        <f>VLOOKUP(J335,Nuclides!A:E,3,FALSE)</f>
        <v>56</v>
      </c>
      <c r="O335" s="1">
        <f t="shared" si="21"/>
        <v>520415999999.99994</v>
      </c>
      <c r="R335" s="1">
        <v>43102</v>
      </c>
      <c r="S335" s="1">
        <v>3.5444399999999999E-7</v>
      </c>
      <c r="T335" t="str">
        <f>VLOOKUP(R335,Nuclides!A:E,5,FALSE)</f>
        <v>Tc102</v>
      </c>
      <c r="U335">
        <f>VLOOKUP(Sheet2!R335,Nuclides!A:E,2,FALSE)</f>
        <v>59</v>
      </c>
      <c r="V335">
        <f>VLOOKUP(R335,Nuclides!A:E,3,FALSE)</f>
        <v>43</v>
      </c>
      <c r="W335" s="1">
        <f t="shared" si="22"/>
        <v>4423461120</v>
      </c>
      <c r="X335" t="s">
        <v>1122</v>
      </c>
      <c r="Z335" s="1">
        <v>43092</v>
      </c>
      <c r="AA335" s="1">
        <v>3.5381600000000002E-7</v>
      </c>
      <c r="AB335" t="str">
        <f>VLOOKUP(Z335,Nuclides!A:E,5,FALSE)</f>
        <v>Tc92</v>
      </c>
      <c r="AC335">
        <f>VLOOKUP(Sheet2!Z335,Nuclides!A:E,2,FALSE)</f>
        <v>49</v>
      </c>
      <c r="AD335">
        <f>VLOOKUP(Z335,Nuclides!A:E,3,FALSE)</f>
        <v>43</v>
      </c>
      <c r="AE335" s="1">
        <f t="shared" si="23"/>
        <v>4415623680</v>
      </c>
      <c r="AF335" t="s">
        <v>1112</v>
      </c>
    </row>
    <row r="336" spans="2:32" x14ac:dyDescent="0.2">
      <c r="B336">
        <v>57141</v>
      </c>
      <c r="C336" s="1">
        <v>1.1999999999999999E-6</v>
      </c>
      <c r="D336" t="str">
        <f>VLOOKUP(B336,Nuclides!A:E,5,FALSE)</f>
        <v>La141</v>
      </c>
      <c r="E336">
        <f>VLOOKUP(Sheet2!B336,Nuclides!A:E,2,FALSE)</f>
        <v>84</v>
      </c>
      <c r="F336">
        <f>VLOOKUP(B336,Nuclides!A:E,3,FALSE)</f>
        <v>57</v>
      </c>
      <c r="G336" s="1">
        <f t="shared" si="20"/>
        <v>14976000000</v>
      </c>
      <c r="H336">
        <f>VLOOKUP(B336,Nuclides!A:E,4,FALSE)</f>
        <v>14112</v>
      </c>
      <c r="J336" s="1">
        <v>56146</v>
      </c>
      <c r="K336" s="1">
        <v>2.37E-5</v>
      </c>
      <c r="L336" t="str">
        <f>VLOOKUP(J336,Nuclides!A:E,5,FALSE)</f>
        <v>Ba146</v>
      </c>
      <c r="M336">
        <f>VLOOKUP(Sheet2!J336,Nuclides!A:E,2,FALSE)</f>
        <v>90</v>
      </c>
      <c r="N336">
        <f>VLOOKUP(J336,Nuclides!A:E,3,FALSE)</f>
        <v>56</v>
      </c>
      <c r="O336" s="1">
        <f t="shared" si="21"/>
        <v>295776000000</v>
      </c>
      <c r="R336" s="1">
        <v>43103</v>
      </c>
      <c r="S336" s="1">
        <v>1.2004899999999999E-6</v>
      </c>
      <c r="T336" t="str">
        <f>VLOOKUP(R336,Nuclides!A:E,5,FALSE)</f>
        <v>Tc103</v>
      </c>
      <c r="U336">
        <f>VLOOKUP(Sheet2!R336,Nuclides!A:E,2,FALSE)</f>
        <v>60</v>
      </c>
      <c r="V336">
        <f>VLOOKUP(R336,Nuclides!A:E,3,FALSE)</f>
        <v>43</v>
      </c>
      <c r="W336" s="1">
        <f t="shared" si="22"/>
        <v>14982115199.999998</v>
      </c>
      <c r="X336" t="s">
        <v>1123</v>
      </c>
      <c r="Z336" s="1">
        <v>43093</v>
      </c>
      <c r="AA336" s="1">
        <v>6.4355600000000002E-8</v>
      </c>
      <c r="AB336" t="str">
        <f>VLOOKUP(Z336,Nuclides!A:E,5,FALSE)</f>
        <v>Tc93</v>
      </c>
      <c r="AC336">
        <f>VLOOKUP(Sheet2!Z336,Nuclides!A:E,2,FALSE)</f>
        <v>50</v>
      </c>
      <c r="AD336">
        <f>VLOOKUP(Z336,Nuclides!A:E,3,FALSE)</f>
        <v>43</v>
      </c>
      <c r="AE336" s="1">
        <f t="shared" si="23"/>
        <v>803157888</v>
      </c>
      <c r="AF336" t="s">
        <v>1113</v>
      </c>
    </row>
    <row r="337" spans="2:32" x14ac:dyDescent="0.2">
      <c r="B337">
        <v>57142</v>
      </c>
      <c r="C337" s="1">
        <v>2.7999999999999999E-6</v>
      </c>
      <c r="D337" t="str">
        <f>VLOOKUP(B337,Nuclides!A:E,5,FALSE)</f>
        <v>La142</v>
      </c>
      <c r="E337">
        <f>VLOOKUP(Sheet2!B337,Nuclides!A:E,2,FALSE)</f>
        <v>85</v>
      </c>
      <c r="F337">
        <f>VLOOKUP(B337,Nuclides!A:E,3,FALSE)</f>
        <v>57</v>
      </c>
      <c r="G337" s="1">
        <f t="shared" si="20"/>
        <v>34944000000</v>
      </c>
      <c r="H337">
        <f>VLOOKUP(B337,Nuclides!A:E,4,FALSE)</f>
        <v>5466</v>
      </c>
      <c r="J337" s="1">
        <v>56147</v>
      </c>
      <c r="K337" s="1">
        <v>1.0499999999999999E-5</v>
      </c>
      <c r="L337" t="str">
        <f>VLOOKUP(J337,Nuclides!A:E,5,FALSE)</f>
        <v>Ba147</v>
      </c>
      <c r="M337">
        <f>VLOOKUP(Sheet2!J337,Nuclides!A:E,2,FALSE)</f>
        <v>91</v>
      </c>
      <c r="N337">
        <f>VLOOKUP(J337,Nuclides!A:E,3,FALSE)</f>
        <v>56</v>
      </c>
      <c r="O337" s="1">
        <f t="shared" si="21"/>
        <v>131040000000</v>
      </c>
      <c r="R337" s="1">
        <v>43104</v>
      </c>
      <c r="S337" s="1">
        <v>2.31192E-6</v>
      </c>
      <c r="T337" t="str">
        <f>VLOOKUP(R337,Nuclides!A:E,5,FALSE)</f>
        <v>Tc104</v>
      </c>
      <c r="U337">
        <f>VLOOKUP(Sheet2!R337,Nuclides!A:E,2,FALSE)</f>
        <v>61</v>
      </c>
      <c r="V337">
        <f>VLOOKUP(R337,Nuclides!A:E,3,FALSE)</f>
        <v>43</v>
      </c>
      <c r="W337" s="1">
        <f t="shared" si="22"/>
        <v>28852761600</v>
      </c>
      <c r="X337" t="s">
        <v>1124</v>
      </c>
      <c r="Z337" s="1">
        <v>43094</v>
      </c>
      <c r="AA337" s="1">
        <v>1.1935799999999999E-8</v>
      </c>
      <c r="AB337" t="str">
        <f>VLOOKUP(Z337,Nuclides!A:E,5,FALSE)</f>
        <v>Tc94</v>
      </c>
      <c r="AC337">
        <f>VLOOKUP(Sheet2!Z337,Nuclides!A:E,2,FALSE)</f>
        <v>51</v>
      </c>
      <c r="AD337">
        <f>VLOOKUP(Z337,Nuclides!A:E,3,FALSE)</f>
        <v>43</v>
      </c>
      <c r="AE337" s="1">
        <f t="shared" si="23"/>
        <v>148958784</v>
      </c>
      <c r="AF337" t="s">
        <v>1114</v>
      </c>
    </row>
    <row r="338" spans="2:32" x14ac:dyDescent="0.2">
      <c r="B338">
        <v>57143</v>
      </c>
      <c r="C338" s="1">
        <v>5.0000000000000004E-6</v>
      </c>
      <c r="D338" t="str">
        <f>VLOOKUP(B338,Nuclides!A:E,5,FALSE)</f>
        <v>La143</v>
      </c>
      <c r="E338">
        <f>VLOOKUP(Sheet2!B338,Nuclides!A:E,2,FALSE)</f>
        <v>86</v>
      </c>
      <c r="F338">
        <f>VLOOKUP(B338,Nuclides!A:E,3,FALSE)</f>
        <v>57</v>
      </c>
      <c r="G338" s="1">
        <f t="shared" si="20"/>
        <v>62400000000.000008</v>
      </c>
      <c r="H338">
        <f>VLOOKUP(B338,Nuclides!A:E,4,FALSE)</f>
        <v>852</v>
      </c>
      <c r="J338" s="1">
        <v>56148</v>
      </c>
      <c r="K338" s="1">
        <v>4.4000000000000002E-6</v>
      </c>
      <c r="L338" t="str">
        <f>VLOOKUP(J338,Nuclides!A:E,5,FALSE)</f>
        <v>Ba148</v>
      </c>
      <c r="M338">
        <f>VLOOKUP(Sheet2!J338,Nuclides!A:E,2,FALSE)</f>
        <v>92</v>
      </c>
      <c r="N338">
        <f>VLOOKUP(J338,Nuclides!A:E,3,FALSE)</f>
        <v>56</v>
      </c>
      <c r="O338" s="1">
        <f t="shared" si="21"/>
        <v>54912000000</v>
      </c>
      <c r="R338" s="1">
        <v>43105</v>
      </c>
      <c r="S338" s="1">
        <v>4.2495599999999997E-6</v>
      </c>
      <c r="T338" t="str">
        <f>VLOOKUP(R338,Nuclides!A:E,5,FALSE)</f>
        <v>Tc105</v>
      </c>
      <c r="U338">
        <f>VLOOKUP(Sheet2!R338,Nuclides!A:E,2,FALSE)</f>
        <v>62</v>
      </c>
      <c r="V338">
        <f>VLOOKUP(R338,Nuclides!A:E,3,FALSE)</f>
        <v>43</v>
      </c>
      <c r="W338" s="1">
        <f t="shared" si="22"/>
        <v>53034508799.999992</v>
      </c>
      <c r="X338" t="s">
        <v>1125</v>
      </c>
      <c r="Z338" s="1">
        <v>43095</v>
      </c>
      <c r="AA338" s="1">
        <v>4.0484000000000002E-9</v>
      </c>
      <c r="AB338" t="str">
        <f>VLOOKUP(Z338,Nuclides!A:E,5,FALSE)</f>
        <v>Tc95</v>
      </c>
      <c r="AC338">
        <f>VLOOKUP(Sheet2!Z338,Nuclides!A:E,2,FALSE)</f>
        <v>52</v>
      </c>
      <c r="AD338">
        <f>VLOOKUP(Z338,Nuclides!A:E,3,FALSE)</f>
        <v>43</v>
      </c>
      <c r="AE338" s="1">
        <f t="shared" si="23"/>
        <v>50524032</v>
      </c>
      <c r="AF338" t="s">
        <v>1115</v>
      </c>
    </row>
    <row r="339" spans="2:32" x14ac:dyDescent="0.2">
      <c r="B339">
        <v>57144</v>
      </c>
      <c r="C339" s="1">
        <v>7.9999999999999996E-6</v>
      </c>
      <c r="D339" t="str">
        <f>VLOOKUP(B339,Nuclides!A:E,5,FALSE)</f>
        <v>La144</v>
      </c>
      <c r="E339">
        <f>VLOOKUP(Sheet2!B339,Nuclides!A:E,2,FALSE)</f>
        <v>87</v>
      </c>
      <c r="F339">
        <f>VLOOKUP(B339,Nuclides!A:E,3,FALSE)</f>
        <v>57</v>
      </c>
      <c r="G339" s="1">
        <f t="shared" si="20"/>
        <v>99840000000</v>
      </c>
      <c r="H339">
        <f>VLOOKUP(B339,Nuclides!A:E,4,FALSE)</f>
        <v>40.799999999999997</v>
      </c>
      <c r="J339" s="1">
        <v>57123</v>
      </c>
      <c r="K339" s="1">
        <v>5.9999999999999997E-7</v>
      </c>
      <c r="L339" t="str">
        <f>VLOOKUP(J339,Nuclides!A:E,5,FALSE)</f>
        <v>La123</v>
      </c>
      <c r="M339">
        <f>VLOOKUP(Sheet2!J339,Nuclides!A:E,2,FALSE)</f>
        <v>66</v>
      </c>
      <c r="N339">
        <f>VLOOKUP(J339,Nuclides!A:E,3,FALSE)</f>
        <v>57</v>
      </c>
      <c r="O339" s="1">
        <f t="shared" si="21"/>
        <v>7488000000</v>
      </c>
      <c r="R339" s="1">
        <v>43106</v>
      </c>
      <c r="S339" s="1">
        <v>3.7151100000000001E-6</v>
      </c>
      <c r="T339" t="str">
        <f>VLOOKUP(R339,Nuclides!A:E,5,FALSE)</f>
        <v>Tc106</v>
      </c>
      <c r="U339">
        <f>VLOOKUP(Sheet2!R339,Nuclides!A:E,2,FALSE)</f>
        <v>63</v>
      </c>
      <c r="V339">
        <f>VLOOKUP(R339,Nuclides!A:E,3,FALSE)</f>
        <v>43</v>
      </c>
      <c r="W339" s="1">
        <f t="shared" si="22"/>
        <v>46364572800</v>
      </c>
      <c r="X339" t="s">
        <v>1126</v>
      </c>
      <c r="Z339" s="1">
        <v>43096</v>
      </c>
      <c r="AA339" s="1">
        <v>6.2819999999999996E-10</v>
      </c>
      <c r="AB339" t="str">
        <f>VLOOKUP(Z339,Nuclides!A:E,5,FALSE)</f>
        <v>Tc96</v>
      </c>
      <c r="AC339">
        <f>VLOOKUP(Sheet2!Z339,Nuclides!A:E,2,FALSE)</f>
        <v>53</v>
      </c>
      <c r="AD339">
        <f>VLOOKUP(Z339,Nuclides!A:E,3,FALSE)</f>
        <v>43</v>
      </c>
      <c r="AE339" s="1">
        <f t="shared" si="23"/>
        <v>7839935.9999999991</v>
      </c>
      <c r="AF339" t="s">
        <v>1116</v>
      </c>
    </row>
    <row r="340" spans="2:32" x14ac:dyDescent="0.2">
      <c r="B340">
        <v>57145</v>
      </c>
      <c r="C340" s="1">
        <v>1.24E-5</v>
      </c>
      <c r="D340" t="str">
        <f>VLOOKUP(B340,Nuclides!A:E,5,FALSE)</f>
        <v>La145</v>
      </c>
      <c r="E340">
        <f>VLOOKUP(Sheet2!B340,Nuclides!A:E,2,FALSE)</f>
        <v>88</v>
      </c>
      <c r="F340">
        <f>VLOOKUP(B340,Nuclides!A:E,3,FALSE)</f>
        <v>57</v>
      </c>
      <c r="G340" s="1">
        <f t="shared" si="20"/>
        <v>154752000000</v>
      </c>
      <c r="H340">
        <f>VLOOKUP(B340,Nuclides!A:E,4,FALSE)</f>
        <v>24.8</v>
      </c>
      <c r="J340" s="1">
        <v>57124</v>
      </c>
      <c r="K340" s="1">
        <v>1.9999999999999999E-7</v>
      </c>
      <c r="L340" t="str">
        <f>VLOOKUP(J340,Nuclides!A:E,5,FALSE)</f>
        <v>La124</v>
      </c>
      <c r="M340">
        <f>VLOOKUP(Sheet2!J340,Nuclides!A:E,2,FALSE)</f>
        <v>67</v>
      </c>
      <c r="N340">
        <f>VLOOKUP(J340,Nuclides!A:E,3,FALSE)</f>
        <v>57</v>
      </c>
      <c r="O340" s="1">
        <f t="shared" si="21"/>
        <v>2496000000</v>
      </c>
      <c r="R340" s="1">
        <v>43107</v>
      </c>
      <c r="S340" s="1">
        <v>3.5595899999999999E-6</v>
      </c>
      <c r="T340" t="str">
        <f>VLOOKUP(R340,Nuclides!A:E,5,FALSE)</f>
        <v>Tc107</v>
      </c>
      <c r="U340">
        <f>VLOOKUP(Sheet2!R340,Nuclides!A:E,2,FALSE)</f>
        <v>64</v>
      </c>
      <c r="V340">
        <f>VLOOKUP(R340,Nuclides!A:E,3,FALSE)</f>
        <v>43</v>
      </c>
      <c r="W340" s="1">
        <f t="shared" si="22"/>
        <v>44423683200</v>
      </c>
      <c r="X340" t="s">
        <v>1127</v>
      </c>
      <c r="Z340" s="1">
        <v>43097</v>
      </c>
      <c r="AA340" s="1">
        <v>1.3959999999999999E-10</v>
      </c>
      <c r="AB340" t="str">
        <f>VLOOKUP(Z340,Nuclides!A:E,5,FALSE)</f>
        <v>Tc97</v>
      </c>
      <c r="AC340">
        <f>VLOOKUP(Sheet2!Z340,Nuclides!A:E,2,FALSE)</f>
        <v>54</v>
      </c>
      <c r="AD340">
        <f>VLOOKUP(Z340,Nuclides!A:E,3,FALSE)</f>
        <v>43</v>
      </c>
      <c r="AE340" s="1">
        <f t="shared" si="23"/>
        <v>1742207.9999999998</v>
      </c>
      <c r="AF340" t="s">
        <v>1117</v>
      </c>
    </row>
    <row r="341" spans="2:32" x14ac:dyDescent="0.2">
      <c r="B341">
        <v>57146</v>
      </c>
      <c r="C341" s="1">
        <v>8.1999999999999994E-6</v>
      </c>
      <c r="D341" t="str">
        <f>VLOOKUP(B341,Nuclides!A:E,5,FALSE)</f>
        <v>La146</v>
      </c>
      <c r="E341">
        <f>VLOOKUP(Sheet2!B341,Nuclides!A:E,2,FALSE)</f>
        <v>89</v>
      </c>
      <c r="F341">
        <f>VLOOKUP(B341,Nuclides!A:E,3,FALSE)</f>
        <v>57</v>
      </c>
      <c r="G341" s="1">
        <f t="shared" si="20"/>
        <v>102336000000</v>
      </c>
      <c r="H341">
        <f>VLOOKUP(B341,Nuclides!A:E,4,FALSE)</f>
        <v>6.27</v>
      </c>
      <c r="J341" s="1">
        <v>57139</v>
      </c>
      <c r="K341" s="1">
        <v>9.9999999999999995E-8</v>
      </c>
      <c r="L341" t="str">
        <f>VLOOKUP(J341,Nuclides!A:E,5,FALSE)</f>
        <v>La139</v>
      </c>
      <c r="M341">
        <f>VLOOKUP(Sheet2!J341,Nuclides!A:E,2,FALSE)</f>
        <v>82</v>
      </c>
      <c r="N341">
        <f>VLOOKUP(J341,Nuclides!A:E,3,FALSE)</f>
        <v>57</v>
      </c>
      <c r="O341" s="1">
        <f t="shared" si="21"/>
        <v>1248000000</v>
      </c>
      <c r="R341" s="1">
        <v>43108</v>
      </c>
      <c r="S341" s="1">
        <v>1.99942E-6</v>
      </c>
      <c r="T341" t="str">
        <f>VLOOKUP(R341,Nuclides!A:E,5,FALSE)</f>
        <v>Tc108</v>
      </c>
      <c r="U341">
        <f>VLOOKUP(Sheet2!R341,Nuclides!A:E,2,FALSE)</f>
        <v>65</v>
      </c>
      <c r="V341">
        <f>VLOOKUP(R341,Nuclides!A:E,3,FALSE)</f>
        <v>43</v>
      </c>
      <c r="W341" s="1">
        <f t="shared" si="22"/>
        <v>24952761600</v>
      </c>
      <c r="X341" t="s">
        <v>1128</v>
      </c>
      <c r="Z341" s="1">
        <v>43098</v>
      </c>
      <c r="AA341" s="1">
        <v>1.3959999999999999E-10</v>
      </c>
      <c r="AB341" t="str">
        <f>VLOOKUP(Z341,Nuclides!A:E,5,FALSE)</f>
        <v>Tc98</v>
      </c>
      <c r="AC341">
        <f>VLOOKUP(Sheet2!Z341,Nuclides!A:E,2,FALSE)</f>
        <v>55</v>
      </c>
      <c r="AD341">
        <f>VLOOKUP(Z341,Nuclides!A:E,3,FALSE)</f>
        <v>43</v>
      </c>
      <c r="AE341" s="1">
        <f t="shared" si="23"/>
        <v>1742207.9999999998</v>
      </c>
      <c r="AF341" t="s">
        <v>1118</v>
      </c>
    </row>
    <row r="342" spans="2:32" x14ac:dyDescent="0.2">
      <c r="B342">
        <v>57147</v>
      </c>
      <c r="C342" s="1">
        <v>8.3000000000000002E-6</v>
      </c>
      <c r="D342" t="str">
        <f>VLOOKUP(B342,Nuclides!A:E,5,FALSE)</f>
        <v>La147</v>
      </c>
      <c r="E342">
        <f>VLOOKUP(Sheet2!B342,Nuclides!A:E,2,FALSE)</f>
        <v>90</v>
      </c>
      <c r="F342">
        <f>VLOOKUP(B342,Nuclides!A:E,3,FALSE)</f>
        <v>57</v>
      </c>
      <c r="G342" s="1">
        <f t="shared" si="20"/>
        <v>103584000000</v>
      </c>
      <c r="H342">
        <f>VLOOKUP(B342,Nuclides!A:E,4,FALSE)</f>
        <v>4.0599999999999996</v>
      </c>
      <c r="J342" s="1">
        <v>57140</v>
      </c>
      <c r="K342" s="1">
        <v>9.9999999999999995E-8</v>
      </c>
      <c r="L342" t="str">
        <f>VLOOKUP(J342,Nuclides!A:E,5,FALSE)</f>
        <v>La140</v>
      </c>
      <c r="M342">
        <f>VLOOKUP(Sheet2!J342,Nuclides!A:E,2,FALSE)</f>
        <v>83</v>
      </c>
      <c r="N342">
        <f>VLOOKUP(J342,Nuclides!A:E,3,FALSE)</f>
        <v>57</v>
      </c>
      <c r="O342" s="1">
        <f t="shared" si="21"/>
        <v>1248000000</v>
      </c>
      <c r="R342" s="1">
        <v>43109</v>
      </c>
      <c r="S342" s="1">
        <v>1.4637799999999999E-6</v>
      </c>
      <c r="T342" t="str">
        <f>VLOOKUP(R342,Nuclides!A:E,5,FALSE)</f>
        <v>Tc109</v>
      </c>
      <c r="U342">
        <f>VLOOKUP(Sheet2!R342,Nuclides!A:E,2,FALSE)</f>
        <v>66</v>
      </c>
      <c r="V342">
        <f>VLOOKUP(R342,Nuclides!A:E,3,FALSE)</f>
        <v>43</v>
      </c>
      <c r="W342" s="1">
        <f t="shared" si="22"/>
        <v>18267974400</v>
      </c>
      <c r="X342" t="s">
        <v>1129</v>
      </c>
      <c r="Z342" s="1">
        <v>43099</v>
      </c>
      <c r="AA342" s="1">
        <v>6.9799999999999994E-11</v>
      </c>
      <c r="AB342" t="str">
        <f>VLOOKUP(Z342,Nuclides!A:E,5,FALSE)</f>
        <v>Tc99</v>
      </c>
      <c r="AC342">
        <f>VLOOKUP(Sheet2!Z342,Nuclides!A:E,2,FALSE)</f>
        <v>56</v>
      </c>
      <c r="AD342">
        <f>VLOOKUP(Z342,Nuclides!A:E,3,FALSE)</f>
        <v>43</v>
      </c>
      <c r="AE342" s="1">
        <f t="shared" si="23"/>
        <v>871103.99999999988</v>
      </c>
      <c r="AF342" t="s">
        <v>1119</v>
      </c>
    </row>
    <row r="343" spans="2:32" x14ac:dyDescent="0.2">
      <c r="B343">
        <v>57148</v>
      </c>
      <c r="C343" s="1">
        <v>3.4000000000000001E-6</v>
      </c>
      <c r="D343" t="str">
        <f>VLOOKUP(B343,Nuclides!A:E,5,FALSE)</f>
        <v>La148</v>
      </c>
      <c r="E343">
        <f>VLOOKUP(Sheet2!B343,Nuclides!A:E,2,FALSE)</f>
        <v>91</v>
      </c>
      <c r="F343">
        <f>VLOOKUP(B343,Nuclides!A:E,3,FALSE)</f>
        <v>57</v>
      </c>
      <c r="G343" s="1">
        <f t="shared" si="20"/>
        <v>42432000000</v>
      </c>
      <c r="H343">
        <f>VLOOKUP(B343,Nuclides!A:E,4,FALSE)</f>
        <v>1.26</v>
      </c>
      <c r="J343" s="1">
        <v>57141</v>
      </c>
      <c r="K343" s="1">
        <v>4.9999999999999998E-7</v>
      </c>
      <c r="L343" t="str">
        <f>VLOOKUP(J343,Nuclides!A:E,5,FALSE)</f>
        <v>La141</v>
      </c>
      <c r="M343">
        <f>VLOOKUP(Sheet2!J343,Nuclides!A:E,2,FALSE)</f>
        <v>84</v>
      </c>
      <c r="N343">
        <f>VLOOKUP(J343,Nuclides!A:E,3,FALSE)</f>
        <v>57</v>
      </c>
      <c r="O343" s="1">
        <f t="shared" si="21"/>
        <v>6240000000</v>
      </c>
      <c r="R343" s="1">
        <v>43110</v>
      </c>
      <c r="S343" s="1">
        <v>8.9113699999999999E-7</v>
      </c>
      <c r="T343" t="str">
        <f>VLOOKUP(R343,Nuclides!A:E,5,FALSE)</f>
        <v>Tc110</v>
      </c>
      <c r="U343">
        <f>VLOOKUP(Sheet2!R343,Nuclides!A:E,2,FALSE)</f>
        <v>67</v>
      </c>
      <c r="V343">
        <f>VLOOKUP(R343,Nuclides!A:E,3,FALSE)</f>
        <v>43</v>
      </c>
      <c r="W343" s="1">
        <f t="shared" si="22"/>
        <v>11121389760</v>
      </c>
      <c r="X343" t="s">
        <v>1130</v>
      </c>
      <c r="Z343" s="1">
        <v>43100</v>
      </c>
      <c r="AA343" s="1">
        <v>9.772000000000001E-10</v>
      </c>
      <c r="AB343" t="str">
        <f>VLOOKUP(Z343,Nuclides!A:E,5,FALSE)</f>
        <v>Tc100</v>
      </c>
      <c r="AC343">
        <f>VLOOKUP(Sheet2!Z343,Nuclides!A:E,2,FALSE)</f>
        <v>57</v>
      </c>
      <c r="AD343">
        <f>VLOOKUP(Z343,Nuclides!A:E,3,FALSE)</f>
        <v>43</v>
      </c>
      <c r="AE343" s="1">
        <f t="shared" si="23"/>
        <v>12195456.000000002</v>
      </c>
      <c r="AF343" t="s">
        <v>1120</v>
      </c>
    </row>
    <row r="344" spans="2:32" x14ac:dyDescent="0.2">
      <c r="B344">
        <v>57149</v>
      </c>
      <c r="C344" s="1">
        <v>3.8999999999999999E-6</v>
      </c>
      <c r="D344" t="str">
        <f>VLOOKUP(B344,Nuclides!A:E,5,FALSE)</f>
        <v>La149</v>
      </c>
      <c r="E344">
        <f>VLOOKUP(Sheet2!B344,Nuclides!A:E,2,FALSE)</f>
        <v>92</v>
      </c>
      <c r="F344">
        <f>VLOOKUP(B344,Nuclides!A:E,3,FALSE)</f>
        <v>57</v>
      </c>
      <c r="G344" s="1">
        <f t="shared" si="20"/>
        <v>48672000000</v>
      </c>
      <c r="H344">
        <f>VLOOKUP(B344,Nuclides!A:E,4,FALSE)</f>
        <v>1.05</v>
      </c>
      <c r="J344" s="1">
        <v>57142</v>
      </c>
      <c r="K344" s="1">
        <v>1.5999999999999999E-6</v>
      </c>
      <c r="L344" t="str">
        <f>VLOOKUP(J344,Nuclides!A:E,5,FALSE)</f>
        <v>La142</v>
      </c>
      <c r="M344">
        <f>VLOOKUP(Sheet2!J344,Nuclides!A:E,2,FALSE)</f>
        <v>85</v>
      </c>
      <c r="N344">
        <f>VLOOKUP(J344,Nuclides!A:E,3,FALSE)</f>
        <v>57</v>
      </c>
      <c r="O344" s="1">
        <f t="shared" si="21"/>
        <v>19968000000</v>
      </c>
      <c r="R344" s="1">
        <v>44092</v>
      </c>
      <c r="S344" s="1">
        <v>6.6379800000000005E-7</v>
      </c>
      <c r="T344" t="str">
        <f>VLOOKUP(R344,Nuclides!A:E,5,FALSE)</f>
        <v>Ru92</v>
      </c>
      <c r="U344">
        <f>VLOOKUP(Sheet2!R344,Nuclides!A:E,2,FALSE)</f>
        <v>48</v>
      </c>
      <c r="V344">
        <f>VLOOKUP(R344,Nuclides!A:E,3,FALSE)</f>
        <v>44</v>
      </c>
      <c r="W344" s="1">
        <f t="shared" si="22"/>
        <v>8284199040.000001</v>
      </c>
      <c r="X344" t="s">
        <v>1149</v>
      </c>
      <c r="Z344" s="1">
        <v>43101</v>
      </c>
      <c r="AA344" s="1">
        <v>1.04002E-8</v>
      </c>
      <c r="AB344" t="str">
        <f>VLOOKUP(Z344,Nuclides!A:E,5,FALSE)</f>
        <v>Tc101</v>
      </c>
      <c r="AC344">
        <f>VLOOKUP(Sheet2!Z344,Nuclides!A:E,2,FALSE)</f>
        <v>58</v>
      </c>
      <c r="AD344">
        <f>VLOOKUP(Z344,Nuclides!A:E,3,FALSE)</f>
        <v>43</v>
      </c>
      <c r="AE344" s="1">
        <f t="shared" si="23"/>
        <v>129794496</v>
      </c>
      <c r="AF344" t="s">
        <v>1121</v>
      </c>
    </row>
    <row r="345" spans="2:32" x14ac:dyDescent="0.2">
      <c r="B345">
        <v>58124</v>
      </c>
      <c r="C345" s="1">
        <v>1.3E-6</v>
      </c>
      <c r="D345" t="str">
        <f>VLOOKUP(B345,Nuclides!A:E,5,FALSE)</f>
        <v>Ce124</v>
      </c>
      <c r="E345">
        <f>VLOOKUP(Sheet2!B345,Nuclides!A:E,2,FALSE)</f>
        <v>66</v>
      </c>
      <c r="F345">
        <f>VLOOKUP(B345,Nuclides!A:E,3,FALSE)</f>
        <v>58</v>
      </c>
      <c r="G345" s="1">
        <f t="shared" si="20"/>
        <v>16224000000</v>
      </c>
      <c r="H345">
        <f>VLOOKUP(B345,Nuclides!A:E,4,FALSE)</f>
        <v>6</v>
      </c>
      <c r="J345" s="1">
        <v>57143</v>
      </c>
      <c r="K345" s="1">
        <v>5.5999999999999997E-6</v>
      </c>
      <c r="L345" t="str">
        <f>VLOOKUP(J345,Nuclides!A:E,5,FALSE)</f>
        <v>La143</v>
      </c>
      <c r="M345">
        <f>VLOOKUP(Sheet2!J345,Nuclides!A:E,2,FALSE)</f>
        <v>86</v>
      </c>
      <c r="N345">
        <f>VLOOKUP(J345,Nuclides!A:E,3,FALSE)</f>
        <v>57</v>
      </c>
      <c r="O345" s="1">
        <f t="shared" si="21"/>
        <v>69888000000</v>
      </c>
      <c r="R345" s="1">
        <v>44093</v>
      </c>
      <c r="S345" s="1">
        <v>3.0753899999999999E-7</v>
      </c>
      <c r="T345" t="str">
        <f>VLOOKUP(R345,Nuclides!A:E,5,FALSE)</f>
        <v>Ru93</v>
      </c>
      <c r="U345">
        <f>VLOOKUP(Sheet2!R345,Nuclides!A:E,2,FALSE)</f>
        <v>49</v>
      </c>
      <c r="V345">
        <f>VLOOKUP(R345,Nuclides!A:E,3,FALSE)</f>
        <v>44</v>
      </c>
      <c r="W345" s="1">
        <f t="shared" si="22"/>
        <v>3838086720</v>
      </c>
      <c r="X345" t="s">
        <v>1150</v>
      </c>
      <c r="Z345" s="1">
        <v>43102</v>
      </c>
      <c r="AA345" s="1">
        <v>4.5579400000000002E-8</v>
      </c>
      <c r="AB345" t="str">
        <f>VLOOKUP(Z345,Nuclides!A:E,5,FALSE)</f>
        <v>Tc102</v>
      </c>
      <c r="AC345">
        <f>VLOOKUP(Sheet2!Z345,Nuclides!A:E,2,FALSE)</f>
        <v>59</v>
      </c>
      <c r="AD345">
        <f>VLOOKUP(Z345,Nuclides!A:E,3,FALSE)</f>
        <v>43</v>
      </c>
      <c r="AE345" s="1">
        <f t="shared" si="23"/>
        <v>568830912</v>
      </c>
      <c r="AF345" t="s">
        <v>1122</v>
      </c>
    </row>
    <row r="346" spans="2:32" x14ac:dyDescent="0.2">
      <c r="B346">
        <v>58125</v>
      </c>
      <c r="C346" s="1">
        <v>5.9999999999999997E-7</v>
      </c>
      <c r="D346" t="str">
        <f>VLOOKUP(B346,Nuclides!A:E,5,FALSE)</f>
        <v>Ce125</v>
      </c>
      <c r="E346">
        <f>VLOOKUP(Sheet2!B346,Nuclides!A:E,2,FALSE)</f>
        <v>67</v>
      </c>
      <c r="F346">
        <f>VLOOKUP(B346,Nuclides!A:E,3,FALSE)</f>
        <v>58</v>
      </c>
      <c r="G346" s="1">
        <f t="shared" si="20"/>
        <v>7488000000</v>
      </c>
      <c r="H346">
        <f>VLOOKUP(B346,Nuclides!A:E,4,FALSE)</f>
        <v>9.6999999999999993</v>
      </c>
      <c r="J346" s="1">
        <v>57144</v>
      </c>
      <c r="K346" s="1">
        <v>9.0000000000000002E-6</v>
      </c>
      <c r="L346" t="str">
        <f>VLOOKUP(J346,Nuclides!A:E,5,FALSE)</f>
        <v>La144</v>
      </c>
      <c r="M346">
        <f>VLOOKUP(Sheet2!J346,Nuclides!A:E,2,FALSE)</f>
        <v>87</v>
      </c>
      <c r="N346">
        <f>VLOOKUP(J346,Nuclides!A:E,3,FALSE)</f>
        <v>57</v>
      </c>
      <c r="O346" s="1">
        <f t="shared" si="21"/>
        <v>112320000000</v>
      </c>
      <c r="R346" s="1">
        <v>44094</v>
      </c>
      <c r="S346" s="1">
        <v>1.8629599999999999E-7</v>
      </c>
      <c r="T346" t="str">
        <f>VLOOKUP(R346,Nuclides!A:E,5,FALSE)</f>
        <v>Ru94</v>
      </c>
      <c r="U346">
        <f>VLOOKUP(Sheet2!R346,Nuclides!A:E,2,FALSE)</f>
        <v>50</v>
      </c>
      <c r="V346">
        <f>VLOOKUP(R346,Nuclides!A:E,3,FALSE)</f>
        <v>44</v>
      </c>
      <c r="W346" s="1">
        <f t="shared" si="22"/>
        <v>2324974080</v>
      </c>
      <c r="X346" t="s">
        <v>1151</v>
      </c>
      <c r="Z346" s="1">
        <v>43103</v>
      </c>
      <c r="AA346" s="1">
        <v>2.8548199999999999E-7</v>
      </c>
      <c r="AB346" t="str">
        <f>VLOOKUP(Z346,Nuclides!A:E,5,FALSE)</f>
        <v>Tc103</v>
      </c>
      <c r="AC346">
        <f>VLOOKUP(Sheet2!Z346,Nuclides!A:E,2,FALSE)</f>
        <v>60</v>
      </c>
      <c r="AD346">
        <f>VLOOKUP(Z346,Nuclides!A:E,3,FALSE)</f>
        <v>43</v>
      </c>
      <c r="AE346" s="1">
        <f t="shared" si="23"/>
        <v>3562815360</v>
      </c>
      <c r="AF346" t="s">
        <v>1123</v>
      </c>
    </row>
    <row r="347" spans="2:32" x14ac:dyDescent="0.2">
      <c r="B347">
        <v>58126</v>
      </c>
      <c r="C347" s="1">
        <v>1.9999999999999999E-7</v>
      </c>
      <c r="D347" t="str">
        <f>VLOOKUP(B347,Nuclides!A:E,5,FALSE)</f>
        <v>Ce126</v>
      </c>
      <c r="E347">
        <f>VLOOKUP(Sheet2!B347,Nuclides!A:E,2,FALSE)</f>
        <v>68</v>
      </c>
      <c r="F347">
        <f>VLOOKUP(B347,Nuclides!A:E,3,FALSE)</f>
        <v>58</v>
      </c>
      <c r="G347" s="1">
        <f t="shared" si="20"/>
        <v>2496000000</v>
      </c>
      <c r="H347">
        <f>VLOOKUP(B347,Nuclides!A:E,4,FALSE)</f>
        <v>51</v>
      </c>
      <c r="J347" s="1">
        <v>57145</v>
      </c>
      <c r="K347" s="1">
        <v>2.02E-5</v>
      </c>
      <c r="L347" t="str">
        <f>VLOOKUP(J347,Nuclides!A:E,5,FALSE)</f>
        <v>La145</v>
      </c>
      <c r="M347">
        <f>VLOOKUP(Sheet2!J347,Nuclides!A:E,2,FALSE)</f>
        <v>88</v>
      </c>
      <c r="N347">
        <f>VLOOKUP(J347,Nuclides!A:E,3,FALSE)</f>
        <v>57</v>
      </c>
      <c r="O347" s="1">
        <f t="shared" si="21"/>
        <v>252096000000</v>
      </c>
      <c r="R347" s="1">
        <v>44095</v>
      </c>
      <c r="S347" s="1">
        <v>5.24896E-8</v>
      </c>
      <c r="T347" t="str">
        <f>VLOOKUP(R347,Nuclides!A:E,5,FALSE)</f>
        <v>Ru95</v>
      </c>
      <c r="U347">
        <f>VLOOKUP(Sheet2!R347,Nuclides!A:E,2,FALSE)</f>
        <v>51</v>
      </c>
      <c r="V347">
        <f>VLOOKUP(R347,Nuclides!A:E,3,FALSE)</f>
        <v>44</v>
      </c>
      <c r="W347" s="1">
        <f t="shared" si="22"/>
        <v>655070208</v>
      </c>
      <c r="X347" t="s">
        <v>1152</v>
      </c>
      <c r="Z347" s="1">
        <v>43104</v>
      </c>
      <c r="AA347" s="1">
        <v>8.6649700000000001E-7</v>
      </c>
      <c r="AB347" t="str">
        <f>VLOOKUP(Z347,Nuclides!A:E,5,FALSE)</f>
        <v>Tc104</v>
      </c>
      <c r="AC347">
        <f>VLOOKUP(Sheet2!Z347,Nuclides!A:E,2,FALSE)</f>
        <v>61</v>
      </c>
      <c r="AD347">
        <f>VLOOKUP(Z347,Nuclides!A:E,3,FALSE)</f>
        <v>43</v>
      </c>
      <c r="AE347" s="1">
        <f t="shared" si="23"/>
        <v>10813882560</v>
      </c>
      <c r="AF347" t="s">
        <v>1124</v>
      </c>
    </row>
    <row r="348" spans="2:32" x14ac:dyDescent="0.2">
      <c r="B348">
        <v>58142</v>
      </c>
      <c r="C348" s="1">
        <v>6.9999999999999997E-7</v>
      </c>
      <c r="D348" t="str">
        <f>VLOOKUP(B348,Nuclides!A:E,5,FALSE)</f>
        <v>Ce142</v>
      </c>
      <c r="E348">
        <f>VLOOKUP(Sheet2!B348,Nuclides!A:E,2,FALSE)</f>
        <v>84</v>
      </c>
      <c r="F348">
        <f>VLOOKUP(B348,Nuclides!A:E,3,FALSE)</f>
        <v>58</v>
      </c>
      <c r="G348" s="1">
        <f t="shared" si="20"/>
        <v>8736000000</v>
      </c>
      <c r="H348">
        <f>VLOOKUP(B348,Nuclides!A:E,4,FALSE)</f>
        <v>1.57788E+24</v>
      </c>
      <c r="J348" s="1">
        <v>57146</v>
      </c>
      <c r="K348" s="1">
        <v>1.9400000000000001E-5</v>
      </c>
      <c r="L348" t="str">
        <f>VLOOKUP(J348,Nuclides!A:E,5,FALSE)</f>
        <v>La146</v>
      </c>
      <c r="M348">
        <f>VLOOKUP(Sheet2!J348,Nuclides!A:E,2,FALSE)</f>
        <v>89</v>
      </c>
      <c r="N348">
        <f>VLOOKUP(J348,Nuclides!A:E,3,FALSE)</f>
        <v>57</v>
      </c>
      <c r="O348" s="1">
        <f t="shared" si="21"/>
        <v>242112000000</v>
      </c>
      <c r="R348" s="1">
        <v>44096</v>
      </c>
      <c r="S348" s="1">
        <v>2.0870199999999999E-8</v>
      </c>
      <c r="T348" t="str">
        <f>VLOOKUP(R348,Nuclides!A:E,5,FALSE)</f>
        <v>Ru96</v>
      </c>
      <c r="U348">
        <f>VLOOKUP(Sheet2!R348,Nuclides!A:E,2,FALSE)</f>
        <v>52</v>
      </c>
      <c r="V348">
        <f>VLOOKUP(R348,Nuclides!A:E,3,FALSE)</f>
        <v>44</v>
      </c>
      <c r="W348" s="1">
        <f t="shared" si="22"/>
        <v>260460095.99999997</v>
      </c>
      <c r="X348" t="s">
        <v>1153</v>
      </c>
      <c r="Z348" s="1">
        <v>43105</v>
      </c>
      <c r="AA348" s="1">
        <v>3.0029399999999999E-6</v>
      </c>
      <c r="AB348" t="str">
        <f>VLOOKUP(Z348,Nuclides!A:E,5,FALSE)</f>
        <v>Tc105</v>
      </c>
      <c r="AC348">
        <f>VLOOKUP(Sheet2!Z348,Nuclides!A:E,2,FALSE)</f>
        <v>62</v>
      </c>
      <c r="AD348">
        <f>VLOOKUP(Z348,Nuclides!A:E,3,FALSE)</f>
        <v>43</v>
      </c>
      <c r="AE348" s="1">
        <f t="shared" si="23"/>
        <v>37476691200</v>
      </c>
      <c r="AF348" t="s">
        <v>1125</v>
      </c>
    </row>
    <row r="349" spans="2:32" x14ac:dyDescent="0.2">
      <c r="B349">
        <v>58143</v>
      </c>
      <c r="C349" s="1">
        <v>2.9999999999999999E-7</v>
      </c>
      <c r="D349" t="str">
        <f>VLOOKUP(B349,Nuclides!A:E,5,FALSE)</f>
        <v>Ce143</v>
      </c>
      <c r="E349">
        <f>VLOOKUP(Sheet2!B349,Nuclides!A:E,2,FALSE)</f>
        <v>85</v>
      </c>
      <c r="F349">
        <f>VLOOKUP(B349,Nuclides!A:E,3,FALSE)</f>
        <v>58</v>
      </c>
      <c r="G349" s="1">
        <f t="shared" si="20"/>
        <v>3744000000</v>
      </c>
      <c r="H349">
        <f>VLOOKUP(B349,Nuclides!A:E,4,FALSE)</f>
        <v>118940.4</v>
      </c>
      <c r="J349" s="1">
        <v>57147</v>
      </c>
      <c r="K349" s="1">
        <v>2.23E-5</v>
      </c>
      <c r="L349" t="str">
        <f>VLOOKUP(J349,Nuclides!A:E,5,FALSE)</f>
        <v>La147</v>
      </c>
      <c r="M349">
        <f>VLOOKUP(Sheet2!J349,Nuclides!A:E,2,FALSE)</f>
        <v>90</v>
      </c>
      <c r="N349">
        <f>VLOOKUP(J349,Nuclides!A:E,3,FALSE)</f>
        <v>57</v>
      </c>
      <c r="O349" s="1">
        <f t="shared" si="21"/>
        <v>278304000000</v>
      </c>
      <c r="R349" s="1">
        <v>44097</v>
      </c>
      <c r="S349" s="1">
        <v>5.2350000000000002E-9</v>
      </c>
      <c r="T349" t="str">
        <f>VLOOKUP(R349,Nuclides!A:E,5,FALSE)</f>
        <v>Ru97</v>
      </c>
      <c r="U349">
        <f>VLOOKUP(Sheet2!R349,Nuclides!A:E,2,FALSE)</f>
        <v>53</v>
      </c>
      <c r="V349">
        <f>VLOOKUP(R349,Nuclides!A:E,3,FALSE)</f>
        <v>44</v>
      </c>
      <c r="W349" s="1">
        <f t="shared" si="22"/>
        <v>65332800</v>
      </c>
      <c r="X349" t="s">
        <v>1154</v>
      </c>
      <c r="Z349" s="1">
        <v>43106</v>
      </c>
      <c r="AA349" s="1">
        <v>3.7869300000000001E-6</v>
      </c>
      <c r="AB349" t="str">
        <f>VLOOKUP(Z349,Nuclides!A:E,5,FALSE)</f>
        <v>Tc106</v>
      </c>
      <c r="AC349">
        <f>VLOOKUP(Sheet2!Z349,Nuclides!A:E,2,FALSE)</f>
        <v>63</v>
      </c>
      <c r="AD349">
        <f>VLOOKUP(Z349,Nuclides!A:E,3,FALSE)</f>
        <v>43</v>
      </c>
      <c r="AE349" s="1">
        <f t="shared" si="23"/>
        <v>47260886400</v>
      </c>
      <c r="AF349" t="s">
        <v>1126</v>
      </c>
    </row>
    <row r="350" spans="2:32" x14ac:dyDescent="0.2">
      <c r="B350">
        <v>58144</v>
      </c>
      <c r="C350" s="1">
        <v>1.3999999999999999E-6</v>
      </c>
      <c r="D350" t="str">
        <f>VLOOKUP(B350,Nuclides!A:E,5,FALSE)</f>
        <v>Ce144</v>
      </c>
      <c r="E350">
        <f>VLOOKUP(Sheet2!B350,Nuclides!A:E,2,FALSE)</f>
        <v>86</v>
      </c>
      <c r="F350">
        <f>VLOOKUP(B350,Nuclides!A:E,3,FALSE)</f>
        <v>58</v>
      </c>
      <c r="G350" s="1">
        <f t="shared" si="20"/>
        <v>17472000000</v>
      </c>
      <c r="H350">
        <f>VLOOKUP(B350,Nuclides!A:E,4,FALSE)</f>
        <v>24616224</v>
      </c>
      <c r="J350" s="1">
        <v>57148</v>
      </c>
      <c r="K350" s="1">
        <v>1.5699999999999999E-5</v>
      </c>
      <c r="L350" t="str">
        <f>VLOOKUP(J350,Nuclides!A:E,5,FALSE)</f>
        <v>La148</v>
      </c>
      <c r="M350">
        <f>VLOOKUP(Sheet2!J350,Nuclides!A:E,2,FALSE)</f>
        <v>91</v>
      </c>
      <c r="N350">
        <f>VLOOKUP(J350,Nuclides!A:E,3,FALSE)</f>
        <v>57</v>
      </c>
      <c r="O350" s="1">
        <f t="shared" si="21"/>
        <v>195935999999.99997</v>
      </c>
      <c r="R350" s="1">
        <v>44098</v>
      </c>
      <c r="S350" s="1">
        <v>1.5355999999999999E-9</v>
      </c>
      <c r="T350" t="str">
        <f>VLOOKUP(R350,Nuclides!A:E,5,FALSE)</f>
        <v>Ru98</v>
      </c>
      <c r="U350">
        <f>VLOOKUP(Sheet2!R350,Nuclides!A:E,2,FALSE)</f>
        <v>54</v>
      </c>
      <c r="V350">
        <f>VLOOKUP(R350,Nuclides!A:E,3,FALSE)</f>
        <v>44</v>
      </c>
      <c r="W350" s="1">
        <f t="shared" si="22"/>
        <v>19164288</v>
      </c>
      <c r="X350" t="s">
        <v>1155</v>
      </c>
      <c r="Z350" s="1">
        <v>43107</v>
      </c>
      <c r="AA350" s="1">
        <v>6.2084999999999999E-6</v>
      </c>
      <c r="AB350" t="str">
        <f>VLOOKUP(Z350,Nuclides!A:E,5,FALSE)</f>
        <v>Tc107</v>
      </c>
      <c r="AC350">
        <f>VLOOKUP(Sheet2!Z350,Nuclides!A:E,2,FALSE)</f>
        <v>64</v>
      </c>
      <c r="AD350">
        <f>VLOOKUP(Z350,Nuclides!A:E,3,FALSE)</f>
        <v>43</v>
      </c>
      <c r="AE350" s="1">
        <f t="shared" si="23"/>
        <v>77482080000</v>
      </c>
      <c r="AF350" t="s">
        <v>1127</v>
      </c>
    </row>
    <row r="351" spans="2:32" x14ac:dyDescent="0.2">
      <c r="B351">
        <v>58145</v>
      </c>
      <c r="C351" s="1">
        <v>2.7E-6</v>
      </c>
      <c r="D351" t="str">
        <f>VLOOKUP(B351,Nuclides!A:E,5,FALSE)</f>
        <v>Ce145</v>
      </c>
      <c r="E351">
        <f>VLOOKUP(Sheet2!B351,Nuclides!A:E,2,FALSE)</f>
        <v>87</v>
      </c>
      <c r="F351">
        <f>VLOOKUP(B351,Nuclides!A:E,3,FALSE)</f>
        <v>58</v>
      </c>
      <c r="G351" s="1">
        <f t="shared" si="20"/>
        <v>33696000000</v>
      </c>
      <c r="H351">
        <f>VLOOKUP(B351,Nuclides!A:E,4,FALSE)</f>
        <v>180.6</v>
      </c>
      <c r="J351" s="1">
        <v>57149</v>
      </c>
      <c r="K351" s="1">
        <v>7.9000000000000006E-6</v>
      </c>
      <c r="L351" t="str">
        <f>VLOOKUP(J351,Nuclides!A:E,5,FALSE)</f>
        <v>La149</v>
      </c>
      <c r="M351">
        <f>VLOOKUP(Sheet2!J351,Nuclides!A:E,2,FALSE)</f>
        <v>92</v>
      </c>
      <c r="N351">
        <f>VLOOKUP(J351,Nuclides!A:E,3,FALSE)</f>
        <v>57</v>
      </c>
      <c r="O351" s="1">
        <f t="shared" si="21"/>
        <v>98592000000</v>
      </c>
      <c r="R351" s="1">
        <v>44099</v>
      </c>
      <c r="S351" s="1">
        <v>6.9799999999999994E-11</v>
      </c>
      <c r="T351" t="str">
        <f>VLOOKUP(R351,Nuclides!A:E,5,FALSE)</f>
        <v>Ru99</v>
      </c>
      <c r="U351">
        <f>VLOOKUP(Sheet2!R351,Nuclides!A:E,2,FALSE)</f>
        <v>55</v>
      </c>
      <c r="V351">
        <f>VLOOKUP(R351,Nuclides!A:E,3,FALSE)</f>
        <v>44</v>
      </c>
      <c r="W351" s="1">
        <f t="shared" si="22"/>
        <v>871103.99999999988</v>
      </c>
      <c r="X351" t="s">
        <v>1156</v>
      </c>
      <c r="Z351" s="1">
        <v>43108</v>
      </c>
      <c r="AA351" s="1">
        <v>4.3597099999999998E-6</v>
      </c>
      <c r="AB351" t="str">
        <f>VLOOKUP(Z351,Nuclides!A:E,5,FALSE)</f>
        <v>Tc108</v>
      </c>
      <c r="AC351">
        <f>VLOOKUP(Sheet2!Z351,Nuclides!A:E,2,FALSE)</f>
        <v>65</v>
      </c>
      <c r="AD351">
        <f>VLOOKUP(Z351,Nuclides!A:E,3,FALSE)</f>
        <v>43</v>
      </c>
      <c r="AE351" s="1">
        <f t="shared" si="23"/>
        <v>54409180800</v>
      </c>
      <c r="AF351" t="s">
        <v>1128</v>
      </c>
    </row>
    <row r="352" spans="2:32" x14ac:dyDescent="0.2">
      <c r="B352">
        <v>58146</v>
      </c>
      <c r="C352" s="1">
        <v>5.0000000000000004E-6</v>
      </c>
      <c r="D352" t="str">
        <f>VLOOKUP(B352,Nuclides!A:E,5,FALSE)</f>
        <v>Ce146</v>
      </c>
      <c r="E352">
        <f>VLOOKUP(Sheet2!B352,Nuclides!A:E,2,FALSE)</f>
        <v>88</v>
      </c>
      <c r="F352">
        <f>VLOOKUP(B352,Nuclides!A:E,3,FALSE)</f>
        <v>58</v>
      </c>
      <c r="G352" s="1">
        <f t="shared" si="20"/>
        <v>62400000000.000008</v>
      </c>
      <c r="H352">
        <f>VLOOKUP(B352,Nuclides!A:E,4,FALSE)</f>
        <v>809.4</v>
      </c>
      <c r="J352" s="1">
        <v>58124</v>
      </c>
      <c r="K352" s="1">
        <v>3.3000000000000002E-6</v>
      </c>
      <c r="L352" t="str">
        <f>VLOOKUP(J352,Nuclides!A:E,5,FALSE)</f>
        <v>Ce124</v>
      </c>
      <c r="M352">
        <f>VLOOKUP(Sheet2!J352,Nuclides!A:E,2,FALSE)</f>
        <v>66</v>
      </c>
      <c r="N352">
        <f>VLOOKUP(J352,Nuclides!A:E,3,FALSE)</f>
        <v>58</v>
      </c>
      <c r="O352" s="1">
        <f t="shared" si="21"/>
        <v>41184000000</v>
      </c>
      <c r="R352" s="1">
        <v>44101</v>
      </c>
      <c r="S352" s="1">
        <v>6.9799999999999997E-10</v>
      </c>
      <c r="T352" t="str">
        <f>VLOOKUP(R352,Nuclides!A:E,5,FALSE)</f>
        <v>Ru101</v>
      </c>
      <c r="U352">
        <f>VLOOKUP(Sheet2!R352,Nuclides!A:E,2,FALSE)</f>
        <v>57</v>
      </c>
      <c r="V352">
        <f>VLOOKUP(R352,Nuclides!A:E,3,FALSE)</f>
        <v>44</v>
      </c>
      <c r="W352" s="1">
        <f t="shared" si="22"/>
        <v>8711040</v>
      </c>
      <c r="X352" t="s">
        <v>1158</v>
      </c>
      <c r="Z352" s="1">
        <v>43109</v>
      </c>
      <c r="AA352" s="1">
        <v>4.1331399999999997E-6</v>
      </c>
      <c r="AB352" t="str">
        <f>VLOOKUP(Z352,Nuclides!A:E,5,FALSE)</f>
        <v>Tc109</v>
      </c>
      <c r="AC352">
        <f>VLOOKUP(Sheet2!Z352,Nuclides!A:E,2,FALSE)</f>
        <v>66</v>
      </c>
      <c r="AD352">
        <f>VLOOKUP(Z352,Nuclides!A:E,3,FALSE)</f>
        <v>43</v>
      </c>
      <c r="AE352" s="1">
        <f t="shared" si="23"/>
        <v>51581587200</v>
      </c>
      <c r="AF352" t="s">
        <v>1129</v>
      </c>
    </row>
    <row r="353" spans="2:32" x14ac:dyDescent="0.2">
      <c r="B353">
        <v>58147</v>
      </c>
      <c r="C353" s="1">
        <v>5.0000000000000004E-6</v>
      </c>
      <c r="D353" t="str">
        <f>VLOOKUP(B353,Nuclides!A:E,5,FALSE)</f>
        <v>Ce147</v>
      </c>
      <c r="E353">
        <f>VLOOKUP(Sheet2!B353,Nuclides!A:E,2,FALSE)</f>
        <v>89</v>
      </c>
      <c r="F353">
        <f>VLOOKUP(B353,Nuclides!A:E,3,FALSE)</f>
        <v>58</v>
      </c>
      <c r="G353" s="1">
        <f t="shared" si="20"/>
        <v>62400000000.000008</v>
      </c>
      <c r="H353">
        <f>VLOOKUP(B353,Nuclides!A:E,4,FALSE)</f>
        <v>56.4</v>
      </c>
      <c r="J353" s="1">
        <v>58125</v>
      </c>
      <c r="K353" s="1">
        <v>5.9999999999999997E-7</v>
      </c>
      <c r="L353" t="str">
        <f>VLOOKUP(J353,Nuclides!A:E,5,FALSE)</f>
        <v>Ce125</v>
      </c>
      <c r="M353">
        <f>VLOOKUP(Sheet2!J353,Nuclides!A:E,2,FALSE)</f>
        <v>67</v>
      </c>
      <c r="N353">
        <f>VLOOKUP(J353,Nuclides!A:E,3,FALSE)</f>
        <v>58</v>
      </c>
      <c r="O353" s="1">
        <f t="shared" si="21"/>
        <v>7488000000</v>
      </c>
      <c r="R353" s="1">
        <v>44102</v>
      </c>
      <c r="S353" s="1">
        <v>2.7222E-9</v>
      </c>
      <c r="T353" t="str">
        <f>VLOOKUP(R353,Nuclides!A:E,5,FALSE)</f>
        <v>Ru102</v>
      </c>
      <c r="U353">
        <f>VLOOKUP(Sheet2!R353,Nuclides!A:E,2,FALSE)</f>
        <v>58</v>
      </c>
      <c r="V353">
        <f>VLOOKUP(R353,Nuclides!A:E,3,FALSE)</f>
        <v>44</v>
      </c>
      <c r="W353" s="1">
        <f t="shared" si="22"/>
        <v>33973056</v>
      </c>
      <c r="X353" t="s">
        <v>1159</v>
      </c>
      <c r="Z353" s="1">
        <v>43110</v>
      </c>
      <c r="AA353" s="1">
        <v>2.3925299999999999E-6</v>
      </c>
      <c r="AB353" t="str">
        <f>VLOOKUP(Z353,Nuclides!A:E,5,FALSE)</f>
        <v>Tc110</v>
      </c>
      <c r="AC353">
        <f>VLOOKUP(Sheet2!Z353,Nuclides!A:E,2,FALSE)</f>
        <v>67</v>
      </c>
      <c r="AD353">
        <f>VLOOKUP(Z353,Nuclides!A:E,3,FALSE)</f>
        <v>43</v>
      </c>
      <c r="AE353" s="1">
        <f t="shared" si="23"/>
        <v>29858774400</v>
      </c>
      <c r="AF353" t="s">
        <v>1130</v>
      </c>
    </row>
    <row r="354" spans="2:32" x14ac:dyDescent="0.2">
      <c r="B354">
        <v>58148</v>
      </c>
      <c r="C354" s="1">
        <v>6.0000000000000002E-6</v>
      </c>
      <c r="D354" t="str">
        <f>VLOOKUP(B354,Nuclides!A:E,5,FALSE)</f>
        <v>Ce148</v>
      </c>
      <c r="E354">
        <f>VLOOKUP(Sheet2!B354,Nuclides!A:E,2,FALSE)</f>
        <v>90</v>
      </c>
      <c r="F354">
        <f>VLOOKUP(B354,Nuclides!A:E,3,FALSE)</f>
        <v>58</v>
      </c>
      <c r="G354" s="1">
        <f t="shared" si="20"/>
        <v>74880000000</v>
      </c>
      <c r="H354">
        <f>VLOOKUP(B354,Nuclides!A:E,4,FALSE)</f>
        <v>56.8</v>
      </c>
      <c r="J354" s="1">
        <v>58142</v>
      </c>
      <c r="K354" s="1">
        <v>9.9999999999999995E-8</v>
      </c>
      <c r="L354" t="str">
        <f>VLOOKUP(J354,Nuclides!A:E,5,FALSE)</f>
        <v>Ce142</v>
      </c>
      <c r="M354">
        <f>VLOOKUP(Sheet2!J354,Nuclides!A:E,2,FALSE)</f>
        <v>84</v>
      </c>
      <c r="N354">
        <f>VLOOKUP(J354,Nuclides!A:E,3,FALSE)</f>
        <v>58</v>
      </c>
      <c r="O354" s="1">
        <f t="shared" si="21"/>
        <v>1248000000</v>
      </c>
      <c r="R354" s="1">
        <v>44103</v>
      </c>
      <c r="S354" s="1">
        <v>1.0190799999999999E-8</v>
      </c>
      <c r="T354" t="str">
        <f>VLOOKUP(R354,Nuclides!A:E,5,FALSE)</f>
        <v>Ru103</v>
      </c>
      <c r="U354">
        <f>VLOOKUP(Sheet2!R354,Nuclides!A:E,2,FALSE)</f>
        <v>59</v>
      </c>
      <c r="V354">
        <f>VLOOKUP(R354,Nuclides!A:E,3,FALSE)</f>
        <v>44</v>
      </c>
      <c r="W354" s="1">
        <f t="shared" si="22"/>
        <v>127181183.99999999</v>
      </c>
      <c r="X354" t="s">
        <v>1160</v>
      </c>
      <c r="Z354" s="1">
        <v>44092</v>
      </c>
      <c r="AA354" s="1">
        <v>1.8192000000000001E-6</v>
      </c>
      <c r="AB354" t="str">
        <f>VLOOKUP(Z354,Nuclides!A:E,5,FALSE)</f>
        <v>Ru92</v>
      </c>
      <c r="AC354">
        <f>VLOOKUP(Sheet2!Z354,Nuclides!A:E,2,FALSE)</f>
        <v>48</v>
      </c>
      <c r="AD354">
        <f>VLOOKUP(Z354,Nuclides!A:E,3,FALSE)</f>
        <v>44</v>
      </c>
      <c r="AE354" s="1">
        <f t="shared" si="23"/>
        <v>22703616000</v>
      </c>
      <c r="AF354" t="s">
        <v>1149</v>
      </c>
    </row>
    <row r="355" spans="2:32" x14ac:dyDescent="0.2">
      <c r="B355">
        <v>58149</v>
      </c>
      <c r="C355" s="1">
        <v>3.4000000000000001E-6</v>
      </c>
      <c r="D355" t="str">
        <f>VLOOKUP(B355,Nuclides!A:E,5,FALSE)</f>
        <v>Ce149</v>
      </c>
      <c r="E355">
        <f>VLOOKUP(Sheet2!B355,Nuclides!A:E,2,FALSE)</f>
        <v>91</v>
      </c>
      <c r="F355">
        <f>VLOOKUP(B355,Nuclides!A:E,3,FALSE)</f>
        <v>58</v>
      </c>
      <c r="G355" s="1">
        <f t="shared" si="20"/>
        <v>42432000000</v>
      </c>
      <c r="H355">
        <f>VLOOKUP(B355,Nuclides!A:E,4,FALSE)</f>
        <v>5.3</v>
      </c>
      <c r="J355" s="1">
        <v>58144</v>
      </c>
      <c r="K355" s="1">
        <v>3.9999999999999998E-7</v>
      </c>
      <c r="L355" t="str">
        <f>VLOOKUP(J355,Nuclides!A:E,5,FALSE)</f>
        <v>Ce144</v>
      </c>
      <c r="M355">
        <f>VLOOKUP(Sheet2!J355,Nuclides!A:E,2,FALSE)</f>
        <v>86</v>
      </c>
      <c r="N355">
        <f>VLOOKUP(J355,Nuclides!A:E,3,FALSE)</f>
        <v>58</v>
      </c>
      <c r="O355" s="1">
        <f t="shared" si="21"/>
        <v>4992000000</v>
      </c>
      <c r="R355" s="1">
        <v>44104</v>
      </c>
      <c r="S355" s="1">
        <v>3.8250399999999997E-8</v>
      </c>
      <c r="T355" t="str">
        <f>VLOOKUP(R355,Nuclides!A:E,5,FALSE)</f>
        <v>Ru104</v>
      </c>
      <c r="U355">
        <f>VLOOKUP(Sheet2!R355,Nuclides!A:E,2,FALSE)</f>
        <v>60</v>
      </c>
      <c r="V355">
        <f>VLOOKUP(R355,Nuclides!A:E,3,FALSE)</f>
        <v>44</v>
      </c>
      <c r="W355" s="1">
        <f t="shared" si="22"/>
        <v>477364991.99999994</v>
      </c>
      <c r="X355" t="s">
        <v>1161</v>
      </c>
      <c r="Z355" s="1">
        <v>44093</v>
      </c>
      <c r="AA355" s="1">
        <v>7.3422599999999997E-7</v>
      </c>
      <c r="AB355" t="str">
        <f>VLOOKUP(Z355,Nuclides!A:E,5,FALSE)</f>
        <v>Ru93</v>
      </c>
      <c r="AC355">
        <f>VLOOKUP(Sheet2!Z355,Nuclides!A:E,2,FALSE)</f>
        <v>49</v>
      </c>
      <c r="AD355">
        <f>VLOOKUP(Z355,Nuclides!A:E,3,FALSE)</f>
        <v>44</v>
      </c>
      <c r="AE355" s="1">
        <f t="shared" si="23"/>
        <v>9163140480</v>
      </c>
      <c r="AF355" t="s">
        <v>1150</v>
      </c>
    </row>
    <row r="356" spans="2:32" x14ac:dyDescent="0.2">
      <c r="B356">
        <v>58150</v>
      </c>
      <c r="C356" s="1">
        <v>3.1999999999999999E-6</v>
      </c>
      <c r="D356" t="str">
        <f>VLOOKUP(B356,Nuclides!A:E,5,FALSE)</f>
        <v>Ce150</v>
      </c>
      <c r="E356">
        <f>VLOOKUP(Sheet2!B356,Nuclides!A:E,2,FALSE)</f>
        <v>92</v>
      </c>
      <c r="F356">
        <f>VLOOKUP(B356,Nuclides!A:E,3,FALSE)</f>
        <v>58</v>
      </c>
      <c r="G356" s="1">
        <f t="shared" si="20"/>
        <v>39936000000</v>
      </c>
      <c r="H356">
        <f>VLOOKUP(B356,Nuclides!A:E,4,FALSE)</f>
        <v>4</v>
      </c>
      <c r="J356" s="1">
        <v>58145</v>
      </c>
      <c r="K356" s="1">
        <v>1.9E-6</v>
      </c>
      <c r="L356" t="str">
        <f>VLOOKUP(J356,Nuclides!A:E,5,FALSE)</f>
        <v>Ce145</v>
      </c>
      <c r="M356">
        <f>VLOOKUP(Sheet2!J356,Nuclides!A:E,2,FALSE)</f>
        <v>87</v>
      </c>
      <c r="N356">
        <f>VLOOKUP(J356,Nuclides!A:E,3,FALSE)</f>
        <v>58</v>
      </c>
      <c r="O356" s="1">
        <f t="shared" si="21"/>
        <v>23712000000</v>
      </c>
      <c r="R356" s="1">
        <v>44105</v>
      </c>
      <c r="S356" s="1">
        <v>1.02676E-7</v>
      </c>
      <c r="T356" t="str">
        <f>VLOOKUP(R356,Nuclides!A:E,5,FALSE)</f>
        <v>Ru105</v>
      </c>
      <c r="U356">
        <f>VLOOKUP(Sheet2!R356,Nuclides!A:E,2,FALSE)</f>
        <v>61</v>
      </c>
      <c r="V356">
        <f>VLOOKUP(R356,Nuclides!A:E,3,FALSE)</f>
        <v>44</v>
      </c>
      <c r="W356" s="1">
        <f t="shared" si="22"/>
        <v>1281396480</v>
      </c>
      <c r="X356" t="s">
        <v>1162</v>
      </c>
      <c r="Z356" s="1">
        <v>44094</v>
      </c>
      <c r="AA356" s="1">
        <v>5.9595200000000004E-7</v>
      </c>
      <c r="AB356" t="str">
        <f>VLOOKUP(Z356,Nuclides!A:E,5,FALSE)</f>
        <v>Ru94</v>
      </c>
      <c r="AC356">
        <f>VLOOKUP(Sheet2!Z356,Nuclides!A:E,2,FALSE)</f>
        <v>50</v>
      </c>
      <c r="AD356">
        <f>VLOOKUP(Z356,Nuclides!A:E,3,FALSE)</f>
        <v>44</v>
      </c>
      <c r="AE356" s="1">
        <f t="shared" si="23"/>
        <v>7437480960.000001</v>
      </c>
      <c r="AF356" t="s">
        <v>1151</v>
      </c>
    </row>
    <row r="357" spans="2:32" x14ac:dyDescent="0.2">
      <c r="B357">
        <v>58151</v>
      </c>
      <c r="C357" s="1">
        <v>1.3E-6</v>
      </c>
      <c r="D357" t="str">
        <f>VLOOKUP(B357,Nuclides!A:E,5,FALSE)</f>
        <v>Ce151</v>
      </c>
      <c r="E357">
        <f>VLOOKUP(Sheet2!B357,Nuclides!A:E,2,FALSE)</f>
        <v>93</v>
      </c>
      <c r="F357">
        <f>VLOOKUP(B357,Nuclides!A:E,3,FALSE)</f>
        <v>58</v>
      </c>
      <c r="G357" s="1">
        <f t="shared" si="20"/>
        <v>16224000000</v>
      </c>
      <c r="H357">
        <f>VLOOKUP(B357,Nuclides!A:E,4,FALSE)</f>
        <v>1.76</v>
      </c>
      <c r="J357" s="1">
        <v>58146</v>
      </c>
      <c r="K357" s="1">
        <v>6.0000000000000002E-6</v>
      </c>
      <c r="L357" t="str">
        <f>VLOOKUP(J357,Nuclides!A:E,5,FALSE)</f>
        <v>Ce146</v>
      </c>
      <c r="M357">
        <f>VLOOKUP(Sheet2!J357,Nuclides!A:E,2,FALSE)</f>
        <v>88</v>
      </c>
      <c r="N357">
        <f>VLOOKUP(J357,Nuclides!A:E,3,FALSE)</f>
        <v>58</v>
      </c>
      <c r="O357" s="1">
        <f t="shared" si="21"/>
        <v>74880000000</v>
      </c>
      <c r="R357" s="1">
        <v>44106</v>
      </c>
      <c r="S357" s="1">
        <v>2.7277799999999998E-7</v>
      </c>
      <c r="T357" t="str">
        <f>VLOOKUP(R357,Nuclides!A:E,5,FALSE)</f>
        <v>Ru106</v>
      </c>
      <c r="U357">
        <f>VLOOKUP(Sheet2!R357,Nuclides!A:E,2,FALSE)</f>
        <v>62</v>
      </c>
      <c r="V357">
        <f>VLOOKUP(R357,Nuclides!A:E,3,FALSE)</f>
        <v>44</v>
      </c>
      <c r="W357" s="1">
        <f t="shared" si="22"/>
        <v>3404269440</v>
      </c>
      <c r="X357" t="s">
        <v>1163</v>
      </c>
      <c r="Z357" s="1">
        <v>44095</v>
      </c>
      <c r="AA357" s="1">
        <v>6.5961000000000004E-8</v>
      </c>
      <c r="AB357" t="str">
        <f>VLOOKUP(Z357,Nuclides!A:E,5,FALSE)</f>
        <v>Ru95</v>
      </c>
      <c r="AC357">
        <f>VLOOKUP(Sheet2!Z357,Nuclides!A:E,2,FALSE)</f>
        <v>51</v>
      </c>
      <c r="AD357">
        <f>VLOOKUP(Z357,Nuclides!A:E,3,FALSE)</f>
        <v>44</v>
      </c>
      <c r="AE357" s="1">
        <f t="shared" si="23"/>
        <v>823193280</v>
      </c>
      <c r="AF357" t="s">
        <v>1152</v>
      </c>
    </row>
    <row r="358" spans="2:32" x14ac:dyDescent="0.2">
      <c r="B358">
        <v>59129</v>
      </c>
      <c r="C358" s="1">
        <v>1.1999999999999999E-6</v>
      </c>
      <c r="D358" t="str">
        <f>VLOOKUP(B358,Nuclides!A:E,5,FALSE)</f>
        <v>Pr129</v>
      </c>
      <c r="E358">
        <f>VLOOKUP(Sheet2!B358,Nuclides!A:E,2,FALSE)</f>
        <v>70</v>
      </c>
      <c r="F358">
        <f>VLOOKUP(B358,Nuclides!A:E,3,FALSE)</f>
        <v>59</v>
      </c>
      <c r="G358" s="1">
        <f t="shared" si="20"/>
        <v>14976000000</v>
      </c>
      <c r="H358">
        <f>VLOOKUP(B358,Nuclides!A:E,4,FALSE)</f>
        <v>30</v>
      </c>
      <c r="J358" s="1">
        <v>58147</v>
      </c>
      <c r="K358" s="1">
        <v>8.1000000000000004E-6</v>
      </c>
      <c r="L358" t="str">
        <f>VLOOKUP(J358,Nuclides!A:E,5,FALSE)</f>
        <v>Ce147</v>
      </c>
      <c r="M358">
        <f>VLOOKUP(Sheet2!J358,Nuclides!A:E,2,FALSE)</f>
        <v>89</v>
      </c>
      <c r="N358">
        <f>VLOOKUP(J358,Nuclides!A:E,3,FALSE)</f>
        <v>58</v>
      </c>
      <c r="O358" s="1">
        <f t="shared" si="21"/>
        <v>101088000000</v>
      </c>
      <c r="R358" s="1">
        <v>44107</v>
      </c>
      <c r="S358" s="1">
        <v>4.65915E-7</v>
      </c>
      <c r="T358" t="str">
        <f>VLOOKUP(R358,Nuclides!A:E,5,FALSE)</f>
        <v>Ru107</v>
      </c>
      <c r="U358">
        <f>VLOOKUP(Sheet2!R358,Nuclides!A:E,2,FALSE)</f>
        <v>63</v>
      </c>
      <c r="V358">
        <f>VLOOKUP(R358,Nuclides!A:E,3,FALSE)</f>
        <v>44</v>
      </c>
      <c r="W358" s="1">
        <f t="shared" si="22"/>
        <v>5814619200</v>
      </c>
      <c r="X358" t="s">
        <v>1164</v>
      </c>
      <c r="Z358" s="1">
        <v>44096</v>
      </c>
      <c r="AA358" s="1">
        <v>2.9595199999999999E-8</v>
      </c>
      <c r="AB358" t="str">
        <f>VLOOKUP(Z358,Nuclides!A:E,5,FALSE)</f>
        <v>Ru96</v>
      </c>
      <c r="AC358">
        <f>VLOOKUP(Sheet2!Z358,Nuclides!A:E,2,FALSE)</f>
        <v>52</v>
      </c>
      <c r="AD358">
        <f>VLOOKUP(Z358,Nuclides!A:E,3,FALSE)</f>
        <v>44</v>
      </c>
      <c r="AE358" s="1">
        <f t="shared" si="23"/>
        <v>369348096</v>
      </c>
      <c r="AF358" t="s">
        <v>1153</v>
      </c>
    </row>
    <row r="359" spans="2:32" x14ac:dyDescent="0.2">
      <c r="B359">
        <v>59130</v>
      </c>
      <c r="C359" s="1">
        <v>2.9999999999999999E-7</v>
      </c>
      <c r="D359" t="str">
        <f>VLOOKUP(B359,Nuclides!A:E,5,FALSE)</f>
        <v>Pr130</v>
      </c>
      <c r="E359">
        <f>VLOOKUP(Sheet2!B359,Nuclides!A:E,2,FALSE)</f>
        <v>71</v>
      </c>
      <c r="F359">
        <f>VLOOKUP(B359,Nuclides!A:E,3,FALSE)</f>
        <v>59</v>
      </c>
      <c r="G359" s="1">
        <f t="shared" si="20"/>
        <v>3744000000</v>
      </c>
      <c r="H359">
        <f>VLOOKUP(B359,Nuclides!A:E,4,FALSE)</f>
        <v>40</v>
      </c>
      <c r="J359" s="1">
        <v>58148</v>
      </c>
      <c r="K359" s="1">
        <v>1.2500000000000001E-5</v>
      </c>
      <c r="L359" t="str">
        <f>VLOOKUP(J359,Nuclides!A:E,5,FALSE)</f>
        <v>Ce148</v>
      </c>
      <c r="M359">
        <f>VLOOKUP(Sheet2!J359,Nuclides!A:E,2,FALSE)</f>
        <v>90</v>
      </c>
      <c r="N359">
        <f>VLOOKUP(J359,Nuclides!A:E,3,FALSE)</f>
        <v>58</v>
      </c>
      <c r="O359" s="1">
        <f t="shared" si="21"/>
        <v>156000000000</v>
      </c>
      <c r="R359" s="1">
        <v>44108</v>
      </c>
      <c r="S359" s="1">
        <v>8.6021500000000003E-7</v>
      </c>
      <c r="T359" t="str">
        <f>VLOOKUP(R359,Nuclides!A:E,5,FALSE)</f>
        <v>Ru108</v>
      </c>
      <c r="U359">
        <f>VLOOKUP(Sheet2!R359,Nuclides!A:E,2,FALSE)</f>
        <v>64</v>
      </c>
      <c r="V359">
        <f>VLOOKUP(R359,Nuclides!A:E,3,FALSE)</f>
        <v>44</v>
      </c>
      <c r="W359" s="1">
        <f t="shared" si="22"/>
        <v>10735483200</v>
      </c>
      <c r="X359" t="s">
        <v>1165</v>
      </c>
      <c r="Z359" s="1">
        <v>44097</v>
      </c>
      <c r="AA359" s="1">
        <v>5.3048000000000001E-9</v>
      </c>
      <c r="AB359" t="str">
        <f>VLOOKUP(Z359,Nuclides!A:E,5,FALSE)</f>
        <v>Ru97</v>
      </c>
      <c r="AC359">
        <f>VLOOKUP(Sheet2!Z359,Nuclides!A:E,2,FALSE)</f>
        <v>53</v>
      </c>
      <c r="AD359">
        <f>VLOOKUP(Z359,Nuclides!A:E,3,FALSE)</f>
        <v>44</v>
      </c>
      <c r="AE359" s="1">
        <f t="shared" si="23"/>
        <v>66203904</v>
      </c>
      <c r="AF359" t="s">
        <v>1154</v>
      </c>
    </row>
    <row r="360" spans="2:32" x14ac:dyDescent="0.2">
      <c r="B360">
        <v>59131</v>
      </c>
      <c r="C360" s="1">
        <v>1.9999999999999999E-7</v>
      </c>
      <c r="D360" t="str">
        <f>VLOOKUP(B360,Nuclides!A:E,5,FALSE)</f>
        <v>Pr131</v>
      </c>
      <c r="E360">
        <f>VLOOKUP(Sheet2!B360,Nuclides!A:E,2,FALSE)</f>
        <v>72</v>
      </c>
      <c r="F360">
        <f>VLOOKUP(B360,Nuclides!A:E,3,FALSE)</f>
        <v>59</v>
      </c>
      <c r="G360" s="1">
        <f t="shared" si="20"/>
        <v>2496000000</v>
      </c>
      <c r="H360">
        <f>VLOOKUP(B360,Nuclides!A:E,4,FALSE)</f>
        <v>90.6</v>
      </c>
      <c r="J360" s="1">
        <v>58149</v>
      </c>
      <c r="K360" s="1">
        <v>1.5E-5</v>
      </c>
      <c r="L360" t="str">
        <f>VLOOKUP(J360,Nuclides!A:E,5,FALSE)</f>
        <v>Ce149</v>
      </c>
      <c r="M360">
        <f>VLOOKUP(Sheet2!J360,Nuclides!A:E,2,FALSE)</f>
        <v>91</v>
      </c>
      <c r="N360">
        <f>VLOOKUP(J360,Nuclides!A:E,3,FALSE)</f>
        <v>58</v>
      </c>
      <c r="O360" s="1">
        <f t="shared" si="21"/>
        <v>187200000000</v>
      </c>
      <c r="R360" s="1">
        <v>44109</v>
      </c>
      <c r="S360" s="1">
        <v>9.19057E-7</v>
      </c>
      <c r="T360" t="str">
        <f>VLOOKUP(R360,Nuclides!A:E,5,FALSE)</f>
        <v>Ru109</v>
      </c>
      <c r="U360">
        <f>VLOOKUP(Sheet2!R360,Nuclides!A:E,2,FALSE)</f>
        <v>65</v>
      </c>
      <c r="V360">
        <f>VLOOKUP(R360,Nuclides!A:E,3,FALSE)</f>
        <v>44</v>
      </c>
      <c r="W360" s="1">
        <f t="shared" si="22"/>
        <v>11469831360</v>
      </c>
      <c r="X360" t="s">
        <v>1166</v>
      </c>
      <c r="Z360" s="1">
        <v>44098</v>
      </c>
      <c r="AA360" s="1">
        <v>2.3732E-9</v>
      </c>
      <c r="AB360" t="str">
        <f>VLOOKUP(Z360,Nuclides!A:E,5,FALSE)</f>
        <v>Ru98</v>
      </c>
      <c r="AC360">
        <f>VLOOKUP(Sheet2!Z360,Nuclides!A:E,2,FALSE)</f>
        <v>54</v>
      </c>
      <c r="AD360">
        <f>VLOOKUP(Z360,Nuclides!A:E,3,FALSE)</f>
        <v>44</v>
      </c>
      <c r="AE360" s="1">
        <f t="shared" si="23"/>
        <v>29617536</v>
      </c>
      <c r="AF360" t="s">
        <v>1155</v>
      </c>
    </row>
    <row r="361" spans="2:32" x14ac:dyDescent="0.2">
      <c r="B361">
        <v>59144</v>
      </c>
      <c r="C361" s="1">
        <v>9.9999999999999995E-8</v>
      </c>
      <c r="D361" t="str">
        <f>VLOOKUP(B361,Nuclides!A:E,5,FALSE)</f>
        <v>Pr144</v>
      </c>
      <c r="E361">
        <f>VLOOKUP(Sheet2!B361,Nuclides!A:E,2,FALSE)</f>
        <v>85</v>
      </c>
      <c r="F361">
        <f>VLOOKUP(B361,Nuclides!A:E,3,FALSE)</f>
        <v>59</v>
      </c>
      <c r="G361" s="1">
        <f t="shared" si="20"/>
        <v>1248000000</v>
      </c>
      <c r="H361">
        <f>VLOOKUP(B361,Nuclides!A:E,4,FALSE)</f>
        <v>1036.8</v>
      </c>
      <c r="J361" s="1">
        <v>58150</v>
      </c>
      <c r="K361" s="1">
        <v>1.0900000000000001E-5</v>
      </c>
      <c r="L361" t="str">
        <f>VLOOKUP(J361,Nuclides!A:E,5,FALSE)</f>
        <v>Ce150</v>
      </c>
      <c r="M361">
        <f>VLOOKUP(Sheet2!J361,Nuclides!A:E,2,FALSE)</f>
        <v>92</v>
      </c>
      <c r="N361">
        <f>VLOOKUP(J361,Nuclides!A:E,3,FALSE)</f>
        <v>58</v>
      </c>
      <c r="O361" s="1">
        <f t="shared" si="21"/>
        <v>136032000000.00002</v>
      </c>
      <c r="R361" s="1">
        <v>44110</v>
      </c>
      <c r="S361" s="1">
        <v>1.2280600000000001E-6</v>
      </c>
      <c r="T361" t="str">
        <f>VLOOKUP(R361,Nuclides!A:E,5,FALSE)</f>
        <v>Ru110</v>
      </c>
      <c r="U361">
        <f>VLOOKUP(Sheet2!R361,Nuclides!A:E,2,FALSE)</f>
        <v>66</v>
      </c>
      <c r="V361">
        <f>VLOOKUP(R361,Nuclides!A:E,3,FALSE)</f>
        <v>44</v>
      </c>
      <c r="W361" s="1">
        <f t="shared" si="22"/>
        <v>15326188800.000002</v>
      </c>
      <c r="X361" t="s">
        <v>1167</v>
      </c>
      <c r="Z361" s="1">
        <v>44099</v>
      </c>
      <c r="AA361" s="1">
        <v>4.1879999999999999E-10</v>
      </c>
      <c r="AB361" t="str">
        <f>VLOOKUP(Z361,Nuclides!A:E,5,FALSE)</f>
        <v>Ru99</v>
      </c>
      <c r="AC361">
        <f>VLOOKUP(Sheet2!Z361,Nuclides!A:E,2,FALSE)</f>
        <v>55</v>
      </c>
      <c r="AD361">
        <f>VLOOKUP(Z361,Nuclides!A:E,3,FALSE)</f>
        <v>44</v>
      </c>
      <c r="AE361" s="1">
        <f t="shared" si="23"/>
        <v>5226624</v>
      </c>
      <c r="AF361" t="s">
        <v>1156</v>
      </c>
    </row>
    <row r="362" spans="2:32" x14ac:dyDescent="0.2">
      <c r="B362">
        <v>59145</v>
      </c>
      <c r="C362" s="1">
        <v>2.9999999999999999E-7</v>
      </c>
      <c r="D362" t="str">
        <f>VLOOKUP(B362,Nuclides!A:E,5,FALSE)</f>
        <v>Pr145</v>
      </c>
      <c r="E362">
        <f>VLOOKUP(Sheet2!B362,Nuclides!A:E,2,FALSE)</f>
        <v>86</v>
      </c>
      <c r="F362">
        <f>VLOOKUP(B362,Nuclides!A:E,3,FALSE)</f>
        <v>59</v>
      </c>
      <c r="G362" s="1">
        <f t="shared" si="20"/>
        <v>3744000000</v>
      </c>
      <c r="H362">
        <f>VLOOKUP(B362,Nuclides!A:E,4,FALSE)</f>
        <v>21542.400000000001</v>
      </c>
      <c r="J362" s="1">
        <v>58151</v>
      </c>
      <c r="K362" s="1">
        <v>6.2999999999999998E-6</v>
      </c>
      <c r="L362" t="str">
        <f>VLOOKUP(J362,Nuclides!A:E,5,FALSE)</f>
        <v>Ce151</v>
      </c>
      <c r="M362">
        <f>VLOOKUP(Sheet2!J362,Nuclides!A:E,2,FALSE)</f>
        <v>93</v>
      </c>
      <c r="N362">
        <f>VLOOKUP(J362,Nuclides!A:E,3,FALSE)</f>
        <v>58</v>
      </c>
      <c r="O362" s="1">
        <f t="shared" si="21"/>
        <v>78624000000</v>
      </c>
      <c r="R362" s="1">
        <v>44111</v>
      </c>
      <c r="S362" s="1">
        <v>1.0775000000000001E-6</v>
      </c>
      <c r="T362" t="str">
        <f>VLOOKUP(R362,Nuclides!A:E,5,FALSE)</f>
        <v>Ru111</v>
      </c>
      <c r="U362">
        <f>VLOOKUP(Sheet2!R362,Nuclides!A:E,2,FALSE)</f>
        <v>67</v>
      </c>
      <c r="V362">
        <f>VLOOKUP(R362,Nuclides!A:E,3,FALSE)</f>
        <v>44</v>
      </c>
      <c r="W362" s="1">
        <f t="shared" si="22"/>
        <v>13447200000</v>
      </c>
      <c r="X362" t="s">
        <v>1168</v>
      </c>
      <c r="Z362" s="1">
        <v>44100</v>
      </c>
      <c r="AA362" s="1">
        <v>6.9799999999999994E-11</v>
      </c>
      <c r="AB362" t="str">
        <f>VLOOKUP(Z362,Nuclides!A:E,5,FALSE)</f>
        <v>Ru100</v>
      </c>
      <c r="AC362">
        <f>VLOOKUP(Sheet2!Z362,Nuclides!A:E,2,FALSE)</f>
        <v>56</v>
      </c>
      <c r="AD362">
        <f>VLOOKUP(Z362,Nuclides!A:E,3,FALSE)</f>
        <v>44</v>
      </c>
      <c r="AE362" s="1">
        <f t="shared" si="23"/>
        <v>871103.99999999988</v>
      </c>
      <c r="AF362" t="s">
        <v>1157</v>
      </c>
    </row>
    <row r="363" spans="2:32" x14ac:dyDescent="0.2">
      <c r="B363">
        <v>59147</v>
      </c>
      <c r="C363" s="1">
        <v>9.9999999999999995E-7</v>
      </c>
      <c r="D363" t="str">
        <f>VLOOKUP(B363,Nuclides!A:E,5,FALSE)</f>
        <v>Pr147</v>
      </c>
      <c r="E363">
        <f>VLOOKUP(Sheet2!B363,Nuclides!A:E,2,FALSE)</f>
        <v>88</v>
      </c>
      <c r="F363">
        <f>VLOOKUP(B363,Nuclides!A:E,3,FALSE)</f>
        <v>59</v>
      </c>
      <c r="G363" s="1">
        <f t="shared" si="20"/>
        <v>12480000000</v>
      </c>
      <c r="H363">
        <f>VLOOKUP(B363,Nuclides!A:E,4,FALSE)</f>
        <v>804</v>
      </c>
      <c r="J363" s="1">
        <v>59129</v>
      </c>
      <c r="K363" s="1">
        <v>1.9E-6</v>
      </c>
      <c r="L363" t="str">
        <f>VLOOKUP(J363,Nuclides!A:E,5,FALSE)</f>
        <v>Pr129</v>
      </c>
      <c r="M363">
        <f>VLOOKUP(Sheet2!J363,Nuclides!A:E,2,FALSE)</f>
        <v>70</v>
      </c>
      <c r="N363">
        <f>VLOOKUP(J363,Nuclides!A:E,3,FALSE)</f>
        <v>59</v>
      </c>
      <c r="O363" s="1">
        <f t="shared" si="21"/>
        <v>23712000000</v>
      </c>
      <c r="R363" s="1">
        <v>44112</v>
      </c>
      <c r="S363" s="1">
        <v>1.1597300000000001E-6</v>
      </c>
      <c r="T363" t="str">
        <f>VLOOKUP(R363,Nuclides!A:E,5,FALSE)</f>
        <v>Ru112</v>
      </c>
      <c r="U363">
        <f>VLOOKUP(Sheet2!R363,Nuclides!A:E,2,FALSE)</f>
        <v>68</v>
      </c>
      <c r="V363">
        <f>VLOOKUP(R363,Nuclides!A:E,3,FALSE)</f>
        <v>44</v>
      </c>
      <c r="W363" s="1">
        <f t="shared" si="22"/>
        <v>14473430400</v>
      </c>
      <c r="X363" t="s">
        <v>1169</v>
      </c>
      <c r="Z363" s="1">
        <v>44101</v>
      </c>
      <c r="AA363" s="1">
        <v>1.3959999999999999E-10</v>
      </c>
      <c r="AB363" t="str">
        <f>VLOOKUP(Z363,Nuclides!A:E,5,FALSE)</f>
        <v>Ru101</v>
      </c>
      <c r="AC363">
        <f>VLOOKUP(Sheet2!Z363,Nuclides!A:E,2,FALSE)</f>
        <v>57</v>
      </c>
      <c r="AD363">
        <f>VLOOKUP(Z363,Nuclides!A:E,3,FALSE)</f>
        <v>44</v>
      </c>
      <c r="AE363" s="1">
        <f t="shared" si="23"/>
        <v>1742207.9999999998</v>
      </c>
      <c r="AF363" t="s">
        <v>1158</v>
      </c>
    </row>
    <row r="364" spans="2:32" x14ac:dyDescent="0.2">
      <c r="B364">
        <v>59148</v>
      </c>
      <c r="C364" s="1">
        <v>8.9999999999999996E-7</v>
      </c>
      <c r="D364" t="str">
        <f>VLOOKUP(B364,Nuclides!A:E,5,FALSE)</f>
        <v>Pr148</v>
      </c>
      <c r="E364">
        <f>VLOOKUP(Sheet2!B364,Nuclides!A:E,2,FALSE)</f>
        <v>89</v>
      </c>
      <c r="F364">
        <f>VLOOKUP(B364,Nuclides!A:E,3,FALSE)</f>
        <v>59</v>
      </c>
      <c r="G364" s="1">
        <f t="shared" si="20"/>
        <v>11232000000</v>
      </c>
      <c r="H364">
        <f>VLOOKUP(B364,Nuclides!A:E,4,FALSE)</f>
        <v>137.4</v>
      </c>
      <c r="J364" s="1">
        <v>59130</v>
      </c>
      <c r="K364" s="1">
        <v>6.9999999999999997E-7</v>
      </c>
      <c r="L364" t="str">
        <f>VLOOKUP(J364,Nuclides!A:E,5,FALSE)</f>
        <v>Pr130</v>
      </c>
      <c r="M364">
        <f>VLOOKUP(Sheet2!J364,Nuclides!A:E,2,FALSE)</f>
        <v>71</v>
      </c>
      <c r="N364">
        <f>VLOOKUP(J364,Nuclides!A:E,3,FALSE)</f>
        <v>59</v>
      </c>
      <c r="O364" s="1">
        <f t="shared" si="21"/>
        <v>8736000000</v>
      </c>
      <c r="R364" s="1">
        <v>44113</v>
      </c>
      <c r="S364" s="1">
        <v>8.3808899999999998E-7</v>
      </c>
      <c r="T364" t="str">
        <f>VLOOKUP(R364,Nuclides!A:E,5,FALSE)</f>
        <v>Ru113</v>
      </c>
      <c r="U364">
        <f>VLOOKUP(Sheet2!R364,Nuclides!A:E,2,FALSE)</f>
        <v>69</v>
      </c>
      <c r="V364">
        <f>VLOOKUP(R364,Nuclides!A:E,3,FALSE)</f>
        <v>44</v>
      </c>
      <c r="W364" s="1">
        <f t="shared" si="22"/>
        <v>10459350720</v>
      </c>
      <c r="X364" t="s">
        <v>1170</v>
      </c>
      <c r="Z364" s="1">
        <v>44102</v>
      </c>
      <c r="AA364" s="1">
        <v>4.8860000000000005E-10</v>
      </c>
      <c r="AB364" t="str">
        <f>VLOOKUP(Z364,Nuclides!A:E,5,FALSE)</f>
        <v>Ru102</v>
      </c>
      <c r="AC364">
        <f>VLOOKUP(Sheet2!Z364,Nuclides!A:E,2,FALSE)</f>
        <v>58</v>
      </c>
      <c r="AD364">
        <f>VLOOKUP(Z364,Nuclides!A:E,3,FALSE)</f>
        <v>44</v>
      </c>
      <c r="AE364" s="1">
        <f t="shared" si="23"/>
        <v>6097728.0000000009</v>
      </c>
      <c r="AF364" t="s">
        <v>1159</v>
      </c>
    </row>
    <row r="365" spans="2:32" x14ac:dyDescent="0.2">
      <c r="B365">
        <v>59149</v>
      </c>
      <c r="C365" s="1">
        <v>1.9E-6</v>
      </c>
      <c r="D365" t="str">
        <f>VLOOKUP(B365,Nuclides!A:E,5,FALSE)</f>
        <v>Pr149</v>
      </c>
      <c r="E365">
        <f>VLOOKUP(Sheet2!B365,Nuclides!A:E,2,FALSE)</f>
        <v>90</v>
      </c>
      <c r="F365">
        <f>VLOOKUP(B365,Nuclides!A:E,3,FALSE)</f>
        <v>59</v>
      </c>
      <c r="G365" s="1">
        <f t="shared" si="20"/>
        <v>23712000000</v>
      </c>
      <c r="H365">
        <f>VLOOKUP(B365,Nuclides!A:E,4,FALSE)</f>
        <v>135.6</v>
      </c>
      <c r="J365" s="1">
        <v>59131</v>
      </c>
      <c r="K365" s="1">
        <v>9.9999999999999995E-8</v>
      </c>
      <c r="L365" t="str">
        <f>VLOOKUP(J365,Nuclides!A:E,5,FALSE)</f>
        <v>Pr131</v>
      </c>
      <c r="M365">
        <f>VLOOKUP(Sheet2!J365,Nuclides!A:E,2,FALSE)</f>
        <v>72</v>
      </c>
      <c r="N365">
        <f>VLOOKUP(J365,Nuclides!A:E,3,FALSE)</f>
        <v>59</v>
      </c>
      <c r="O365" s="1">
        <f t="shared" si="21"/>
        <v>1248000000</v>
      </c>
      <c r="R365" s="1">
        <v>45094</v>
      </c>
      <c r="S365" s="1">
        <v>6.1375099999999997E-7</v>
      </c>
      <c r="T365" t="str">
        <f>VLOOKUP(R365,Nuclides!A:E,5,FALSE)</f>
        <v>Rh94</v>
      </c>
      <c r="U365">
        <f>VLOOKUP(Sheet2!R365,Nuclides!A:E,2,FALSE)</f>
        <v>49</v>
      </c>
      <c r="V365">
        <f>VLOOKUP(R365,Nuclides!A:E,3,FALSE)</f>
        <v>45</v>
      </c>
      <c r="W365" s="1">
        <f t="shared" si="22"/>
        <v>7659612480</v>
      </c>
      <c r="X365" t="s">
        <v>1187</v>
      </c>
      <c r="Z365" s="1">
        <v>44103</v>
      </c>
      <c r="AA365" s="1">
        <v>1.7450000000000001E-9</v>
      </c>
      <c r="AB365" t="str">
        <f>VLOOKUP(Z365,Nuclides!A:E,5,FALSE)</f>
        <v>Ru103</v>
      </c>
      <c r="AC365">
        <f>VLOOKUP(Sheet2!Z365,Nuclides!A:E,2,FALSE)</f>
        <v>59</v>
      </c>
      <c r="AD365">
        <f>VLOOKUP(Z365,Nuclides!A:E,3,FALSE)</f>
        <v>44</v>
      </c>
      <c r="AE365" s="1">
        <f t="shared" si="23"/>
        <v>21777600</v>
      </c>
      <c r="AF365" t="s">
        <v>1160</v>
      </c>
    </row>
    <row r="366" spans="2:32" x14ac:dyDescent="0.2">
      <c r="B366">
        <v>59150</v>
      </c>
      <c r="C366" s="1">
        <v>1.5999999999999999E-6</v>
      </c>
      <c r="D366" t="str">
        <f>VLOOKUP(B366,Nuclides!A:E,5,FALSE)</f>
        <v>Pr150</v>
      </c>
      <c r="E366">
        <f>VLOOKUP(Sheet2!B366,Nuclides!A:E,2,FALSE)</f>
        <v>91</v>
      </c>
      <c r="F366">
        <f>VLOOKUP(B366,Nuclides!A:E,3,FALSE)</f>
        <v>59</v>
      </c>
      <c r="G366" s="1">
        <f t="shared" si="20"/>
        <v>19968000000</v>
      </c>
      <c r="H366">
        <f>VLOOKUP(B366,Nuclides!A:E,4,FALSE)</f>
        <v>6.19</v>
      </c>
      <c r="J366" s="1">
        <v>59145</v>
      </c>
      <c r="K366" s="1">
        <v>9.9999999999999995E-8</v>
      </c>
      <c r="L366" t="str">
        <f>VLOOKUP(J366,Nuclides!A:E,5,FALSE)</f>
        <v>Pr145</v>
      </c>
      <c r="M366">
        <f>VLOOKUP(Sheet2!J366,Nuclides!A:E,2,FALSE)</f>
        <v>86</v>
      </c>
      <c r="N366">
        <f>VLOOKUP(J366,Nuclides!A:E,3,FALSE)</f>
        <v>59</v>
      </c>
      <c r="O366" s="1">
        <f t="shared" si="21"/>
        <v>1248000000</v>
      </c>
      <c r="R366" s="1">
        <v>45095</v>
      </c>
      <c r="S366" s="1">
        <v>3.2254599999999998E-7</v>
      </c>
      <c r="T366" t="str">
        <f>VLOOKUP(R366,Nuclides!A:E,5,FALSE)</f>
        <v>Rh95</v>
      </c>
      <c r="U366">
        <f>VLOOKUP(Sheet2!R366,Nuclides!A:E,2,FALSE)</f>
        <v>50</v>
      </c>
      <c r="V366">
        <f>VLOOKUP(R366,Nuclides!A:E,3,FALSE)</f>
        <v>45</v>
      </c>
      <c r="W366" s="1">
        <f t="shared" si="22"/>
        <v>4025374080</v>
      </c>
      <c r="X366" t="s">
        <v>1188</v>
      </c>
      <c r="Z366" s="1">
        <v>44104</v>
      </c>
      <c r="AA366" s="1">
        <v>1.9055399999999999E-8</v>
      </c>
      <c r="AB366" t="str">
        <f>VLOOKUP(Z366,Nuclides!A:E,5,FALSE)</f>
        <v>Ru104</v>
      </c>
      <c r="AC366">
        <f>VLOOKUP(Sheet2!Z366,Nuclides!A:E,2,FALSE)</f>
        <v>60</v>
      </c>
      <c r="AD366">
        <f>VLOOKUP(Z366,Nuclides!A:E,3,FALSE)</f>
        <v>44</v>
      </c>
      <c r="AE366" s="1">
        <f t="shared" si="23"/>
        <v>237811392</v>
      </c>
      <c r="AF366" t="s">
        <v>1161</v>
      </c>
    </row>
    <row r="367" spans="2:32" x14ac:dyDescent="0.2">
      <c r="B367">
        <v>59151</v>
      </c>
      <c r="C367" s="1">
        <v>3.4000000000000001E-6</v>
      </c>
      <c r="D367" t="str">
        <f>VLOOKUP(B367,Nuclides!A:E,5,FALSE)</f>
        <v>Pr151</v>
      </c>
      <c r="E367">
        <f>VLOOKUP(Sheet2!B367,Nuclides!A:E,2,FALSE)</f>
        <v>92</v>
      </c>
      <c r="F367">
        <f>VLOOKUP(B367,Nuclides!A:E,3,FALSE)</f>
        <v>59</v>
      </c>
      <c r="G367" s="1">
        <f t="shared" si="20"/>
        <v>42432000000</v>
      </c>
      <c r="H367">
        <f>VLOOKUP(B367,Nuclides!A:E,4,FALSE)</f>
        <v>18.899999999999999</v>
      </c>
      <c r="J367" s="1">
        <v>59146</v>
      </c>
      <c r="K367" s="1">
        <v>9.9999999999999995E-8</v>
      </c>
      <c r="L367" t="str">
        <f>VLOOKUP(J367,Nuclides!A:E,5,FALSE)</f>
        <v>Pr146</v>
      </c>
      <c r="M367">
        <f>VLOOKUP(Sheet2!J367,Nuclides!A:E,2,FALSE)</f>
        <v>87</v>
      </c>
      <c r="N367">
        <f>VLOOKUP(J367,Nuclides!A:E,3,FALSE)</f>
        <v>59</v>
      </c>
      <c r="O367" s="1">
        <f t="shared" si="21"/>
        <v>1248000000</v>
      </c>
      <c r="R367" s="1">
        <v>45096</v>
      </c>
      <c r="S367" s="1">
        <v>1.3143300000000001E-7</v>
      </c>
      <c r="T367" t="str">
        <f>VLOOKUP(R367,Nuclides!A:E,5,FALSE)</f>
        <v>Rh96</v>
      </c>
      <c r="U367">
        <f>VLOOKUP(Sheet2!R367,Nuclides!A:E,2,FALSE)</f>
        <v>51</v>
      </c>
      <c r="V367">
        <f>VLOOKUP(R367,Nuclides!A:E,3,FALSE)</f>
        <v>45</v>
      </c>
      <c r="W367" s="1">
        <f t="shared" si="22"/>
        <v>1640283840.0000002</v>
      </c>
      <c r="X367" t="s">
        <v>1189</v>
      </c>
      <c r="Z367" s="1">
        <v>44105</v>
      </c>
      <c r="AA367" s="1">
        <v>7.1475199999999994E-8</v>
      </c>
      <c r="AB367" t="str">
        <f>VLOOKUP(Z367,Nuclides!A:E,5,FALSE)</f>
        <v>Ru105</v>
      </c>
      <c r="AC367">
        <f>VLOOKUP(Sheet2!Z367,Nuclides!A:E,2,FALSE)</f>
        <v>61</v>
      </c>
      <c r="AD367">
        <f>VLOOKUP(Z367,Nuclides!A:E,3,FALSE)</f>
        <v>44</v>
      </c>
      <c r="AE367" s="1">
        <f t="shared" si="23"/>
        <v>892010495.99999988</v>
      </c>
      <c r="AF367" t="s">
        <v>1162</v>
      </c>
    </row>
    <row r="368" spans="2:32" x14ac:dyDescent="0.2">
      <c r="B368">
        <v>59152</v>
      </c>
      <c r="C368" s="1">
        <v>2.0999999999999998E-6</v>
      </c>
      <c r="D368" t="str">
        <f>VLOOKUP(B368,Nuclides!A:E,5,FALSE)</f>
        <v>Pr152</v>
      </c>
      <c r="E368">
        <f>VLOOKUP(Sheet2!B368,Nuclides!A:E,2,FALSE)</f>
        <v>93</v>
      </c>
      <c r="F368">
        <f>VLOOKUP(B368,Nuclides!A:E,3,FALSE)</f>
        <v>59</v>
      </c>
      <c r="G368" s="1">
        <f t="shared" si="20"/>
        <v>26207999999.999996</v>
      </c>
      <c r="H368">
        <f>VLOOKUP(B368,Nuclides!A:E,4,FALSE)</f>
        <v>3.57</v>
      </c>
      <c r="J368" s="1">
        <v>59147</v>
      </c>
      <c r="K368" s="1">
        <v>3.9999999999999998E-7</v>
      </c>
      <c r="L368" t="str">
        <f>VLOOKUP(J368,Nuclides!A:E,5,FALSE)</f>
        <v>Pr147</v>
      </c>
      <c r="M368">
        <f>VLOOKUP(Sheet2!J368,Nuclides!A:E,2,FALSE)</f>
        <v>88</v>
      </c>
      <c r="N368">
        <f>VLOOKUP(J368,Nuclides!A:E,3,FALSE)</f>
        <v>59</v>
      </c>
      <c r="O368" s="1">
        <f t="shared" si="21"/>
        <v>4992000000</v>
      </c>
      <c r="R368" s="1">
        <v>45097</v>
      </c>
      <c r="S368" s="1">
        <v>4.3485399999999997E-8</v>
      </c>
      <c r="T368" t="str">
        <f>VLOOKUP(R368,Nuclides!A:E,5,FALSE)</f>
        <v>Rh97</v>
      </c>
      <c r="U368">
        <f>VLOOKUP(Sheet2!R368,Nuclides!A:E,2,FALSE)</f>
        <v>52</v>
      </c>
      <c r="V368">
        <f>VLOOKUP(R368,Nuclides!A:E,3,FALSE)</f>
        <v>45</v>
      </c>
      <c r="W368" s="1">
        <f t="shared" si="22"/>
        <v>542697792</v>
      </c>
      <c r="X368" t="s">
        <v>1190</v>
      </c>
      <c r="Z368" s="1">
        <v>44106</v>
      </c>
      <c r="AA368" s="1">
        <v>4.52793E-7</v>
      </c>
      <c r="AB368" t="str">
        <f>VLOOKUP(Z368,Nuclides!A:E,5,FALSE)</f>
        <v>Ru106</v>
      </c>
      <c r="AC368">
        <f>VLOOKUP(Sheet2!Z368,Nuclides!A:E,2,FALSE)</f>
        <v>62</v>
      </c>
      <c r="AD368">
        <f>VLOOKUP(Z368,Nuclides!A:E,3,FALSE)</f>
        <v>44</v>
      </c>
      <c r="AE368" s="1">
        <f t="shared" si="23"/>
        <v>5650856640</v>
      </c>
      <c r="AF368" t="s">
        <v>1163</v>
      </c>
    </row>
    <row r="369" spans="2:32" x14ac:dyDescent="0.2">
      <c r="B369">
        <v>60129</v>
      </c>
      <c r="C369" s="1">
        <v>1.3E-6</v>
      </c>
      <c r="D369" t="str">
        <f>VLOOKUP(B369,Nuclides!A:E,5,FALSE)</f>
        <v>Nd129</v>
      </c>
      <c r="E369">
        <f>VLOOKUP(Sheet2!B369,Nuclides!A:E,2,FALSE)</f>
        <v>69</v>
      </c>
      <c r="F369">
        <f>VLOOKUP(B369,Nuclides!A:E,3,FALSE)</f>
        <v>60</v>
      </c>
      <c r="G369" s="1">
        <f t="shared" si="20"/>
        <v>16224000000</v>
      </c>
      <c r="H369">
        <f>VLOOKUP(B369,Nuclides!A:E,4,FALSE)</f>
        <v>6.7</v>
      </c>
      <c r="J369" s="1">
        <v>59148</v>
      </c>
      <c r="K369" s="1">
        <v>7.9999999999999996E-7</v>
      </c>
      <c r="L369" t="str">
        <f>VLOOKUP(J369,Nuclides!A:E,5,FALSE)</f>
        <v>Pr148</v>
      </c>
      <c r="M369">
        <f>VLOOKUP(Sheet2!J369,Nuclides!A:E,2,FALSE)</f>
        <v>89</v>
      </c>
      <c r="N369">
        <f>VLOOKUP(J369,Nuclides!A:E,3,FALSE)</f>
        <v>59</v>
      </c>
      <c r="O369" s="1">
        <f t="shared" si="21"/>
        <v>9984000000</v>
      </c>
      <c r="R369" s="1">
        <v>45098</v>
      </c>
      <c r="S369" s="1">
        <v>1.40996E-8</v>
      </c>
      <c r="T369" t="str">
        <f>VLOOKUP(R369,Nuclides!A:E,5,FALSE)</f>
        <v>Rh98</v>
      </c>
      <c r="U369">
        <f>VLOOKUP(Sheet2!R369,Nuclides!A:E,2,FALSE)</f>
        <v>53</v>
      </c>
      <c r="V369">
        <f>VLOOKUP(R369,Nuclides!A:E,3,FALSE)</f>
        <v>45</v>
      </c>
      <c r="W369" s="1">
        <f t="shared" si="22"/>
        <v>175963008</v>
      </c>
      <c r="X369" t="s">
        <v>1191</v>
      </c>
      <c r="Z369" s="1">
        <v>44107</v>
      </c>
      <c r="AA369" s="1">
        <v>8.3411000000000005E-7</v>
      </c>
      <c r="AB369" t="str">
        <f>VLOOKUP(Z369,Nuclides!A:E,5,FALSE)</f>
        <v>Ru107</v>
      </c>
      <c r="AC369">
        <f>VLOOKUP(Sheet2!Z369,Nuclides!A:E,2,FALSE)</f>
        <v>63</v>
      </c>
      <c r="AD369">
        <f>VLOOKUP(Z369,Nuclides!A:E,3,FALSE)</f>
        <v>44</v>
      </c>
      <c r="AE369" s="1">
        <f t="shared" si="23"/>
        <v>10409692800</v>
      </c>
      <c r="AF369" t="s">
        <v>1164</v>
      </c>
    </row>
    <row r="370" spans="2:32" x14ac:dyDescent="0.2">
      <c r="B370">
        <v>60130</v>
      </c>
      <c r="C370" s="1">
        <v>5.9999999999999997E-7</v>
      </c>
      <c r="D370" t="str">
        <f>VLOOKUP(B370,Nuclides!A:E,5,FALSE)</f>
        <v>Nd130</v>
      </c>
      <c r="E370">
        <f>VLOOKUP(Sheet2!B370,Nuclides!A:E,2,FALSE)</f>
        <v>70</v>
      </c>
      <c r="F370">
        <f>VLOOKUP(B370,Nuclides!A:E,3,FALSE)</f>
        <v>60</v>
      </c>
      <c r="G370" s="1">
        <f t="shared" si="20"/>
        <v>7488000000</v>
      </c>
      <c r="H370">
        <f>VLOOKUP(B370,Nuclides!A:E,4,FALSE)</f>
        <v>21</v>
      </c>
      <c r="J370" s="1">
        <v>59149</v>
      </c>
      <c r="K370" s="1">
        <v>2.9000000000000002E-6</v>
      </c>
      <c r="L370" t="str">
        <f>VLOOKUP(J370,Nuclides!A:E,5,FALSE)</f>
        <v>Pr149</v>
      </c>
      <c r="M370">
        <f>VLOOKUP(Sheet2!J370,Nuclides!A:E,2,FALSE)</f>
        <v>90</v>
      </c>
      <c r="N370">
        <f>VLOOKUP(J370,Nuclides!A:E,3,FALSE)</f>
        <v>59</v>
      </c>
      <c r="O370" s="1">
        <f t="shared" si="21"/>
        <v>36192000000</v>
      </c>
      <c r="R370" s="1">
        <v>45099</v>
      </c>
      <c r="S370" s="1">
        <v>2.5826000000000002E-9</v>
      </c>
      <c r="T370" t="str">
        <f>VLOOKUP(R370,Nuclides!A:E,5,FALSE)</f>
        <v>Rh99</v>
      </c>
      <c r="U370">
        <f>VLOOKUP(Sheet2!R370,Nuclides!A:E,2,FALSE)</f>
        <v>54</v>
      </c>
      <c r="V370">
        <f>VLOOKUP(R370,Nuclides!A:E,3,FALSE)</f>
        <v>45</v>
      </c>
      <c r="W370" s="1">
        <f t="shared" si="22"/>
        <v>32230848.000000004</v>
      </c>
      <c r="X370" t="s">
        <v>1192</v>
      </c>
      <c r="Z370" s="1">
        <v>44108</v>
      </c>
      <c r="AA370" s="1">
        <v>2.1219200000000001E-6</v>
      </c>
      <c r="AB370" t="str">
        <f>VLOOKUP(Z370,Nuclides!A:E,5,FALSE)</f>
        <v>Ru108</v>
      </c>
      <c r="AC370">
        <f>VLOOKUP(Sheet2!Z370,Nuclides!A:E,2,FALSE)</f>
        <v>64</v>
      </c>
      <c r="AD370">
        <f>VLOOKUP(Z370,Nuclides!A:E,3,FALSE)</f>
        <v>44</v>
      </c>
      <c r="AE370" s="1">
        <f t="shared" si="23"/>
        <v>26481561600</v>
      </c>
      <c r="AF370" t="s">
        <v>1165</v>
      </c>
    </row>
    <row r="371" spans="2:32" x14ac:dyDescent="0.2">
      <c r="B371">
        <v>60131</v>
      </c>
      <c r="C371" s="1">
        <v>1.9999999999999999E-7</v>
      </c>
      <c r="D371" t="str">
        <f>VLOOKUP(B371,Nuclides!A:E,5,FALSE)</f>
        <v>Nd131</v>
      </c>
      <c r="E371">
        <f>VLOOKUP(Sheet2!B371,Nuclides!A:E,2,FALSE)</f>
        <v>71</v>
      </c>
      <c r="F371">
        <f>VLOOKUP(B371,Nuclides!A:E,3,FALSE)</f>
        <v>60</v>
      </c>
      <c r="G371" s="1">
        <f t="shared" si="20"/>
        <v>2496000000</v>
      </c>
      <c r="H371">
        <f>VLOOKUP(B371,Nuclides!A:E,4,FALSE)</f>
        <v>25.4</v>
      </c>
      <c r="J371" s="1">
        <v>59150</v>
      </c>
      <c r="K371" s="1">
        <v>3.0000000000000001E-6</v>
      </c>
      <c r="L371" t="str">
        <f>VLOOKUP(J371,Nuclides!A:E,5,FALSE)</f>
        <v>Pr150</v>
      </c>
      <c r="M371">
        <f>VLOOKUP(Sheet2!J371,Nuclides!A:E,2,FALSE)</f>
        <v>91</v>
      </c>
      <c r="N371">
        <f>VLOOKUP(J371,Nuclides!A:E,3,FALSE)</f>
        <v>59</v>
      </c>
      <c r="O371" s="1">
        <f t="shared" si="21"/>
        <v>37440000000</v>
      </c>
      <c r="R371" s="1">
        <v>45100</v>
      </c>
      <c r="S371" s="1">
        <v>5.5839999999999995E-10</v>
      </c>
      <c r="T371" t="str">
        <f>VLOOKUP(R371,Nuclides!A:E,5,FALSE)</f>
        <v>Rh100</v>
      </c>
      <c r="U371">
        <f>VLOOKUP(Sheet2!R371,Nuclides!A:E,2,FALSE)</f>
        <v>55</v>
      </c>
      <c r="V371">
        <f>VLOOKUP(R371,Nuclides!A:E,3,FALSE)</f>
        <v>45</v>
      </c>
      <c r="W371" s="1">
        <f t="shared" si="22"/>
        <v>6968831.9999999991</v>
      </c>
      <c r="X371" t="s">
        <v>1193</v>
      </c>
      <c r="Z371" s="1">
        <v>44109</v>
      </c>
      <c r="AA371" s="1">
        <v>2.1755300000000002E-6</v>
      </c>
      <c r="AB371" t="str">
        <f>VLOOKUP(Z371,Nuclides!A:E,5,FALSE)</f>
        <v>Ru109</v>
      </c>
      <c r="AC371">
        <f>VLOOKUP(Sheet2!Z371,Nuclides!A:E,2,FALSE)</f>
        <v>65</v>
      </c>
      <c r="AD371">
        <f>VLOOKUP(Z371,Nuclides!A:E,3,FALSE)</f>
        <v>44</v>
      </c>
      <c r="AE371" s="1">
        <f t="shared" si="23"/>
        <v>27150614400.000004</v>
      </c>
      <c r="AF371" t="s">
        <v>1166</v>
      </c>
    </row>
    <row r="372" spans="2:32" x14ac:dyDescent="0.2">
      <c r="B372">
        <v>60133</v>
      </c>
      <c r="C372" s="1">
        <v>9.9999999999999995E-8</v>
      </c>
      <c r="D372" t="str">
        <f>VLOOKUP(B372,Nuclides!A:E,5,FALSE)</f>
        <v>Nd133</v>
      </c>
      <c r="E372">
        <f>VLOOKUP(Sheet2!B372,Nuclides!A:E,2,FALSE)</f>
        <v>73</v>
      </c>
      <c r="F372">
        <f>VLOOKUP(B372,Nuclides!A:E,3,FALSE)</f>
        <v>60</v>
      </c>
      <c r="G372" s="1">
        <f t="shared" si="20"/>
        <v>1248000000</v>
      </c>
      <c r="H372">
        <f>VLOOKUP(B372,Nuclides!A:E,4,FALSE)</f>
        <v>70</v>
      </c>
      <c r="J372" s="1">
        <v>59151</v>
      </c>
      <c r="K372" s="1">
        <v>5.3000000000000001E-6</v>
      </c>
      <c r="L372" t="str">
        <f>VLOOKUP(J372,Nuclides!A:E,5,FALSE)</f>
        <v>Pr151</v>
      </c>
      <c r="M372">
        <f>VLOOKUP(Sheet2!J372,Nuclides!A:E,2,FALSE)</f>
        <v>92</v>
      </c>
      <c r="N372">
        <f>VLOOKUP(J372,Nuclides!A:E,3,FALSE)</f>
        <v>59</v>
      </c>
      <c r="O372" s="1">
        <f t="shared" si="21"/>
        <v>66144000000</v>
      </c>
      <c r="R372" s="1">
        <v>45101</v>
      </c>
      <c r="S372" s="1">
        <v>6.9799999999999994E-11</v>
      </c>
      <c r="T372" t="str">
        <f>VLOOKUP(R372,Nuclides!A:E,5,FALSE)</f>
        <v>Rh101</v>
      </c>
      <c r="U372">
        <f>VLOOKUP(Sheet2!R372,Nuclides!A:E,2,FALSE)</f>
        <v>56</v>
      </c>
      <c r="V372">
        <f>VLOOKUP(R372,Nuclides!A:E,3,FALSE)</f>
        <v>45</v>
      </c>
      <c r="W372" s="1">
        <f t="shared" si="22"/>
        <v>871103.99999999988</v>
      </c>
      <c r="X372" t="s">
        <v>1194</v>
      </c>
      <c r="Z372" s="1">
        <v>44110</v>
      </c>
      <c r="AA372" s="1">
        <v>3.2726400000000001E-6</v>
      </c>
      <c r="AB372" t="str">
        <f>VLOOKUP(Z372,Nuclides!A:E,5,FALSE)</f>
        <v>Ru110</v>
      </c>
      <c r="AC372">
        <f>VLOOKUP(Sheet2!Z372,Nuclides!A:E,2,FALSE)</f>
        <v>66</v>
      </c>
      <c r="AD372">
        <f>VLOOKUP(Z372,Nuclides!A:E,3,FALSE)</f>
        <v>44</v>
      </c>
      <c r="AE372" s="1">
        <f t="shared" si="23"/>
        <v>40842547200</v>
      </c>
      <c r="AF372" t="s">
        <v>1167</v>
      </c>
    </row>
    <row r="373" spans="2:32" x14ac:dyDescent="0.2">
      <c r="B373">
        <v>60149</v>
      </c>
      <c r="C373" s="1">
        <v>9.9999999999999995E-8</v>
      </c>
      <c r="D373" t="str">
        <f>VLOOKUP(B373,Nuclides!A:E,5,FALSE)</f>
        <v>Nd149</v>
      </c>
      <c r="E373">
        <f>VLOOKUP(Sheet2!B373,Nuclides!A:E,2,FALSE)</f>
        <v>89</v>
      </c>
      <c r="F373">
        <f>VLOOKUP(B373,Nuclides!A:E,3,FALSE)</f>
        <v>60</v>
      </c>
      <c r="G373" s="1">
        <f t="shared" si="20"/>
        <v>1248000000</v>
      </c>
      <c r="H373">
        <f>VLOOKUP(B373,Nuclides!A:E,4,FALSE)</f>
        <v>6220.8</v>
      </c>
      <c r="J373" s="1">
        <v>59152</v>
      </c>
      <c r="K373" s="1">
        <v>3.7000000000000002E-6</v>
      </c>
      <c r="L373" t="str">
        <f>VLOOKUP(J373,Nuclides!A:E,5,FALSE)</f>
        <v>Pr152</v>
      </c>
      <c r="M373">
        <f>VLOOKUP(Sheet2!J373,Nuclides!A:E,2,FALSE)</f>
        <v>93</v>
      </c>
      <c r="N373">
        <f>VLOOKUP(J373,Nuclides!A:E,3,FALSE)</f>
        <v>59</v>
      </c>
      <c r="O373" s="1">
        <f t="shared" si="21"/>
        <v>46176000000</v>
      </c>
      <c r="R373" s="1">
        <v>45104</v>
      </c>
      <c r="S373" s="1">
        <v>6.9799999999999994E-11</v>
      </c>
      <c r="T373" t="str">
        <f>VLOOKUP(R373,Nuclides!A:E,5,FALSE)</f>
        <v>Rh104</v>
      </c>
      <c r="U373">
        <f>VLOOKUP(Sheet2!R373,Nuclides!A:E,2,FALSE)</f>
        <v>59</v>
      </c>
      <c r="V373">
        <f>VLOOKUP(R373,Nuclides!A:E,3,FALSE)</f>
        <v>45</v>
      </c>
      <c r="W373" s="1">
        <f t="shared" si="22"/>
        <v>871103.99999999988</v>
      </c>
      <c r="X373" t="s">
        <v>1197</v>
      </c>
      <c r="Z373" s="1">
        <v>44111</v>
      </c>
      <c r="AA373" s="1">
        <v>1.89996E-6</v>
      </c>
      <c r="AB373" t="str">
        <f>VLOOKUP(Z373,Nuclides!A:E,5,FALSE)</f>
        <v>Ru111</v>
      </c>
      <c r="AC373">
        <f>VLOOKUP(Sheet2!Z373,Nuclides!A:E,2,FALSE)</f>
        <v>67</v>
      </c>
      <c r="AD373">
        <f>VLOOKUP(Z373,Nuclides!A:E,3,FALSE)</f>
        <v>44</v>
      </c>
      <c r="AE373" s="1">
        <f t="shared" si="23"/>
        <v>23711500800</v>
      </c>
      <c r="AF373" t="s">
        <v>1168</v>
      </c>
    </row>
    <row r="374" spans="2:32" x14ac:dyDescent="0.2">
      <c r="B374">
        <v>60150</v>
      </c>
      <c r="C374" s="1">
        <v>2.9999999999999999E-7</v>
      </c>
      <c r="D374" t="str">
        <f>VLOOKUP(B374,Nuclides!A:E,5,FALSE)</f>
        <v>Nd150</v>
      </c>
      <c r="E374">
        <f>VLOOKUP(Sheet2!B374,Nuclides!A:E,2,FALSE)</f>
        <v>90</v>
      </c>
      <c r="F374">
        <f>VLOOKUP(B374,Nuclides!A:E,3,FALSE)</f>
        <v>60</v>
      </c>
      <c r="G374" s="1">
        <f t="shared" si="20"/>
        <v>3744000000</v>
      </c>
      <c r="H374">
        <f>VLOOKUP(B374,Nuclides!A:E,4,FALSE)</f>
        <v>2.8717416000000001E+26</v>
      </c>
      <c r="J374" s="1">
        <v>60129</v>
      </c>
      <c r="K374" s="1">
        <v>1.5E-6</v>
      </c>
      <c r="L374" t="str">
        <f>VLOOKUP(J374,Nuclides!A:E,5,FALSE)</f>
        <v>Nd129</v>
      </c>
      <c r="M374">
        <f>VLOOKUP(Sheet2!J374,Nuclides!A:E,2,FALSE)</f>
        <v>69</v>
      </c>
      <c r="N374">
        <f>VLOOKUP(J374,Nuclides!A:E,3,FALSE)</f>
        <v>60</v>
      </c>
      <c r="O374" s="1">
        <f t="shared" si="21"/>
        <v>18720000000</v>
      </c>
      <c r="R374" s="1">
        <v>45105</v>
      </c>
      <c r="S374" s="1">
        <v>6.2819999999999996E-10</v>
      </c>
      <c r="T374" t="str">
        <f>VLOOKUP(R374,Nuclides!A:E,5,FALSE)</f>
        <v>Rh105</v>
      </c>
      <c r="U374">
        <f>VLOOKUP(Sheet2!R374,Nuclides!A:E,2,FALSE)</f>
        <v>60</v>
      </c>
      <c r="V374">
        <f>VLOOKUP(R374,Nuclides!A:E,3,FALSE)</f>
        <v>45</v>
      </c>
      <c r="W374" s="1">
        <f t="shared" si="22"/>
        <v>7839935.9999999991</v>
      </c>
      <c r="X374" t="s">
        <v>1198</v>
      </c>
      <c r="Z374" s="1">
        <v>44112</v>
      </c>
      <c r="AA374" s="1">
        <v>2.14042E-6</v>
      </c>
      <c r="AB374" t="str">
        <f>VLOOKUP(Z374,Nuclides!A:E,5,FALSE)</f>
        <v>Ru112</v>
      </c>
      <c r="AC374">
        <f>VLOOKUP(Sheet2!Z374,Nuclides!A:E,2,FALSE)</f>
        <v>68</v>
      </c>
      <c r="AD374">
        <f>VLOOKUP(Z374,Nuclides!A:E,3,FALSE)</f>
        <v>44</v>
      </c>
      <c r="AE374" s="1">
        <f t="shared" si="23"/>
        <v>26712441600</v>
      </c>
      <c r="AF374" t="s">
        <v>1169</v>
      </c>
    </row>
    <row r="375" spans="2:32" x14ac:dyDescent="0.2">
      <c r="B375">
        <v>60151</v>
      </c>
      <c r="C375" s="1">
        <v>2.9999999999999999E-7</v>
      </c>
      <c r="D375" t="str">
        <f>VLOOKUP(B375,Nuclides!A:E,5,FALSE)</f>
        <v>Nd151</v>
      </c>
      <c r="E375">
        <f>VLOOKUP(Sheet2!B375,Nuclides!A:E,2,FALSE)</f>
        <v>91</v>
      </c>
      <c r="F375">
        <f>VLOOKUP(B375,Nuclides!A:E,3,FALSE)</f>
        <v>60</v>
      </c>
      <c r="G375" s="1">
        <f t="shared" si="20"/>
        <v>3744000000</v>
      </c>
      <c r="H375">
        <f>VLOOKUP(B375,Nuclides!A:E,4,FALSE)</f>
        <v>746.4</v>
      </c>
      <c r="J375" s="1">
        <v>60130</v>
      </c>
      <c r="K375" s="1">
        <v>8.9999999999999996E-7</v>
      </c>
      <c r="L375" t="str">
        <f>VLOOKUP(J375,Nuclides!A:E,5,FALSE)</f>
        <v>Nd130</v>
      </c>
      <c r="M375">
        <f>VLOOKUP(Sheet2!J375,Nuclides!A:E,2,FALSE)</f>
        <v>70</v>
      </c>
      <c r="N375">
        <f>VLOOKUP(J375,Nuclides!A:E,3,FALSE)</f>
        <v>60</v>
      </c>
      <c r="O375" s="1">
        <f t="shared" si="21"/>
        <v>11232000000</v>
      </c>
      <c r="R375" s="1">
        <v>45106</v>
      </c>
      <c r="S375" s="1">
        <v>2.0242000000000001E-9</v>
      </c>
      <c r="T375" t="str">
        <f>VLOOKUP(R375,Nuclides!A:E,5,FALSE)</f>
        <v>Rh106</v>
      </c>
      <c r="U375">
        <f>VLOOKUP(Sheet2!R375,Nuclides!A:E,2,FALSE)</f>
        <v>61</v>
      </c>
      <c r="V375">
        <f>VLOOKUP(R375,Nuclides!A:E,3,FALSE)</f>
        <v>45</v>
      </c>
      <c r="W375" s="1">
        <f t="shared" si="22"/>
        <v>25262016</v>
      </c>
      <c r="X375" t="s">
        <v>1199</v>
      </c>
      <c r="Z375" s="1">
        <v>44113</v>
      </c>
      <c r="AA375" s="1">
        <v>9.75315E-7</v>
      </c>
      <c r="AB375" t="str">
        <f>VLOOKUP(Z375,Nuclides!A:E,5,FALSE)</f>
        <v>Ru113</v>
      </c>
      <c r="AC375">
        <f>VLOOKUP(Sheet2!Z375,Nuclides!A:E,2,FALSE)</f>
        <v>69</v>
      </c>
      <c r="AD375">
        <f>VLOOKUP(Z375,Nuclides!A:E,3,FALSE)</f>
        <v>44</v>
      </c>
      <c r="AE375" s="1">
        <f t="shared" si="23"/>
        <v>12171931200</v>
      </c>
      <c r="AF375" t="s">
        <v>1170</v>
      </c>
    </row>
    <row r="376" spans="2:32" x14ac:dyDescent="0.2">
      <c r="B376">
        <v>60152</v>
      </c>
      <c r="C376" s="1">
        <v>1.1999999999999999E-6</v>
      </c>
      <c r="D376" t="str">
        <f>VLOOKUP(B376,Nuclides!A:E,5,FALSE)</f>
        <v>Nd152</v>
      </c>
      <c r="E376">
        <f>VLOOKUP(Sheet2!B376,Nuclides!A:E,2,FALSE)</f>
        <v>92</v>
      </c>
      <c r="F376">
        <f>VLOOKUP(B376,Nuclides!A:E,3,FALSE)</f>
        <v>60</v>
      </c>
      <c r="G376" s="1">
        <f t="shared" si="20"/>
        <v>14976000000</v>
      </c>
      <c r="H376">
        <f>VLOOKUP(B376,Nuclides!A:E,4,FALSE)</f>
        <v>684</v>
      </c>
      <c r="J376" s="1">
        <v>60133</v>
      </c>
      <c r="K376" s="1">
        <v>9.9999999999999995E-8</v>
      </c>
      <c r="L376" t="str">
        <f>VLOOKUP(J376,Nuclides!A:E,5,FALSE)</f>
        <v>Nd133</v>
      </c>
      <c r="M376">
        <f>VLOOKUP(Sheet2!J376,Nuclides!A:E,2,FALSE)</f>
        <v>73</v>
      </c>
      <c r="N376">
        <f>VLOOKUP(J376,Nuclides!A:E,3,FALSE)</f>
        <v>60</v>
      </c>
      <c r="O376" s="1">
        <f t="shared" si="21"/>
        <v>1248000000</v>
      </c>
      <c r="R376" s="1">
        <v>45107</v>
      </c>
      <c r="S376" s="1">
        <v>1.1307599999999999E-8</v>
      </c>
      <c r="T376" t="str">
        <f>VLOOKUP(R376,Nuclides!A:E,5,FALSE)</f>
        <v>Rh107</v>
      </c>
      <c r="U376">
        <f>VLOOKUP(Sheet2!R376,Nuclides!A:E,2,FALSE)</f>
        <v>62</v>
      </c>
      <c r="V376">
        <f>VLOOKUP(R376,Nuclides!A:E,3,FALSE)</f>
        <v>45</v>
      </c>
      <c r="W376" s="1">
        <f t="shared" si="22"/>
        <v>141118848</v>
      </c>
      <c r="X376" t="s">
        <v>1200</v>
      </c>
      <c r="Z376" s="1">
        <v>45094</v>
      </c>
      <c r="AA376" s="1">
        <v>8.05352E-7</v>
      </c>
      <c r="AB376" t="str">
        <f>VLOOKUP(Z376,Nuclides!A:E,5,FALSE)</f>
        <v>Rh94</v>
      </c>
      <c r="AC376">
        <f>VLOOKUP(Sheet2!Z376,Nuclides!A:E,2,FALSE)</f>
        <v>49</v>
      </c>
      <c r="AD376">
        <f>VLOOKUP(Z376,Nuclides!A:E,3,FALSE)</f>
        <v>45</v>
      </c>
      <c r="AE376" s="1">
        <f t="shared" si="23"/>
        <v>10050792960</v>
      </c>
      <c r="AF376" t="s">
        <v>1187</v>
      </c>
    </row>
    <row r="377" spans="2:32" x14ac:dyDescent="0.2">
      <c r="B377">
        <v>60153</v>
      </c>
      <c r="C377" s="1">
        <v>1.7E-6</v>
      </c>
      <c r="D377" t="str">
        <f>VLOOKUP(B377,Nuclides!A:E,5,FALSE)</f>
        <v>Nd153</v>
      </c>
      <c r="E377">
        <f>VLOOKUP(Sheet2!B377,Nuclides!A:E,2,FALSE)</f>
        <v>93</v>
      </c>
      <c r="F377">
        <f>VLOOKUP(B377,Nuclides!A:E,3,FALSE)</f>
        <v>60</v>
      </c>
      <c r="G377" s="1">
        <f t="shared" si="20"/>
        <v>21216000000</v>
      </c>
      <c r="H377">
        <f>VLOOKUP(B377,Nuclides!A:E,4,FALSE)</f>
        <v>31.6</v>
      </c>
      <c r="J377" s="1">
        <v>60149</v>
      </c>
      <c r="K377" s="1">
        <v>9.9999999999999995E-8</v>
      </c>
      <c r="L377" t="str">
        <f>VLOOKUP(J377,Nuclides!A:E,5,FALSE)</f>
        <v>Nd149</v>
      </c>
      <c r="M377">
        <f>VLOOKUP(Sheet2!J377,Nuclides!A:E,2,FALSE)</f>
        <v>89</v>
      </c>
      <c r="N377">
        <f>VLOOKUP(J377,Nuclides!A:E,3,FALSE)</f>
        <v>60</v>
      </c>
      <c r="O377" s="1">
        <f t="shared" si="21"/>
        <v>1248000000</v>
      </c>
      <c r="R377" s="1">
        <v>45108</v>
      </c>
      <c r="S377" s="1">
        <v>3.5458400000000001E-8</v>
      </c>
      <c r="T377" t="str">
        <f>VLOOKUP(R377,Nuclides!A:E,5,FALSE)</f>
        <v>Rh108</v>
      </c>
      <c r="U377">
        <f>VLOOKUP(Sheet2!R377,Nuclides!A:E,2,FALSE)</f>
        <v>63</v>
      </c>
      <c r="V377">
        <f>VLOOKUP(R377,Nuclides!A:E,3,FALSE)</f>
        <v>45</v>
      </c>
      <c r="W377" s="1">
        <f t="shared" si="22"/>
        <v>442520832</v>
      </c>
      <c r="X377" t="s">
        <v>1201</v>
      </c>
      <c r="Z377" s="1">
        <v>45095</v>
      </c>
      <c r="AA377" s="1">
        <v>3.7461700000000003E-7</v>
      </c>
      <c r="AB377" t="str">
        <f>VLOOKUP(Z377,Nuclides!A:E,5,FALSE)</f>
        <v>Rh95</v>
      </c>
      <c r="AC377">
        <f>VLOOKUP(Sheet2!Z377,Nuclides!A:E,2,FALSE)</f>
        <v>50</v>
      </c>
      <c r="AD377">
        <f>VLOOKUP(Z377,Nuclides!A:E,3,FALSE)</f>
        <v>45</v>
      </c>
      <c r="AE377" s="1">
        <f t="shared" si="23"/>
        <v>4675220160</v>
      </c>
      <c r="AF377" t="s">
        <v>1188</v>
      </c>
    </row>
    <row r="378" spans="2:32" x14ac:dyDescent="0.2">
      <c r="B378">
        <v>60154</v>
      </c>
      <c r="C378" s="1">
        <v>7.9999999999999996E-7</v>
      </c>
      <c r="D378" t="str">
        <f>VLOOKUP(B378,Nuclides!A:E,5,FALSE)</f>
        <v>Nd154</v>
      </c>
      <c r="E378">
        <f>VLOOKUP(Sheet2!B378,Nuclides!A:E,2,FALSE)</f>
        <v>94</v>
      </c>
      <c r="F378">
        <f>VLOOKUP(B378,Nuclides!A:E,3,FALSE)</f>
        <v>60</v>
      </c>
      <c r="G378" s="1">
        <f t="shared" si="20"/>
        <v>9984000000</v>
      </c>
      <c r="H378">
        <f>VLOOKUP(B378,Nuclides!A:E,4,FALSE)</f>
        <v>25.9</v>
      </c>
      <c r="J378" s="1">
        <v>60150</v>
      </c>
      <c r="K378" s="1">
        <v>2.9999999999999999E-7</v>
      </c>
      <c r="L378" t="str">
        <f>VLOOKUP(J378,Nuclides!A:E,5,FALSE)</f>
        <v>Nd150</v>
      </c>
      <c r="M378">
        <f>VLOOKUP(Sheet2!J378,Nuclides!A:E,2,FALSE)</f>
        <v>90</v>
      </c>
      <c r="N378">
        <f>VLOOKUP(J378,Nuclides!A:E,3,FALSE)</f>
        <v>60</v>
      </c>
      <c r="O378" s="1">
        <f t="shared" si="21"/>
        <v>3744000000</v>
      </c>
      <c r="R378" s="1">
        <v>45109</v>
      </c>
      <c r="S378" s="1">
        <v>1.1845100000000001E-7</v>
      </c>
      <c r="T378" t="str">
        <f>VLOOKUP(R378,Nuclides!A:E,5,FALSE)</f>
        <v>Rh109</v>
      </c>
      <c r="U378">
        <f>VLOOKUP(Sheet2!R378,Nuclides!A:E,2,FALSE)</f>
        <v>64</v>
      </c>
      <c r="V378">
        <f>VLOOKUP(R378,Nuclides!A:E,3,FALSE)</f>
        <v>45</v>
      </c>
      <c r="W378" s="1">
        <f t="shared" si="22"/>
        <v>1478268480</v>
      </c>
      <c r="X378" t="s">
        <v>1202</v>
      </c>
      <c r="Z378" s="1">
        <v>45096</v>
      </c>
      <c r="AA378" s="1">
        <v>1.0100100000000001E-7</v>
      </c>
      <c r="AB378" t="str">
        <f>VLOOKUP(Z378,Nuclides!A:E,5,FALSE)</f>
        <v>Rh96</v>
      </c>
      <c r="AC378">
        <f>VLOOKUP(Sheet2!Z378,Nuclides!A:E,2,FALSE)</f>
        <v>51</v>
      </c>
      <c r="AD378">
        <f>VLOOKUP(Z378,Nuclides!A:E,3,FALSE)</f>
        <v>45</v>
      </c>
      <c r="AE378" s="1">
        <f t="shared" si="23"/>
        <v>1260492480</v>
      </c>
      <c r="AF378" t="s">
        <v>1189</v>
      </c>
    </row>
    <row r="379" spans="2:32" x14ac:dyDescent="0.2">
      <c r="B379">
        <v>61132</v>
      </c>
      <c r="C379" s="1">
        <v>7.9999999999999996E-7</v>
      </c>
      <c r="D379" t="str">
        <f>VLOOKUP(B379,Nuclides!A:E,5,FALSE)</f>
        <v>Pm132</v>
      </c>
      <c r="E379">
        <f>VLOOKUP(Sheet2!B379,Nuclides!A:E,2,FALSE)</f>
        <v>71</v>
      </c>
      <c r="F379">
        <f>VLOOKUP(B379,Nuclides!A:E,3,FALSE)</f>
        <v>61</v>
      </c>
      <c r="G379" s="1">
        <f t="shared" si="20"/>
        <v>9984000000</v>
      </c>
      <c r="H379">
        <f>VLOOKUP(B379,Nuclides!A:E,4,FALSE)</f>
        <v>6.2</v>
      </c>
      <c r="J379" s="1">
        <v>60151</v>
      </c>
      <c r="K379" s="1">
        <v>3.9999999999999998E-7</v>
      </c>
      <c r="L379" t="str">
        <f>VLOOKUP(J379,Nuclides!A:E,5,FALSE)</f>
        <v>Nd151</v>
      </c>
      <c r="M379">
        <f>VLOOKUP(Sheet2!J379,Nuclides!A:E,2,FALSE)</f>
        <v>91</v>
      </c>
      <c r="N379">
        <f>VLOOKUP(J379,Nuclides!A:E,3,FALSE)</f>
        <v>60</v>
      </c>
      <c r="O379" s="1">
        <f t="shared" si="21"/>
        <v>4992000000</v>
      </c>
      <c r="R379" s="1">
        <v>45110</v>
      </c>
      <c r="S379" s="1">
        <v>2.3075900000000001E-7</v>
      </c>
      <c r="T379" t="str">
        <f>VLOOKUP(R379,Nuclides!A:E,5,FALSE)</f>
        <v>Rh110</v>
      </c>
      <c r="U379">
        <f>VLOOKUP(Sheet2!R379,Nuclides!A:E,2,FALSE)</f>
        <v>65</v>
      </c>
      <c r="V379">
        <f>VLOOKUP(R379,Nuclides!A:E,3,FALSE)</f>
        <v>45</v>
      </c>
      <c r="W379" s="1">
        <f t="shared" si="22"/>
        <v>2879872320</v>
      </c>
      <c r="X379" t="s">
        <v>1203</v>
      </c>
      <c r="Z379" s="1">
        <v>45097</v>
      </c>
      <c r="AA379" s="1">
        <v>2.25454E-8</v>
      </c>
      <c r="AB379" t="str">
        <f>VLOOKUP(Z379,Nuclides!A:E,5,FALSE)</f>
        <v>Rh97</v>
      </c>
      <c r="AC379">
        <f>VLOOKUP(Sheet2!Z379,Nuclides!A:E,2,FALSE)</f>
        <v>52</v>
      </c>
      <c r="AD379">
        <f>VLOOKUP(Z379,Nuclides!A:E,3,FALSE)</f>
        <v>45</v>
      </c>
      <c r="AE379" s="1">
        <f t="shared" si="23"/>
        <v>281366592</v>
      </c>
      <c r="AF379" t="s">
        <v>1190</v>
      </c>
    </row>
    <row r="380" spans="2:32" x14ac:dyDescent="0.2">
      <c r="B380">
        <v>61133</v>
      </c>
      <c r="C380" s="1">
        <v>6.9999999999999997E-7</v>
      </c>
      <c r="D380" t="str">
        <f>VLOOKUP(B380,Nuclides!A:E,5,FALSE)</f>
        <v>Pm133</v>
      </c>
      <c r="E380">
        <f>VLOOKUP(Sheet2!B380,Nuclides!A:E,2,FALSE)</f>
        <v>72</v>
      </c>
      <c r="F380">
        <f>VLOOKUP(B380,Nuclides!A:E,3,FALSE)</f>
        <v>61</v>
      </c>
      <c r="G380" s="1">
        <f t="shared" si="20"/>
        <v>8736000000</v>
      </c>
      <c r="H380">
        <f>VLOOKUP(B380,Nuclides!A:E,4,FALSE)</f>
        <v>13.5</v>
      </c>
      <c r="J380" s="1">
        <v>60152</v>
      </c>
      <c r="K380" s="1">
        <v>1.3E-6</v>
      </c>
      <c r="L380" t="str">
        <f>VLOOKUP(J380,Nuclides!A:E,5,FALSE)</f>
        <v>Nd152</v>
      </c>
      <c r="M380">
        <f>VLOOKUP(Sheet2!J380,Nuclides!A:E,2,FALSE)</f>
        <v>92</v>
      </c>
      <c r="N380">
        <f>VLOOKUP(J380,Nuclides!A:E,3,FALSE)</f>
        <v>60</v>
      </c>
      <c r="O380" s="1">
        <f t="shared" si="21"/>
        <v>16224000000</v>
      </c>
      <c r="R380" s="1">
        <v>45111</v>
      </c>
      <c r="S380" s="1">
        <v>5.2454700000000004E-7</v>
      </c>
      <c r="T380" t="str">
        <f>VLOOKUP(R380,Nuclides!A:E,5,FALSE)</f>
        <v>Rh111</v>
      </c>
      <c r="U380">
        <f>VLOOKUP(Sheet2!R380,Nuclides!A:E,2,FALSE)</f>
        <v>66</v>
      </c>
      <c r="V380">
        <f>VLOOKUP(R380,Nuclides!A:E,3,FALSE)</f>
        <v>45</v>
      </c>
      <c r="W380" s="1">
        <f t="shared" si="22"/>
        <v>6546346560.000001</v>
      </c>
      <c r="X380" t="s">
        <v>1204</v>
      </c>
      <c r="Z380" s="1">
        <v>45098</v>
      </c>
      <c r="AA380" s="1">
        <v>1.1307599999999999E-8</v>
      </c>
      <c r="AB380" t="str">
        <f>VLOOKUP(Z380,Nuclides!A:E,5,FALSE)</f>
        <v>Rh98</v>
      </c>
      <c r="AC380">
        <f>VLOOKUP(Sheet2!Z380,Nuclides!A:E,2,FALSE)</f>
        <v>53</v>
      </c>
      <c r="AD380">
        <f>VLOOKUP(Z380,Nuclides!A:E,3,FALSE)</f>
        <v>45</v>
      </c>
      <c r="AE380" s="1">
        <f t="shared" si="23"/>
        <v>141118848</v>
      </c>
      <c r="AF380" t="s">
        <v>1191</v>
      </c>
    </row>
    <row r="381" spans="2:32" x14ac:dyDescent="0.2">
      <c r="B381">
        <v>61134</v>
      </c>
      <c r="C381" s="1">
        <v>2.9999999999999999E-7</v>
      </c>
      <c r="D381" t="str">
        <f>VLOOKUP(B381,Nuclides!A:E,5,FALSE)</f>
        <v>Pm134</v>
      </c>
      <c r="E381">
        <f>VLOOKUP(Sheet2!B381,Nuclides!A:E,2,FALSE)</f>
        <v>73</v>
      </c>
      <c r="F381">
        <f>VLOOKUP(B381,Nuclides!A:E,3,FALSE)</f>
        <v>61</v>
      </c>
      <c r="G381" s="1">
        <f t="shared" si="20"/>
        <v>3744000000</v>
      </c>
      <c r="H381">
        <f>VLOOKUP(B381,Nuclides!A:E,4,FALSE)</f>
        <v>5</v>
      </c>
      <c r="J381" s="1">
        <v>60153</v>
      </c>
      <c r="K381" s="1">
        <v>1.5999999999999999E-6</v>
      </c>
      <c r="L381" t="str">
        <f>VLOOKUP(J381,Nuclides!A:E,5,FALSE)</f>
        <v>Nd153</v>
      </c>
      <c r="M381">
        <f>VLOOKUP(Sheet2!J381,Nuclides!A:E,2,FALSE)</f>
        <v>93</v>
      </c>
      <c r="N381">
        <f>VLOOKUP(J381,Nuclides!A:E,3,FALSE)</f>
        <v>60</v>
      </c>
      <c r="O381" s="1">
        <f t="shared" si="21"/>
        <v>19968000000</v>
      </c>
      <c r="R381" s="1">
        <v>45112</v>
      </c>
      <c r="S381" s="1">
        <v>7.0169899999999996E-7</v>
      </c>
      <c r="T381" t="str">
        <f>VLOOKUP(R381,Nuclides!A:E,5,FALSE)</f>
        <v>Rh112</v>
      </c>
      <c r="U381">
        <f>VLOOKUP(Sheet2!R381,Nuclides!A:E,2,FALSE)</f>
        <v>67</v>
      </c>
      <c r="V381">
        <f>VLOOKUP(R381,Nuclides!A:E,3,FALSE)</f>
        <v>45</v>
      </c>
      <c r="W381" s="1">
        <f t="shared" si="22"/>
        <v>8757203520</v>
      </c>
      <c r="X381" t="s">
        <v>1205</v>
      </c>
      <c r="Z381" s="1">
        <v>45099</v>
      </c>
      <c r="AA381" s="1">
        <v>2.1637999999999999E-9</v>
      </c>
      <c r="AB381" t="str">
        <f>VLOOKUP(Z381,Nuclides!A:E,5,FALSE)</f>
        <v>Rh99</v>
      </c>
      <c r="AC381">
        <f>VLOOKUP(Sheet2!Z381,Nuclides!A:E,2,FALSE)</f>
        <v>54</v>
      </c>
      <c r="AD381">
        <f>VLOOKUP(Z381,Nuclides!A:E,3,FALSE)</f>
        <v>45</v>
      </c>
      <c r="AE381" s="1">
        <f t="shared" si="23"/>
        <v>27004224</v>
      </c>
      <c r="AF381" t="s">
        <v>1192</v>
      </c>
    </row>
    <row r="382" spans="2:32" x14ac:dyDescent="0.2">
      <c r="B382">
        <v>61152</v>
      </c>
      <c r="C382" s="1">
        <v>9.9999999999999995E-8</v>
      </c>
      <c r="D382" t="str">
        <f>VLOOKUP(B382,Nuclides!A:E,5,FALSE)</f>
        <v>Pm152</v>
      </c>
      <c r="E382">
        <f>VLOOKUP(Sheet2!B382,Nuclides!A:E,2,FALSE)</f>
        <v>91</v>
      </c>
      <c r="F382">
        <f>VLOOKUP(B382,Nuclides!A:E,3,FALSE)</f>
        <v>61</v>
      </c>
      <c r="G382" s="1">
        <f t="shared" si="20"/>
        <v>1248000000</v>
      </c>
      <c r="H382">
        <f>VLOOKUP(B382,Nuclides!A:E,4,FALSE)</f>
        <v>247.2</v>
      </c>
      <c r="J382" s="1">
        <v>60154</v>
      </c>
      <c r="K382" s="1">
        <v>1.7E-6</v>
      </c>
      <c r="L382" t="str">
        <f>VLOOKUP(J382,Nuclides!A:E,5,FALSE)</f>
        <v>Nd154</v>
      </c>
      <c r="M382">
        <f>VLOOKUP(Sheet2!J382,Nuclides!A:E,2,FALSE)</f>
        <v>94</v>
      </c>
      <c r="N382">
        <f>VLOOKUP(J382,Nuclides!A:E,3,FALSE)</f>
        <v>60</v>
      </c>
      <c r="O382" s="1">
        <f t="shared" si="21"/>
        <v>21216000000</v>
      </c>
      <c r="R382" s="1">
        <v>45113</v>
      </c>
      <c r="S382" s="1">
        <v>1.12546E-6</v>
      </c>
      <c r="T382" t="str">
        <f>VLOOKUP(R382,Nuclides!A:E,5,FALSE)</f>
        <v>Rh113</v>
      </c>
      <c r="U382">
        <f>VLOOKUP(Sheet2!R382,Nuclides!A:E,2,FALSE)</f>
        <v>68</v>
      </c>
      <c r="V382">
        <f>VLOOKUP(R382,Nuclides!A:E,3,FALSE)</f>
        <v>45</v>
      </c>
      <c r="W382" s="1">
        <f t="shared" si="22"/>
        <v>14045740800</v>
      </c>
      <c r="X382" t="s">
        <v>1206</v>
      </c>
      <c r="Z382" s="1">
        <v>45100</v>
      </c>
      <c r="AA382" s="1">
        <v>1.4658E-9</v>
      </c>
      <c r="AB382" t="str">
        <f>VLOOKUP(Z382,Nuclides!A:E,5,FALSE)</f>
        <v>Rh100</v>
      </c>
      <c r="AC382">
        <f>VLOOKUP(Sheet2!Z382,Nuclides!A:E,2,FALSE)</f>
        <v>55</v>
      </c>
      <c r="AD382">
        <f>VLOOKUP(Z382,Nuclides!A:E,3,FALSE)</f>
        <v>45</v>
      </c>
      <c r="AE382" s="1">
        <f t="shared" si="23"/>
        <v>18293184</v>
      </c>
      <c r="AF382" t="s">
        <v>1193</v>
      </c>
    </row>
    <row r="383" spans="2:32" x14ac:dyDescent="0.2">
      <c r="B383">
        <v>61153</v>
      </c>
      <c r="C383" s="1">
        <v>2.9999999999999999E-7</v>
      </c>
      <c r="D383" t="str">
        <f>VLOOKUP(B383,Nuclides!A:E,5,FALSE)</f>
        <v>Pm153</v>
      </c>
      <c r="E383">
        <f>VLOOKUP(Sheet2!B383,Nuclides!A:E,2,FALSE)</f>
        <v>92</v>
      </c>
      <c r="F383">
        <f>VLOOKUP(B383,Nuclides!A:E,3,FALSE)</f>
        <v>61</v>
      </c>
      <c r="G383" s="1">
        <f t="shared" si="20"/>
        <v>3744000000</v>
      </c>
      <c r="H383">
        <f>VLOOKUP(B383,Nuclides!A:E,4,FALSE)</f>
        <v>315</v>
      </c>
      <c r="J383" s="1">
        <v>61132</v>
      </c>
      <c r="K383" s="1">
        <v>1.5999999999999999E-6</v>
      </c>
      <c r="L383" t="str">
        <f>VLOOKUP(J383,Nuclides!A:E,5,FALSE)</f>
        <v>Pm132</v>
      </c>
      <c r="M383">
        <f>VLOOKUP(Sheet2!J383,Nuclides!A:E,2,FALSE)</f>
        <v>71</v>
      </c>
      <c r="N383">
        <f>VLOOKUP(J383,Nuclides!A:E,3,FALSE)</f>
        <v>61</v>
      </c>
      <c r="O383" s="1">
        <f t="shared" si="21"/>
        <v>19968000000</v>
      </c>
      <c r="R383" s="1">
        <v>45114</v>
      </c>
      <c r="S383" s="1">
        <v>9.5535299999999997E-7</v>
      </c>
      <c r="T383" t="str">
        <f>VLOOKUP(R383,Nuclides!A:E,5,FALSE)</f>
        <v>Rh114</v>
      </c>
      <c r="U383">
        <f>VLOOKUP(Sheet2!R383,Nuclides!A:E,2,FALSE)</f>
        <v>69</v>
      </c>
      <c r="V383">
        <f>VLOOKUP(R383,Nuclides!A:E,3,FALSE)</f>
        <v>45</v>
      </c>
      <c r="W383" s="1">
        <f t="shared" si="22"/>
        <v>11922805440</v>
      </c>
      <c r="X383" t="s">
        <v>1207</v>
      </c>
      <c r="Z383" s="1">
        <v>45101</v>
      </c>
      <c r="AA383" s="1">
        <v>4.1879999999999999E-10</v>
      </c>
      <c r="AB383" t="str">
        <f>VLOOKUP(Z383,Nuclides!A:E,5,FALSE)</f>
        <v>Rh101</v>
      </c>
      <c r="AC383">
        <f>VLOOKUP(Sheet2!Z383,Nuclides!A:E,2,FALSE)</f>
        <v>56</v>
      </c>
      <c r="AD383">
        <f>VLOOKUP(Z383,Nuclides!A:E,3,FALSE)</f>
        <v>45</v>
      </c>
      <c r="AE383" s="1">
        <f t="shared" si="23"/>
        <v>5226624</v>
      </c>
      <c r="AF383" t="s">
        <v>1194</v>
      </c>
    </row>
    <row r="384" spans="2:32" x14ac:dyDescent="0.2">
      <c r="B384">
        <v>61154</v>
      </c>
      <c r="C384" s="1">
        <v>3.9999999999999998E-7</v>
      </c>
      <c r="D384" t="str">
        <f>VLOOKUP(B384,Nuclides!A:E,5,FALSE)</f>
        <v>Pm154</v>
      </c>
      <c r="E384">
        <f>VLOOKUP(Sheet2!B384,Nuclides!A:E,2,FALSE)</f>
        <v>93</v>
      </c>
      <c r="F384">
        <f>VLOOKUP(B384,Nuclides!A:E,3,FALSE)</f>
        <v>61</v>
      </c>
      <c r="G384" s="1">
        <f t="shared" si="20"/>
        <v>4992000000</v>
      </c>
      <c r="H384">
        <f>VLOOKUP(B384,Nuclides!A:E,4,FALSE)</f>
        <v>160.80000000000001</v>
      </c>
      <c r="J384" s="1">
        <v>61133</v>
      </c>
      <c r="K384" s="1">
        <v>5.9999999999999997E-7</v>
      </c>
      <c r="L384" t="str">
        <f>VLOOKUP(J384,Nuclides!A:E,5,FALSE)</f>
        <v>Pm133</v>
      </c>
      <c r="M384">
        <f>VLOOKUP(Sheet2!J384,Nuclides!A:E,2,FALSE)</f>
        <v>72</v>
      </c>
      <c r="N384">
        <f>VLOOKUP(J384,Nuclides!A:E,3,FALSE)</f>
        <v>61</v>
      </c>
      <c r="O384" s="1">
        <f t="shared" si="21"/>
        <v>7488000000</v>
      </c>
      <c r="R384" s="1">
        <v>46096</v>
      </c>
      <c r="S384" s="1">
        <v>1.01678E-6</v>
      </c>
      <c r="T384" t="str">
        <f>VLOOKUP(R384,Nuclides!A:E,5,FALSE)</f>
        <v>Pd96</v>
      </c>
      <c r="U384">
        <f>VLOOKUP(Sheet2!R384,Nuclides!A:E,2,FALSE)</f>
        <v>50</v>
      </c>
      <c r="V384">
        <f>VLOOKUP(R384,Nuclides!A:E,3,FALSE)</f>
        <v>46</v>
      </c>
      <c r="W384" s="1">
        <f t="shared" si="22"/>
        <v>12689414400</v>
      </c>
      <c r="X384" t="s">
        <v>1226</v>
      </c>
      <c r="Z384" s="1">
        <v>45105</v>
      </c>
      <c r="AA384" s="1">
        <v>2.094E-10</v>
      </c>
      <c r="AB384" t="str">
        <f>VLOOKUP(Z384,Nuclides!A:E,5,FALSE)</f>
        <v>Rh105</v>
      </c>
      <c r="AC384">
        <f>VLOOKUP(Sheet2!Z384,Nuclides!A:E,2,FALSE)</f>
        <v>60</v>
      </c>
      <c r="AD384">
        <f>VLOOKUP(Z384,Nuclides!A:E,3,FALSE)</f>
        <v>45</v>
      </c>
      <c r="AE384" s="1">
        <f t="shared" si="23"/>
        <v>2613312</v>
      </c>
      <c r="AF384" t="s">
        <v>1198</v>
      </c>
    </row>
    <row r="385" spans="2:32" x14ac:dyDescent="0.2">
      <c r="B385">
        <v>61155</v>
      </c>
      <c r="C385" s="1">
        <v>5.9999999999999997E-7</v>
      </c>
      <c r="D385" t="str">
        <f>VLOOKUP(B385,Nuclides!A:E,5,FALSE)</f>
        <v>Pm155</v>
      </c>
      <c r="E385">
        <f>VLOOKUP(Sheet2!B385,Nuclides!A:E,2,FALSE)</f>
        <v>94</v>
      </c>
      <c r="F385">
        <f>VLOOKUP(B385,Nuclides!A:E,3,FALSE)</f>
        <v>61</v>
      </c>
      <c r="G385" s="1">
        <f t="shared" si="20"/>
        <v>7488000000</v>
      </c>
      <c r="H385">
        <f>VLOOKUP(B385,Nuclides!A:E,4,FALSE)</f>
        <v>41.5</v>
      </c>
      <c r="J385" s="1">
        <v>61134</v>
      </c>
      <c r="K385" s="1">
        <v>3.9999999999999998E-7</v>
      </c>
      <c r="L385" t="str">
        <f>VLOOKUP(J385,Nuclides!A:E,5,FALSE)</f>
        <v>Pm134</v>
      </c>
      <c r="M385">
        <f>VLOOKUP(Sheet2!J385,Nuclides!A:E,2,FALSE)</f>
        <v>73</v>
      </c>
      <c r="N385">
        <f>VLOOKUP(J385,Nuclides!A:E,3,FALSE)</f>
        <v>61</v>
      </c>
      <c r="O385" s="1">
        <f t="shared" si="21"/>
        <v>4992000000</v>
      </c>
      <c r="R385" s="1">
        <v>46097</v>
      </c>
      <c r="S385" s="1">
        <v>6.3483099999999995E-7</v>
      </c>
      <c r="T385" t="str">
        <f>VLOOKUP(R385,Nuclides!A:E,5,FALSE)</f>
        <v>Pd97</v>
      </c>
      <c r="U385">
        <f>VLOOKUP(Sheet2!R385,Nuclides!A:E,2,FALSE)</f>
        <v>51</v>
      </c>
      <c r="V385">
        <f>VLOOKUP(R385,Nuclides!A:E,3,FALSE)</f>
        <v>46</v>
      </c>
      <c r="W385" s="1">
        <f t="shared" si="22"/>
        <v>7922690879.999999</v>
      </c>
      <c r="X385" t="s">
        <v>1227</v>
      </c>
      <c r="Z385" s="1">
        <v>45106</v>
      </c>
      <c r="AA385" s="1">
        <v>1.3959999999999999E-9</v>
      </c>
      <c r="AB385" t="str">
        <f>VLOOKUP(Z385,Nuclides!A:E,5,FALSE)</f>
        <v>Rh106</v>
      </c>
      <c r="AC385">
        <f>VLOOKUP(Sheet2!Z385,Nuclides!A:E,2,FALSE)</f>
        <v>61</v>
      </c>
      <c r="AD385">
        <f>VLOOKUP(Z385,Nuclides!A:E,3,FALSE)</f>
        <v>45</v>
      </c>
      <c r="AE385" s="1">
        <f t="shared" si="23"/>
        <v>17422080</v>
      </c>
      <c r="AF385" t="s">
        <v>1199</v>
      </c>
    </row>
    <row r="386" spans="2:32" x14ac:dyDescent="0.2">
      <c r="B386">
        <v>62133</v>
      </c>
      <c r="C386" s="1">
        <v>1.9999999999999999E-7</v>
      </c>
      <c r="D386" t="str">
        <f>VLOOKUP(B386,Nuclides!A:E,5,FALSE)</f>
        <v>Sm133</v>
      </c>
      <c r="E386">
        <f>VLOOKUP(Sheet2!B386,Nuclides!A:E,2,FALSE)</f>
        <v>71</v>
      </c>
      <c r="F386">
        <f>VLOOKUP(B386,Nuclides!A:E,3,FALSE)</f>
        <v>62</v>
      </c>
      <c r="G386" s="1">
        <f t="shared" si="20"/>
        <v>2496000000</v>
      </c>
      <c r="H386">
        <f>VLOOKUP(B386,Nuclides!A:E,4,FALSE)</f>
        <v>2.89</v>
      </c>
      <c r="J386" s="1">
        <v>61136</v>
      </c>
      <c r="K386" s="1">
        <v>9.9999999999999995E-8</v>
      </c>
      <c r="L386" t="str">
        <f>VLOOKUP(J386,Nuclides!A:E,5,FALSE)</f>
        <v>Pm136</v>
      </c>
      <c r="M386">
        <f>VLOOKUP(Sheet2!J386,Nuclides!A:E,2,FALSE)</f>
        <v>75</v>
      </c>
      <c r="N386">
        <f>VLOOKUP(J386,Nuclides!A:E,3,FALSE)</f>
        <v>61</v>
      </c>
      <c r="O386" s="1">
        <f t="shared" si="21"/>
        <v>1248000000</v>
      </c>
      <c r="R386" s="1">
        <v>46098</v>
      </c>
      <c r="S386" s="1">
        <v>4.7254599999999998E-7</v>
      </c>
      <c r="T386" t="str">
        <f>VLOOKUP(R386,Nuclides!A:E,5,FALSE)</f>
        <v>Pd98</v>
      </c>
      <c r="U386">
        <f>VLOOKUP(Sheet2!R386,Nuclides!A:E,2,FALSE)</f>
        <v>52</v>
      </c>
      <c r="V386">
        <f>VLOOKUP(R386,Nuclides!A:E,3,FALSE)</f>
        <v>46</v>
      </c>
      <c r="W386" s="1">
        <f t="shared" si="22"/>
        <v>5897374080</v>
      </c>
      <c r="X386" t="s">
        <v>1228</v>
      </c>
      <c r="Z386" s="1">
        <v>45107</v>
      </c>
      <c r="AA386" s="1">
        <v>1.5705000000000001E-8</v>
      </c>
      <c r="AB386" t="str">
        <f>VLOOKUP(Z386,Nuclides!A:E,5,FALSE)</f>
        <v>Rh107</v>
      </c>
      <c r="AC386">
        <f>VLOOKUP(Sheet2!Z386,Nuclides!A:E,2,FALSE)</f>
        <v>62</v>
      </c>
      <c r="AD386">
        <f>VLOOKUP(Z386,Nuclides!A:E,3,FALSE)</f>
        <v>45</v>
      </c>
      <c r="AE386" s="1">
        <f t="shared" si="23"/>
        <v>195998400</v>
      </c>
      <c r="AF386" t="s">
        <v>1200</v>
      </c>
    </row>
    <row r="387" spans="2:32" x14ac:dyDescent="0.2">
      <c r="B387">
        <v>62134</v>
      </c>
      <c r="C387" s="1">
        <v>5.9999999999999997E-7</v>
      </c>
      <c r="D387" t="str">
        <f>VLOOKUP(B387,Nuclides!A:E,5,FALSE)</f>
        <v>Sm134</v>
      </c>
      <c r="E387">
        <f>VLOOKUP(Sheet2!B387,Nuclides!A:E,2,FALSE)</f>
        <v>72</v>
      </c>
      <c r="F387">
        <f>VLOOKUP(B387,Nuclides!A:E,3,FALSE)</f>
        <v>62</v>
      </c>
      <c r="G387" s="1">
        <f t="shared" si="20"/>
        <v>7488000000</v>
      </c>
      <c r="H387">
        <f>VLOOKUP(B387,Nuclides!A:E,4,FALSE)</f>
        <v>9.5</v>
      </c>
      <c r="J387" s="1">
        <v>61154</v>
      </c>
      <c r="K387" s="1">
        <v>2.9999999999999999E-7</v>
      </c>
      <c r="L387" t="str">
        <f>VLOOKUP(J387,Nuclides!A:E,5,FALSE)</f>
        <v>Pm154</v>
      </c>
      <c r="M387">
        <f>VLOOKUP(Sheet2!J387,Nuclides!A:E,2,FALSE)</f>
        <v>93</v>
      </c>
      <c r="N387">
        <f>VLOOKUP(J387,Nuclides!A:E,3,FALSE)</f>
        <v>61</v>
      </c>
      <c r="O387" s="1">
        <f t="shared" si="21"/>
        <v>3744000000</v>
      </c>
      <c r="R387" s="1">
        <v>46099</v>
      </c>
      <c r="S387" s="1">
        <v>2.3006100000000001E-7</v>
      </c>
      <c r="T387" t="str">
        <f>VLOOKUP(R387,Nuclides!A:E,5,FALSE)</f>
        <v>Pd99</v>
      </c>
      <c r="U387">
        <f>VLOOKUP(Sheet2!R387,Nuclides!A:E,2,FALSE)</f>
        <v>53</v>
      </c>
      <c r="V387">
        <f>VLOOKUP(R387,Nuclides!A:E,3,FALSE)</f>
        <v>46</v>
      </c>
      <c r="W387" s="1">
        <f t="shared" si="22"/>
        <v>2871161280</v>
      </c>
      <c r="X387" t="s">
        <v>1229</v>
      </c>
      <c r="Z387" s="1">
        <v>45108</v>
      </c>
      <c r="AA387" s="1">
        <v>5.73058E-8</v>
      </c>
      <c r="AB387" t="str">
        <f>VLOOKUP(Z387,Nuclides!A:E,5,FALSE)</f>
        <v>Rh108</v>
      </c>
      <c r="AC387">
        <f>VLOOKUP(Sheet2!Z387,Nuclides!A:E,2,FALSE)</f>
        <v>63</v>
      </c>
      <c r="AD387">
        <f>VLOOKUP(Z387,Nuclides!A:E,3,FALSE)</f>
        <v>45</v>
      </c>
      <c r="AE387" s="1">
        <f t="shared" si="23"/>
        <v>715176384</v>
      </c>
      <c r="AF387" t="s">
        <v>1201</v>
      </c>
    </row>
    <row r="388" spans="2:32" x14ac:dyDescent="0.2">
      <c r="B388">
        <v>62135</v>
      </c>
      <c r="C388" s="1">
        <v>3.9999999999999998E-7</v>
      </c>
      <c r="D388" t="str">
        <f>VLOOKUP(B388,Nuclides!A:E,5,FALSE)</f>
        <v>Sm135</v>
      </c>
      <c r="E388">
        <f>VLOOKUP(Sheet2!B388,Nuclides!A:E,2,FALSE)</f>
        <v>73</v>
      </c>
      <c r="F388">
        <f>VLOOKUP(B388,Nuclides!A:E,3,FALSE)</f>
        <v>62</v>
      </c>
      <c r="G388" s="1">
        <f t="shared" ref="G388:G408" si="24">C388*12480000000000000</f>
        <v>4992000000</v>
      </c>
      <c r="H388">
        <f>VLOOKUP(B388,Nuclides!A:E,4,FALSE)</f>
        <v>10.3</v>
      </c>
      <c r="J388" s="1">
        <v>61155</v>
      </c>
      <c r="K388" s="1">
        <v>1.9999999999999999E-7</v>
      </c>
      <c r="L388" t="str">
        <f>VLOOKUP(J388,Nuclides!A:E,5,FALSE)</f>
        <v>Pm155</v>
      </c>
      <c r="M388">
        <f>VLOOKUP(Sheet2!J388,Nuclides!A:E,2,FALSE)</f>
        <v>94</v>
      </c>
      <c r="N388">
        <f>VLOOKUP(J388,Nuclides!A:E,3,FALSE)</f>
        <v>61</v>
      </c>
      <c r="O388" s="1">
        <f t="shared" ref="O388:O410" si="25">K388*12480000000000000</f>
        <v>2496000000</v>
      </c>
      <c r="R388" s="1">
        <v>46100</v>
      </c>
      <c r="S388" s="1">
        <v>1.0449100000000001E-7</v>
      </c>
      <c r="T388" t="str">
        <f>VLOOKUP(R388,Nuclides!A:E,5,FALSE)</f>
        <v>Pd100</v>
      </c>
      <c r="U388">
        <f>VLOOKUP(Sheet2!R388,Nuclides!A:E,2,FALSE)</f>
        <v>54</v>
      </c>
      <c r="V388">
        <f>VLOOKUP(R388,Nuclides!A:E,3,FALSE)</f>
        <v>46</v>
      </c>
      <c r="W388" s="1">
        <f t="shared" ref="W388:W451" si="26">S388*12480000000000000</f>
        <v>1304047680</v>
      </c>
      <c r="X388" t="s">
        <v>1230</v>
      </c>
      <c r="Z388" s="1">
        <v>45109</v>
      </c>
      <c r="AA388" s="1">
        <v>2.6607800000000001E-7</v>
      </c>
      <c r="AB388" t="str">
        <f>VLOOKUP(Z388,Nuclides!A:E,5,FALSE)</f>
        <v>Rh109</v>
      </c>
      <c r="AC388">
        <f>VLOOKUP(Sheet2!Z388,Nuclides!A:E,2,FALSE)</f>
        <v>64</v>
      </c>
      <c r="AD388">
        <f>VLOOKUP(Z388,Nuclides!A:E,3,FALSE)</f>
        <v>45</v>
      </c>
      <c r="AE388" s="1">
        <f t="shared" ref="AE388:AE451" si="27">AA388*12480000000000000</f>
        <v>3320653440</v>
      </c>
      <c r="AF388" t="s">
        <v>1202</v>
      </c>
    </row>
    <row r="389" spans="2:32" x14ac:dyDescent="0.2">
      <c r="B389">
        <v>62136</v>
      </c>
      <c r="C389" s="1">
        <v>9.9999999999999995E-8</v>
      </c>
      <c r="D389" t="str">
        <f>VLOOKUP(B389,Nuclides!A:E,5,FALSE)</f>
        <v>Sm136</v>
      </c>
      <c r="E389">
        <f>VLOOKUP(Sheet2!B389,Nuclides!A:E,2,FALSE)</f>
        <v>74</v>
      </c>
      <c r="F389">
        <f>VLOOKUP(B389,Nuclides!A:E,3,FALSE)</f>
        <v>62</v>
      </c>
      <c r="G389" s="1">
        <f t="shared" si="24"/>
        <v>1248000000</v>
      </c>
      <c r="H389">
        <f>VLOOKUP(B389,Nuclides!A:E,4,FALSE)</f>
        <v>47</v>
      </c>
      <c r="J389" s="1">
        <v>62133</v>
      </c>
      <c r="K389" s="1">
        <v>3.9999999999999998E-7</v>
      </c>
      <c r="L389" t="str">
        <f>VLOOKUP(J389,Nuclides!A:E,5,FALSE)</f>
        <v>Sm133</v>
      </c>
      <c r="M389">
        <f>VLOOKUP(Sheet2!J389,Nuclides!A:E,2,FALSE)</f>
        <v>71</v>
      </c>
      <c r="N389">
        <f>VLOOKUP(J389,Nuclides!A:E,3,FALSE)</f>
        <v>62</v>
      </c>
      <c r="O389" s="1">
        <f t="shared" si="25"/>
        <v>4992000000</v>
      </c>
      <c r="R389" s="1">
        <v>46101</v>
      </c>
      <c r="S389" s="1">
        <v>3.1898599999999998E-8</v>
      </c>
      <c r="T389" t="str">
        <f>VLOOKUP(R389,Nuclides!A:E,5,FALSE)</f>
        <v>Pd101</v>
      </c>
      <c r="U389">
        <f>VLOOKUP(Sheet2!R389,Nuclides!A:E,2,FALSE)</f>
        <v>55</v>
      </c>
      <c r="V389">
        <f>VLOOKUP(R389,Nuclides!A:E,3,FALSE)</f>
        <v>46</v>
      </c>
      <c r="W389" s="1">
        <f t="shared" si="26"/>
        <v>398094528</v>
      </c>
      <c r="X389" t="s">
        <v>1231</v>
      </c>
      <c r="Z389" s="1">
        <v>45110</v>
      </c>
      <c r="AA389" s="1">
        <v>5.1610100000000005E-7</v>
      </c>
      <c r="AB389" t="str">
        <f>VLOOKUP(Z389,Nuclides!A:E,5,FALSE)</f>
        <v>Rh110</v>
      </c>
      <c r="AC389">
        <f>VLOOKUP(Sheet2!Z389,Nuclides!A:E,2,FALSE)</f>
        <v>65</v>
      </c>
      <c r="AD389">
        <f>VLOOKUP(Z389,Nuclides!A:E,3,FALSE)</f>
        <v>45</v>
      </c>
      <c r="AE389" s="1">
        <f t="shared" si="27"/>
        <v>6440940480.000001</v>
      </c>
      <c r="AF389" t="s">
        <v>1203</v>
      </c>
    </row>
    <row r="390" spans="2:32" x14ac:dyDescent="0.2">
      <c r="B390">
        <v>62137</v>
      </c>
      <c r="C390" s="1">
        <v>9.9999999999999995E-8</v>
      </c>
      <c r="D390" t="str">
        <f>VLOOKUP(B390,Nuclides!A:E,5,FALSE)</f>
        <v>Sm137</v>
      </c>
      <c r="E390">
        <f>VLOOKUP(Sheet2!B390,Nuclides!A:E,2,FALSE)</f>
        <v>75</v>
      </c>
      <c r="F390">
        <f>VLOOKUP(B390,Nuclides!A:E,3,FALSE)</f>
        <v>62</v>
      </c>
      <c r="G390" s="1">
        <f t="shared" si="24"/>
        <v>1248000000</v>
      </c>
      <c r="H390">
        <f>VLOOKUP(B390,Nuclides!A:E,4,FALSE)</f>
        <v>45</v>
      </c>
      <c r="J390" s="1">
        <v>62134</v>
      </c>
      <c r="K390" s="1">
        <v>1.9999999999999999E-7</v>
      </c>
      <c r="L390" t="str">
        <f>VLOOKUP(J390,Nuclides!A:E,5,FALSE)</f>
        <v>Sm134</v>
      </c>
      <c r="M390">
        <f>VLOOKUP(Sheet2!J390,Nuclides!A:E,2,FALSE)</f>
        <v>72</v>
      </c>
      <c r="N390">
        <f>VLOOKUP(J390,Nuclides!A:E,3,FALSE)</f>
        <v>62</v>
      </c>
      <c r="O390" s="1">
        <f t="shared" si="25"/>
        <v>2496000000</v>
      </c>
      <c r="R390" s="1">
        <v>46102</v>
      </c>
      <c r="S390" s="1">
        <v>9.8418000000000005E-9</v>
      </c>
      <c r="T390" t="str">
        <f>VLOOKUP(R390,Nuclides!A:E,5,FALSE)</f>
        <v>Pd102</v>
      </c>
      <c r="U390">
        <f>VLOOKUP(Sheet2!R390,Nuclides!A:E,2,FALSE)</f>
        <v>56</v>
      </c>
      <c r="V390">
        <f>VLOOKUP(R390,Nuclides!A:E,3,FALSE)</f>
        <v>46</v>
      </c>
      <c r="W390" s="1">
        <f t="shared" si="26"/>
        <v>122825664</v>
      </c>
      <c r="X390" t="s">
        <v>1232</v>
      </c>
      <c r="Z390" s="1">
        <v>45111</v>
      </c>
      <c r="AA390" s="1">
        <v>1.0692000000000001E-6</v>
      </c>
      <c r="AB390" t="str">
        <f>VLOOKUP(Z390,Nuclides!A:E,5,FALSE)</f>
        <v>Rh111</v>
      </c>
      <c r="AC390">
        <f>VLOOKUP(Sheet2!Z390,Nuclides!A:E,2,FALSE)</f>
        <v>66</v>
      </c>
      <c r="AD390">
        <f>VLOOKUP(Z390,Nuclides!A:E,3,FALSE)</f>
        <v>45</v>
      </c>
      <c r="AE390" s="1">
        <f t="shared" si="27"/>
        <v>13343616000</v>
      </c>
      <c r="AF390" t="s">
        <v>1204</v>
      </c>
    </row>
    <row r="391" spans="2:32" x14ac:dyDescent="0.2">
      <c r="B391">
        <v>62157</v>
      </c>
      <c r="C391" s="1">
        <v>2.9999999999999999E-7</v>
      </c>
      <c r="D391" t="str">
        <f>VLOOKUP(B391,Nuclides!A:E,5,FALSE)</f>
        <v>Sm157</v>
      </c>
      <c r="E391">
        <f>VLOOKUP(Sheet2!B391,Nuclides!A:E,2,FALSE)</f>
        <v>95</v>
      </c>
      <c r="F391">
        <f>VLOOKUP(B391,Nuclides!A:E,3,FALSE)</f>
        <v>62</v>
      </c>
      <c r="G391" s="1">
        <f t="shared" si="24"/>
        <v>3744000000</v>
      </c>
      <c r="H391">
        <f>VLOOKUP(B391,Nuclides!A:E,4,FALSE)</f>
        <v>481.79999999999899</v>
      </c>
      <c r="J391" s="1">
        <v>62135</v>
      </c>
      <c r="K391" s="1">
        <v>9.9999999999999995E-8</v>
      </c>
      <c r="L391" t="str">
        <f>VLOOKUP(J391,Nuclides!A:E,5,FALSE)</f>
        <v>Sm135</v>
      </c>
      <c r="M391">
        <f>VLOOKUP(Sheet2!J391,Nuclides!A:E,2,FALSE)</f>
        <v>73</v>
      </c>
      <c r="N391">
        <f>VLOOKUP(J391,Nuclides!A:E,3,FALSE)</f>
        <v>62</v>
      </c>
      <c r="O391" s="1">
        <f t="shared" si="25"/>
        <v>1248000000</v>
      </c>
      <c r="R391" s="1">
        <v>46103</v>
      </c>
      <c r="S391" s="1">
        <v>2.094E-9</v>
      </c>
      <c r="T391" t="str">
        <f>VLOOKUP(R391,Nuclides!A:E,5,FALSE)</f>
        <v>Pd103</v>
      </c>
      <c r="U391">
        <f>VLOOKUP(Sheet2!R391,Nuclides!A:E,2,FALSE)</f>
        <v>57</v>
      </c>
      <c r="V391">
        <f>VLOOKUP(R391,Nuclides!A:E,3,FALSE)</f>
        <v>46</v>
      </c>
      <c r="W391" s="1">
        <f t="shared" si="26"/>
        <v>26133120</v>
      </c>
      <c r="X391" t="s">
        <v>1233</v>
      </c>
      <c r="Z391" s="1">
        <v>45112</v>
      </c>
      <c r="AA391" s="1">
        <v>1.32885E-6</v>
      </c>
      <c r="AB391" t="str">
        <f>VLOOKUP(Z391,Nuclides!A:E,5,FALSE)</f>
        <v>Rh112</v>
      </c>
      <c r="AC391">
        <f>VLOOKUP(Sheet2!Z391,Nuclides!A:E,2,FALSE)</f>
        <v>67</v>
      </c>
      <c r="AD391">
        <f>VLOOKUP(Z391,Nuclides!A:E,3,FALSE)</f>
        <v>45</v>
      </c>
      <c r="AE391" s="1">
        <f t="shared" si="27"/>
        <v>16584048000</v>
      </c>
      <c r="AF391" t="s">
        <v>1205</v>
      </c>
    </row>
    <row r="392" spans="2:32" x14ac:dyDescent="0.2">
      <c r="B392">
        <v>62158</v>
      </c>
      <c r="C392" s="1">
        <v>1.9999999999999999E-7</v>
      </c>
      <c r="D392" t="str">
        <f>VLOOKUP(B392,Nuclides!A:E,5,FALSE)</f>
        <v>Sm158</v>
      </c>
      <c r="E392">
        <f>VLOOKUP(Sheet2!B392,Nuclides!A:E,2,FALSE)</f>
        <v>96</v>
      </c>
      <c r="F392">
        <f>VLOOKUP(B392,Nuclides!A:E,3,FALSE)</f>
        <v>62</v>
      </c>
      <c r="G392" s="1">
        <f t="shared" si="24"/>
        <v>2496000000</v>
      </c>
      <c r="H392">
        <f>VLOOKUP(B392,Nuclides!A:E,4,FALSE)</f>
        <v>318</v>
      </c>
      <c r="J392" s="1">
        <v>62137</v>
      </c>
      <c r="K392" s="1">
        <v>9.9999999999999995E-8</v>
      </c>
      <c r="L392" t="str">
        <f>VLOOKUP(J392,Nuclides!A:E,5,FALSE)</f>
        <v>Sm137</v>
      </c>
      <c r="M392">
        <f>VLOOKUP(Sheet2!J392,Nuclides!A:E,2,FALSE)</f>
        <v>75</v>
      </c>
      <c r="N392">
        <f>VLOOKUP(J392,Nuclides!A:E,3,FALSE)</f>
        <v>62</v>
      </c>
      <c r="O392" s="1">
        <f t="shared" si="25"/>
        <v>1248000000</v>
      </c>
      <c r="R392" s="1">
        <v>46104</v>
      </c>
      <c r="S392" s="1">
        <v>7.6779999999999997E-10</v>
      </c>
      <c r="T392" t="str">
        <f>VLOOKUP(R392,Nuclides!A:E,5,FALSE)</f>
        <v>Pd104</v>
      </c>
      <c r="U392">
        <f>VLOOKUP(Sheet2!R392,Nuclides!A:E,2,FALSE)</f>
        <v>58</v>
      </c>
      <c r="V392">
        <f>VLOOKUP(R392,Nuclides!A:E,3,FALSE)</f>
        <v>46</v>
      </c>
      <c r="W392" s="1">
        <f t="shared" si="26"/>
        <v>9582144</v>
      </c>
      <c r="X392" t="s">
        <v>1234</v>
      </c>
      <c r="Z392" s="1">
        <v>45113</v>
      </c>
      <c r="AA392" s="1">
        <v>1.9180999999999999E-6</v>
      </c>
      <c r="AB392" t="str">
        <f>VLOOKUP(Z392,Nuclides!A:E,5,FALSE)</f>
        <v>Rh113</v>
      </c>
      <c r="AC392">
        <f>VLOOKUP(Sheet2!Z392,Nuclides!A:E,2,FALSE)</f>
        <v>68</v>
      </c>
      <c r="AD392">
        <f>VLOOKUP(Z392,Nuclides!A:E,3,FALSE)</f>
        <v>45</v>
      </c>
      <c r="AE392" s="1">
        <f t="shared" si="27"/>
        <v>23937888000</v>
      </c>
      <c r="AF392" t="s">
        <v>1206</v>
      </c>
    </row>
    <row r="393" spans="2:32" x14ac:dyDescent="0.2">
      <c r="B393">
        <v>63138</v>
      </c>
      <c r="C393" s="1">
        <v>9.9999999999999995E-8</v>
      </c>
      <c r="D393" t="str">
        <f>VLOOKUP(B393,Nuclides!A:E,5,FALSE)</f>
        <v>Eu138</v>
      </c>
      <c r="E393">
        <f>VLOOKUP(Sheet2!B393,Nuclides!A:E,2,FALSE)</f>
        <v>75</v>
      </c>
      <c r="F393">
        <f>VLOOKUP(B393,Nuclides!A:E,3,FALSE)</f>
        <v>63</v>
      </c>
      <c r="G393" s="1">
        <f t="shared" si="24"/>
        <v>1248000000</v>
      </c>
      <c r="H393">
        <f>VLOOKUP(B393,Nuclides!A:E,4,FALSE)</f>
        <v>12.1</v>
      </c>
      <c r="J393" s="1">
        <v>62155</v>
      </c>
      <c r="K393" s="1">
        <v>9.9999999999999995E-8</v>
      </c>
      <c r="L393" t="str">
        <f>VLOOKUP(J393,Nuclides!A:E,5,FALSE)</f>
        <v>Sm155</v>
      </c>
      <c r="M393">
        <f>VLOOKUP(Sheet2!J393,Nuclides!A:E,2,FALSE)</f>
        <v>93</v>
      </c>
      <c r="N393">
        <f>VLOOKUP(J393,Nuclides!A:E,3,FALSE)</f>
        <v>62</v>
      </c>
      <c r="O393" s="1">
        <f t="shared" si="25"/>
        <v>1248000000</v>
      </c>
      <c r="R393" s="1">
        <v>46105</v>
      </c>
      <c r="S393" s="1">
        <v>2.094E-10</v>
      </c>
      <c r="T393" t="str">
        <f>VLOOKUP(R393,Nuclides!A:E,5,FALSE)</f>
        <v>Pd105</v>
      </c>
      <c r="U393">
        <f>VLOOKUP(Sheet2!R393,Nuclides!A:E,2,FALSE)</f>
        <v>59</v>
      </c>
      <c r="V393">
        <f>VLOOKUP(R393,Nuclides!A:E,3,FALSE)</f>
        <v>46</v>
      </c>
      <c r="W393" s="1">
        <f t="shared" si="26"/>
        <v>2613312</v>
      </c>
      <c r="X393" t="s">
        <v>1235</v>
      </c>
      <c r="Z393" s="1">
        <v>45114</v>
      </c>
      <c r="AA393" s="1">
        <v>1.32948E-6</v>
      </c>
      <c r="AB393" t="str">
        <f>VLOOKUP(Z393,Nuclides!A:E,5,FALSE)</f>
        <v>Rh114</v>
      </c>
      <c r="AC393">
        <f>VLOOKUP(Sheet2!Z393,Nuclides!A:E,2,FALSE)</f>
        <v>69</v>
      </c>
      <c r="AD393">
        <f>VLOOKUP(Z393,Nuclides!A:E,3,FALSE)</f>
        <v>45</v>
      </c>
      <c r="AE393" s="1">
        <f t="shared" si="27"/>
        <v>16591910400</v>
      </c>
      <c r="AF393" t="s">
        <v>1207</v>
      </c>
    </row>
    <row r="394" spans="2:32" x14ac:dyDescent="0.2">
      <c r="B394">
        <v>63142</v>
      </c>
      <c r="C394" s="1">
        <v>9.9999999999999995E-8</v>
      </c>
      <c r="D394" t="str">
        <f>VLOOKUP(B394,Nuclides!A:E,5,FALSE)</f>
        <v>Eu142</v>
      </c>
      <c r="E394">
        <f>VLOOKUP(Sheet2!B394,Nuclides!A:E,2,FALSE)</f>
        <v>79</v>
      </c>
      <c r="F394">
        <f>VLOOKUP(B394,Nuclides!A:E,3,FALSE)</f>
        <v>63</v>
      </c>
      <c r="G394" s="1">
        <f t="shared" si="24"/>
        <v>1248000000</v>
      </c>
      <c r="H394">
        <f>VLOOKUP(B394,Nuclides!A:E,4,FALSE)</f>
        <v>2.34</v>
      </c>
      <c r="J394" s="1">
        <v>62157</v>
      </c>
      <c r="K394" s="1">
        <v>1.9999999999999999E-7</v>
      </c>
      <c r="L394" t="str">
        <f>VLOOKUP(J394,Nuclides!A:E,5,FALSE)</f>
        <v>Sm157</v>
      </c>
      <c r="M394">
        <f>VLOOKUP(Sheet2!J394,Nuclides!A:E,2,FALSE)</f>
        <v>95</v>
      </c>
      <c r="N394">
        <f>VLOOKUP(J394,Nuclides!A:E,3,FALSE)</f>
        <v>62</v>
      </c>
      <c r="O394" s="1">
        <f t="shared" si="25"/>
        <v>2496000000</v>
      </c>
      <c r="R394" s="1">
        <v>46107</v>
      </c>
      <c r="S394" s="1">
        <v>6.9799999999999994E-11</v>
      </c>
      <c r="T394" t="str">
        <f>VLOOKUP(R394,Nuclides!A:E,5,FALSE)</f>
        <v>Pd107</v>
      </c>
      <c r="U394">
        <f>VLOOKUP(Sheet2!R394,Nuclides!A:E,2,FALSE)</f>
        <v>61</v>
      </c>
      <c r="V394">
        <f>VLOOKUP(R394,Nuclides!A:E,3,FALSE)</f>
        <v>46</v>
      </c>
      <c r="W394" s="1">
        <f t="shared" si="26"/>
        <v>871103.99999999988</v>
      </c>
      <c r="X394" t="s">
        <v>1237</v>
      </c>
      <c r="Z394" s="1">
        <v>46096</v>
      </c>
      <c r="AA394" s="1">
        <v>1.2134000000000001E-6</v>
      </c>
      <c r="AB394" t="str">
        <f>VLOOKUP(Z394,Nuclides!A:E,5,FALSE)</f>
        <v>Pd96</v>
      </c>
      <c r="AC394">
        <f>VLOOKUP(Sheet2!Z394,Nuclides!A:E,2,FALSE)</f>
        <v>50</v>
      </c>
      <c r="AD394">
        <f>VLOOKUP(Z394,Nuclides!A:E,3,FALSE)</f>
        <v>46</v>
      </c>
      <c r="AE394" s="1">
        <f t="shared" si="27"/>
        <v>15143232000.000002</v>
      </c>
      <c r="AF394" t="s">
        <v>1226</v>
      </c>
    </row>
    <row r="395" spans="2:32" x14ac:dyDescent="0.2">
      <c r="B395">
        <v>63144</v>
      </c>
      <c r="C395" s="1">
        <v>9.9999999999999995E-8</v>
      </c>
      <c r="D395" t="str">
        <f>VLOOKUP(B395,Nuclides!A:E,5,FALSE)</f>
        <v>Eu144</v>
      </c>
      <c r="E395">
        <f>VLOOKUP(Sheet2!B395,Nuclides!A:E,2,FALSE)</f>
        <v>81</v>
      </c>
      <c r="F395">
        <f>VLOOKUP(B395,Nuclides!A:E,3,FALSE)</f>
        <v>63</v>
      </c>
      <c r="G395" s="1">
        <f t="shared" si="24"/>
        <v>1248000000</v>
      </c>
      <c r="H395">
        <f>VLOOKUP(B395,Nuclides!A:E,4,FALSE)</f>
        <v>10.199999999999999</v>
      </c>
      <c r="J395" s="1">
        <v>62158</v>
      </c>
      <c r="K395" s="1">
        <v>1.9999999999999999E-7</v>
      </c>
      <c r="L395" t="str">
        <f>VLOOKUP(J395,Nuclides!A:E,5,FALSE)</f>
        <v>Sm158</v>
      </c>
      <c r="M395">
        <f>VLOOKUP(Sheet2!J395,Nuclides!A:E,2,FALSE)</f>
        <v>96</v>
      </c>
      <c r="N395">
        <f>VLOOKUP(J395,Nuclides!A:E,3,FALSE)</f>
        <v>62</v>
      </c>
      <c r="O395" s="1">
        <f t="shared" si="25"/>
        <v>2496000000</v>
      </c>
      <c r="R395" s="1">
        <v>46108</v>
      </c>
      <c r="S395" s="1">
        <v>4.1879999999999999E-10</v>
      </c>
      <c r="T395" t="str">
        <f>VLOOKUP(R395,Nuclides!A:E,5,FALSE)</f>
        <v>Pd108</v>
      </c>
      <c r="U395">
        <f>VLOOKUP(Sheet2!R395,Nuclides!A:E,2,FALSE)</f>
        <v>62</v>
      </c>
      <c r="V395">
        <f>VLOOKUP(R395,Nuclides!A:E,3,FALSE)</f>
        <v>46</v>
      </c>
      <c r="W395" s="1">
        <f t="shared" si="26"/>
        <v>5226624</v>
      </c>
      <c r="X395" t="s">
        <v>1238</v>
      </c>
      <c r="Z395" s="1">
        <v>46097</v>
      </c>
      <c r="AA395" s="1">
        <v>6.0237399999999996E-7</v>
      </c>
      <c r="AB395" t="str">
        <f>VLOOKUP(Z395,Nuclides!A:E,5,FALSE)</f>
        <v>Pd97</v>
      </c>
      <c r="AC395">
        <f>VLOOKUP(Sheet2!Z395,Nuclides!A:E,2,FALSE)</f>
        <v>51</v>
      </c>
      <c r="AD395">
        <f>VLOOKUP(Z395,Nuclides!A:E,3,FALSE)</f>
        <v>46</v>
      </c>
      <c r="AE395" s="1">
        <f t="shared" si="27"/>
        <v>7517627520</v>
      </c>
      <c r="AF395" t="s">
        <v>1227</v>
      </c>
    </row>
    <row r="396" spans="2:32" x14ac:dyDescent="0.2">
      <c r="B396">
        <v>64142</v>
      </c>
      <c r="C396" s="1">
        <v>9.9999999999999995E-8</v>
      </c>
      <c r="D396" t="str">
        <f>VLOOKUP(B396,Nuclides!A:E,5,FALSE)</f>
        <v>Gd142</v>
      </c>
      <c r="E396">
        <f>VLOOKUP(Sheet2!B396,Nuclides!A:E,2,FALSE)</f>
        <v>78</v>
      </c>
      <c r="F396">
        <f>VLOOKUP(B396,Nuclides!A:E,3,FALSE)</f>
        <v>64</v>
      </c>
      <c r="G396" s="1">
        <f t="shared" si="24"/>
        <v>1248000000</v>
      </c>
      <c r="H396">
        <f>VLOOKUP(B396,Nuclides!A:E,4,FALSE)</f>
        <v>70.2</v>
      </c>
      <c r="J396" s="1">
        <v>63139</v>
      </c>
      <c r="K396" s="1">
        <v>2.9999999999999999E-7</v>
      </c>
      <c r="L396" t="str">
        <f>VLOOKUP(J396,Nuclides!A:E,5,FALSE)</f>
        <v>Eu139</v>
      </c>
      <c r="M396">
        <f>VLOOKUP(Sheet2!J396,Nuclides!A:E,2,FALSE)</f>
        <v>76</v>
      </c>
      <c r="N396">
        <f>VLOOKUP(J396,Nuclides!A:E,3,FALSE)</f>
        <v>63</v>
      </c>
      <c r="O396" s="1">
        <f t="shared" si="25"/>
        <v>3744000000</v>
      </c>
      <c r="R396" s="1">
        <v>46109</v>
      </c>
      <c r="S396" s="1">
        <v>2.094E-9</v>
      </c>
      <c r="T396" t="str">
        <f>VLOOKUP(R396,Nuclides!A:E,5,FALSE)</f>
        <v>Pd109</v>
      </c>
      <c r="U396">
        <f>VLOOKUP(Sheet2!R396,Nuclides!A:E,2,FALSE)</f>
        <v>63</v>
      </c>
      <c r="V396">
        <f>VLOOKUP(R396,Nuclides!A:E,3,FALSE)</f>
        <v>46</v>
      </c>
      <c r="W396" s="1">
        <f t="shared" si="26"/>
        <v>26133120</v>
      </c>
      <c r="X396" t="s">
        <v>1239</v>
      </c>
      <c r="Z396" s="1">
        <v>46098</v>
      </c>
      <c r="AA396" s="1">
        <v>4.8413300000000001E-7</v>
      </c>
      <c r="AB396" t="str">
        <f>VLOOKUP(Z396,Nuclides!A:E,5,FALSE)</f>
        <v>Pd98</v>
      </c>
      <c r="AC396">
        <f>VLOOKUP(Sheet2!Z396,Nuclides!A:E,2,FALSE)</f>
        <v>52</v>
      </c>
      <c r="AD396">
        <f>VLOOKUP(Z396,Nuclides!A:E,3,FALSE)</f>
        <v>46</v>
      </c>
      <c r="AE396" s="1">
        <f t="shared" si="27"/>
        <v>6041979840</v>
      </c>
      <c r="AF396" t="s">
        <v>1228</v>
      </c>
    </row>
    <row r="397" spans="2:32" x14ac:dyDescent="0.2">
      <c r="B397">
        <v>64145</v>
      </c>
      <c r="C397" s="1">
        <v>9.9999999999999995E-8</v>
      </c>
      <c r="D397" t="str">
        <f>VLOOKUP(B397,Nuclides!A:E,5,FALSE)</f>
        <v>Gd145</v>
      </c>
      <c r="E397">
        <f>VLOOKUP(Sheet2!B397,Nuclides!A:E,2,FALSE)</f>
        <v>81</v>
      </c>
      <c r="F397">
        <f>VLOOKUP(B397,Nuclides!A:E,3,FALSE)</f>
        <v>64</v>
      </c>
      <c r="G397" s="1">
        <f t="shared" si="24"/>
        <v>1248000000</v>
      </c>
      <c r="H397">
        <f>VLOOKUP(B397,Nuclides!A:E,4,FALSE)</f>
        <v>1380</v>
      </c>
      <c r="J397" s="1">
        <v>63140</v>
      </c>
      <c r="K397" s="1">
        <v>9.9999999999999995E-8</v>
      </c>
      <c r="L397" t="str">
        <f>VLOOKUP(J397,Nuclides!A:E,5,FALSE)</f>
        <v>Eu140</v>
      </c>
      <c r="M397">
        <f>VLOOKUP(Sheet2!J397,Nuclides!A:E,2,FALSE)</f>
        <v>77</v>
      </c>
      <c r="N397">
        <f>VLOOKUP(J397,Nuclides!A:E,3,FALSE)</f>
        <v>63</v>
      </c>
      <c r="O397" s="1">
        <f t="shared" si="25"/>
        <v>1248000000</v>
      </c>
      <c r="R397" s="1">
        <v>46110</v>
      </c>
      <c r="S397" s="1">
        <v>1.6403000000000001E-8</v>
      </c>
      <c r="T397" t="str">
        <f>VLOOKUP(R397,Nuclides!A:E,5,FALSE)</f>
        <v>Pd110</v>
      </c>
      <c r="U397">
        <f>VLOOKUP(Sheet2!R397,Nuclides!A:E,2,FALSE)</f>
        <v>64</v>
      </c>
      <c r="V397">
        <f>VLOOKUP(R397,Nuclides!A:E,3,FALSE)</f>
        <v>46</v>
      </c>
      <c r="W397" s="1">
        <f t="shared" si="26"/>
        <v>204709440.00000003</v>
      </c>
      <c r="X397" t="s">
        <v>1240</v>
      </c>
      <c r="Z397" s="1">
        <v>46099</v>
      </c>
      <c r="AA397" s="1">
        <v>2.46324E-7</v>
      </c>
      <c r="AB397" t="str">
        <f>VLOOKUP(Z397,Nuclides!A:E,5,FALSE)</f>
        <v>Pd99</v>
      </c>
      <c r="AC397">
        <f>VLOOKUP(Sheet2!Z397,Nuclides!A:E,2,FALSE)</f>
        <v>53</v>
      </c>
      <c r="AD397">
        <f>VLOOKUP(Z397,Nuclides!A:E,3,FALSE)</f>
        <v>46</v>
      </c>
      <c r="AE397" s="1">
        <f t="shared" si="27"/>
        <v>3074123520</v>
      </c>
      <c r="AF397" t="s">
        <v>1229</v>
      </c>
    </row>
    <row r="398" spans="2:32" x14ac:dyDescent="0.2">
      <c r="B398">
        <v>64162</v>
      </c>
      <c r="C398" s="1">
        <v>9.9999999999999995E-8</v>
      </c>
      <c r="D398" t="str">
        <f>VLOOKUP(B398,Nuclides!A:E,5,FALSE)</f>
        <v>Gd162</v>
      </c>
      <c r="E398">
        <f>VLOOKUP(Sheet2!B398,Nuclides!A:E,2,FALSE)</f>
        <v>98</v>
      </c>
      <c r="F398">
        <f>VLOOKUP(B398,Nuclides!A:E,3,FALSE)</f>
        <v>64</v>
      </c>
      <c r="G398" s="1">
        <f t="shared" si="24"/>
        <v>1248000000</v>
      </c>
      <c r="H398">
        <f>VLOOKUP(B398,Nuclides!A:E,4,FALSE)</f>
        <v>504</v>
      </c>
      <c r="J398" s="1">
        <v>63142</v>
      </c>
      <c r="K398" s="1">
        <v>9.9999999999999995E-8</v>
      </c>
      <c r="L398" t="str">
        <f>VLOOKUP(J398,Nuclides!A:E,5,FALSE)</f>
        <v>Eu142</v>
      </c>
      <c r="M398">
        <f>VLOOKUP(Sheet2!J398,Nuclides!A:E,2,FALSE)</f>
        <v>79</v>
      </c>
      <c r="N398">
        <f>VLOOKUP(J398,Nuclides!A:E,3,FALSE)</f>
        <v>63</v>
      </c>
      <c r="O398" s="1">
        <f t="shared" si="25"/>
        <v>1248000000</v>
      </c>
      <c r="R398" s="1">
        <v>46111</v>
      </c>
      <c r="S398" s="1">
        <v>4.62774E-8</v>
      </c>
      <c r="T398" t="str">
        <f>VLOOKUP(R398,Nuclides!A:E,5,FALSE)</f>
        <v>Pd111</v>
      </c>
      <c r="U398">
        <f>VLOOKUP(Sheet2!R398,Nuclides!A:E,2,FALSE)</f>
        <v>65</v>
      </c>
      <c r="V398">
        <f>VLOOKUP(R398,Nuclides!A:E,3,FALSE)</f>
        <v>46</v>
      </c>
      <c r="W398" s="1">
        <f t="shared" si="26"/>
        <v>577541952</v>
      </c>
      <c r="X398" t="s">
        <v>1241</v>
      </c>
      <c r="Z398" s="1">
        <v>46100</v>
      </c>
      <c r="AA398" s="1">
        <v>9.0391000000000005E-8</v>
      </c>
      <c r="AB398" t="str">
        <f>VLOOKUP(Z398,Nuclides!A:E,5,FALSE)</f>
        <v>Pd100</v>
      </c>
      <c r="AC398">
        <f>VLOOKUP(Sheet2!Z398,Nuclides!A:E,2,FALSE)</f>
        <v>54</v>
      </c>
      <c r="AD398">
        <f>VLOOKUP(Z398,Nuclides!A:E,3,FALSE)</f>
        <v>46</v>
      </c>
      <c r="AE398" s="1">
        <f t="shared" si="27"/>
        <v>1128079680</v>
      </c>
      <c r="AF398" t="s">
        <v>1230</v>
      </c>
    </row>
    <row r="399" spans="2:32" x14ac:dyDescent="0.2">
      <c r="B399">
        <v>91234</v>
      </c>
      <c r="C399" s="1">
        <v>9.9999999999999995E-8</v>
      </c>
      <c r="D399" t="str">
        <f>VLOOKUP(B399,Nuclides!A:E,5,FALSE)</f>
        <v>Pa234</v>
      </c>
      <c r="E399">
        <f>VLOOKUP(Sheet2!B399,Nuclides!A:E,2,FALSE)</f>
        <v>143</v>
      </c>
      <c r="F399">
        <f>VLOOKUP(B399,Nuclides!A:E,3,FALSE)</f>
        <v>91</v>
      </c>
      <c r="G399" s="1">
        <f t="shared" si="24"/>
        <v>1248000000</v>
      </c>
      <c r="H399">
        <f>VLOOKUP(B399,Nuclides!A:E,4,FALSE)</f>
        <v>24120</v>
      </c>
      <c r="J399" s="1">
        <v>91233</v>
      </c>
      <c r="K399" s="1">
        <v>1.9999999999999999E-7</v>
      </c>
      <c r="L399" t="str">
        <f>VLOOKUP(J399,Nuclides!A:E,5,FALSE)</f>
        <v>Pa233</v>
      </c>
      <c r="M399">
        <f>VLOOKUP(Sheet2!J399,Nuclides!A:E,2,FALSE)</f>
        <v>142</v>
      </c>
      <c r="N399">
        <f>VLOOKUP(J399,Nuclides!A:E,3,FALSE)</f>
        <v>91</v>
      </c>
      <c r="O399" s="1">
        <f t="shared" si="25"/>
        <v>2496000000</v>
      </c>
      <c r="R399" s="1">
        <v>46112</v>
      </c>
      <c r="S399" s="1">
        <v>1.7121899999999999E-7</v>
      </c>
      <c r="T399" t="str">
        <f>VLOOKUP(R399,Nuclides!A:E,5,FALSE)</f>
        <v>Pd112</v>
      </c>
      <c r="U399">
        <f>VLOOKUP(Sheet2!R399,Nuclides!A:E,2,FALSE)</f>
        <v>66</v>
      </c>
      <c r="V399">
        <f>VLOOKUP(R399,Nuclides!A:E,3,FALSE)</f>
        <v>46</v>
      </c>
      <c r="W399" s="1">
        <f t="shared" si="26"/>
        <v>2136813120</v>
      </c>
      <c r="X399" t="s">
        <v>1242</v>
      </c>
      <c r="Z399" s="1">
        <v>46101</v>
      </c>
      <c r="AA399" s="1">
        <v>2.4569599999999999E-8</v>
      </c>
      <c r="AB399" t="str">
        <f>VLOOKUP(Z399,Nuclides!A:E,5,FALSE)</f>
        <v>Pd101</v>
      </c>
      <c r="AC399">
        <f>VLOOKUP(Sheet2!Z399,Nuclides!A:E,2,FALSE)</f>
        <v>55</v>
      </c>
      <c r="AD399">
        <f>VLOOKUP(Z399,Nuclides!A:E,3,FALSE)</f>
        <v>46</v>
      </c>
      <c r="AE399" s="1">
        <f t="shared" si="27"/>
        <v>306628608</v>
      </c>
      <c r="AF399" t="s">
        <v>1231</v>
      </c>
    </row>
    <row r="400" spans="2:32" x14ac:dyDescent="0.2">
      <c r="B400">
        <v>91235</v>
      </c>
      <c r="C400" s="1">
        <v>4.9999999999999998E-7</v>
      </c>
      <c r="D400" t="str">
        <f>VLOOKUP(B400,Nuclides!A:E,5,FALSE)</f>
        <v>Pa235</v>
      </c>
      <c r="E400">
        <f>VLOOKUP(Sheet2!B400,Nuclides!A:E,2,FALSE)</f>
        <v>144</v>
      </c>
      <c r="F400">
        <f>VLOOKUP(B400,Nuclides!A:E,3,FALSE)</f>
        <v>91</v>
      </c>
      <c r="G400" s="1">
        <f t="shared" si="24"/>
        <v>6240000000</v>
      </c>
      <c r="H400">
        <f>VLOOKUP(B400,Nuclides!A:E,4,FALSE)</f>
        <v>1464</v>
      </c>
      <c r="J400" s="1">
        <v>91234</v>
      </c>
      <c r="K400" s="1">
        <v>9.9999999999999995E-8</v>
      </c>
      <c r="L400" t="str">
        <f>VLOOKUP(J400,Nuclides!A:E,5,FALSE)</f>
        <v>Pa234</v>
      </c>
      <c r="M400">
        <f>VLOOKUP(Sheet2!J400,Nuclides!A:E,2,FALSE)</f>
        <v>143</v>
      </c>
      <c r="N400">
        <f>VLOOKUP(J400,Nuclides!A:E,3,FALSE)</f>
        <v>91</v>
      </c>
      <c r="O400" s="1">
        <f t="shared" si="25"/>
        <v>1248000000</v>
      </c>
      <c r="R400" s="1">
        <v>46113</v>
      </c>
      <c r="S400" s="1">
        <v>3.0083799999999998E-7</v>
      </c>
      <c r="T400" t="str">
        <f>VLOOKUP(R400,Nuclides!A:E,5,FALSE)</f>
        <v>Pd113</v>
      </c>
      <c r="U400">
        <f>VLOOKUP(Sheet2!R400,Nuclides!A:E,2,FALSE)</f>
        <v>67</v>
      </c>
      <c r="V400">
        <f>VLOOKUP(R400,Nuclides!A:E,3,FALSE)</f>
        <v>46</v>
      </c>
      <c r="W400" s="1">
        <f t="shared" si="26"/>
        <v>3754458240</v>
      </c>
      <c r="X400" t="s">
        <v>1243</v>
      </c>
      <c r="Z400" s="1">
        <v>46102</v>
      </c>
      <c r="AA400" s="1">
        <v>1.5076799999999999E-8</v>
      </c>
      <c r="AB400" t="str">
        <f>VLOOKUP(Z400,Nuclides!A:E,5,FALSE)</f>
        <v>Pd102</v>
      </c>
      <c r="AC400">
        <f>VLOOKUP(Sheet2!Z400,Nuclides!A:E,2,FALSE)</f>
        <v>56</v>
      </c>
      <c r="AD400">
        <f>VLOOKUP(Z400,Nuclides!A:E,3,FALSE)</f>
        <v>46</v>
      </c>
      <c r="AE400" s="1">
        <f t="shared" si="27"/>
        <v>188158464</v>
      </c>
      <c r="AF400" t="s">
        <v>1232</v>
      </c>
    </row>
    <row r="401" spans="2:32" x14ac:dyDescent="0.2">
      <c r="B401">
        <v>91237</v>
      </c>
      <c r="C401" s="1">
        <v>2.9999999999999999E-7</v>
      </c>
      <c r="D401" t="str">
        <f>VLOOKUP(B401,Nuclides!A:E,5,FALSE)</f>
        <v>Pa237</v>
      </c>
      <c r="E401">
        <f>VLOOKUP(Sheet2!B401,Nuclides!A:E,2,FALSE)</f>
        <v>146</v>
      </c>
      <c r="F401">
        <f>VLOOKUP(B401,Nuclides!A:E,3,FALSE)</f>
        <v>91</v>
      </c>
      <c r="G401" s="1">
        <f t="shared" si="24"/>
        <v>3744000000</v>
      </c>
      <c r="H401">
        <f>VLOOKUP(B401,Nuclides!A:E,4,FALSE)</f>
        <v>522</v>
      </c>
      <c r="J401" s="1">
        <v>91235</v>
      </c>
      <c r="K401" s="1">
        <v>9.9999999999999995E-7</v>
      </c>
      <c r="L401" t="str">
        <f>VLOOKUP(J401,Nuclides!A:E,5,FALSE)</f>
        <v>Pa235</v>
      </c>
      <c r="M401">
        <f>VLOOKUP(Sheet2!J401,Nuclides!A:E,2,FALSE)</f>
        <v>144</v>
      </c>
      <c r="N401">
        <f>VLOOKUP(J401,Nuclides!A:E,3,FALSE)</f>
        <v>91</v>
      </c>
      <c r="O401" s="1">
        <f t="shared" si="25"/>
        <v>12480000000</v>
      </c>
      <c r="R401" s="1">
        <v>46114</v>
      </c>
      <c r="S401" s="1">
        <v>6.9681299999999998E-7</v>
      </c>
      <c r="T401" t="str">
        <f>VLOOKUP(R401,Nuclides!A:E,5,FALSE)</f>
        <v>Pd114</v>
      </c>
      <c r="U401">
        <f>VLOOKUP(Sheet2!R401,Nuclides!A:E,2,FALSE)</f>
        <v>68</v>
      </c>
      <c r="V401">
        <f>VLOOKUP(R401,Nuclides!A:E,3,FALSE)</f>
        <v>46</v>
      </c>
      <c r="W401" s="1">
        <f t="shared" si="26"/>
        <v>8696226240</v>
      </c>
      <c r="X401" t="s">
        <v>1244</v>
      </c>
      <c r="Z401" s="1">
        <v>46103</v>
      </c>
      <c r="AA401" s="1">
        <v>3.0014E-9</v>
      </c>
      <c r="AB401" t="str">
        <f>VLOOKUP(Z401,Nuclides!A:E,5,FALSE)</f>
        <v>Pd103</v>
      </c>
      <c r="AC401">
        <f>VLOOKUP(Sheet2!Z401,Nuclides!A:E,2,FALSE)</f>
        <v>57</v>
      </c>
      <c r="AD401">
        <f>VLOOKUP(Z401,Nuclides!A:E,3,FALSE)</f>
        <v>46</v>
      </c>
      <c r="AE401" s="1">
        <f t="shared" si="27"/>
        <v>37457472</v>
      </c>
      <c r="AF401" t="s">
        <v>1233</v>
      </c>
    </row>
    <row r="402" spans="2:32" x14ac:dyDescent="0.2">
      <c r="B402">
        <v>92232</v>
      </c>
      <c r="C402" s="1">
        <v>5.9999999999999997E-7</v>
      </c>
      <c r="D402" t="str">
        <f>VLOOKUP(B402,Nuclides!A:E,5,FALSE)</f>
        <v>U232</v>
      </c>
      <c r="E402">
        <f>VLOOKUP(Sheet2!B402,Nuclides!A:E,2,FALSE)</f>
        <v>140</v>
      </c>
      <c r="F402">
        <f>VLOOKUP(B402,Nuclides!A:E,3,FALSE)</f>
        <v>92</v>
      </c>
      <c r="G402" s="1">
        <f t="shared" si="24"/>
        <v>7488000000</v>
      </c>
      <c r="H402">
        <f>VLOOKUP(B402,Nuclides!A:E,4,FALSE)</f>
        <v>2174318640</v>
      </c>
      <c r="J402" s="1">
        <v>91236</v>
      </c>
      <c r="K402" s="1">
        <v>9.9999999999999995E-8</v>
      </c>
      <c r="L402" t="str">
        <f>VLOOKUP(J402,Nuclides!A:E,5,FALSE)</f>
        <v>Pa236</v>
      </c>
      <c r="M402">
        <f>VLOOKUP(Sheet2!J402,Nuclides!A:E,2,FALSE)</f>
        <v>145</v>
      </c>
      <c r="N402">
        <f>VLOOKUP(J402,Nuclides!A:E,3,FALSE)</f>
        <v>91</v>
      </c>
      <c r="O402" s="1">
        <f t="shared" si="25"/>
        <v>1248000000</v>
      </c>
      <c r="R402" s="1">
        <v>46115</v>
      </c>
      <c r="S402" s="1">
        <v>8.6586900000000004E-7</v>
      </c>
      <c r="T402" t="str">
        <f>VLOOKUP(R402,Nuclides!A:E,5,FALSE)</f>
        <v>Pd115</v>
      </c>
      <c r="U402">
        <f>VLOOKUP(Sheet2!R402,Nuclides!A:E,2,FALSE)</f>
        <v>69</v>
      </c>
      <c r="V402">
        <f>VLOOKUP(R402,Nuclides!A:E,3,FALSE)</f>
        <v>46</v>
      </c>
      <c r="W402" s="1">
        <f t="shared" si="26"/>
        <v>10806045120</v>
      </c>
      <c r="X402" t="s">
        <v>1245</v>
      </c>
      <c r="Z402" s="1">
        <v>46104</v>
      </c>
      <c r="AA402" s="1">
        <v>1.8148E-9</v>
      </c>
      <c r="AB402" t="str">
        <f>VLOOKUP(Z402,Nuclides!A:E,5,FALSE)</f>
        <v>Pd104</v>
      </c>
      <c r="AC402">
        <f>VLOOKUP(Sheet2!Z402,Nuclides!A:E,2,FALSE)</f>
        <v>58</v>
      </c>
      <c r="AD402">
        <f>VLOOKUP(Z402,Nuclides!A:E,3,FALSE)</f>
        <v>46</v>
      </c>
      <c r="AE402" s="1">
        <f t="shared" si="27"/>
        <v>22648704</v>
      </c>
      <c r="AF402" t="s">
        <v>1234</v>
      </c>
    </row>
    <row r="403" spans="2:32" x14ac:dyDescent="0.2">
      <c r="B403">
        <v>92233</v>
      </c>
      <c r="C403" s="1">
        <v>1.2E-5</v>
      </c>
      <c r="D403" t="str">
        <f>VLOOKUP(B403,Nuclides!A:E,5,FALSE)</f>
        <v>U233</v>
      </c>
      <c r="E403">
        <f>VLOOKUP(Sheet2!B403,Nuclides!A:E,2,FALSE)</f>
        <v>141</v>
      </c>
      <c r="F403">
        <f>VLOOKUP(B403,Nuclides!A:E,3,FALSE)</f>
        <v>92</v>
      </c>
      <c r="G403" s="1">
        <f t="shared" si="24"/>
        <v>149760000000</v>
      </c>
      <c r="H403">
        <f>VLOOKUP(B403,Nuclides!A:E,4,FALSE)</f>
        <v>5023969920000</v>
      </c>
      <c r="J403" s="1">
        <v>91237</v>
      </c>
      <c r="K403" s="1">
        <v>3.9999999999999998E-7</v>
      </c>
      <c r="L403" t="str">
        <f>VLOOKUP(J403,Nuclides!A:E,5,FALSE)</f>
        <v>Pa237</v>
      </c>
      <c r="M403">
        <f>VLOOKUP(Sheet2!J403,Nuclides!A:E,2,FALSE)</f>
        <v>146</v>
      </c>
      <c r="N403">
        <f>VLOOKUP(J403,Nuclides!A:E,3,FALSE)</f>
        <v>91</v>
      </c>
      <c r="O403" s="1">
        <f t="shared" si="25"/>
        <v>4992000000</v>
      </c>
      <c r="R403" s="1">
        <v>46116</v>
      </c>
      <c r="S403" s="1">
        <v>1.26596E-6</v>
      </c>
      <c r="T403" t="str">
        <f>VLOOKUP(R403,Nuclides!A:E,5,FALSE)</f>
        <v>Pd116</v>
      </c>
      <c r="U403">
        <f>VLOOKUP(Sheet2!R403,Nuclides!A:E,2,FALSE)</f>
        <v>70</v>
      </c>
      <c r="V403">
        <f>VLOOKUP(R403,Nuclides!A:E,3,FALSE)</f>
        <v>46</v>
      </c>
      <c r="W403" s="1">
        <f t="shared" si="26"/>
        <v>15799180800</v>
      </c>
      <c r="X403" t="s">
        <v>1246</v>
      </c>
      <c r="Z403" s="1">
        <v>46105</v>
      </c>
      <c r="AA403" s="1">
        <v>3.4899999999999998E-10</v>
      </c>
      <c r="AB403" t="str">
        <f>VLOOKUP(Z403,Nuclides!A:E,5,FALSE)</f>
        <v>Pd105</v>
      </c>
      <c r="AC403">
        <f>VLOOKUP(Sheet2!Z403,Nuclides!A:E,2,FALSE)</f>
        <v>59</v>
      </c>
      <c r="AD403">
        <f>VLOOKUP(Z403,Nuclides!A:E,3,FALSE)</f>
        <v>46</v>
      </c>
      <c r="AE403" s="1">
        <f t="shared" si="27"/>
        <v>4355520</v>
      </c>
      <c r="AF403" t="s">
        <v>1235</v>
      </c>
    </row>
    <row r="404" spans="2:32" x14ac:dyDescent="0.2">
      <c r="B404">
        <v>92234</v>
      </c>
      <c r="C404" s="1">
        <v>8.0000000000000007E-5</v>
      </c>
      <c r="D404" t="str">
        <f>VLOOKUP(B404,Nuclides!A:E,5,FALSE)</f>
        <v>U234</v>
      </c>
      <c r="E404">
        <f>VLOOKUP(Sheet2!B404,Nuclides!A:E,2,FALSE)</f>
        <v>142</v>
      </c>
      <c r="F404">
        <f>VLOOKUP(B404,Nuclides!A:E,3,FALSE)</f>
        <v>92</v>
      </c>
      <c r="G404" s="1">
        <f t="shared" si="24"/>
        <v>998400000000.00012</v>
      </c>
      <c r="H404">
        <f>VLOOKUP(B404,Nuclides!A:E,4,FALSE)</f>
        <v>7747390800000</v>
      </c>
      <c r="J404" s="1">
        <v>92231</v>
      </c>
      <c r="K404" s="1">
        <v>9.9999999999999995E-8</v>
      </c>
      <c r="L404" t="str">
        <f>VLOOKUP(J404,Nuclides!A:E,5,FALSE)</f>
        <v>U231</v>
      </c>
      <c r="M404">
        <f>VLOOKUP(Sheet2!J404,Nuclides!A:E,2,FALSE)</f>
        <v>139</v>
      </c>
      <c r="N404">
        <f>VLOOKUP(J404,Nuclides!A:E,3,FALSE)</f>
        <v>92</v>
      </c>
      <c r="O404" s="1">
        <f t="shared" si="25"/>
        <v>1248000000</v>
      </c>
      <c r="R404" s="1">
        <v>46117</v>
      </c>
      <c r="S404" s="1">
        <v>1.0788299999999999E-6</v>
      </c>
      <c r="T404" t="str">
        <f>VLOOKUP(R404,Nuclides!A:E,5,FALSE)</f>
        <v>Pd117</v>
      </c>
      <c r="U404">
        <f>VLOOKUP(Sheet2!R404,Nuclides!A:E,2,FALSE)</f>
        <v>71</v>
      </c>
      <c r="V404">
        <f>VLOOKUP(R404,Nuclides!A:E,3,FALSE)</f>
        <v>46</v>
      </c>
      <c r="W404" s="1">
        <f t="shared" si="26"/>
        <v>13463798400</v>
      </c>
      <c r="X404" t="s">
        <v>1247</v>
      </c>
      <c r="Z404" s="1">
        <v>46106</v>
      </c>
      <c r="AA404" s="1">
        <v>6.9799999999999994E-11</v>
      </c>
      <c r="AB404" t="str">
        <f>VLOOKUP(Z404,Nuclides!A:E,5,FALSE)</f>
        <v>Pd106</v>
      </c>
      <c r="AC404">
        <f>VLOOKUP(Sheet2!Z404,Nuclides!A:E,2,FALSE)</f>
        <v>60</v>
      </c>
      <c r="AD404">
        <f>VLOOKUP(Z404,Nuclides!A:E,3,FALSE)</f>
        <v>46</v>
      </c>
      <c r="AE404" s="1">
        <f t="shared" si="27"/>
        <v>871103.99999999988</v>
      </c>
      <c r="AF404" t="s">
        <v>1236</v>
      </c>
    </row>
    <row r="405" spans="2:32" x14ac:dyDescent="0.2">
      <c r="B405">
        <v>92235</v>
      </c>
      <c r="C405" s="1">
        <v>2.5299999999999998E-5</v>
      </c>
      <c r="D405" t="str">
        <f>VLOOKUP(B405,Nuclides!A:E,5,FALSE)</f>
        <v>U235</v>
      </c>
      <c r="E405">
        <f>VLOOKUP(Sheet2!B405,Nuclides!A:E,2,FALSE)</f>
        <v>143</v>
      </c>
      <c r="F405">
        <f>VLOOKUP(B405,Nuclides!A:E,3,FALSE)</f>
        <v>92</v>
      </c>
      <c r="G405" s="1">
        <f t="shared" si="24"/>
        <v>315744000000</v>
      </c>
      <c r="H405">
        <f>VLOOKUP(B405,Nuclides!A:E,4,FALSE)</f>
        <v>2.22165504E+16</v>
      </c>
      <c r="J405" s="1">
        <v>92232</v>
      </c>
      <c r="K405" s="1">
        <v>7.9999999999999996E-7</v>
      </c>
      <c r="L405" t="str">
        <f>VLOOKUP(J405,Nuclides!A:E,5,FALSE)</f>
        <v>U232</v>
      </c>
      <c r="M405">
        <f>VLOOKUP(Sheet2!J405,Nuclides!A:E,2,FALSE)</f>
        <v>140</v>
      </c>
      <c r="N405">
        <f>VLOOKUP(J405,Nuclides!A:E,3,FALSE)</f>
        <v>92</v>
      </c>
      <c r="O405" s="1">
        <f t="shared" si="25"/>
        <v>9984000000</v>
      </c>
      <c r="R405" s="1">
        <v>46118</v>
      </c>
      <c r="S405" s="1">
        <v>1.07506E-6</v>
      </c>
      <c r="T405" t="str">
        <f>VLOOKUP(R405,Nuclides!A:E,5,FALSE)</f>
        <v>Pd118</v>
      </c>
      <c r="U405">
        <f>VLOOKUP(Sheet2!R405,Nuclides!A:E,2,FALSE)</f>
        <v>72</v>
      </c>
      <c r="V405">
        <f>VLOOKUP(R405,Nuclides!A:E,3,FALSE)</f>
        <v>46</v>
      </c>
      <c r="W405" s="1">
        <f t="shared" si="26"/>
        <v>13416748800</v>
      </c>
      <c r="X405" t="s">
        <v>1248</v>
      </c>
      <c r="Z405" s="1">
        <v>46107</v>
      </c>
      <c r="AA405" s="1">
        <v>6.9799999999999994E-11</v>
      </c>
      <c r="AB405" t="str">
        <f>VLOOKUP(Z405,Nuclides!A:E,5,FALSE)</f>
        <v>Pd107</v>
      </c>
      <c r="AC405">
        <f>VLOOKUP(Sheet2!Z405,Nuclides!A:E,2,FALSE)</f>
        <v>61</v>
      </c>
      <c r="AD405">
        <f>VLOOKUP(Z405,Nuclides!A:E,3,FALSE)</f>
        <v>46</v>
      </c>
      <c r="AE405" s="1">
        <f t="shared" si="27"/>
        <v>871103.99999999988</v>
      </c>
      <c r="AF405" t="s">
        <v>1237</v>
      </c>
    </row>
    <row r="406" spans="2:32" x14ac:dyDescent="0.2">
      <c r="B406">
        <v>92236</v>
      </c>
      <c r="C406" s="1">
        <v>8.3850000000000005E-4</v>
      </c>
      <c r="D406" t="str">
        <f>VLOOKUP(B406,Nuclides!A:E,5,FALSE)</f>
        <v>U236</v>
      </c>
      <c r="E406">
        <f>VLOOKUP(Sheet2!B406,Nuclides!A:E,2,FALSE)</f>
        <v>144</v>
      </c>
      <c r="F406">
        <f>VLOOKUP(B406,Nuclides!A:E,3,FALSE)</f>
        <v>92</v>
      </c>
      <c r="G406" s="1">
        <f t="shared" si="24"/>
        <v>10464480000000</v>
      </c>
      <c r="H406">
        <f>VLOOKUP(B406,Nuclides!A:E,4,FALSE)</f>
        <v>739078992000000</v>
      </c>
      <c r="J406" s="1">
        <v>92233</v>
      </c>
      <c r="K406" s="1">
        <v>9.7000000000000003E-6</v>
      </c>
      <c r="L406" t="str">
        <f>VLOOKUP(J406,Nuclides!A:E,5,FALSE)</f>
        <v>U233</v>
      </c>
      <c r="M406">
        <f>VLOOKUP(Sheet2!J406,Nuclides!A:E,2,FALSE)</f>
        <v>141</v>
      </c>
      <c r="N406">
        <f>VLOOKUP(J406,Nuclides!A:E,3,FALSE)</f>
        <v>92</v>
      </c>
      <c r="O406" s="1">
        <f t="shared" si="25"/>
        <v>121056000000</v>
      </c>
      <c r="R406" s="1">
        <v>47096</v>
      </c>
      <c r="S406" s="1">
        <v>6.9409100000000002E-7</v>
      </c>
      <c r="T406" t="str">
        <f>VLOOKUP(R406,Nuclides!A:E,5,FALSE)</f>
        <v>Ag96</v>
      </c>
      <c r="U406">
        <f>VLOOKUP(Sheet2!R406,Nuclides!A:E,2,FALSE)</f>
        <v>49</v>
      </c>
      <c r="V406">
        <f>VLOOKUP(R406,Nuclides!A:E,3,FALSE)</f>
        <v>47</v>
      </c>
      <c r="W406" s="1">
        <f t="shared" si="26"/>
        <v>8662255680</v>
      </c>
      <c r="X406" t="s">
        <v>1261</v>
      </c>
      <c r="Z406" s="1">
        <v>46108</v>
      </c>
      <c r="AA406" s="1">
        <v>5.5839999999999995E-10</v>
      </c>
      <c r="AB406" t="str">
        <f>VLOOKUP(Z406,Nuclides!A:E,5,FALSE)</f>
        <v>Pd108</v>
      </c>
      <c r="AC406">
        <f>VLOOKUP(Sheet2!Z406,Nuclides!A:E,2,FALSE)</f>
        <v>62</v>
      </c>
      <c r="AD406">
        <f>VLOOKUP(Z406,Nuclides!A:E,3,FALSE)</f>
        <v>46</v>
      </c>
      <c r="AE406" s="1">
        <f t="shared" si="27"/>
        <v>6968831.9999999991</v>
      </c>
      <c r="AF406" t="s">
        <v>1238</v>
      </c>
    </row>
    <row r="407" spans="2:32" x14ac:dyDescent="0.2">
      <c r="B407">
        <v>92237</v>
      </c>
      <c r="C407" s="1">
        <v>2.3804E-3</v>
      </c>
      <c r="D407" t="str">
        <f>VLOOKUP(B407,Nuclides!A:E,5,FALSE)</f>
        <v>U237</v>
      </c>
      <c r="E407">
        <f>VLOOKUP(Sheet2!B407,Nuclides!A:E,2,FALSE)</f>
        <v>145</v>
      </c>
      <c r="F407">
        <f>VLOOKUP(B407,Nuclides!A:E,3,FALSE)</f>
        <v>92</v>
      </c>
      <c r="G407" s="1">
        <f t="shared" si="24"/>
        <v>29707392000000</v>
      </c>
      <c r="H407">
        <f>VLOOKUP(B407,Nuclides!A:E,4,FALSE)</f>
        <v>583200</v>
      </c>
      <c r="J407" s="1">
        <v>92234</v>
      </c>
      <c r="K407" s="1">
        <v>6.1E-6</v>
      </c>
      <c r="L407" t="str">
        <f>VLOOKUP(J407,Nuclides!A:E,5,FALSE)</f>
        <v>U234</v>
      </c>
      <c r="M407">
        <f>VLOOKUP(Sheet2!J407,Nuclides!A:E,2,FALSE)</f>
        <v>142</v>
      </c>
      <c r="N407">
        <f>VLOOKUP(J407,Nuclides!A:E,3,FALSE)</f>
        <v>92</v>
      </c>
      <c r="O407" s="1">
        <f t="shared" si="25"/>
        <v>76128000000</v>
      </c>
      <c r="R407" s="1">
        <v>47097</v>
      </c>
      <c r="S407" s="1">
        <v>4.5321099999999999E-7</v>
      </c>
      <c r="T407" t="str">
        <f>VLOOKUP(R407,Nuclides!A:E,5,FALSE)</f>
        <v>Ag97</v>
      </c>
      <c r="U407">
        <f>VLOOKUP(Sheet2!R407,Nuclides!A:E,2,FALSE)</f>
        <v>50</v>
      </c>
      <c r="V407">
        <f>VLOOKUP(R407,Nuclides!A:E,3,FALSE)</f>
        <v>47</v>
      </c>
      <c r="W407" s="1">
        <f t="shared" si="26"/>
        <v>5656073280</v>
      </c>
      <c r="X407" t="s">
        <v>1262</v>
      </c>
      <c r="Z407" s="1">
        <v>46109</v>
      </c>
      <c r="AA407" s="1">
        <v>3.6296E-9</v>
      </c>
      <c r="AB407" t="str">
        <f>VLOOKUP(Z407,Nuclides!A:E,5,FALSE)</f>
        <v>Pd109</v>
      </c>
      <c r="AC407">
        <f>VLOOKUP(Sheet2!Z407,Nuclides!A:E,2,FALSE)</f>
        <v>63</v>
      </c>
      <c r="AD407">
        <f>VLOOKUP(Z407,Nuclides!A:E,3,FALSE)</f>
        <v>46</v>
      </c>
      <c r="AE407" s="1">
        <f t="shared" si="27"/>
        <v>45297408</v>
      </c>
      <c r="AF407" t="s">
        <v>1239</v>
      </c>
    </row>
    <row r="408" spans="2:32" x14ac:dyDescent="0.2">
      <c r="B408">
        <v>92238</v>
      </c>
      <c r="C408" s="1">
        <v>1.08E-4</v>
      </c>
      <c r="D408" t="str">
        <f>VLOOKUP(B408,Nuclides!A:E,5,FALSE)</f>
        <v>U238</v>
      </c>
      <c r="E408">
        <f>VLOOKUP(Sheet2!B408,Nuclides!A:E,2,FALSE)</f>
        <v>146</v>
      </c>
      <c r="F408">
        <f>VLOOKUP(B408,Nuclides!A:E,3,FALSE)</f>
        <v>92</v>
      </c>
      <c r="G408" s="1">
        <f t="shared" si="24"/>
        <v>1347840000000</v>
      </c>
      <c r="H408">
        <f>VLOOKUP(B408,Nuclides!A:E,4,FALSE)</f>
        <v>1.409993568E+17</v>
      </c>
      <c r="J408" s="1">
        <v>92235</v>
      </c>
      <c r="K408" s="1">
        <v>4.1199999999999999E-5</v>
      </c>
      <c r="L408" t="str">
        <f>VLOOKUP(J408,Nuclides!A:E,5,FALSE)</f>
        <v>U235</v>
      </c>
      <c r="M408">
        <f>VLOOKUP(Sheet2!J408,Nuclides!A:E,2,FALSE)</f>
        <v>143</v>
      </c>
      <c r="N408">
        <f>VLOOKUP(J408,Nuclides!A:E,3,FALSE)</f>
        <v>92</v>
      </c>
      <c r="O408" s="1">
        <f t="shared" si="25"/>
        <v>514176000000</v>
      </c>
      <c r="R408" s="1">
        <v>47098</v>
      </c>
      <c r="S408" s="1">
        <v>1.9509100000000001E-7</v>
      </c>
      <c r="T408" t="str">
        <f>VLOOKUP(R408,Nuclides!A:E,5,FALSE)</f>
        <v>Ag98</v>
      </c>
      <c r="U408">
        <f>VLOOKUP(Sheet2!R408,Nuclides!A:E,2,FALSE)</f>
        <v>51</v>
      </c>
      <c r="V408">
        <f>VLOOKUP(R408,Nuclides!A:E,3,FALSE)</f>
        <v>47</v>
      </c>
      <c r="W408" s="1">
        <f t="shared" si="26"/>
        <v>2434735680</v>
      </c>
      <c r="X408" t="s">
        <v>1263</v>
      </c>
      <c r="Z408" s="1">
        <v>46110</v>
      </c>
      <c r="AA408" s="1">
        <v>2.8408600000000001E-8</v>
      </c>
      <c r="AB408" t="str">
        <f>VLOOKUP(Z408,Nuclides!A:E,5,FALSE)</f>
        <v>Pd110</v>
      </c>
      <c r="AC408">
        <f>VLOOKUP(Sheet2!Z408,Nuclides!A:E,2,FALSE)</f>
        <v>64</v>
      </c>
      <c r="AD408">
        <f>VLOOKUP(Z408,Nuclides!A:E,3,FALSE)</f>
        <v>46</v>
      </c>
      <c r="AE408" s="1">
        <f t="shared" si="27"/>
        <v>354539328</v>
      </c>
      <c r="AF408" t="s">
        <v>1240</v>
      </c>
    </row>
    <row r="409" spans="2:32" x14ac:dyDescent="0.2">
      <c r="J409" s="1">
        <v>92236</v>
      </c>
      <c r="K409" s="1">
        <v>1.5837E-3</v>
      </c>
      <c r="L409" t="str">
        <f>VLOOKUP(J409,Nuclides!A:E,5,FALSE)</f>
        <v>U236</v>
      </c>
      <c r="M409">
        <f>VLOOKUP(Sheet2!J409,Nuclides!A:E,2,FALSE)</f>
        <v>144</v>
      </c>
      <c r="N409">
        <f>VLOOKUP(J409,Nuclides!A:E,3,FALSE)</f>
        <v>92</v>
      </c>
      <c r="O409" s="1">
        <f t="shared" si="25"/>
        <v>19764576000000</v>
      </c>
      <c r="R409" s="1">
        <v>47099</v>
      </c>
      <c r="S409" s="1">
        <v>7.4057800000000003E-8</v>
      </c>
      <c r="T409" t="str">
        <f>VLOOKUP(R409,Nuclides!A:E,5,FALSE)</f>
        <v>Ag99</v>
      </c>
      <c r="U409">
        <f>VLOOKUP(Sheet2!R409,Nuclides!A:E,2,FALSE)</f>
        <v>52</v>
      </c>
      <c r="V409">
        <f>VLOOKUP(R409,Nuclides!A:E,3,FALSE)</f>
        <v>47</v>
      </c>
      <c r="W409" s="1">
        <f t="shared" si="26"/>
        <v>924241344</v>
      </c>
      <c r="X409" t="s">
        <v>1264</v>
      </c>
      <c r="Z409" s="1">
        <v>46111</v>
      </c>
      <c r="AA409" s="1">
        <v>7.5314200000000006E-8</v>
      </c>
      <c r="AB409" t="str">
        <f>VLOOKUP(Z409,Nuclides!A:E,5,FALSE)</f>
        <v>Pd111</v>
      </c>
      <c r="AC409">
        <f>VLOOKUP(Sheet2!Z409,Nuclides!A:E,2,FALSE)</f>
        <v>65</v>
      </c>
      <c r="AD409">
        <f>VLOOKUP(Z409,Nuclides!A:E,3,FALSE)</f>
        <v>46</v>
      </c>
      <c r="AE409" s="1">
        <f t="shared" si="27"/>
        <v>939921216.00000012</v>
      </c>
      <c r="AF409" t="s">
        <v>1241</v>
      </c>
    </row>
    <row r="410" spans="2:32" x14ac:dyDescent="0.2">
      <c r="J410" s="1">
        <v>92237</v>
      </c>
      <c r="K410" s="1">
        <v>8.1999999999999994E-6</v>
      </c>
      <c r="L410" t="str">
        <f>VLOOKUP(J410,Nuclides!A:E,5,FALSE)</f>
        <v>U237</v>
      </c>
      <c r="M410">
        <f>VLOOKUP(Sheet2!J410,Nuclides!A:E,2,FALSE)</f>
        <v>145</v>
      </c>
      <c r="N410">
        <f>VLOOKUP(J410,Nuclides!A:E,3,FALSE)</f>
        <v>92</v>
      </c>
      <c r="O410" s="1">
        <f t="shared" si="25"/>
        <v>102336000000</v>
      </c>
      <c r="R410" s="1">
        <v>47100</v>
      </c>
      <c r="S410" s="1">
        <v>2.0940000000000001E-8</v>
      </c>
      <c r="T410" t="str">
        <f>VLOOKUP(R410,Nuclides!A:E,5,FALSE)</f>
        <v>Ag100</v>
      </c>
      <c r="U410">
        <f>VLOOKUP(Sheet2!R410,Nuclides!A:E,2,FALSE)</f>
        <v>53</v>
      </c>
      <c r="V410">
        <f>VLOOKUP(R410,Nuclides!A:E,3,FALSE)</f>
        <v>47</v>
      </c>
      <c r="W410" s="1">
        <f t="shared" si="26"/>
        <v>261331200</v>
      </c>
      <c r="X410" t="s">
        <v>1265</v>
      </c>
      <c r="Z410" s="1">
        <v>46112</v>
      </c>
      <c r="AA410" s="1">
        <v>3.0181500000000001E-7</v>
      </c>
      <c r="AB410" t="str">
        <f>VLOOKUP(Z410,Nuclides!A:E,5,FALSE)</f>
        <v>Pd112</v>
      </c>
      <c r="AC410">
        <f>VLOOKUP(Sheet2!Z410,Nuclides!A:E,2,FALSE)</f>
        <v>66</v>
      </c>
      <c r="AD410">
        <f>VLOOKUP(Z410,Nuclides!A:E,3,FALSE)</f>
        <v>46</v>
      </c>
      <c r="AE410" s="1">
        <f t="shared" si="27"/>
        <v>3766651200</v>
      </c>
      <c r="AF410" t="s">
        <v>1242</v>
      </c>
    </row>
    <row r="411" spans="2:32" x14ac:dyDescent="0.2">
      <c r="R411" s="1">
        <v>47101</v>
      </c>
      <c r="S411" s="1">
        <v>5.7934000000000003E-9</v>
      </c>
      <c r="T411" t="str">
        <f>VLOOKUP(R411,Nuclides!A:E,5,FALSE)</f>
        <v>Ag101</v>
      </c>
      <c r="U411">
        <f>VLOOKUP(Sheet2!R411,Nuclides!A:E,2,FALSE)</f>
        <v>54</v>
      </c>
      <c r="V411">
        <f>VLOOKUP(R411,Nuclides!A:E,3,FALSE)</f>
        <v>47</v>
      </c>
      <c r="W411" s="1">
        <f t="shared" si="26"/>
        <v>72301632</v>
      </c>
      <c r="X411" t="s">
        <v>1266</v>
      </c>
      <c r="Z411" s="1">
        <v>46113</v>
      </c>
      <c r="AA411" s="1">
        <v>4.3967000000000002E-7</v>
      </c>
      <c r="AB411" t="str">
        <f>VLOOKUP(Z411,Nuclides!A:E,5,FALSE)</f>
        <v>Pd113</v>
      </c>
      <c r="AC411">
        <f>VLOOKUP(Sheet2!Z411,Nuclides!A:E,2,FALSE)</f>
        <v>67</v>
      </c>
      <c r="AD411">
        <f>VLOOKUP(Z411,Nuclides!A:E,3,FALSE)</f>
        <v>46</v>
      </c>
      <c r="AE411" s="1">
        <f t="shared" si="27"/>
        <v>5487081600</v>
      </c>
      <c r="AF411" t="s">
        <v>1243</v>
      </c>
    </row>
    <row r="412" spans="2:32" x14ac:dyDescent="0.2">
      <c r="R412" s="1">
        <v>47102</v>
      </c>
      <c r="S412" s="1">
        <v>1.1866E-9</v>
      </c>
      <c r="T412" t="str">
        <f>VLOOKUP(R412,Nuclides!A:E,5,FALSE)</f>
        <v>Ag102</v>
      </c>
      <c r="U412">
        <f>VLOOKUP(Sheet2!R412,Nuclides!A:E,2,FALSE)</f>
        <v>55</v>
      </c>
      <c r="V412">
        <f>VLOOKUP(R412,Nuclides!A:E,3,FALSE)</f>
        <v>47</v>
      </c>
      <c r="W412" s="1">
        <f t="shared" si="26"/>
        <v>14808768</v>
      </c>
      <c r="X412" t="s">
        <v>1267</v>
      </c>
      <c r="Z412" s="1">
        <v>46114</v>
      </c>
      <c r="AA412" s="1">
        <v>1.04833E-6</v>
      </c>
      <c r="AB412" t="str">
        <f>VLOOKUP(Z412,Nuclides!A:E,5,FALSE)</f>
        <v>Pd114</v>
      </c>
      <c r="AC412">
        <f>VLOOKUP(Sheet2!Z412,Nuclides!A:E,2,FALSE)</f>
        <v>68</v>
      </c>
      <c r="AD412">
        <f>VLOOKUP(Z412,Nuclides!A:E,3,FALSE)</f>
        <v>46</v>
      </c>
      <c r="AE412" s="1">
        <f t="shared" si="27"/>
        <v>13083158400</v>
      </c>
      <c r="AF412" t="s">
        <v>1244</v>
      </c>
    </row>
    <row r="413" spans="2:32" x14ac:dyDescent="0.2">
      <c r="R413" s="1">
        <v>47103</v>
      </c>
      <c r="S413" s="1">
        <v>2.7919999999999998E-10</v>
      </c>
      <c r="T413" t="str">
        <f>VLOOKUP(R413,Nuclides!A:E,5,FALSE)</f>
        <v>Ag103</v>
      </c>
      <c r="U413">
        <f>VLOOKUP(Sheet2!R413,Nuclides!A:E,2,FALSE)</f>
        <v>56</v>
      </c>
      <c r="V413">
        <f>VLOOKUP(R413,Nuclides!A:E,3,FALSE)</f>
        <v>47</v>
      </c>
      <c r="W413" s="1">
        <f t="shared" si="26"/>
        <v>3484415.9999999995</v>
      </c>
      <c r="X413" t="s">
        <v>1268</v>
      </c>
      <c r="Z413" s="1">
        <v>46115</v>
      </c>
      <c r="AA413" s="1">
        <v>9.4181100000000002E-7</v>
      </c>
      <c r="AB413" t="str">
        <f>VLOOKUP(Z413,Nuclides!A:E,5,FALSE)</f>
        <v>Pd115</v>
      </c>
      <c r="AC413">
        <f>VLOOKUP(Sheet2!Z413,Nuclides!A:E,2,FALSE)</f>
        <v>69</v>
      </c>
      <c r="AD413">
        <f>VLOOKUP(Z413,Nuclides!A:E,3,FALSE)</f>
        <v>46</v>
      </c>
      <c r="AE413" s="1">
        <f t="shared" si="27"/>
        <v>11753801280</v>
      </c>
      <c r="AF413" t="s">
        <v>1245</v>
      </c>
    </row>
    <row r="414" spans="2:32" x14ac:dyDescent="0.2">
      <c r="R414" s="1">
        <v>47111</v>
      </c>
      <c r="S414" s="1">
        <v>4.8860000000000005E-10</v>
      </c>
      <c r="T414" t="str">
        <f>VLOOKUP(R414,Nuclides!A:E,5,FALSE)</f>
        <v>Ag111</v>
      </c>
      <c r="U414">
        <f>VLOOKUP(Sheet2!R414,Nuclides!A:E,2,FALSE)</f>
        <v>64</v>
      </c>
      <c r="V414">
        <f>VLOOKUP(R414,Nuclides!A:E,3,FALSE)</f>
        <v>47</v>
      </c>
      <c r="W414" s="1">
        <f t="shared" si="26"/>
        <v>6097728.0000000009</v>
      </c>
      <c r="X414" t="s">
        <v>1276</v>
      </c>
      <c r="Z414" s="1">
        <v>46116</v>
      </c>
      <c r="AA414" s="1">
        <v>1.4684500000000001E-6</v>
      </c>
      <c r="AB414" t="str">
        <f>VLOOKUP(Z414,Nuclides!A:E,5,FALSE)</f>
        <v>Pd116</v>
      </c>
      <c r="AC414">
        <f>VLOOKUP(Sheet2!Z414,Nuclides!A:E,2,FALSE)</f>
        <v>70</v>
      </c>
      <c r="AD414">
        <f>VLOOKUP(Z414,Nuclides!A:E,3,FALSE)</f>
        <v>46</v>
      </c>
      <c r="AE414" s="1">
        <f t="shared" si="27"/>
        <v>18326256000</v>
      </c>
      <c r="AF414" t="s">
        <v>1246</v>
      </c>
    </row>
    <row r="415" spans="2:32" x14ac:dyDescent="0.2">
      <c r="R415" s="1">
        <v>47112</v>
      </c>
      <c r="S415" s="1">
        <v>3.3503999999999999E-9</v>
      </c>
      <c r="T415" t="str">
        <f>VLOOKUP(R415,Nuclides!A:E,5,FALSE)</f>
        <v>Ag112</v>
      </c>
      <c r="U415">
        <f>VLOOKUP(Sheet2!R415,Nuclides!A:E,2,FALSE)</f>
        <v>65</v>
      </c>
      <c r="V415">
        <f>VLOOKUP(R415,Nuclides!A:E,3,FALSE)</f>
        <v>47</v>
      </c>
      <c r="W415" s="1">
        <f t="shared" si="26"/>
        <v>41812992</v>
      </c>
      <c r="X415" t="s">
        <v>1277</v>
      </c>
      <c r="Z415" s="1">
        <v>46117</v>
      </c>
      <c r="AA415" s="1">
        <v>8.7878199999999999E-7</v>
      </c>
      <c r="AB415" t="str">
        <f>VLOOKUP(Z415,Nuclides!A:E,5,FALSE)</f>
        <v>Pd117</v>
      </c>
      <c r="AC415">
        <f>VLOOKUP(Sheet2!Z415,Nuclides!A:E,2,FALSE)</f>
        <v>71</v>
      </c>
      <c r="AD415">
        <f>VLOOKUP(Z415,Nuclides!A:E,3,FALSE)</f>
        <v>46</v>
      </c>
      <c r="AE415" s="1">
        <f t="shared" si="27"/>
        <v>10967199360</v>
      </c>
      <c r="AF415" t="s">
        <v>1247</v>
      </c>
    </row>
    <row r="416" spans="2:32" x14ac:dyDescent="0.2">
      <c r="R416" s="1">
        <v>47113</v>
      </c>
      <c r="S416" s="1">
        <v>2.3801799999999999E-8</v>
      </c>
      <c r="T416" t="str">
        <f>VLOOKUP(R416,Nuclides!A:E,5,FALSE)</f>
        <v>Ag113</v>
      </c>
      <c r="U416">
        <f>VLOOKUP(Sheet2!R416,Nuclides!A:E,2,FALSE)</f>
        <v>66</v>
      </c>
      <c r="V416">
        <f>VLOOKUP(R416,Nuclides!A:E,3,FALSE)</f>
        <v>47</v>
      </c>
      <c r="W416" s="1">
        <f t="shared" si="26"/>
        <v>297046464</v>
      </c>
      <c r="X416" t="s">
        <v>1278</v>
      </c>
      <c r="Z416" s="1">
        <v>46118</v>
      </c>
      <c r="AA416" s="1">
        <v>1.05203E-6</v>
      </c>
      <c r="AB416" t="str">
        <f>VLOOKUP(Z416,Nuclides!A:E,5,FALSE)</f>
        <v>Pd118</v>
      </c>
      <c r="AC416">
        <f>VLOOKUP(Sheet2!Z416,Nuclides!A:E,2,FALSE)</f>
        <v>72</v>
      </c>
      <c r="AD416">
        <f>VLOOKUP(Z416,Nuclides!A:E,3,FALSE)</f>
        <v>46</v>
      </c>
      <c r="AE416" s="1">
        <f t="shared" si="27"/>
        <v>13129334400</v>
      </c>
      <c r="AF416" t="s">
        <v>1248</v>
      </c>
    </row>
    <row r="417" spans="18:32" x14ac:dyDescent="0.2">
      <c r="R417" s="1">
        <v>47114</v>
      </c>
      <c r="S417" s="1">
        <v>5.8562200000000003E-8</v>
      </c>
      <c r="T417" t="str">
        <f>VLOOKUP(R417,Nuclides!A:E,5,FALSE)</f>
        <v>Ag114</v>
      </c>
      <c r="U417">
        <f>VLOOKUP(Sheet2!R417,Nuclides!A:E,2,FALSE)</f>
        <v>67</v>
      </c>
      <c r="V417">
        <f>VLOOKUP(R417,Nuclides!A:E,3,FALSE)</f>
        <v>47</v>
      </c>
      <c r="W417" s="1">
        <f t="shared" si="26"/>
        <v>730856256</v>
      </c>
      <c r="X417" t="s">
        <v>1279</v>
      </c>
      <c r="Z417" s="1">
        <v>47096</v>
      </c>
      <c r="AA417" s="1">
        <v>4.92997E-7</v>
      </c>
      <c r="AB417" t="str">
        <f>VLOOKUP(Z417,Nuclides!A:E,5,FALSE)</f>
        <v>Ag96</v>
      </c>
      <c r="AC417">
        <f>VLOOKUP(Sheet2!Z417,Nuclides!A:E,2,FALSE)</f>
        <v>49</v>
      </c>
      <c r="AD417">
        <f>VLOOKUP(Z417,Nuclides!A:E,3,FALSE)</f>
        <v>47</v>
      </c>
      <c r="AE417" s="1">
        <f t="shared" si="27"/>
        <v>6152602560</v>
      </c>
      <c r="AF417" t="s">
        <v>1261</v>
      </c>
    </row>
    <row r="418" spans="18:32" x14ac:dyDescent="0.2">
      <c r="R418" s="1">
        <v>47115</v>
      </c>
      <c r="S418" s="1">
        <v>2.05421E-7</v>
      </c>
      <c r="T418" t="str">
        <f>VLOOKUP(R418,Nuclides!A:E,5,FALSE)</f>
        <v>Ag115</v>
      </c>
      <c r="U418">
        <f>VLOOKUP(Sheet2!R418,Nuclides!A:E,2,FALSE)</f>
        <v>68</v>
      </c>
      <c r="V418">
        <f>VLOOKUP(R418,Nuclides!A:E,3,FALSE)</f>
        <v>47</v>
      </c>
      <c r="W418" s="1">
        <f t="shared" si="26"/>
        <v>2563654080</v>
      </c>
      <c r="X418" t="s">
        <v>1280</v>
      </c>
      <c r="Z418" s="1">
        <v>47097</v>
      </c>
      <c r="AA418" s="1">
        <v>4.5802799999999998E-7</v>
      </c>
      <c r="AB418" t="str">
        <f>VLOOKUP(Z418,Nuclides!A:E,5,FALSE)</f>
        <v>Ag97</v>
      </c>
      <c r="AC418">
        <f>VLOOKUP(Sheet2!Z418,Nuclides!A:E,2,FALSE)</f>
        <v>50</v>
      </c>
      <c r="AD418">
        <f>VLOOKUP(Z418,Nuclides!A:E,3,FALSE)</f>
        <v>47</v>
      </c>
      <c r="AE418" s="1">
        <f t="shared" si="27"/>
        <v>5716189440</v>
      </c>
      <c r="AF418" t="s">
        <v>1262</v>
      </c>
    </row>
    <row r="419" spans="18:32" x14ac:dyDescent="0.2">
      <c r="R419" s="1">
        <v>47116</v>
      </c>
      <c r="S419" s="1">
        <v>3.3845999999999997E-7</v>
      </c>
      <c r="T419" t="str">
        <f>VLOOKUP(R419,Nuclides!A:E,5,FALSE)</f>
        <v>Ag116</v>
      </c>
      <c r="U419">
        <f>VLOOKUP(Sheet2!R419,Nuclides!A:E,2,FALSE)</f>
        <v>69</v>
      </c>
      <c r="V419">
        <f>VLOOKUP(R419,Nuclides!A:E,3,FALSE)</f>
        <v>47</v>
      </c>
      <c r="W419" s="1">
        <f t="shared" si="26"/>
        <v>4223980799.9999995</v>
      </c>
      <c r="X419" t="s">
        <v>1281</v>
      </c>
      <c r="Z419" s="1">
        <v>47098</v>
      </c>
      <c r="AA419" s="1">
        <v>1.8629599999999999E-7</v>
      </c>
      <c r="AB419" t="str">
        <f>VLOOKUP(Z419,Nuclides!A:E,5,FALSE)</f>
        <v>Ag98</v>
      </c>
      <c r="AC419">
        <f>VLOOKUP(Sheet2!Z419,Nuclides!A:E,2,FALSE)</f>
        <v>51</v>
      </c>
      <c r="AD419">
        <f>VLOOKUP(Z419,Nuclides!A:E,3,FALSE)</f>
        <v>47</v>
      </c>
      <c r="AE419" s="1">
        <f t="shared" si="27"/>
        <v>2324974080</v>
      </c>
      <c r="AF419" t="s">
        <v>1263</v>
      </c>
    </row>
    <row r="420" spans="18:32" x14ac:dyDescent="0.2">
      <c r="R420" s="1">
        <v>47117</v>
      </c>
      <c r="S420" s="1">
        <v>7.5090799999999999E-7</v>
      </c>
      <c r="T420" t="str">
        <f>VLOOKUP(R420,Nuclides!A:E,5,FALSE)</f>
        <v>Ag117</v>
      </c>
      <c r="U420">
        <f>VLOOKUP(Sheet2!R420,Nuclides!A:E,2,FALSE)</f>
        <v>70</v>
      </c>
      <c r="V420">
        <f>VLOOKUP(R420,Nuclides!A:E,3,FALSE)</f>
        <v>47</v>
      </c>
      <c r="W420" s="1">
        <f t="shared" si="26"/>
        <v>9371331840</v>
      </c>
      <c r="X420" t="s">
        <v>1282</v>
      </c>
      <c r="Z420" s="1">
        <v>47099</v>
      </c>
      <c r="AA420" s="1">
        <v>1.06585E-7</v>
      </c>
      <c r="AB420" t="str">
        <f>VLOOKUP(Z420,Nuclides!A:E,5,FALSE)</f>
        <v>Ag99</v>
      </c>
      <c r="AC420">
        <f>VLOOKUP(Sheet2!Z420,Nuclides!A:E,2,FALSE)</f>
        <v>52</v>
      </c>
      <c r="AD420">
        <f>VLOOKUP(Z420,Nuclides!A:E,3,FALSE)</f>
        <v>47</v>
      </c>
      <c r="AE420" s="1">
        <f t="shared" si="27"/>
        <v>1330180800</v>
      </c>
      <c r="AF420" t="s">
        <v>1264</v>
      </c>
    </row>
    <row r="421" spans="18:32" x14ac:dyDescent="0.2">
      <c r="R421" s="1">
        <v>47118</v>
      </c>
      <c r="S421" s="1">
        <v>8.1540399999999996E-7</v>
      </c>
      <c r="T421" t="str">
        <f>VLOOKUP(R421,Nuclides!A:E,5,FALSE)</f>
        <v>Ag118</v>
      </c>
      <c r="U421">
        <f>VLOOKUP(Sheet2!R421,Nuclides!A:E,2,FALSE)</f>
        <v>71</v>
      </c>
      <c r="V421">
        <f>VLOOKUP(R421,Nuclides!A:E,3,FALSE)</f>
        <v>47</v>
      </c>
      <c r="W421" s="1">
        <f t="shared" si="26"/>
        <v>10176241920</v>
      </c>
      <c r="X421" t="s">
        <v>1283</v>
      </c>
      <c r="Z421" s="1">
        <v>47100</v>
      </c>
      <c r="AA421" s="1">
        <v>2.9874400000000002E-8</v>
      </c>
      <c r="AB421" t="str">
        <f>VLOOKUP(Z421,Nuclides!A:E,5,FALSE)</f>
        <v>Ag100</v>
      </c>
      <c r="AC421">
        <f>VLOOKUP(Sheet2!Z421,Nuclides!A:E,2,FALSE)</f>
        <v>53</v>
      </c>
      <c r="AD421">
        <f>VLOOKUP(Z421,Nuclides!A:E,3,FALSE)</f>
        <v>47</v>
      </c>
      <c r="AE421" s="1">
        <f t="shared" si="27"/>
        <v>372832512</v>
      </c>
      <c r="AF421" t="s">
        <v>1265</v>
      </c>
    </row>
    <row r="422" spans="18:32" x14ac:dyDescent="0.2">
      <c r="R422" s="1">
        <v>47119</v>
      </c>
      <c r="S422" s="1">
        <v>1.1639800000000001E-6</v>
      </c>
      <c r="T422" t="str">
        <f>VLOOKUP(R422,Nuclides!A:E,5,FALSE)</f>
        <v>Ag119</v>
      </c>
      <c r="U422">
        <f>VLOOKUP(Sheet2!R422,Nuclides!A:E,2,FALSE)</f>
        <v>72</v>
      </c>
      <c r="V422">
        <f>VLOOKUP(R422,Nuclides!A:E,3,FALSE)</f>
        <v>47</v>
      </c>
      <c r="W422" s="1">
        <f t="shared" si="26"/>
        <v>14526470400.000002</v>
      </c>
      <c r="X422" t="s">
        <v>1284</v>
      </c>
      <c r="Z422" s="1">
        <v>47101</v>
      </c>
      <c r="AA422" s="1">
        <v>1.82876E-8</v>
      </c>
      <c r="AB422" t="str">
        <f>VLOOKUP(Z422,Nuclides!A:E,5,FALSE)</f>
        <v>Ag101</v>
      </c>
      <c r="AC422">
        <f>VLOOKUP(Sheet2!Z422,Nuclides!A:E,2,FALSE)</f>
        <v>54</v>
      </c>
      <c r="AD422">
        <f>VLOOKUP(Z422,Nuclides!A:E,3,FALSE)</f>
        <v>47</v>
      </c>
      <c r="AE422" s="1">
        <f t="shared" si="27"/>
        <v>228229248</v>
      </c>
      <c r="AF422" t="s">
        <v>1266</v>
      </c>
    </row>
    <row r="423" spans="18:32" x14ac:dyDescent="0.2">
      <c r="R423" s="1">
        <v>47120</v>
      </c>
      <c r="S423" s="1">
        <v>8.9993099999999996E-7</v>
      </c>
      <c r="T423" t="str">
        <f>VLOOKUP(R423,Nuclides!A:E,5,FALSE)</f>
        <v>Ag120</v>
      </c>
      <c r="U423">
        <f>VLOOKUP(Sheet2!R423,Nuclides!A:E,2,FALSE)</f>
        <v>73</v>
      </c>
      <c r="V423">
        <f>VLOOKUP(R423,Nuclides!A:E,3,FALSE)</f>
        <v>47</v>
      </c>
      <c r="W423" s="1">
        <f t="shared" si="26"/>
        <v>11231138880</v>
      </c>
      <c r="X423" t="s">
        <v>1285</v>
      </c>
      <c r="Z423" s="1">
        <v>47102</v>
      </c>
      <c r="AA423" s="1">
        <v>4.188E-9</v>
      </c>
      <c r="AB423" t="str">
        <f>VLOOKUP(Z423,Nuclides!A:E,5,FALSE)</f>
        <v>Ag102</v>
      </c>
      <c r="AC423">
        <f>VLOOKUP(Sheet2!Z423,Nuclides!A:E,2,FALSE)</f>
        <v>55</v>
      </c>
      <c r="AD423">
        <f>VLOOKUP(Z423,Nuclides!A:E,3,FALSE)</f>
        <v>47</v>
      </c>
      <c r="AE423" s="1">
        <f t="shared" si="27"/>
        <v>52266240</v>
      </c>
      <c r="AF423" t="s">
        <v>1267</v>
      </c>
    </row>
    <row r="424" spans="18:32" x14ac:dyDescent="0.2">
      <c r="R424" s="1">
        <v>47121</v>
      </c>
      <c r="S424" s="1">
        <v>8.7536200000000003E-7</v>
      </c>
      <c r="T424" t="str">
        <f>VLOOKUP(R424,Nuclides!A:E,5,FALSE)</f>
        <v>Ag121</v>
      </c>
      <c r="U424">
        <f>VLOOKUP(Sheet2!R424,Nuclides!A:E,2,FALSE)</f>
        <v>74</v>
      </c>
      <c r="V424">
        <f>VLOOKUP(R424,Nuclides!A:E,3,FALSE)</f>
        <v>47</v>
      </c>
      <c r="W424" s="1">
        <f t="shared" si="26"/>
        <v>10924517760</v>
      </c>
      <c r="X424" t="s">
        <v>1286</v>
      </c>
      <c r="Z424" s="1">
        <v>47103</v>
      </c>
      <c r="AA424" s="1">
        <v>1.8845999999999999E-9</v>
      </c>
      <c r="AB424" t="str">
        <f>VLOOKUP(Z424,Nuclides!A:E,5,FALSE)</f>
        <v>Ag103</v>
      </c>
      <c r="AC424">
        <f>VLOOKUP(Sheet2!Z424,Nuclides!A:E,2,FALSE)</f>
        <v>56</v>
      </c>
      <c r="AD424">
        <f>VLOOKUP(Z424,Nuclides!A:E,3,FALSE)</f>
        <v>47</v>
      </c>
      <c r="AE424" s="1">
        <f t="shared" si="27"/>
        <v>23519808</v>
      </c>
      <c r="AF424" t="s">
        <v>1268</v>
      </c>
    </row>
    <row r="425" spans="18:32" x14ac:dyDescent="0.2">
      <c r="R425" s="1">
        <v>47122</v>
      </c>
      <c r="S425" s="1">
        <v>4.9013600000000002E-7</v>
      </c>
      <c r="T425" t="str">
        <f>VLOOKUP(R425,Nuclides!A:E,5,FALSE)</f>
        <v>Ag122</v>
      </c>
      <c r="U425">
        <f>VLOOKUP(Sheet2!R425,Nuclides!A:E,2,FALSE)</f>
        <v>75</v>
      </c>
      <c r="V425">
        <f>VLOOKUP(R425,Nuclides!A:E,3,FALSE)</f>
        <v>47</v>
      </c>
      <c r="W425" s="1">
        <f t="shared" si="26"/>
        <v>6116897280</v>
      </c>
      <c r="X425" t="s">
        <v>1287</v>
      </c>
      <c r="Z425" s="1">
        <v>47104</v>
      </c>
      <c r="AA425" s="1">
        <v>4.1879999999999999E-10</v>
      </c>
      <c r="AB425" t="str">
        <f>VLOOKUP(Z425,Nuclides!A:E,5,FALSE)</f>
        <v>Ag104</v>
      </c>
      <c r="AC425">
        <f>VLOOKUP(Sheet2!Z425,Nuclides!A:E,2,FALSE)</f>
        <v>57</v>
      </c>
      <c r="AD425">
        <f>VLOOKUP(Z425,Nuclides!A:E,3,FALSE)</f>
        <v>47</v>
      </c>
      <c r="AE425" s="1">
        <f t="shared" si="27"/>
        <v>5226624</v>
      </c>
      <c r="AF425" t="s">
        <v>1269</v>
      </c>
    </row>
    <row r="426" spans="18:32" x14ac:dyDescent="0.2">
      <c r="R426" s="1">
        <v>47123</v>
      </c>
      <c r="S426" s="1">
        <v>3.1395999999999999E-7</v>
      </c>
      <c r="T426" t="str">
        <f>VLOOKUP(R426,Nuclides!A:E,5,FALSE)</f>
        <v>Ag123</v>
      </c>
      <c r="U426">
        <f>VLOOKUP(Sheet2!R426,Nuclides!A:E,2,FALSE)</f>
        <v>76</v>
      </c>
      <c r="V426">
        <f>VLOOKUP(R426,Nuclides!A:E,3,FALSE)</f>
        <v>47</v>
      </c>
      <c r="W426" s="1">
        <f t="shared" si="26"/>
        <v>3918220800</v>
      </c>
      <c r="X426" t="s">
        <v>1288</v>
      </c>
      <c r="Z426" s="1">
        <v>47105</v>
      </c>
      <c r="AA426" s="1">
        <v>6.9799999999999994E-11</v>
      </c>
      <c r="AB426" t="str">
        <f>VLOOKUP(Z426,Nuclides!A:E,5,FALSE)</f>
        <v>Ag105</v>
      </c>
      <c r="AC426">
        <f>VLOOKUP(Sheet2!Z426,Nuclides!A:E,2,FALSE)</f>
        <v>58</v>
      </c>
      <c r="AD426">
        <f>VLOOKUP(Z426,Nuclides!A:E,3,FALSE)</f>
        <v>47</v>
      </c>
      <c r="AE426" s="1">
        <f t="shared" si="27"/>
        <v>871103.99999999988</v>
      </c>
      <c r="AF426" t="s">
        <v>1270</v>
      </c>
    </row>
    <row r="427" spans="18:32" x14ac:dyDescent="0.2">
      <c r="R427" s="1">
        <v>48097</v>
      </c>
      <c r="S427" s="1">
        <v>1.47627E-7</v>
      </c>
      <c r="T427" t="str">
        <f>VLOOKUP(R427,Nuclides!A:E,5,FALSE)</f>
        <v>Cd97</v>
      </c>
      <c r="U427">
        <f>VLOOKUP(Sheet2!R427,Nuclides!A:E,2,FALSE)</f>
        <v>49</v>
      </c>
      <c r="V427">
        <f>VLOOKUP(R427,Nuclides!A:E,3,FALSE)</f>
        <v>48</v>
      </c>
      <c r="W427" s="1">
        <f t="shared" si="26"/>
        <v>1842384960</v>
      </c>
      <c r="X427" t="s">
        <v>1299</v>
      </c>
      <c r="Z427" s="1">
        <v>47110</v>
      </c>
      <c r="AA427" s="1">
        <v>6.9799999999999994E-11</v>
      </c>
      <c r="AB427" t="str">
        <f>VLOOKUP(Z427,Nuclides!A:E,5,FALSE)</f>
        <v>Ag110</v>
      </c>
      <c r="AC427">
        <f>VLOOKUP(Sheet2!Z427,Nuclides!A:E,2,FALSE)</f>
        <v>63</v>
      </c>
      <c r="AD427">
        <f>VLOOKUP(Z427,Nuclides!A:E,3,FALSE)</f>
        <v>47</v>
      </c>
      <c r="AE427" s="1">
        <f t="shared" si="27"/>
        <v>871103.99999999988</v>
      </c>
      <c r="AF427" t="s">
        <v>1275</v>
      </c>
    </row>
    <row r="428" spans="18:32" x14ac:dyDescent="0.2">
      <c r="R428" s="1">
        <v>48098</v>
      </c>
      <c r="S428" s="1">
        <v>8.3550599999999996E-8</v>
      </c>
      <c r="T428" t="str">
        <f>VLOOKUP(R428,Nuclides!A:E,5,FALSE)</f>
        <v>Cd98</v>
      </c>
      <c r="U428">
        <f>VLOOKUP(Sheet2!R428,Nuclides!A:E,2,FALSE)</f>
        <v>50</v>
      </c>
      <c r="V428">
        <f>VLOOKUP(R428,Nuclides!A:E,3,FALSE)</f>
        <v>48</v>
      </c>
      <c r="W428" s="1">
        <f t="shared" si="26"/>
        <v>1042711488</v>
      </c>
      <c r="X428" t="s">
        <v>1300</v>
      </c>
      <c r="Z428" s="1">
        <v>47111</v>
      </c>
      <c r="AA428" s="1">
        <v>8.3759999999999998E-10</v>
      </c>
      <c r="AB428" t="str">
        <f>VLOOKUP(Z428,Nuclides!A:E,5,FALSE)</f>
        <v>Ag111</v>
      </c>
      <c r="AC428">
        <f>VLOOKUP(Sheet2!Z428,Nuclides!A:E,2,FALSE)</f>
        <v>64</v>
      </c>
      <c r="AD428">
        <f>VLOOKUP(Z428,Nuclides!A:E,3,FALSE)</f>
        <v>47</v>
      </c>
      <c r="AE428" s="1">
        <f t="shared" si="27"/>
        <v>10453248</v>
      </c>
      <c r="AF428" t="s">
        <v>1276</v>
      </c>
    </row>
    <row r="429" spans="18:32" x14ac:dyDescent="0.2">
      <c r="R429" s="1">
        <v>48099</v>
      </c>
      <c r="S429" s="1">
        <v>2.4220600000000001E-8</v>
      </c>
      <c r="T429" t="str">
        <f>VLOOKUP(R429,Nuclides!A:E,5,FALSE)</f>
        <v>Cd99</v>
      </c>
      <c r="U429">
        <f>VLOOKUP(Sheet2!R429,Nuclides!A:E,2,FALSE)</f>
        <v>51</v>
      </c>
      <c r="V429">
        <f>VLOOKUP(R429,Nuclides!A:E,3,FALSE)</f>
        <v>48</v>
      </c>
      <c r="W429" s="1">
        <f t="shared" si="26"/>
        <v>302273088</v>
      </c>
      <c r="X429" t="s">
        <v>1301</v>
      </c>
      <c r="Z429" s="1">
        <v>47112</v>
      </c>
      <c r="AA429" s="1">
        <v>4.7464000000000001E-9</v>
      </c>
      <c r="AB429" t="str">
        <f>VLOOKUP(Z429,Nuclides!A:E,5,FALSE)</f>
        <v>Ag112</v>
      </c>
      <c r="AC429">
        <f>VLOOKUP(Sheet2!Z429,Nuclides!A:E,2,FALSE)</f>
        <v>65</v>
      </c>
      <c r="AD429">
        <f>VLOOKUP(Z429,Nuclides!A:E,3,FALSE)</f>
        <v>47</v>
      </c>
      <c r="AE429" s="1">
        <f t="shared" si="27"/>
        <v>59235072</v>
      </c>
      <c r="AF429" t="s">
        <v>1277</v>
      </c>
    </row>
    <row r="430" spans="18:32" x14ac:dyDescent="0.2">
      <c r="R430" s="1">
        <v>48100</v>
      </c>
      <c r="S430" s="1">
        <v>1.10982E-8</v>
      </c>
      <c r="T430" t="str">
        <f>VLOOKUP(R430,Nuclides!A:E,5,FALSE)</f>
        <v>Cd100</v>
      </c>
      <c r="U430">
        <f>VLOOKUP(Sheet2!R430,Nuclides!A:E,2,FALSE)</f>
        <v>52</v>
      </c>
      <c r="V430">
        <f>VLOOKUP(R430,Nuclides!A:E,3,FALSE)</f>
        <v>48</v>
      </c>
      <c r="W430" s="1">
        <f t="shared" si="26"/>
        <v>138505536</v>
      </c>
      <c r="X430" t="s">
        <v>1302</v>
      </c>
      <c r="Z430" s="1">
        <v>47113</v>
      </c>
      <c r="AA430" s="1">
        <v>3.07818E-8</v>
      </c>
      <c r="AB430" t="str">
        <f>VLOOKUP(Z430,Nuclides!A:E,5,FALSE)</f>
        <v>Ag113</v>
      </c>
      <c r="AC430">
        <f>VLOOKUP(Sheet2!Z430,Nuclides!A:E,2,FALSE)</f>
        <v>66</v>
      </c>
      <c r="AD430">
        <f>VLOOKUP(Z430,Nuclides!A:E,3,FALSE)</f>
        <v>47</v>
      </c>
      <c r="AE430" s="1">
        <f t="shared" si="27"/>
        <v>384156864</v>
      </c>
      <c r="AF430" t="s">
        <v>1278</v>
      </c>
    </row>
    <row r="431" spans="18:32" x14ac:dyDescent="0.2">
      <c r="R431" s="1">
        <v>48101</v>
      </c>
      <c r="S431" s="1">
        <v>2.8618000000000002E-9</v>
      </c>
      <c r="T431" t="str">
        <f>VLOOKUP(R431,Nuclides!A:E,5,FALSE)</f>
        <v>Cd101</v>
      </c>
      <c r="U431">
        <f>VLOOKUP(Sheet2!R431,Nuclides!A:E,2,FALSE)</f>
        <v>53</v>
      </c>
      <c r="V431">
        <f>VLOOKUP(R431,Nuclides!A:E,3,FALSE)</f>
        <v>48</v>
      </c>
      <c r="W431" s="1">
        <f t="shared" si="26"/>
        <v>35715264</v>
      </c>
      <c r="X431" t="s">
        <v>1303</v>
      </c>
      <c r="Z431" s="1">
        <v>47114</v>
      </c>
      <c r="AA431" s="1">
        <v>7.8385400000000005E-8</v>
      </c>
      <c r="AB431" t="str">
        <f>VLOOKUP(Z431,Nuclides!A:E,5,FALSE)</f>
        <v>Ag114</v>
      </c>
      <c r="AC431">
        <f>VLOOKUP(Sheet2!Z431,Nuclides!A:E,2,FALSE)</f>
        <v>67</v>
      </c>
      <c r="AD431">
        <f>VLOOKUP(Z431,Nuclides!A:E,3,FALSE)</f>
        <v>47</v>
      </c>
      <c r="AE431" s="1">
        <f t="shared" si="27"/>
        <v>978249792.00000012</v>
      </c>
      <c r="AF431" t="s">
        <v>1279</v>
      </c>
    </row>
    <row r="432" spans="18:32" x14ac:dyDescent="0.2">
      <c r="R432" s="1">
        <v>48102</v>
      </c>
      <c r="S432" s="1">
        <v>8.3759999999999998E-10</v>
      </c>
      <c r="T432" t="str">
        <f>VLOOKUP(R432,Nuclides!A:E,5,FALSE)</f>
        <v>Cd102</v>
      </c>
      <c r="U432">
        <f>VLOOKUP(Sheet2!R432,Nuclides!A:E,2,FALSE)</f>
        <v>54</v>
      </c>
      <c r="V432">
        <f>VLOOKUP(R432,Nuclides!A:E,3,FALSE)</f>
        <v>48</v>
      </c>
      <c r="W432" s="1">
        <f t="shared" si="26"/>
        <v>10453248</v>
      </c>
      <c r="X432" t="s">
        <v>1304</v>
      </c>
      <c r="Z432" s="1">
        <v>47115</v>
      </c>
      <c r="AA432" s="1">
        <v>2.8590100000000001E-7</v>
      </c>
      <c r="AB432" t="str">
        <f>VLOOKUP(Z432,Nuclides!A:E,5,FALSE)</f>
        <v>Ag115</v>
      </c>
      <c r="AC432">
        <f>VLOOKUP(Sheet2!Z432,Nuclides!A:E,2,FALSE)</f>
        <v>68</v>
      </c>
      <c r="AD432">
        <f>VLOOKUP(Z432,Nuclides!A:E,3,FALSE)</f>
        <v>47</v>
      </c>
      <c r="AE432" s="1">
        <f t="shared" si="27"/>
        <v>3568044480</v>
      </c>
      <c r="AF432" t="s">
        <v>1280</v>
      </c>
    </row>
    <row r="433" spans="18:32" x14ac:dyDescent="0.2">
      <c r="R433" s="1">
        <v>48103</v>
      </c>
      <c r="S433" s="1">
        <v>2.094E-10</v>
      </c>
      <c r="T433" t="str">
        <f>VLOOKUP(R433,Nuclides!A:E,5,FALSE)</f>
        <v>Cd103</v>
      </c>
      <c r="U433">
        <f>VLOOKUP(Sheet2!R433,Nuclides!A:E,2,FALSE)</f>
        <v>55</v>
      </c>
      <c r="V433">
        <f>VLOOKUP(R433,Nuclides!A:E,3,FALSE)</f>
        <v>48</v>
      </c>
      <c r="W433" s="1">
        <f t="shared" si="26"/>
        <v>2613312</v>
      </c>
      <c r="X433" t="s">
        <v>1305</v>
      </c>
      <c r="Z433" s="1">
        <v>47116</v>
      </c>
      <c r="AA433" s="1">
        <v>4.50908E-7</v>
      </c>
      <c r="AB433" t="str">
        <f>VLOOKUP(Z433,Nuclides!A:E,5,FALSE)</f>
        <v>Ag116</v>
      </c>
      <c r="AC433">
        <f>VLOOKUP(Sheet2!Z433,Nuclides!A:E,2,FALSE)</f>
        <v>69</v>
      </c>
      <c r="AD433">
        <f>VLOOKUP(Z433,Nuclides!A:E,3,FALSE)</f>
        <v>47</v>
      </c>
      <c r="AE433" s="1">
        <f t="shared" si="27"/>
        <v>5627331840</v>
      </c>
      <c r="AF433" t="s">
        <v>1281</v>
      </c>
    </row>
    <row r="434" spans="18:32" x14ac:dyDescent="0.2">
      <c r="R434" s="1">
        <v>48104</v>
      </c>
      <c r="S434" s="1">
        <v>6.9799999999999994E-11</v>
      </c>
      <c r="T434" t="str">
        <f>VLOOKUP(R434,Nuclides!A:E,5,FALSE)</f>
        <v>Cd104</v>
      </c>
      <c r="U434">
        <f>VLOOKUP(Sheet2!R434,Nuclides!A:E,2,FALSE)</f>
        <v>56</v>
      </c>
      <c r="V434">
        <f>VLOOKUP(R434,Nuclides!A:E,3,FALSE)</f>
        <v>48</v>
      </c>
      <c r="W434" s="1">
        <f t="shared" si="26"/>
        <v>871103.99999999988</v>
      </c>
      <c r="X434" t="s">
        <v>1306</v>
      </c>
      <c r="Z434" s="1">
        <v>47117</v>
      </c>
      <c r="AA434" s="1">
        <v>9.8180700000000005E-7</v>
      </c>
      <c r="AB434" t="str">
        <f>VLOOKUP(Z434,Nuclides!A:E,5,FALSE)</f>
        <v>Ag117</v>
      </c>
      <c r="AC434">
        <f>VLOOKUP(Sheet2!Z434,Nuclides!A:E,2,FALSE)</f>
        <v>70</v>
      </c>
      <c r="AD434">
        <f>VLOOKUP(Z434,Nuclides!A:E,3,FALSE)</f>
        <v>47</v>
      </c>
      <c r="AE434" s="1">
        <f t="shared" si="27"/>
        <v>12252951360</v>
      </c>
      <c r="AF434" t="s">
        <v>1282</v>
      </c>
    </row>
    <row r="435" spans="18:32" x14ac:dyDescent="0.2">
      <c r="R435" s="1">
        <v>48112</v>
      </c>
      <c r="S435" s="1">
        <v>6.9799999999999994E-11</v>
      </c>
      <c r="T435" t="str">
        <f>VLOOKUP(R435,Nuclides!A:E,5,FALSE)</f>
        <v>Cd112</v>
      </c>
      <c r="U435">
        <f>VLOOKUP(Sheet2!R435,Nuclides!A:E,2,FALSE)</f>
        <v>64</v>
      </c>
      <c r="V435">
        <f>VLOOKUP(R435,Nuclides!A:E,3,FALSE)</f>
        <v>48</v>
      </c>
      <c r="W435" s="1">
        <f t="shared" si="26"/>
        <v>871103.99999999988</v>
      </c>
      <c r="X435" t="s">
        <v>1314</v>
      </c>
      <c r="Z435" s="1">
        <v>47118</v>
      </c>
      <c r="AA435" s="1">
        <v>9.9367300000000001E-7</v>
      </c>
      <c r="AB435" t="str">
        <f>VLOOKUP(Z435,Nuclides!A:E,5,FALSE)</f>
        <v>Ag118</v>
      </c>
      <c r="AC435">
        <f>VLOOKUP(Sheet2!Z435,Nuclides!A:E,2,FALSE)</f>
        <v>71</v>
      </c>
      <c r="AD435">
        <f>VLOOKUP(Z435,Nuclides!A:E,3,FALSE)</f>
        <v>47</v>
      </c>
      <c r="AE435" s="1">
        <f t="shared" si="27"/>
        <v>12401039040</v>
      </c>
      <c r="AF435" t="s">
        <v>1283</v>
      </c>
    </row>
    <row r="436" spans="18:32" x14ac:dyDescent="0.2">
      <c r="R436" s="1">
        <v>48113</v>
      </c>
      <c r="S436" s="1">
        <v>1.3959999999999999E-10</v>
      </c>
      <c r="T436" t="str">
        <f>VLOOKUP(R436,Nuclides!A:E,5,FALSE)</f>
        <v>Cd113</v>
      </c>
      <c r="U436">
        <f>VLOOKUP(Sheet2!R436,Nuclides!A:E,2,FALSE)</f>
        <v>65</v>
      </c>
      <c r="V436">
        <f>VLOOKUP(R436,Nuclides!A:E,3,FALSE)</f>
        <v>48</v>
      </c>
      <c r="W436" s="1">
        <f t="shared" si="26"/>
        <v>1742207.9999999998</v>
      </c>
      <c r="X436" t="s">
        <v>1315</v>
      </c>
      <c r="Z436" s="1">
        <v>47119</v>
      </c>
      <c r="AA436" s="1">
        <v>1.52045E-6</v>
      </c>
      <c r="AB436" t="str">
        <f>VLOOKUP(Z436,Nuclides!A:E,5,FALSE)</f>
        <v>Ag119</v>
      </c>
      <c r="AC436">
        <f>VLOOKUP(Sheet2!Z436,Nuclides!A:E,2,FALSE)</f>
        <v>72</v>
      </c>
      <c r="AD436">
        <f>VLOOKUP(Z436,Nuclides!A:E,3,FALSE)</f>
        <v>47</v>
      </c>
      <c r="AE436" s="1">
        <f t="shared" si="27"/>
        <v>18975216000</v>
      </c>
      <c r="AF436" t="s">
        <v>1284</v>
      </c>
    </row>
    <row r="437" spans="18:32" x14ac:dyDescent="0.2">
      <c r="R437" s="1">
        <v>48114</v>
      </c>
      <c r="S437" s="1">
        <v>2.3732E-9</v>
      </c>
      <c r="T437" t="str">
        <f>VLOOKUP(R437,Nuclides!A:E,5,FALSE)</f>
        <v>Cd114</v>
      </c>
      <c r="U437">
        <f>VLOOKUP(Sheet2!R437,Nuclides!A:E,2,FALSE)</f>
        <v>66</v>
      </c>
      <c r="V437">
        <f>VLOOKUP(R437,Nuclides!A:E,3,FALSE)</f>
        <v>48</v>
      </c>
      <c r="W437" s="1">
        <f t="shared" si="26"/>
        <v>29617536</v>
      </c>
      <c r="X437" t="s">
        <v>1316</v>
      </c>
      <c r="Z437" s="1">
        <v>47120</v>
      </c>
      <c r="AA437" s="1">
        <v>1.26903E-6</v>
      </c>
      <c r="AB437" t="str">
        <f>VLOOKUP(Z437,Nuclides!A:E,5,FALSE)</f>
        <v>Ag120</v>
      </c>
      <c r="AC437">
        <f>VLOOKUP(Sheet2!Z437,Nuclides!A:E,2,FALSE)</f>
        <v>73</v>
      </c>
      <c r="AD437">
        <f>VLOOKUP(Z437,Nuclides!A:E,3,FALSE)</f>
        <v>47</v>
      </c>
      <c r="AE437" s="1">
        <f t="shared" si="27"/>
        <v>15837494400</v>
      </c>
      <c r="AF437" t="s">
        <v>1285</v>
      </c>
    </row>
    <row r="438" spans="18:32" x14ac:dyDescent="0.2">
      <c r="R438" s="1">
        <v>48115</v>
      </c>
      <c r="S438" s="1">
        <v>8.3061999999999993E-9</v>
      </c>
      <c r="T438" t="str">
        <f>VLOOKUP(R438,Nuclides!A:E,5,FALSE)</f>
        <v>Cd115</v>
      </c>
      <c r="U438">
        <f>VLOOKUP(Sheet2!R438,Nuclides!A:E,2,FALSE)</f>
        <v>67</v>
      </c>
      <c r="V438">
        <f>VLOOKUP(R438,Nuclides!A:E,3,FALSE)</f>
        <v>48</v>
      </c>
      <c r="W438" s="1">
        <f t="shared" si="26"/>
        <v>103661375.99999999</v>
      </c>
      <c r="X438" t="s">
        <v>1317</v>
      </c>
      <c r="Z438" s="1">
        <v>47121</v>
      </c>
      <c r="AA438" s="1">
        <v>1.5272899999999999E-6</v>
      </c>
      <c r="AB438" t="str">
        <f>VLOOKUP(Z438,Nuclides!A:E,5,FALSE)</f>
        <v>Ag121</v>
      </c>
      <c r="AC438">
        <f>VLOOKUP(Sheet2!Z438,Nuclides!A:E,2,FALSE)</f>
        <v>74</v>
      </c>
      <c r="AD438">
        <f>VLOOKUP(Z438,Nuclides!A:E,3,FALSE)</f>
        <v>47</v>
      </c>
      <c r="AE438" s="1">
        <f t="shared" si="27"/>
        <v>19060579200</v>
      </c>
      <c r="AF438" t="s">
        <v>1286</v>
      </c>
    </row>
    <row r="439" spans="18:32" x14ac:dyDescent="0.2">
      <c r="R439" s="1">
        <v>48116</v>
      </c>
      <c r="S439" s="1">
        <v>4.6975399999999997E-8</v>
      </c>
      <c r="T439" t="str">
        <f>VLOOKUP(R439,Nuclides!A:E,5,FALSE)</f>
        <v>Cd116</v>
      </c>
      <c r="U439">
        <f>VLOOKUP(Sheet2!R439,Nuclides!A:E,2,FALSE)</f>
        <v>68</v>
      </c>
      <c r="V439">
        <f>VLOOKUP(R439,Nuclides!A:E,3,FALSE)</f>
        <v>48</v>
      </c>
      <c r="W439" s="1">
        <f t="shared" si="26"/>
        <v>586252992</v>
      </c>
      <c r="X439" t="s">
        <v>1318</v>
      </c>
      <c r="Z439" s="1">
        <v>47122</v>
      </c>
      <c r="AA439" s="1">
        <v>7.83435E-7</v>
      </c>
      <c r="AB439" t="str">
        <f>VLOOKUP(Z439,Nuclides!A:E,5,FALSE)</f>
        <v>Ag122</v>
      </c>
      <c r="AC439">
        <f>VLOOKUP(Sheet2!Z439,Nuclides!A:E,2,FALSE)</f>
        <v>75</v>
      </c>
      <c r="AD439">
        <f>VLOOKUP(Z439,Nuclides!A:E,3,FALSE)</f>
        <v>47</v>
      </c>
      <c r="AE439" s="1">
        <f t="shared" si="27"/>
        <v>9777268800</v>
      </c>
      <c r="AF439" t="s">
        <v>1287</v>
      </c>
    </row>
    <row r="440" spans="18:32" x14ac:dyDescent="0.2">
      <c r="R440" s="1">
        <v>48117</v>
      </c>
      <c r="S440" s="1">
        <v>1.03513E-7</v>
      </c>
      <c r="T440" t="str">
        <f>VLOOKUP(R440,Nuclides!A:E,5,FALSE)</f>
        <v>Cd117</v>
      </c>
      <c r="U440">
        <f>VLOOKUP(Sheet2!R440,Nuclides!A:E,2,FALSE)</f>
        <v>69</v>
      </c>
      <c r="V440">
        <f>VLOOKUP(R440,Nuclides!A:E,3,FALSE)</f>
        <v>48</v>
      </c>
      <c r="W440" s="1">
        <f t="shared" si="26"/>
        <v>1291842240</v>
      </c>
      <c r="X440" t="s">
        <v>1319</v>
      </c>
      <c r="Z440" s="1">
        <v>47123</v>
      </c>
      <c r="AA440" s="1">
        <v>6.77758E-7</v>
      </c>
      <c r="AB440" t="str">
        <f>VLOOKUP(Z440,Nuclides!A:E,5,FALSE)</f>
        <v>Ag123</v>
      </c>
      <c r="AC440">
        <f>VLOOKUP(Sheet2!Z440,Nuclides!A:E,2,FALSE)</f>
        <v>76</v>
      </c>
      <c r="AD440">
        <f>VLOOKUP(Z440,Nuclides!A:E,3,FALSE)</f>
        <v>47</v>
      </c>
      <c r="AE440" s="1">
        <f t="shared" si="27"/>
        <v>8458419840</v>
      </c>
      <c r="AF440" t="s">
        <v>1288</v>
      </c>
    </row>
    <row r="441" spans="18:32" x14ac:dyDescent="0.2">
      <c r="R441" s="1">
        <v>48118</v>
      </c>
      <c r="S441" s="1">
        <v>3.1500699999999998E-7</v>
      </c>
      <c r="T441" t="str">
        <f>VLOOKUP(R441,Nuclides!A:E,5,FALSE)</f>
        <v>Cd118</v>
      </c>
      <c r="U441">
        <f>VLOOKUP(Sheet2!R441,Nuclides!A:E,2,FALSE)</f>
        <v>70</v>
      </c>
      <c r="V441">
        <f>VLOOKUP(R441,Nuclides!A:E,3,FALSE)</f>
        <v>48</v>
      </c>
      <c r="W441" s="1">
        <f t="shared" si="26"/>
        <v>3931287360</v>
      </c>
      <c r="X441" t="s">
        <v>1320</v>
      </c>
      <c r="Z441" s="1">
        <v>48097</v>
      </c>
      <c r="AA441" s="1">
        <v>2.81503E-7</v>
      </c>
      <c r="AB441" t="str">
        <f>VLOOKUP(Z441,Nuclides!A:E,5,FALSE)</f>
        <v>Cd97</v>
      </c>
      <c r="AC441">
        <f>VLOOKUP(Sheet2!Z441,Nuclides!A:E,2,FALSE)</f>
        <v>49</v>
      </c>
      <c r="AD441">
        <f>VLOOKUP(Z441,Nuclides!A:E,3,FALSE)</f>
        <v>48</v>
      </c>
      <c r="AE441" s="1">
        <f t="shared" si="27"/>
        <v>3513157440</v>
      </c>
      <c r="AF441" t="s">
        <v>1299</v>
      </c>
    </row>
    <row r="442" spans="18:32" x14ac:dyDescent="0.2">
      <c r="R442" s="1">
        <v>48119</v>
      </c>
      <c r="S442" s="1">
        <v>4.4804599999999999E-7</v>
      </c>
      <c r="T442" t="str">
        <f>VLOOKUP(R442,Nuclides!A:E,5,FALSE)</f>
        <v>Cd119</v>
      </c>
      <c r="U442">
        <f>VLOOKUP(Sheet2!R442,Nuclides!A:E,2,FALSE)</f>
        <v>71</v>
      </c>
      <c r="V442">
        <f>VLOOKUP(R442,Nuclides!A:E,3,FALSE)</f>
        <v>48</v>
      </c>
      <c r="W442" s="1">
        <f t="shared" si="26"/>
        <v>5591614080</v>
      </c>
      <c r="X442" t="s">
        <v>1321</v>
      </c>
      <c r="Z442" s="1">
        <v>48098</v>
      </c>
      <c r="AA442" s="1">
        <v>1.9460200000000001E-7</v>
      </c>
      <c r="AB442" t="str">
        <f>VLOOKUP(Z442,Nuclides!A:E,5,FALSE)</f>
        <v>Cd98</v>
      </c>
      <c r="AC442">
        <f>VLOOKUP(Sheet2!Z442,Nuclides!A:E,2,FALSE)</f>
        <v>50</v>
      </c>
      <c r="AD442">
        <f>VLOOKUP(Z442,Nuclides!A:E,3,FALSE)</f>
        <v>48</v>
      </c>
      <c r="AE442" s="1">
        <f t="shared" si="27"/>
        <v>2428632960</v>
      </c>
      <c r="AF442" t="s">
        <v>1300</v>
      </c>
    </row>
    <row r="443" spans="18:32" x14ac:dyDescent="0.2">
      <c r="R443" s="1">
        <v>48120</v>
      </c>
      <c r="S443" s="1">
        <v>9.0083900000000004E-7</v>
      </c>
      <c r="T443" t="str">
        <f>VLOOKUP(R443,Nuclides!A:E,5,FALSE)</f>
        <v>Cd120</v>
      </c>
      <c r="U443">
        <f>VLOOKUP(Sheet2!R443,Nuclides!A:E,2,FALSE)</f>
        <v>72</v>
      </c>
      <c r="V443">
        <f>VLOOKUP(R443,Nuclides!A:E,3,FALSE)</f>
        <v>48</v>
      </c>
      <c r="W443" s="1">
        <f t="shared" si="26"/>
        <v>11242470720</v>
      </c>
      <c r="X443" t="s">
        <v>1322</v>
      </c>
      <c r="Z443" s="1">
        <v>48099</v>
      </c>
      <c r="AA443" s="1">
        <v>5.8911200000000001E-8</v>
      </c>
      <c r="AB443" t="str">
        <f>VLOOKUP(Z443,Nuclides!A:E,5,FALSE)</f>
        <v>Cd99</v>
      </c>
      <c r="AC443">
        <f>VLOOKUP(Sheet2!Z443,Nuclides!A:E,2,FALSE)</f>
        <v>51</v>
      </c>
      <c r="AD443">
        <f>VLOOKUP(Z443,Nuclides!A:E,3,FALSE)</f>
        <v>48</v>
      </c>
      <c r="AE443" s="1">
        <f t="shared" si="27"/>
        <v>735211776</v>
      </c>
      <c r="AF443" t="s">
        <v>1301</v>
      </c>
    </row>
    <row r="444" spans="18:32" x14ac:dyDescent="0.2">
      <c r="R444" s="1">
        <v>48121</v>
      </c>
      <c r="S444" s="1">
        <v>9.6463599999999998E-7</v>
      </c>
      <c r="T444" t="str">
        <f>VLOOKUP(R444,Nuclides!A:E,5,FALSE)</f>
        <v>Cd121</v>
      </c>
      <c r="U444">
        <f>VLOOKUP(Sheet2!R444,Nuclides!A:E,2,FALSE)</f>
        <v>73</v>
      </c>
      <c r="V444">
        <f>VLOOKUP(R444,Nuclides!A:E,3,FALSE)</f>
        <v>48</v>
      </c>
      <c r="W444" s="1">
        <f t="shared" si="26"/>
        <v>12038657280</v>
      </c>
      <c r="X444" t="s">
        <v>1323</v>
      </c>
      <c r="Z444" s="1">
        <v>48100</v>
      </c>
      <c r="AA444" s="1">
        <v>3.2107999999999999E-8</v>
      </c>
      <c r="AB444" t="str">
        <f>VLOOKUP(Z444,Nuclides!A:E,5,FALSE)</f>
        <v>Cd100</v>
      </c>
      <c r="AC444">
        <f>VLOOKUP(Sheet2!Z444,Nuclides!A:E,2,FALSE)</f>
        <v>52</v>
      </c>
      <c r="AD444">
        <f>VLOOKUP(Z444,Nuclides!A:E,3,FALSE)</f>
        <v>48</v>
      </c>
      <c r="AE444" s="1">
        <f t="shared" si="27"/>
        <v>400707840</v>
      </c>
      <c r="AF444" t="s">
        <v>1302</v>
      </c>
    </row>
    <row r="445" spans="18:32" x14ac:dyDescent="0.2">
      <c r="R445" s="1">
        <v>48122</v>
      </c>
      <c r="S445" s="1">
        <v>1.2531900000000001E-6</v>
      </c>
      <c r="T445" t="str">
        <f>VLOOKUP(R445,Nuclides!A:E,5,FALSE)</f>
        <v>Cd122</v>
      </c>
      <c r="U445">
        <f>VLOOKUP(Sheet2!R445,Nuclides!A:E,2,FALSE)</f>
        <v>74</v>
      </c>
      <c r="V445">
        <f>VLOOKUP(R445,Nuclides!A:E,3,FALSE)</f>
        <v>48</v>
      </c>
      <c r="W445" s="1">
        <f t="shared" si="26"/>
        <v>15639811200</v>
      </c>
      <c r="X445" t="s">
        <v>1324</v>
      </c>
      <c r="Z445" s="1">
        <v>48101</v>
      </c>
      <c r="AA445" s="1">
        <v>6.9800000000000003E-9</v>
      </c>
      <c r="AB445" t="str">
        <f>VLOOKUP(Z445,Nuclides!A:E,5,FALSE)</f>
        <v>Cd101</v>
      </c>
      <c r="AC445">
        <f>VLOOKUP(Sheet2!Z445,Nuclides!A:E,2,FALSE)</f>
        <v>53</v>
      </c>
      <c r="AD445">
        <f>VLOOKUP(Z445,Nuclides!A:E,3,FALSE)</f>
        <v>48</v>
      </c>
      <c r="AE445" s="1">
        <f t="shared" si="27"/>
        <v>87110400</v>
      </c>
      <c r="AF445" t="s">
        <v>1303</v>
      </c>
    </row>
    <row r="446" spans="18:32" x14ac:dyDescent="0.2">
      <c r="R446" s="1">
        <v>48123</v>
      </c>
      <c r="S446" s="1">
        <v>1.0122400000000001E-6</v>
      </c>
      <c r="T446" t="str">
        <f>VLOOKUP(R446,Nuclides!A:E,5,FALSE)</f>
        <v>Cd123</v>
      </c>
      <c r="U446">
        <f>VLOOKUP(Sheet2!R446,Nuclides!A:E,2,FALSE)</f>
        <v>75</v>
      </c>
      <c r="V446">
        <f>VLOOKUP(R446,Nuclides!A:E,3,FALSE)</f>
        <v>48</v>
      </c>
      <c r="W446" s="1">
        <f t="shared" si="26"/>
        <v>12632755200</v>
      </c>
      <c r="X446" t="s">
        <v>1325</v>
      </c>
      <c r="Z446" s="1">
        <v>48102</v>
      </c>
      <c r="AA446" s="1">
        <v>3.2806E-9</v>
      </c>
      <c r="AB446" t="str">
        <f>VLOOKUP(Z446,Nuclides!A:E,5,FALSE)</f>
        <v>Cd102</v>
      </c>
      <c r="AC446">
        <f>VLOOKUP(Sheet2!Z446,Nuclides!A:E,2,FALSE)</f>
        <v>54</v>
      </c>
      <c r="AD446">
        <f>VLOOKUP(Z446,Nuclides!A:E,3,FALSE)</f>
        <v>48</v>
      </c>
      <c r="AE446" s="1">
        <f t="shared" si="27"/>
        <v>40941888</v>
      </c>
      <c r="AF446" t="s">
        <v>1304</v>
      </c>
    </row>
    <row r="447" spans="18:32" x14ac:dyDescent="0.2">
      <c r="R447" s="1">
        <v>48124</v>
      </c>
      <c r="S447" s="1">
        <v>9.6309999999999994E-7</v>
      </c>
      <c r="T447" t="str">
        <f>VLOOKUP(R447,Nuclides!A:E,5,FALSE)</f>
        <v>Cd124</v>
      </c>
      <c r="U447">
        <f>VLOOKUP(Sheet2!R447,Nuclides!A:E,2,FALSE)</f>
        <v>76</v>
      </c>
      <c r="V447">
        <f>VLOOKUP(R447,Nuclides!A:E,3,FALSE)</f>
        <v>48</v>
      </c>
      <c r="W447" s="1">
        <f t="shared" si="26"/>
        <v>12019488000</v>
      </c>
      <c r="X447" t="s">
        <v>1326</v>
      </c>
      <c r="Z447" s="1">
        <v>48103</v>
      </c>
      <c r="AA447" s="1">
        <v>3.4899999999999998E-10</v>
      </c>
      <c r="AB447" t="str">
        <f>VLOOKUP(Z447,Nuclides!A:E,5,FALSE)</f>
        <v>Cd103</v>
      </c>
      <c r="AC447">
        <f>VLOOKUP(Sheet2!Z447,Nuclides!A:E,2,FALSE)</f>
        <v>55</v>
      </c>
      <c r="AD447">
        <f>VLOOKUP(Z447,Nuclides!A:E,3,FALSE)</f>
        <v>48</v>
      </c>
      <c r="AE447" s="1">
        <f t="shared" si="27"/>
        <v>4355520</v>
      </c>
      <c r="AF447" t="s">
        <v>1305</v>
      </c>
    </row>
    <row r="448" spans="18:32" x14ac:dyDescent="0.2">
      <c r="R448" s="1">
        <v>48125</v>
      </c>
      <c r="S448" s="1">
        <v>6.6617100000000002E-7</v>
      </c>
      <c r="T448" t="str">
        <f>VLOOKUP(R448,Nuclides!A:E,5,FALSE)</f>
        <v>Cd125</v>
      </c>
      <c r="U448">
        <f>VLOOKUP(Sheet2!R448,Nuclides!A:E,2,FALSE)</f>
        <v>77</v>
      </c>
      <c r="V448">
        <f>VLOOKUP(R448,Nuclides!A:E,3,FALSE)</f>
        <v>48</v>
      </c>
      <c r="W448" s="1">
        <f t="shared" si="26"/>
        <v>8313814080</v>
      </c>
      <c r="X448" t="s">
        <v>1327</v>
      </c>
      <c r="Z448" s="1">
        <v>48113</v>
      </c>
      <c r="AA448" s="1">
        <v>6.9799999999999994E-11</v>
      </c>
      <c r="AB448" t="str">
        <f>VLOOKUP(Z448,Nuclides!A:E,5,FALSE)</f>
        <v>Cd113</v>
      </c>
      <c r="AC448">
        <f>VLOOKUP(Sheet2!Z448,Nuclides!A:E,2,FALSE)</f>
        <v>65</v>
      </c>
      <c r="AD448">
        <f>VLOOKUP(Z448,Nuclides!A:E,3,FALSE)</f>
        <v>48</v>
      </c>
      <c r="AE448" s="1">
        <f t="shared" si="27"/>
        <v>871103.99999999988</v>
      </c>
      <c r="AF448" t="s">
        <v>1315</v>
      </c>
    </row>
    <row r="449" spans="18:32" x14ac:dyDescent="0.2">
      <c r="R449" s="1">
        <v>48126</v>
      </c>
      <c r="S449" s="1">
        <v>5.5749299999999997E-7</v>
      </c>
      <c r="T449" t="str">
        <f>VLOOKUP(R449,Nuclides!A:E,5,FALSE)</f>
        <v>Cd126</v>
      </c>
      <c r="U449">
        <f>VLOOKUP(Sheet2!R449,Nuclides!A:E,2,FALSE)</f>
        <v>78</v>
      </c>
      <c r="V449">
        <f>VLOOKUP(R449,Nuclides!A:E,3,FALSE)</f>
        <v>48</v>
      </c>
      <c r="W449" s="1">
        <f t="shared" si="26"/>
        <v>6957512640</v>
      </c>
      <c r="X449" t="s">
        <v>1328</v>
      </c>
      <c r="Z449" s="1">
        <v>48114</v>
      </c>
      <c r="AA449" s="1">
        <v>2.3034000000000001E-9</v>
      </c>
      <c r="AB449" t="str">
        <f>VLOOKUP(Z449,Nuclides!A:E,5,FALSE)</f>
        <v>Cd114</v>
      </c>
      <c r="AC449">
        <f>VLOOKUP(Sheet2!Z449,Nuclides!A:E,2,FALSE)</f>
        <v>66</v>
      </c>
      <c r="AD449">
        <f>VLOOKUP(Z449,Nuclides!A:E,3,FALSE)</f>
        <v>48</v>
      </c>
      <c r="AE449" s="1">
        <f t="shared" si="27"/>
        <v>28746432</v>
      </c>
      <c r="AF449" t="s">
        <v>1316</v>
      </c>
    </row>
    <row r="450" spans="18:32" x14ac:dyDescent="0.2">
      <c r="R450" s="1">
        <v>49100</v>
      </c>
      <c r="S450" s="1">
        <v>3.8620299999999998E-7</v>
      </c>
      <c r="T450" t="str">
        <f>VLOOKUP(R450,Nuclides!A:E,5,FALSE)</f>
        <v>In100</v>
      </c>
      <c r="U450">
        <f>VLOOKUP(Sheet2!R450,Nuclides!A:E,2,FALSE)</f>
        <v>51</v>
      </c>
      <c r="V450">
        <f>VLOOKUP(R450,Nuclides!A:E,3,FALSE)</f>
        <v>49</v>
      </c>
      <c r="W450" s="1">
        <f t="shared" si="26"/>
        <v>4819813440</v>
      </c>
      <c r="X450" t="s">
        <v>1339</v>
      </c>
      <c r="Z450" s="1">
        <v>48115</v>
      </c>
      <c r="AA450" s="1">
        <v>1.05398E-8</v>
      </c>
      <c r="AB450" t="str">
        <f>VLOOKUP(Z450,Nuclides!A:E,5,FALSE)</f>
        <v>Cd115</v>
      </c>
      <c r="AC450">
        <f>VLOOKUP(Sheet2!Z450,Nuclides!A:E,2,FALSE)</f>
        <v>67</v>
      </c>
      <c r="AD450">
        <f>VLOOKUP(Z450,Nuclides!A:E,3,FALSE)</f>
        <v>48</v>
      </c>
      <c r="AE450" s="1">
        <f t="shared" si="27"/>
        <v>131536704</v>
      </c>
      <c r="AF450" t="s">
        <v>1317</v>
      </c>
    </row>
    <row r="451" spans="18:32" x14ac:dyDescent="0.2">
      <c r="R451" s="1">
        <v>49101</v>
      </c>
      <c r="S451" s="1">
        <v>2.7843199999999999E-7</v>
      </c>
      <c r="T451" t="str">
        <f>VLOOKUP(R451,Nuclides!A:E,5,FALSE)</f>
        <v>In101</v>
      </c>
      <c r="U451">
        <f>VLOOKUP(Sheet2!R451,Nuclides!A:E,2,FALSE)</f>
        <v>52</v>
      </c>
      <c r="V451">
        <f>VLOOKUP(R451,Nuclides!A:E,3,FALSE)</f>
        <v>49</v>
      </c>
      <c r="W451" s="1">
        <f t="shared" si="26"/>
        <v>3474831360</v>
      </c>
      <c r="X451" t="s">
        <v>1340</v>
      </c>
      <c r="Z451" s="1">
        <v>48116</v>
      </c>
      <c r="AA451" s="1">
        <v>6.1005199999999994E-8</v>
      </c>
      <c r="AB451" t="str">
        <f>VLOOKUP(Z451,Nuclides!A:E,5,FALSE)</f>
        <v>Cd116</v>
      </c>
      <c r="AC451">
        <f>VLOOKUP(Sheet2!Z451,Nuclides!A:E,2,FALSE)</f>
        <v>68</v>
      </c>
      <c r="AD451">
        <f>VLOOKUP(Z451,Nuclides!A:E,3,FALSE)</f>
        <v>48</v>
      </c>
      <c r="AE451" s="1">
        <f t="shared" si="27"/>
        <v>761344895.99999988</v>
      </c>
      <c r="AF451" t="s">
        <v>1318</v>
      </c>
    </row>
    <row r="452" spans="18:32" x14ac:dyDescent="0.2">
      <c r="R452" s="1">
        <v>49102</v>
      </c>
      <c r="S452" s="1">
        <v>1.26129E-7</v>
      </c>
      <c r="T452" t="str">
        <f>VLOOKUP(R452,Nuclides!A:E,5,FALSE)</f>
        <v>In102</v>
      </c>
      <c r="U452">
        <f>VLOOKUP(Sheet2!R452,Nuclides!A:E,2,FALSE)</f>
        <v>53</v>
      </c>
      <c r="V452">
        <f>VLOOKUP(R452,Nuclides!A:E,3,FALSE)</f>
        <v>49</v>
      </c>
      <c r="W452" s="1">
        <f t="shared" ref="W452:W515" si="28">S452*12480000000000000</f>
        <v>1574089920</v>
      </c>
      <c r="X452" t="s">
        <v>1341</v>
      </c>
      <c r="Z452" s="1">
        <v>48117</v>
      </c>
      <c r="AA452" s="1">
        <v>1.35203E-7</v>
      </c>
      <c r="AB452" t="str">
        <f>VLOOKUP(Z452,Nuclides!A:E,5,FALSE)</f>
        <v>Cd117</v>
      </c>
      <c r="AC452">
        <f>VLOOKUP(Sheet2!Z452,Nuclides!A:E,2,FALSE)</f>
        <v>69</v>
      </c>
      <c r="AD452">
        <f>VLOOKUP(Z452,Nuclides!A:E,3,FALSE)</f>
        <v>48</v>
      </c>
      <c r="AE452" s="1">
        <f t="shared" ref="AE452:AE515" si="29">AA452*12480000000000000</f>
        <v>1687333440</v>
      </c>
      <c r="AF452" t="s">
        <v>1319</v>
      </c>
    </row>
    <row r="453" spans="18:32" x14ac:dyDescent="0.2">
      <c r="R453" s="1">
        <v>49103</v>
      </c>
      <c r="S453" s="1">
        <v>5.5281600000000003E-8</v>
      </c>
      <c r="T453" t="str">
        <f>VLOOKUP(R453,Nuclides!A:E,5,FALSE)</f>
        <v>In103</v>
      </c>
      <c r="U453">
        <f>VLOOKUP(Sheet2!R453,Nuclides!A:E,2,FALSE)</f>
        <v>54</v>
      </c>
      <c r="V453">
        <f>VLOOKUP(R453,Nuclides!A:E,3,FALSE)</f>
        <v>49</v>
      </c>
      <c r="W453" s="1">
        <f t="shared" si="28"/>
        <v>689914368</v>
      </c>
      <c r="X453" t="s">
        <v>1342</v>
      </c>
      <c r="Z453" s="1">
        <v>48118</v>
      </c>
      <c r="AA453" s="1">
        <v>4.9048500000000001E-7</v>
      </c>
      <c r="AB453" t="str">
        <f>VLOOKUP(Z453,Nuclides!A:E,5,FALSE)</f>
        <v>Cd118</v>
      </c>
      <c r="AC453">
        <f>VLOOKUP(Sheet2!Z453,Nuclides!A:E,2,FALSE)</f>
        <v>70</v>
      </c>
      <c r="AD453">
        <f>VLOOKUP(Z453,Nuclides!A:E,3,FALSE)</f>
        <v>48</v>
      </c>
      <c r="AE453" s="1">
        <f t="shared" si="29"/>
        <v>6121252800</v>
      </c>
      <c r="AF453" t="s">
        <v>1320</v>
      </c>
    </row>
    <row r="454" spans="18:32" x14ac:dyDescent="0.2">
      <c r="R454" s="1">
        <v>49104</v>
      </c>
      <c r="S454" s="1">
        <v>1.3052599999999999E-8</v>
      </c>
      <c r="T454" t="str">
        <f>VLOOKUP(R454,Nuclides!A:E,5,FALSE)</f>
        <v>In104</v>
      </c>
      <c r="U454">
        <f>VLOOKUP(Sheet2!R454,Nuclides!A:E,2,FALSE)</f>
        <v>55</v>
      </c>
      <c r="V454">
        <f>VLOOKUP(R454,Nuclides!A:E,3,FALSE)</f>
        <v>49</v>
      </c>
      <c r="W454" s="1">
        <f t="shared" si="28"/>
        <v>162896448</v>
      </c>
      <c r="X454" t="s">
        <v>1343</v>
      </c>
      <c r="Z454" s="1">
        <v>48119</v>
      </c>
      <c r="AA454" s="1">
        <v>6.4481199999999996E-7</v>
      </c>
      <c r="AB454" t="str">
        <f>VLOOKUP(Z454,Nuclides!A:E,5,FALSE)</f>
        <v>Cd119</v>
      </c>
      <c r="AC454">
        <f>VLOOKUP(Sheet2!Z454,Nuclides!A:E,2,FALSE)</f>
        <v>71</v>
      </c>
      <c r="AD454">
        <f>VLOOKUP(Z454,Nuclides!A:E,3,FALSE)</f>
        <v>48</v>
      </c>
      <c r="AE454" s="1">
        <f t="shared" si="29"/>
        <v>8047253760</v>
      </c>
      <c r="AF454" t="s">
        <v>1321</v>
      </c>
    </row>
    <row r="455" spans="18:32" x14ac:dyDescent="0.2">
      <c r="R455" s="1">
        <v>49105</v>
      </c>
      <c r="S455" s="1">
        <v>3.4201999999999998E-9</v>
      </c>
      <c r="T455" t="str">
        <f>VLOOKUP(R455,Nuclides!A:E,5,FALSE)</f>
        <v>In105</v>
      </c>
      <c r="U455">
        <f>VLOOKUP(Sheet2!R455,Nuclides!A:E,2,FALSE)</f>
        <v>56</v>
      </c>
      <c r="V455">
        <f>VLOOKUP(R455,Nuclides!A:E,3,FALSE)</f>
        <v>49</v>
      </c>
      <c r="W455" s="1">
        <f t="shared" si="28"/>
        <v>42684096</v>
      </c>
      <c r="X455" t="s">
        <v>1344</v>
      </c>
      <c r="Z455" s="1">
        <v>48120</v>
      </c>
      <c r="AA455" s="1">
        <v>1.5927E-6</v>
      </c>
      <c r="AB455" t="str">
        <f>VLOOKUP(Z455,Nuclides!A:E,5,FALSE)</f>
        <v>Cd120</v>
      </c>
      <c r="AC455">
        <f>VLOOKUP(Sheet2!Z455,Nuclides!A:E,2,FALSE)</f>
        <v>72</v>
      </c>
      <c r="AD455">
        <f>VLOOKUP(Z455,Nuclides!A:E,3,FALSE)</f>
        <v>48</v>
      </c>
      <c r="AE455" s="1">
        <f t="shared" si="29"/>
        <v>19876896000</v>
      </c>
      <c r="AF455" t="s">
        <v>1322</v>
      </c>
    </row>
    <row r="456" spans="18:32" x14ac:dyDescent="0.2">
      <c r="R456" s="1">
        <v>49106</v>
      </c>
      <c r="S456" s="1">
        <v>6.2819999999999996E-10</v>
      </c>
      <c r="T456" t="str">
        <f>VLOOKUP(R456,Nuclides!A:E,5,FALSE)</f>
        <v>In106</v>
      </c>
      <c r="U456">
        <f>VLOOKUP(Sheet2!R456,Nuclides!A:E,2,FALSE)</f>
        <v>57</v>
      </c>
      <c r="V456">
        <f>VLOOKUP(R456,Nuclides!A:E,3,FALSE)</f>
        <v>49</v>
      </c>
      <c r="W456" s="1">
        <f t="shared" si="28"/>
        <v>7839935.9999999991</v>
      </c>
      <c r="X456" t="s">
        <v>1345</v>
      </c>
      <c r="Z456" s="1">
        <v>48121</v>
      </c>
      <c r="AA456" s="1">
        <v>1.5565400000000001E-6</v>
      </c>
      <c r="AB456" t="str">
        <f>VLOOKUP(Z456,Nuclides!A:E,5,FALSE)</f>
        <v>Cd121</v>
      </c>
      <c r="AC456">
        <f>VLOOKUP(Sheet2!Z456,Nuclides!A:E,2,FALSE)</f>
        <v>73</v>
      </c>
      <c r="AD456">
        <f>VLOOKUP(Z456,Nuclides!A:E,3,FALSE)</f>
        <v>48</v>
      </c>
      <c r="AE456" s="1">
        <f t="shared" si="29"/>
        <v>19425619200</v>
      </c>
      <c r="AF456" t="s">
        <v>1323</v>
      </c>
    </row>
    <row r="457" spans="18:32" x14ac:dyDescent="0.2">
      <c r="R457" s="1">
        <v>49107</v>
      </c>
      <c r="S457" s="1">
        <v>1.3959999999999999E-10</v>
      </c>
      <c r="T457" t="str">
        <f>VLOOKUP(R457,Nuclides!A:E,5,FALSE)</f>
        <v>In107</v>
      </c>
      <c r="U457">
        <f>VLOOKUP(Sheet2!R457,Nuclides!A:E,2,FALSE)</f>
        <v>58</v>
      </c>
      <c r="V457">
        <f>VLOOKUP(R457,Nuclides!A:E,3,FALSE)</f>
        <v>49</v>
      </c>
      <c r="W457" s="1">
        <f t="shared" si="28"/>
        <v>1742207.9999999998</v>
      </c>
      <c r="X457" t="s">
        <v>1346</v>
      </c>
      <c r="Z457" s="1">
        <v>48122</v>
      </c>
      <c r="AA457" s="1">
        <v>2.84798E-6</v>
      </c>
      <c r="AB457" t="str">
        <f>VLOOKUP(Z457,Nuclides!A:E,5,FALSE)</f>
        <v>Cd122</v>
      </c>
      <c r="AC457">
        <f>VLOOKUP(Sheet2!Z457,Nuclides!A:E,2,FALSE)</f>
        <v>74</v>
      </c>
      <c r="AD457">
        <f>VLOOKUP(Z457,Nuclides!A:E,3,FALSE)</f>
        <v>48</v>
      </c>
      <c r="AE457" s="1">
        <f t="shared" si="29"/>
        <v>35542790400</v>
      </c>
      <c r="AF457" t="s">
        <v>1324</v>
      </c>
    </row>
    <row r="458" spans="18:32" x14ac:dyDescent="0.2">
      <c r="R458" s="1">
        <v>49108</v>
      </c>
      <c r="S458" s="1">
        <v>6.9799999999999994E-11</v>
      </c>
      <c r="T458" t="str">
        <f>VLOOKUP(R458,Nuclides!A:E,5,FALSE)</f>
        <v>In108</v>
      </c>
      <c r="U458">
        <f>VLOOKUP(Sheet2!R458,Nuclides!A:E,2,FALSE)</f>
        <v>59</v>
      </c>
      <c r="V458">
        <f>VLOOKUP(R458,Nuclides!A:E,3,FALSE)</f>
        <v>49</v>
      </c>
      <c r="W458" s="1">
        <f t="shared" si="28"/>
        <v>871103.99999999988</v>
      </c>
      <c r="X458" t="s">
        <v>1347</v>
      </c>
      <c r="Z458" s="1">
        <v>48123</v>
      </c>
      <c r="AA458" s="1">
        <v>2.0535899999999998E-6</v>
      </c>
      <c r="AB458" t="str">
        <f>VLOOKUP(Z458,Nuclides!A:E,5,FALSE)</f>
        <v>Cd123</v>
      </c>
      <c r="AC458">
        <f>VLOOKUP(Sheet2!Z458,Nuclides!A:E,2,FALSE)</f>
        <v>75</v>
      </c>
      <c r="AD458">
        <f>VLOOKUP(Z458,Nuclides!A:E,3,FALSE)</f>
        <v>48</v>
      </c>
      <c r="AE458" s="1">
        <f t="shared" si="29"/>
        <v>25628803200</v>
      </c>
      <c r="AF458" t="s">
        <v>1325</v>
      </c>
    </row>
    <row r="459" spans="18:32" x14ac:dyDescent="0.2">
      <c r="R459" s="1">
        <v>49116</v>
      </c>
      <c r="S459" s="1">
        <v>5.5839999999999995E-10</v>
      </c>
      <c r="T459" t="str">
        <f>VLOOKUP(R459,Nuclides!A:E,5,FALSE)</f>
        <v>In116</v>
      </c>
      <c r="U459">
        <f>VLOOKUP(Sheet2!R459,Nuclides!A:E,2,FALSE)</f>
        <v>67</v>
      </c>
      <c r="V459">
        <f>VLOOKUP(R459,Nuclides!A:E,3,FALSE)</f>
        <v>49</v>
      </c>
      <c r="W459" s="1">
        <f t="shared" si="28"/>
        <v>6968831.9999999991</v>
      </c>
      <c r="X459" t="s">
        <v>1355</v>
      </c>
      <c r="Z459" s="1">
        <v>48124</v>
      </c>
      <c r="AA459" s="1">
        <v>2.6906499999999998E-6</v>
      </c>
      <c r="AB459" t="str">
        <f>VLOOKUP(Z459,Nuclides!A:E,5,FALSE)</f>
        <v>Cd124</v>
      </c>
      <c r="AC459">
        <f>VLOOKUP(Sheet2!Z459,Nuclides!A:E,2,FALSE)</f>
        <v>76</v>
      </c>
      <c r="AD459">
        <f>VLOOKUP(Z459,Nuclides!A:E,3,FALSE)</f>
        <v>48</v>
      </c>
      <c r="AE459" s="1">
        <f t="shared" si="29"/>
        <v>33579311999.999996</v>
      </c>
      <c r="AF459" t="s">
        <v>1326</v>
      </c>
    </row>
    <row r="460" spans="18:32" x14ac:dyDescent="0.2">
      <c r="R460" s="1">
        <v>49117</v>
      </c>
      <c r="S460" s="1">
        <v>4.0484000000000002E-9</v>
      </c>
      <c r="T460" t="str">
        <f>VLOOKUP(R460,Nuclides!A:E,5,FALSE)</f>
        <v>In117</v>
      </c>
      <c r="U460">
        <f>VLOOKUP(Sheet2!R460,Nuclides!A:E,2,FALSE)</f>
        <v>68</v>
      </c>
      <c r="V460">
        <f>VLOOKUP(R460,Nuclides!A:E,3,FALSE)</f>
        <v>49</v>
      </c>
      <c r="W460" s="1">
        <f t="shared" si="28"/>
        <v>50524032</v>
      </c>
      <c r="X460" t="s">
        <v>1356</v>
      </c>
      <c r="Z460" s="1">
        <v>48125</v>
      </c>
      <c r="AA460" s="1">
        <v>1.3319900000000001E-6</v>
      </c>
      <c r="AB460" t="str">
        <f>VLOOKUP(Z460,Nuclides!A:E,5,FALSE)</f>
        <v>Cd125</v>
      </c>
      <c r="AC460">
        <f>VLOOKUP(Sheet2!Z460,Nuclides!A:E,2,FALSE)</f>
        <v>77</v>
      </c>
      <c r="AD460">
        <f>VLOOKUP(Z460,Nuclides!A:E,3,FALSE)</f>
        <v>48</v>
      </c>
      <c r="AE460" s="1">
        <f t="shared" si="29"/>
        <v>16623235200</v>
      </c>
      <c r="AF460" t="s">
        <v>1327</v>
      </c>
    </row>
    <row r="461" spans="18:32" x14ac:dyDescent="0.2">
      <c r="R461" s="1">
        <v>49118</v>
      </c>
      <c r="S461" s="1">
        <v>1.3820400000000001E-8</v>
      </c>
      <c r="T461" t="str">
        <f>VLOOKUP(R461,Nuclides!A:E,5,FALSE)</f>
        <v>In118</v>
      </c>
      <c r="U461">
        <f>VLOOKUP(Sheet2!R461,Nuclides!A:E,2,FALSE)</f>
        <v>69</v>
      </c>
      <c r="V461">
        <f>VLOOKUP(R461,Nuclides!A:E,3,FALSE)</f>
        <v>49</v>
      </c>
      <c r="W461" s="1">
        <f t="shared" si="28"/>
        <v>172478592</v>
      </c>
      <c r="X461" t="s">
        <v>1357</v>
      </c>
      <c r="Z461" s="1">
        <v>48126</v>
      </c>
      <c r="AA461" s="1">
        <v>1.1639800000000001E-6</v>
      </c>
      <c r="AB461" t="str">
        <f>VLOOKUP(Z461,Nuclides!A:E,5,FALSE)</f>
        <v>Cd126</v>
      </c>
      <c r="AC461">
        <f>VLOOKUP(Sheet2!Z461,Nuclides!A:E,2,FALSE)</f>
        <v>78</v>
      </c>
      <c r="AD461">
        <f>VLOOKUP(Z461,Nuclides!A:E,3,FALSE)</f>
        <v>48</v>
      </c>
      <c r="AE461" s="1">
        <f t="shared" si="29"/>
        <v>14526470400.000002</v>
      </c>
      <c r="AF461" t="s">
        <v>1328</v>
      </c>
    </row>
    <row r="462" spans="18:32" x14ac:dyDescent="0.2">
      <c r="R462" s="1">
        <v>49119</v>
      </c>
      <c r="S462" s="1">
        <v>5.8911200000000001E-8</v>
      </c>
      <c r="T462" t="str">
        <f>VLOOKUP(R462,Nuclides!A:E,5,FALSE)</f>
        <v>In119</v>
      </c>
      <c r="U462">
        <f>VLOOKUP(Sheet2!R462,Nuclides!A:E,2,FALSE)</f>
        <v>70</v>
      </c>
      <c r="V462">
        <f>VLOOKUP(R462,Nuclides!A:E,3,FALSE)</f>
        <v>49</v>
      </c>
      <c r="W462" s="1">
        <f t="shared" si="28"/>
        <v>735211776</v>
      </c>
      <c r="X462" t="s">
        <v>1358</v>
      </c>
      <c r="Z462" s="1">
        <v>49100</v>
      </c>
      <c r="AA462" s="1">
        <v>4.0358400000000002E-7</v>
      </c>
      <c r="AB462" t="str">
        <f>VLOOKUP(Z462,Nuclides!A:E,5,FALSE)</f>
        <v>In100</v>
      </c>
      <c r="AC462">
        <f>VLOOKUP(Sheet2!Z462,Nuclides!A:E,2,FALSE)</f>
        <v>51</v>
      </c>
      <c r="AD462">
        <f>VLOOKUP(Z462,Nuclides!A:E,3,FALSE)</f>
        <v>49</v>
      </c>
      <c r="AE462" s="1">
        <f t="shared" si="29"/>
        <v>5036728320</v>
      </c>
      <c r="AF462" t="s">
        <v>1339</v>
      </c>
    </row>
    <row r="463" spans="18:32" x14ac:dyDescent="0.2">
      <c r="R463" s="1">
        <v>49120</v>
      </c>
      <c r="S463" s="1">
        <v>1.2466300000000001E-7</v>
      </c>
      <c r="T463" t="str">
        <f>VLOOKUP(R463,Nuclides!A:E,5,FALSE)</f>
        <v>In120</v>
      </c>
      <c r="U463">
        <f>VLOOKUP(Sheet2!R463,Nuclides!A:E,2,FALSE)</f>
        <v>71</v>
      </c>
      <c r="V463">
        <f>VLOOKUP(R463,Nuclides!A:E,3,FALSE)</f>
        <v>49</v>
      </c>
      <c r="W463" s="1">
        <f t="shared" si="28"/>
        <v>1555794240</v>
      </c>
      <c r="X463" t="s">
        <v>1359</v>
      </c>
      <c r="Z463" s="1">
        <v>49101</v>
      </c>
      <c r="AA463" s="1">
        <v>2.4960499999999999E-7</v>
      </c>
      <c r="AB463" t="str">
        <f>VLOOKUP(Z463,Nuclides!A:E,5,FALSE)</f>
        <v>In101</v>
      </c>
      <c r="AC463">
        <f>VLOOKUP(Sheet2!Z463,Nuclides!A:E,2,FALSE)</f>
        <v>52</v>
      </c>
      <c r="AD463">
        <f>VLOOKUP(Z463,Nuclides!A:E,3,FALSE)</f>
        <v>49</v>
      </c>
      <c r="AE463" s="1">
        <f t="shared" si="29"/>
        <v>3115070400</v>
      </c>
      <c r="AF463" t="s">
        <v>1340</v>
      </c>
    </row>
    <row r="464" spans="18:32" x14ac:dyDescent="0.2">
      <c r="R464" s="1">
        <v>49121</v>
      </c>
      <c r="S464" s="1">
        <v>3.4516099999999998E-7</v>
      </c>
      <c r="T464" t="str">
        <f>VLOOKUP(R464,Nuclides!A:E,5,FALSE)</f>
        <v>In121</v>
      </c>
      <c r="U464">
        <f>VLOOKUP(Sheet2!R464,Nuclides!A:E,2,FALSE)</f>
        <v>72</v>
      </c>
      <c r="V464">
        <f>VLOOKUP(R464,Nuclides!A:E,3,FALSE)</f>
        <v>49</v>
      </c>
      <c r="W464" s="1">
        <f t="shared" si="28"/>
        <v>4307609280</v>
      </c>
      <c r="X464" t="s">
        <v>1360</v>
      </c>
      <c r="Z464" s="1">
        <v>49102</v>
      </c>
      <c r="AA464" s="1">
        <v>4.12518E-8</v>
      </c>
      <c r="AB464" t="str">
        <f>VLOOKUP(Z464,Nuclides!A:E,5,FALSE)</f>
        <v>In102</v>
      </c>
      <c r="AC464">
        <f>VLOOKUP(Sheet2!Z464,Nuclides!A:E,2,FALSE)</f>
        <v>53</v>
      </c>
      <c r="AD464">
        <f>VLOOKUP(Z464,Nuclides!A:E,3,FALSE)</f>
        <v>49</v>
      </c>
      <c r="AE464" s="1">
        <f t="shared" si="29"/>
        <v>514822464</v>
      </c>
      <c r="AF464" t="s">
        <v>1341</v>
      </c>
    </row>
    <row r="465" spans="18:32" x14ac:dyDescent="0.2">
      <c r="R465" s="1">
        <v>49122</v>
      </c>
      <c r="S465" s="1">
        <v>4.7289499999999997E-7</v>
      </c>
      <c r="T465" t="str">
        <f>VLOOKUP(R465,Nuclides!A:E,5,FALSE)</f>
        <v>In122</v>
      </c>
      <c r="U465">
        <f>VLOOKUP(Sheet2!R465,Nuclides!A:E,2,FALSE)</f>
        <v>73</v>
      </c>
      <c r="V465">
        <f>VLOOKUP(R465,Nuclides!A:E,3,FALSE)</f>
        <v>49</v>
      </c>
      <c r="W465" s="1">
        <f t="shared" si="28"/>
        <v>5901729600</v>
      </c>
      <c r="X465" t="s">
        <v>1361</v>
      </c>
      <c r="Z465" s="1">
        <v>49104</v>
      </c>
      <c r="AA465" s="1">
        <v>6.3518000000000003E-9</v>
      </c>
      <c r="AB465" t="str">
        <f>VLOOKUP(Z465,Nuclides!A:E,5,FALSE)</f>
        <v>In104</v>
      </c>
      <c r="AC465">
        <f>VLOOKUP(Sheet2!Z465,Nuclides!A:E,2,FALSE)</f>
        <v>55</v>
      </c>
      <c r="AD465">
        <f>VLOOKUP(Z465,Nuclides!A:E,3,FALSE)</f>
        <v>49</v>
      </c>
      <c r="AE465" s="1">
        <f t="shared" si="29"/>
        <v>79270464</v>
      </c>
      <c r="AF465" t="s">
        <v>1343</v>
      </c>
    </row>
    <row r="466" spans="18:32" x14ac:dyDescent="0.2">
      <c r="R466" s="1">
        <v>49123</v>
      </c>
      <c r="S466" s="1">
        <v>9.5437500000000007E-7</v>
      </c>
      <c r="T466" t="str">
        <f>VLOOKUP(R466,Nuclides!A:E,5,FALSE)</f>
        <v>In123</v>
      </c>
      <c r="U466">
        <f>VLOOKUP(Sheet2!R466,Nuclides!A:E,2,FALSE)</f>
        <v>74</v>
      </c>
      <c r="V466">
        <f>VLOOKUP(R466,Nuclides!A:E,3,FALSE)</f>
        <v>49</v>
      </c>
      <c r="W466" s="1">
        <f t="shared" si="28"/>
        <v>11910600000</v>
      </c>
      <c r="X466" t="s">
        <v>1362</v>
      </c>
      <c r="Z466" s="1">
        <v>49105</v>
      </c>
      <c r="AA466" s="1">
        <v>2.4429999999999999E-9</v>
      </c>
      <c r="AB466" t="str">
        <f>VLOOKUP(Z466,Nuclides!A:E,5,FALSE)</f>
        <v>In105</v>
      </c>
      <c r="AC466">
        <f>VLOOKUP(Sheet2!Z466,Nuclides!A:E,2,FALSE)</f>
        <v>56</v>
      </c>
      <c r="AD466">
        <f>VLOOKUP(Z466,Nuclides!A:E,3,FALSE)</f>
        <v>49</v>
      </c>
      <c r="AE466" s="1">
        <f t="shared" si="29"/>
        <v>30488640</v>
      </c>
      <c r="AF466" t="s">
        <v>1344</v>
      </c>
    </row>
    <row r="467" spans="18:32" x14ac:dyDescent="0.2">
      <c r="R467" s="1">
        <v>49124</v>
      </c>
      <c r="S467" s="1">
        <v>9.8082999999999998E-7</v>
      </c>
      <c r="T467" t="str">
        <f>VLOOKUP(R467,Nuclides!A:E,5,FALSE)</f>
        <v>In124</v>
      </c>
      <c r="U467">
        <f>VLOOKUP(Sheet2!R467,Nuclides!A:E,2,FALSE)</f>
        <v>75</v>
      </c>
      <c r="V467">
        <f>VLOOKUP(R467,Nuclides!A:E,3,FALSE)</f>
        <v>49</v>
      </c>
      <c r="W467" s="1">
        <f t="shared" si="28"/>
        <v>12240758400</v>
      </c>
      <c r="X467" t="s">
        <v>1363</v>
      </c>
      <c r="Z467" s="1">
        <v>49106</v>
      </c>
      <c r="AA467" s="1">
        <v>3.4899999999999998E-10</v>
      </c>
      <c r="AB467" t="str">
        <f>VLOOKUP(Z467,Nuclides!A:E,5,FALSE)</f>
        <v>In106</v>
      </c>
      <c r="AC467">
        <f>VLOOKUP(Sheet2!Z467,Nuclides!A:E,2,FALSE)</f>
        <v>57</v>
      </c>
      <c r="AD467">
        <f>VLOOKUP(Z467,Nuclides!A:E,3,FALSE)</f>
        <v>49</v>
      </c>
      <c r="AE467" s="1">
        <f t="shared" si="29"/>
        <v>4355520</v>
      </c>
      <c r="AF467" t="s">
        <v>1345</v>
      </c>
    </row>
    <row r="468" spans="18:32" x14ac:dyDescent="0.2">
      <c r="R468" s="1">
        <v>49125</v>
      </c>
      <c r="S468" s="1">
        <v>1.4791299999999999E-6</v>
      </c>
      <c r="T468" t="str">
        <f>VLOOKUP(R468,Nuclides!A:E,5,FALSE)</f>
        <v>In125</v>
      </c>
      <c r="U468">
        <f>VLOOKUP(Sheet2!R468,Nuclides!A:E,2,FALSE)</f>
        <v>76</v>
      </c>
      <c r="V468">
        <f>VLOOKUP(R468,Nuclides!A:E,3,FALSE)</f>
        <v>49</v>
      </c>
      <c r="W468" s="1">
        <f t="shared" si="28"/>
        <v>18459542400</v>
      </c>
      <c r="X468" t="s">
        <v>1364</v>
      </c>
      <c r="Z468" s="1">
        <v>49107</v>
      </c>
      <c r="AA468" s="1">
        <v>2.094E-10</v>
      </c>
      <c r="AB468" t="str">
        <f>VLOOKUP(Z468,Nuclides!A:E,5,FALSE)</f>
        <v>In107</v>
      </c>
      <c r="AC468">
        <f>VLOOKUP(Sheet2!Z468,Nuclides!A:E,2,FALSE)</f>
        <v>58</v>
      </c>
      <c r="AD468">
        <f>VLOOKUP(Z468,Nuclides!A:E,3,FALSE)</f>
        <v>49</v>
      </c>
      <c r="AE468" s="1">
        <f t="shared" si="29"/>
        <v>2613312</v>
      </c>
      <c r="AF468" t="s">
        <v>1346</v>
      </c>
    </row>
    <row r="469" spans="18:32" x14ac:dyDescent="0.2">
      <c r="R469" s="1">
        <v>49126</v>
      </c>
      <c r="S469" s="1">
        <v>1.58404E-6</v>
      </c>
      <c r="T469" t="str">
        <f>VLOOKUP(R469,Nuclides!A:E,5,FALSE)</f>
        <v>In126</v>
      </c>
      <c r="U469">
        <f>VLOOKUP(Sheet2!R469,Nuclides!A:E,2,FALSE)</f>
        <v>77</v>
      </c>
      <c r="V469">
        <f>VLOOKUP(R469,Nuclides!A:E,3,FALSE)</f>
        <v>49</v>
      </c>
      <c r="W469" s="1">
        <f t="shared" si="28"/>
        <v>19768819200</v>
      </c>
      <c r="X469" t="s">
        <v>1365</v>
      </c>
      <c r="Z469" s="1">
        <v>49116</v>
      </c>
      <c r="AA469" s="1">
        <v>2.7919999999999998E-10</v>
      </c>
      <c r="AB469" t="str">
        <f>VLOOKUP(Z469,Nuclides!A:E,5,FALSE)</f>
        <v>In116</v>
      </c>
      <c r="AC469">
        <f>VLOOKUP(Sheet2!Z469,Nuclides!A:E,2,FALSE)</f>
        <v>67</v>
      </c>
      <c r="AD469">
        <f>VLOOKUP(Z469,Nuclides!A:E,3,FALSE)</f>
        <v>49</v>
      </c>
      <c r="AE469" s="1">
        <f t="shared" si="29"/>
        <v>3484415.9999999995</v>
      </c>
      <c r="AF469" t="s">
        <v>1355</v>
      </c>
    </row>
    <row r="470" spans="18:32" x14ac:dyDescent="0.2">
      <c r="R470" s="1">
        <v>49127</v>
      </c>
      <c r="S470" s="1">
        <v>2.5987199999999999E-6</v>
      </c>
      <c r="T470" t="str">
        <f>VLOOKUP(R470,Nuclides!A:E,5,FALSE)</f>
        <v>In127</v>
      </c>
      <c r="U470">
        <f>VLOOKUP(Sheet2!R470,Nuclides!A:E,2,FALSE)</f>
        <v>78</v>
      </c>
      <c r="V470">
        <f>VLOOKUP(R470,Nuclides!A:E,3,FALSE)</f>
        <v>49</v>
      </c>
      <c r="W470" s="1">
        <f t="shared" si="28"/>
        <v>32432025600</v>
      </c>
      <c r="X470" t="s">
        <v>1366</v>
      </c>
      <c r="Z470" s="1">
        <v>49117</v>
      </c>
      <c r="AA470" s="1">
        <v>4.9557999999999998E-9</v>
      </c>
      <c r="AB470" t="str">
        <f>VLOOKUP(Z470,Nuclides!A:E,5,FALSE)</f>
        <v>In117</v>
      </c>
      <c r="AC470">
        <f>VLOOKUP(Sheet2!Z470,Nuclides!A:E,2,FALSE)</f>
        <v>68</v>
      </c>
      <c r="AD470">
        <f>VLOOKUP(Z470,Nuclides!A:E,3,FALSE)</f>
        <v>49</v>
      </c>
      <c r="AE470" s="1">
        <f t="shared" si="29"/>
        <v>61848384</v>
      </c>
      <c r="AF470" t="s">
        <v>1356</v>
      </c>
    </row>
    <row r="471" spans="18:32" x14ac:dyDescent="0.2">
      <c r="R471" s="1">
        <v>49128</v>
      </c>
      <c r="S471" s="1">
        <v>2.9635699999999999E-6</v>
      </c>
      <c r="T471" t="str">
        <f>VLOOKUP(R471,Nuclides!A:E,5,FALSE)</f>
        <v>In128</v>
      </c>
      <c r="U471">
        <f>VLOOKUP(Sheet2!R471,Nuclides!A:E,2,FALSE)</f>
        <v>79</v>
      </c>
      <c r="V471">
        <f>VLOOKUP(R471,Nuclides!A:E,3,FALSE)</f>
        <v>49</v>
      </c>
      <c r="W471" s="1">
        <f t="shared" si="28"/>
        <v>36985353600</v>
      </c>
      <c r="X471" t="s">
        <v>1367</v>
      </c>
      <c r="Z471" s="1">
        <v>49118</v>
      </c>
      <c r="AA471" s="1">
        <v>1.8078199999999999E-8</v>
      </c>
      <c r="AB471" t="str">
        <f>VLOOKUP(Z471,Nuclides!A:E,5,FALSE)</f>
        <v>In118</v>
      </c>
      <c r="AC471">
        <f>VLOOKUP(Sheet2!Z471,Nuclides!A:E,2,FALSE)</f>
        <v>69</v>
      </c>
      <c r="AD471">
        <f>VLOOKUP(Z471,Nuclides!A:E,3,FALSE)</f>
        <v>49</v>
      </c>
      <c r="AE471" s="1">
        <f t="shared" si="29"/>
        <v>225615936</v>
      </c>
      <c r="AF471" t="s">
        <v>1357</v>
      </c>
    </row>
    <row r="472" spans="18:32" x14ac:dyDescent="0.2">
      <c r="R472" s="1">
        <v>49129</v>
      </c>
      <c r="S472" s="1">
        <v>3.9897000000000001E-6</v>
      </c>
      <c r="T472" t="str">
        <f>VLOOKUP(R472,Nuclides!A:E,5,FALSE)</f>
        <v>In129</v>
      </c>
      <c r="U472">
        <f>VLOOKUP(Sheet2!R472,Nuclides!A:E,2,FALSE)</f>
        <v>80</v>
      </c>
      <c r="V472">
        <f>VLOOKUP(R472,Nuclides!A:E,3,FALSE)</f>
        <v>49</v>
      </c>
      <c r="W472" s="1">
        <f t="shared" si="28"/>
        <v>49791456000</v>
      </c>
      <c r="X472" t="s">
        <v>1368</v>
      </c>
      <c r="Z472" s="1">
        <v>49119</v>
      </c>
      <c r="AA472" s="1">
        <v>8.8994999999999997E-8</v>
      </c>
      <c r="AB472" t="str">
        <f>VLOOKUP(Z472,Nuclides!A:E,5,FALSE)</f>
        <v>In119</v>
      </c>
      <c r="AC472">
        <f>VLOOKUP(Sheet2!Z472,Nuclides!A:E,2,FALSE)</f>
        <v>70</v>
      </c>
      <c r="AD472">
        <f>VLOOKUP(Z472,Nuclides!A:E,3,FALSE)</f>
        <v>49</v>
      </c>
      <c r="AE472" s="1">
        <f t="shared" si="29"/>
        <v>1110657600</v>
      </c>
      <c r="AF472" t="s">
        <v>1358</v>
      </c>
    </row>
    <row r="473" spans="18:32" x14ac:dyDescent="0.2">
      <c r="R473" s="1">
        <v>49130</v>
      </c>
      <c r="S473" s="1">
        <v>2.80645E-6</v>
      </c>
      <c r="T473" t="str">
        <f>VLOOKUP(R473,Nuclides!A:E,5,FALSE)</f>
        <v>In130</v>
      </c>
      <c r="U473">
        <f>VLOOKUP(Sheet2!R473,Nuclides!A:E,2,FALSE)</f>
        <v>81</v>
      </c>
      <c r="V473">
        <f>VLOOKUP(R473,Nuclides!A:E,3,FALSE)</f>
        <v>49</v>
      </c>
      <c r="W473" s="1">
        <f t="shared" si="28"/>
        <v>35024496000</v>
      </c>
      <c r="X473" t="s">
        <v>1369</v>
      </c>
      <c r="Z473" s="1">
        <v>49120</v>
      </c>
      <c r="AA473" s="1">
        <v>2.11983E-7</v>
      </c>
      <c r="AB473" t="str">
        <f>VLOOKUP(Z473,Nuclides!A:E,5,FALSE)</f>
        <v>In120</v>
      </c>
      <c r="AC473">
        <f>VLOOKUP(Sheet2!Z473,Nuclides!A:E,2,FALSE)</f>
        <v>71</v>
      </c>
      <c r="AD473">
        <f>VLOOKUP(Z473,Nuclides!A:E,3,FALSE)</f>
        <v>49</v>
      </c>
      <c r="AE473" s="1">
        <f t="shared" si="29"/>
        <v>2645547840</v>
      </c>
      <c r="AF473" t="s">
        <v>1359</v>
      </c>
    </row>
    <row r="474" spans="18:32" x14ac:dyDescent="0.2">
      <c r="R474" s="1">
        <v>49131</v>
      </c>
      <c r="S474" s="1">
        <v>1.9545399999999999E-6</v>
      </c>
      <c r="T474" t="str">
        <f>VLOOKUP(R474,Nuclides!A:E,5,FALSE)</f>
        <v>In131</v>
      </c>
      <c r="U474">
        <f>VLOOKUP(Sheet2!R474,Nuclides!A:E,2,FALSE)</f>
        <v>82</v>
      </c>
      <c r="V474">
        <f>VLOOKUP(R474,Nuclides!A:E,3,FALSE)</f>
        <v>49</v>
      </c>
      <c r="W474" s="1">
        <f t="shared" si="28"/>
        <v>24392659200</v>
      </c>
      <c r="X474" t="s">
        <v>1370</v>
      </c>
      <c r="Z474" s="1">
        <v>49121</v>
      </c>
      <c r="AA474" s="1">
        <v>7.48745E-7</v>
      </c>
      <c r="AB474" t="str">
        <f>VLOOKUP(Z474,Nuclides!A:E,5,FALSE)</f>
        <v>In121</v>
      </c>
      <c r="AC474">
        <f>VLOOKUP(Sheet2!Z474,Nuclides!A:E,2,FALSE)</f>
        <v>72</v>
      </c>
      <c r="AD474">
        <f>VLOOKUP(Z474,Nuclides!A:E,3,FALSE)</f>
        <v>49</v>
      </c>
      <c r="AE474" s="1">
        <f t="shared" si="29"/>
        <v>9344337600</v>
      </c>
      <c r="AF474" t="s">
        <v>1360</v>
      </c>
    </row>
    <row r="475" spans="18:32" x14ac:dyDescent="0.2">
      <c r="R475" s="1">
        <v>49132</v>
      </c>
      <c r="S475" s="1">
        <v>5.43114E-7</v>
      </c>
      <c r="T475" t="str">
        <f>VLOOKUP(R475,Nuclides!A:E,5,FALSE)</f>
        <v>In132</v>
      </c>
      <c r="U475">
        <f>VLOOKUP(Sheet2!R475,Nuclides!A:E,2,FALSE)</f>
        <v>83</v>
      </c>
      <c r="V475">
        <f>VLOOKUP(R475,Nuclides!A:E,3,FALSE)</f>
        <v>49</v>
      </c>
      <c r="W475" s="1">
        <f t="shared" si="28"/>
        <v>6778062720</v>
      </c>
      <c r="X475" t="s">
        <v>1371</v>
      </c>
      <c r="Z475" s="1">
        <v>49122</v>
      </c>
      <c r="AA475" s="1">
        <v>1.18772E-6</v>
      </c>
      <c r="AB475" t="str">
        <f>VLOOKUP(Z475,Nuclides!A:E,5,FALSE)</f>
        <v>In122</v>
      </c>
      <c r="AC475">
        <f>VLOOKUP(Sheet2!Z475,Nuclides!A:E,2,FALSE)</f>
        <v>73</v>
      </c>
      <c r="AD475">
        <f>VLOOKUP(Z475,Nuclides!A:E,3,FALSE)</f>
        <v>49</v>
      </c>
      <c r="AE475" s="1">
        <f t="shared" si="29"/>
        <v>14822745600</v>
      </c>
      <c r="AF475" t="s">
        <v>1361</v>
      </c>
    </row>
    <row r="476" spans="18:32" x14ac:dyDescent="0.2">
      <c r="R476" s="1">
        <v>50103</v>
      </c>
      <c r="S476" s="1">
        <v>1.7791999999999999E-7</v>
      </c>
      <c r="T476" t="str">
        <f>VLOOKUP(R476,Nuclides!A:E,5,FALSE)</f>
        <v>Sn103</v>
      </c>
      <c r="U476">
        <f>VLOOKUP(Sheet2!R476,Nuclides!A:E,2,FALSE)</f>
        <v>53</v>
      </c>
      <c r="V476">
        <f>VLOOKUP(R476,Nuclides!A:E,3,FALSE)</f>
        <v>50</v>
      </c>
      <c r="W476" s="1">
        <f t="shared" si="28"/>
        <v>2220441600</v>
      </c>
      <c r="X476" t="s">
        <v>1380</v>
      </c>
      <c r="Z476" s="1">
        <v>49123</v>
      </c>
      <c r="AA476" s="1">
        <v>2.8019799999999999E-6</v>
      </c>
      <c r="AB476" t="str">
        <f>VLOOKUP(Z476,Nuclides!A:E,5,FALSE)</f>
        <v>In123</v>
      </c>
      <c r="AC476">
        <f>VLOOKUP(Sheet2!Z476,Nuclides!A:E,2,FALSE)</f>
        <v>74</v>
      </c>
      <c r="AD476">
        <f>VLOOKUP(Z476,Nuclides!A:E,3,FALSE)</f>
        <v>49</v>
      </c>
      <c r="AE476" s="1">
        <f t="shared" si="29"/>
        <v>34968710400</v>
      </c>
      <c r="AF476" t="s">
        <v>1362</v>
      </c>
    </row>
    <row r="477" spans="18:32" x14ac:dyDescent="0.2">
      <c r="R477" s="1">
        <v>50104</v>
      </c>
      <c r="S477" s="1">
        <v>3.5458400000000001E-8</v>
      </c>
      <c r="T477" t="str">
        <f>VLOOKUP(R477,Nuclides!A:E,5,FALSE)</f>
        <v>Sn104</v>
      </c>
      <c r="U477">
        <f>VLOOKUP(Sheet2!R477,Nuclides!A:E,2,FALSE)</f>
        <v>54</v>
      </c>
      <c r="V477">
        <f>VLOOKUP(R477,Nuclides!A:E,3,FALSE)</f>
        <v>50</v>
      </c>
      <c r="W477" s="1">
        <f t="shared" si="28"/>
        <v>442520832</v>
      </c>
      <c r="X477" t="s">
        <v>1381</v>
      </c>
      <c r="Z477" s="1">
        <v>49124</v>
      </c>
      <c r="AA477" s="1">
        <v>3.2506599999999998E-6</v>
      </c>
      <c r="AB477" t="str">
        <f>VLOOKUP(Z477,Nuclides!A:E,5,FALSE)</f>
        <v>In124</v>
      </c>
      <c r="AC477">
        <f>VLOOKUP(Sheet2!Z477,Nuclides!A:E,2,FALSE)</f>
        <v>75</v>
      </c>
      <c r="AD477">
        <f>VLOOKUP(Z477,Nuclides!A:E,3,FALSE)</f>
        <v>49</v>
      </c>
      <c r="AE477" s="1">
        <f t="shared" si="29"/>
        <v>40568236800</v>
      </c>
      <c r="AF477" t="s">
        <v>1363</v>
      </c>
    </row>
    <row r="478" spans="18:32" x14ac:dyDescent="0.2">
      <c r="R478" s="1">
        <v>50105</v>
      </c>
      <c r="S478" s="1">
        <v>5.6537999999999996E-9</v>
      </c>
      <c r="T478" t="str">
        <f>VLOOKUP(R478,Nuclides!A:E,5,FALSE)</f>
        <v>Sn105</v>
      </c>
      <c r="U478">
        <f>VLOOKUP(Sheet2!R478,Nuclides!A:E,2,FALSE)</f>
        <v>55</v>
      </c>
      <c r="V478">
        <f>VLOOKUP(R478,Nuclides!A:E,3,FALSE)</f>
        <v>50</v>
      </c>
      <c r="W478" s="1">
        <f t="shared" si="28"/>
        <v>70559424</v>
      </c>
      <c r="X478" t="s">
        <v>1382</v>
      </c>
      <c r="Z478" s="1">
        <v>49125</v>
      </c>
      <c r="AA478" s="1">
        <v>5.6286699999999996E-6</v>
      </c>
      <c r="AB478" t="str">
        <f>VLOOKUP(Z478,Nuclides!A:E,5,FALSE)</f>
        <v>In125</v>
      </c>
      <c r="AC478">
        <f>VLOOKUP(Sheet2!Z478,Nuclides!A:E,2,FALSE)</f>
        <v>76</v>
      </c>
      <c r="AD478">
        <f>VLOOKUP(Z478,Nuclides!A:E,3,FALSE)</f>
        <v>49</v>
      </c>
      <c r="AE478" s="1">
        <f t="shared" si="29"/>
        <v>70245801600</v>
      </c>
      <c r="AF478" t="s">
        <v>1364</v>
      </c>
    </row>
    <row r="479" spans="18:32" x14ac:dyDescent="0.2">
      <c r="R479" s="1">
        <v>50106</v>
      </c>
      <c r="S479" s="1">
        <v>6.9799999999999997E-10</v>
      </c>
      <c r="T479" t="str">
        <f>VLOOKUP(R479,Nuclides!A:E,5,FALSE)</f>
        <v>Sn106</v>
      </c>
      <c r="U479">
        <f>VLOOKUP(Sheet2!R479,Nuclides!A:E,2,FALSE)</f>
        <v>56</v>
      </c>
      <c r="V479">
        <f>VLOOKUP(R479,Nuclides!A:E,3,FALSE)</f>
        <v>50</v>
      </c>
      <c r="W479" s="1">
        <f t="shared" si="28"/>
        <v>8711040</v>
      </c>
      <c r="X479" t="s">
        <v>1383</v>
      </c>
      <c r="Z479" s="1">
        <v>49126</v>
      </c>
      <c r="AA479" s="1">
        <v>4.4563099999999999E-6</v>
      </c>
      <c r="AB479" t="str">
        <f>VLOOKUP(Z479,Nuclides!A:E,5,FALSE)</f>
        <v>In126</v>
      </c>
      <c r="AC479">
        <f>VLOOKUP(Sheet2!Z479,Nuclides!A:E,2,FALSE)</f>
        <v>77</v>
      </c>
      <c r="AD479">
        <f>VLOOKUP(Z479,Nuclides!A:E,3,FALSE)</f>
        <v>49</v>
      </c>
      <c r="AE479" s="1">
        <f t="shared" si="29"/>
        <v>55614748800</v>
      </c>
      <c r="AF479" t="s">
        <v>1365</v>
      </c>
    </row>
    <row r="480" spans="18:32" x14ac:dyDescent="0.2">
      <c r="R480" s="1">
        <v>50118</v>
      </c>
      <c r="S480" s="1">
        <v>4.1879999999999999E-10</v>
      </c>
      <c r="T480" t="str">
        <f>VLOOKUP(R480,Nuclides!A:E,5,FALSE)</f>
        <v>Sn118</v>
      </c>
      <c r="U480">
        <f>VLOOKUP(Sheet2!R480,Nuclides!A:E,2,FALSE)</f>
        <v>68</v>
      </c>
      <c r="V480">
        <f>VLOOKUP(R480,Nuclides!A:E,3,FALSE)</f>
        <v>50</v>
      </c>
      <c r="W480" s="1">
        <f t="shared" si="28"/>
        <v>5226624</v>
      </c>
      <c r="X480" t="s">
        <v>1394</v>
      </c>
      <c r="Z480" s="1">
        <v>49127</v>
      </c>
      <c r="AA480" s="1">
        <v>4.80734E-6</v>
      </c>
      <c r="AB480" t="str">
        <f>VLOOKUP(Z480,Nuclides!A:E,5,FALSE)</f>
        <v>In127</v>
      </c>
      <c r="AC480">
        <f>VLOOKUP(Sheet2!Z480,Nuclides!A:E,2,FALSE)</f>
        <v>78</v>
      </c>
      <c r="AD480">
        <f>VLOOKUP(Z480,Nuclides!A:E,3,FALSE)</f>
        <v>49</v>
      </c>
      <c r="AE480" s="1">
        <f t="shared" si="29"/>
        <v>59995603200</v>
      </c>
      <c r="AF480" t="s">
        <v>1366</v>
      </c>
    </row>
    <row r="481" spans="18:32" x14ac:dyDescent="0.2">
      <c r="R481" s="1">
        <v>50119</v>
      </c>
      <c r="S481" s="1">
        <v>1.6752E-9</v>
      </c>
      <c r="T481" t="str">
        <f>VLOOKUP(R481,Nuclides!A:E,5,FALSE)</f>
        <v>Sn119</v>
      </c>
      <c r="U481">
        <f>VLOOKUP(Sheet2!R481,Nuclides!A:E,2,FALSE)</f>
        <v>69</v>
      </c>
      <c r="V481">
        <f>VLOOKUP(R481,Nuclides!A:E,3,FALSE)</f>
        <v>50</v>
      </c>
      <c r="W481" s="1">
        <f t="shared" si="28"/>
        <v>20906496</v>
      </c>
      <c r="X481" t="s">
        <v>1395</v>
      </c>
      <c r="Z481" s="1">
        <v>49128</v>
      </c>
      <c r="AA481" s="1">
        <v>2.69951E-6</v>
      </c>
      <c r="AB481" t="str">
        <f>VLOOKUP(Z481,Nuclides!A:E,5,FALSE)</f>
        <v>In128</v>
      </c>
      <c r="AC481">
        <f>VLOOKUP(Sheet2!Z481,Nuclides!A:E,2,FALSE)</f>
        <v>79</v>
      </c>
      <c r="AD481">
        <f>VLOOKUP(Z481,Nuclides!A:E,3,FALSE)</f>
        <v>49</v>
      </c>
      <c r="AE481" s="1">
        <f t="shared" si="29"/>
        <v>33689884800</v>
      </c>
      <c r="AF481" t="s">
        <v>1367</v>
      </c>
    </row>
    <row r="482" spans="18:32" x14ac:dyDescent="0.2">
      <c r="R482" s="1">
        <v>50120</v>
      </c>
      <c r="S482" s="1">
        <v>1.0819000000000001E-8</v>
      </c>
      <c r="T482" t="str">
        <f>VLOOKUP(R482,Nuclides!A:E,5,FALSE)</f>
        <v>Sn120</v>
      </c>
      <c r="U482">
        <f>VLOOKUP(Sheet2!R482,Nuclides!A:E,2,FALSE)</f>
        <v>70</v>
      </c>
      <c r="V482">
        <f>VLOOKUP(R482,Nuclides!A:E,3,FALSE)</f>
        <v>50</v>
      </c>
      <c r="W482" s="1">
        <f t="shared" si="28"/>
        <v>135021120</v>
      </c>
      <c r="X482" t="s">
        <v>1396</v>
      </c>
      <c r="Z482" s="1">
        <v>49129</v>
      </c>
      <c r="AA482" s="1">
        <v>1.7629399999999999E-6</v>
      </c>
      <c r="AB482" t="str">
        <f>VLOOKUP(Z482,Nuclides!A:E,5,FALSE)</f>
        <v>In129</v>
      </c>
      <c r="AC482">
        <f>VLOOKUP(Sheet2!Z482,Nuclides!A:E,2,FALSE)</f>
        <v>80</v>
      </c>
      <c r="AD482">
        <f>VLOOKUP(Z482,Nuclides!A:E,3,FALSE)</f>
        <v>49</v>
      </c>
      <c r="AE482" s="1">
        <f t="shared" si="29"/>
        <v>22001491200</v>
      </c>
      <c r="AF482" t="s">
        <v>1368</v>
      </c>
    </row>
    <row r="483" spans="18:32" x14ac:dyDescent="0.2">
      <c r="R483" s="1">
        <v>50121</v>
      </c>
      <c r="S483" s="1">
        <v>3.3364400000000002E-8</v>
      </c>
      <c r="T483" t="str">
        <f>VLOOKUP(R483,Nuclides!A:E,5,FALSE)</f>
        <v>Sn121</v>
      </c>
      <c r="U483">
        <f>VLOOKUP(Sheet2!R483,Nuclides!A:E,2,FALSE)</f>
        <v>71</v>
      </c>
      <c r="V483">
        <f>VLOOKUP(R483,Nuclides!A:E,3,FALSE)</f>
        <v>50</v>
      </c>
      <c r="W483" s="1">
        <f t="shared" si="28"/>
        <v>416387712</v>
      </c>
      <c r="X483" t="s">
        <v>1397</v>
      </c>
      <c r="Z483" s="1">
        <v>49130</v>
      </c>
      <c r="AA483" s="1">
        <v>5.3222500000000002E-7</v>
      </c>
      <c r="AB483" t="str">
        <f>VLOOKUP(Z483,Nuclides!A:E,5,FALSE)</f>
        <v>In130</v>
      </c>
      <c r="AC483">
        <f>VLOOKUP(Sheet2!Z483,Nuclides!A:E,2,FALSE)</f>
        <v>81</v>
      </c>
      <c r="AD483">
        <f>VLOOKUP(Z483,Nuclides!A:E,3,FALSE)</f>
        <v>49</v>
      </c>
      <c r="AE483" s="1">
        <f t="shared" si="29"/>
        <v>6642168000</v>
      </c>
      <c r="AF483" t="s">
        <v>1369</v>
      </c>
    </row>
    <row r="484" spans="18:32" x14ac:dyDescent="0.2">
      <c r="R484" s="1">
        <v>50122</v>
      </c>
      <c r="S484" s="1">
        <v>1.41485E-7</v>
      </c>
      <c r="T484" t="str">
        <f>VLOOKUP(R484,Nuclides!A:E,5,FALSE)</f>
        <v>Sn122</v>
      </c>
      <c r="U484">
        <f>VLOOKUP(Sheet2!R484,Nuclides!A:E,2,FALSE)</f>
        <v>72</v>
      </c>
      <c r="V484">
        <f>VLOOKUP(R484,Nuclides!A:E,3,FALSE)</f>
        <v>50</v>
      </c>
      <c r="W484" s="1">
        <f t="shared" si="28"/>
        <v>1765732800</v>
      </c>
      <c r="X484" t="s">
        <v>1398</v>
      </c>
      <c r="Z484" s="1">
        <v>49131</v>
      </c>
      <c r="AA484" s="1">
        <v>8.7459399999999998E-8</v>
      </c>
      <c r="AB484" t="str">
        <f>VLOOKUP(Z484,Nuclides!A:E,5,FALSE)</f>
        <v>In131</v>
      </c>
      <c r="AC484">
        <f>VLOOKUP(Sheet2!Z484,Nuclides!A:E,2,FALSE)</f>
        <v>82</v>
      </c>
      <c r="AD484">
        <f>VLOOKUP(Z484,Nuclides!A:E,3,FALSE)</f>
        <v>49</v>
      </c>
      <c r="AE484" s="1">
        <f t="shared" si="29"/>
        <v>1091493312</v>
      </c>
      <c r="AF484" t="s">
        <v>1370</v>
      </c>
    </row>
    <row r="485" spans="18:32" x14ac:dyDescent="0.2">
      <c r="R485" s="1">
        <v>50123</v>
      </c>
      <c r="S485" s="1">
        <v>2.9993099999999999E-7</v>
      </c>
      <c r="T485" t="str">
        <f>VLOOKUP(R485,Nuclides!A:E,5,FALSE)</f>
        <v>Sn123</v>
      </c>
      <c r="U485">
        <f>VLOOKUP(Sheet2!R485,Nuclides!A:E,2,FALSE)</f>
        <v>73</v>
      </c>
      <c r="V485">
        <f>VLOOKUP(R485,Nuclides!A:E,3,FALSE)</f>
        <v>50</v>
      </c>
      <c r="W485" s="1">
        <f t="shared" si="28"/>
        <v>3743138880</v>
      </c>
      <c r="X485" t="s">
        <v>1399</v>
      </c>
      <c r="Z485" s="1">
        <v>50103</v>
      </c>
      <c r="AA485" s="1">
        <v>4.8092200000000002E-8</v>
      </c>
      <c r="AB485" t="str">
        <f>VLOOKUP(Z485,Nuclides!A:E,5,FALSE)</f>
        <v>Sn103</v>
      </c>
      <c r="AC485">
        <f>VLOOKUP(Sheet2!Z485,Nuclides!A:E,2,FALSE)</f>
        <v>53</v>
      </c>
      <c r="AD485">
        <f>VLOOKUP(Z485,Nuclides!A:E,3,FALSE)</f>
        <v>50</v>
      </c>
      <c r="AE485" s="1">
        <f t="shared" si="29"/>
        <v>600190656</v>
      </c>
      <c r="AF485" t="s">
        <v>1380</v>
      </c>
    </row>
    <row r="486" spans="18:32" x14ac:dyDescent="0.2">
      <c r="R486" s="1">
        <v>50124</v>
      </c>
      <c r="S486" s="1">
        <v>8.3606399999999999E-7</v>
      </c>
      <c r="T486" t="str">
        <f>VLOOKUP(R486,Nuclides!A:E,5,FALSE)</f>
        <v>Sn124</v>
      </c>
      <c r="U486">
        <f>VLOOKUP(Sheet2!R486,Nuclides!A:E,2,FALSE)</f>
        <v>74</v>
      </c>
      <c r="V486">
        <f>VLOOKUP(R486,Nuclides!A:E,3,FALSE)</f>
        <v>50</v>
      </c>
      <c r="W486" s="1">
        <f t="shared" si="28"/>
        <v>10434078720</v>
      </c>
      <c r="X486" t="s">
        <v>1400</v>
      </c>
      <c r="Z486" s="1">
        <v>50104</v>
      </c>
      <c r="AA486" s="1">
        <v>7.3987999999999997E-9</v>
      </c>
      <c r="AB486" t="str">
        <f>VLOOKUP(Z486,Nuclides!A:E,5,FALSE)</f>
        <v>Sn104</v>
      </c>
      <c r="AC486">
        <f>VLOOKUP(Sheet2!Z486,Nuclides!A:E,2,FALSE)</f>
        <v>54</v>
      </c>
      <c r="AD486">
        <f>VLOOKUP(Z486,Nuclides!A:E,3,FALSE)</f>
        <v>50</v>
      </c>
      <c r="AE486" s="1">
        <f t="shared" si="29"/>
        <v>92337024</v>
      </c>
      <c r="AF486" t="s">
        <v>1381</v>
      </c>
    </row>
    <row r="487" spans="18:32" x14ac:dyDescent="0.2">
      <c r="R487" s="1">
        <v>50125</v>
      </c>
      <c r="S487" s="1">
        <v>1.4695700000000001E-6</v>
      </c>
      <c r="T487" t="str">
        <f>VLOOKUP(R487,Nuclides!A:E,5,FALSE)</f>
        <v>Sn125</v>
      </c>
      <c r="U487">
        <f>VLOOKUP(Sheet2!R487,Nuclides!A:E,2,FALSE)</f>
        <v>75</v>
      </c>
      <c r="V487">
        <f>VLOOKUP(R487,Nuclides!A:E,3,FALSE)</f>
        <v>50</v>
      </c>
      <c r="W487" s="1">
        <f t="shared" si="28"/>
        <v>18340233600</v>
      </c>
      <c r="X487" t="s">
        <v>1401</v>
      </c>
      <c r="Z487" s="1">
        <v>50105</v>
      </c>
      <c r="AA487" s="1">
        <v>3.3503999999999999E-9</v>
      </c>
      <c r="AB487" t="str">
        <f>VLOOKUP(Z487,Nuclides!A:E,5,FALSE)</f>
        <v>Sn105</v>
      </c>
      <c r="AC487">
        <f>VLOOKUP(Sheet2!Z487,Nuclides!A:E,2,FALSE)</f>
        <v>55</v>
      </c>
      <c r="AD487">
        <f>VLOOKUP(Z487,Nuclides!A:E,3,FALSE)</f>
        <v>50</v>
      </c>
      <c r="AE487" s="1">
        <f t="shared" si="29"/>
        <v>41812992</v>
      </c>
      <c r="AF487" t="s">
        <v>1382</v>
      </c>
    </row>
    <row r="488" spans="18:32" x14ac:dyDescent="0.2">
      <c r="R488" s="1">
        <v>50126</v>
      </c>
      <c r="S488" s="1">
        <v>3.19907E-6</v>
      </c>
      <c r="T488" t="str">
        <f>VLOOKUP(R488,Nuclides!A:E,5,FALSE)</f>
        <v>Sn126</v>
      </c>
      <c r="U488">
        <f>VLOOKUP(Sheet2!R488,Nuclides!A:E,2,FALSE)</f>
        <v>76</v>
      </c>
      <c r="V488">
        <f>VLOOKUP(R488,Nuclides!A:E,3,FALSE)</f>
        <v>50</v>
      </c>
      <c r="W488" s="1">
        <f t="shared" si="28"/>
        <v>39924393600</v>
      </c>
      <c r="X488" t="s">
        <v>1402</v>
      </c>
      <c r="Z488" s="1">
        <v>50106</v>
      </c>
      <c r="AA488" s="1">
        <v>2.7919999999999998E-10</v>
      </c>
      <c r="AB488" t="str">
        <f>VLOOKUP(Z488,Nuclides!A:E,5,FALSE)</f>
        <v>Sn106</v>
      </c>
      <c r="AC488">
        <f>VLOOKUP(Sheet2!Z488,Nuclides!A:E,2,FALSE)</f>
        <v>56</v>
      </c>
      <c r="AD488">
        <f>VLOOKUP(Z488,Nuclides!A:E,3,FALSE)</f>
        <v>50</v>
      </c>
      <c r="AE488" s="1">
        <f t="shared" si="29"/>
        <v>3484415.9999999995</v>
      </c>
      <c r="AF488" t="s">
        <v>1383</v>
      </c>
    </row>
    <row r="489" spans="18:32" x14ac:dyDescent="0.2">
      <c r="R489" s="1">
        <v>50127</v>
      </c>
      <c r="S489" s="1">
        <v>5.3452799999999998E-6</v>
      </c>
      <c r="T489" t="str">
        <f>VLOOKUP(R489,Nuclides!A:E,5,FALSE)</f>
        <v>Sn127</v>
      </c>
      <c r="U489">
        <f>VLOOKUP(Sheet2!R489,Nuclides!A:E,2,FALSE)</f>
        <v>77</v>
      </c>
      <c r="V489">
        <f>VLOOKUP(R489,Nuclides!A:E,3,FALSE)</f>
        <v>50</v>
      </c>
      <c r="W489" s="1">
        <f t="shared" si="28"/>
        <v>66709094400</v>
      </c>
      <c r="X489" t="s">
        <v>1403</v>
      </c>
      <c r="Z489" s="1">
        <v>50107</v>
      </c>
      <c r="AA489" s="1">
        <v>6.9799999999999994E-11</v>
      </c>
      <c r="AB489" t="str">
        <f>VLOOKUP(Z489,Nuclides!A:E,5,FALSE)</f>
        <v>Sn107</v>
      </c>
      <c r="AC489">
        <f>VLOOKUP(Sheet2!Z489,Nuclides!A:E,2,FALSE)</f>
        <v>57</v>
      </c>
      <c r="AD489">
        <f>VLOOKUP(Z489,Nuclides!A:E,3,FALSE)</f>
        <v>50</v>
      </c>
      <c r="AE489" s="1">
        <f t="shared" si="29"/>
        <v>871103.99999999988</v>
      </c>
      <c r="AF489" t="s">
        <v>1384</v>
      </c>
    </row>
    <row r="490" spans="18:32" x14ac:dyDescent="0.2">
      <c r="R490" s="1">
        <v>50128</v>
      </c>
      <c r="S490" s="1">
        <v>1.02392E-5</v>
      </c>
      <c r="T490" t="str">
        <f>VLOOKUP(R490,Nuclides!A:E,5,FALSE)</f>
        <v>Sn128</v>
      </c>
      <c r="U490">
        <f>VLOOKUP(Sheet2!R490,Nuclides!A:E,2,FALSE)</f>
        <v>78</v>
      </c>
      <c r="V490">
        <f>VLOOKUP(R490,Nuclides!A:E,3,FALSE)</f>
        <v>50</v>
      </c>
      <c r="W490" s="1">
        <f t="shared" si="28"/>
        <v>127785216000</v>
      </c>
      <c r="X490" t="s">
        <v>1404</v>
      </c>
      <c r="Z490" s="1">
        <v>50108</v>
      </c>
      <c r="AA490" s="1">
        <v>6.9799999999999994E-11</v>
      </c>
      <c r="AB490" t="str">
        <f>VLOOKUP(Z490,Nuclides!A:E,5,FALSE)</f>
        <v>Sn108</v>
      </c>
      <c r="AC490">
        <f>VLOOKUP(Sheet2!Z490,Nuclides!A:E,2,FALSE)</f>
        <v>58</v>
      </c>
      <c r="AD490">
        <f>VLOOKUP(Z490,Nuclides!A:E,3,FALSE)</f>
        <v>50</v>
      </c>
      <c r="AE490" s="1">
        <f t="shared" si="29"/>
        <v>871103.99999999988</v>
      </c>
      <c r="AF490" t="s">
        <v>1385</v>
      </c>
    </row>
    <row r="491" spans="18:32" x14ac:dyDescent="0.2">
      <c r="R491" s="1">
        <v>50129</v>
      </c>
      <c r="S491" s="1">
        <v>1.5143000000000001E-5</v>
      </c>
      <c r="T491" t="str">
        <f>VLOOKUP(R491,Nuclides!A:E,5,FALSE)</f>
        <v>Sn129</v>
      </c>
      <c r="U491">
        <f>VLOOKUP(Sheet2!R491,Nuclides!A:E,2,FALSE)</f>
        <v>79</v>
      </c>
      <c r="V491">
        <f>VLOOKUP(R491,Nuclides!A:E,3,FALSE)</f>
        <v>50</v>
      </c>
      <c r="W491" s="1">
        <f t="shared" si="28"/>
        <v>188984640000</v>
      </c>
      <c r="X491" t="s">
        <v>1405</v>
      </c>
      <c r="Z491" s="1">
        <v>50118</v>
      </c>
      <c r="AA491" s="1">
        <v>2.094E-10</v>
      </c>
      <c r="AB491" t="str">
        <f>VLOOKUP(Z491,Nuclides!A:E,5,FALSE)</f>
        <v>Sn118</v>
      </c>
      <c r="AC491">
        <f>VLOOKUP(Sheet2!Z491,Nuclides!A:E,2,FALSE)</f>
        <v>68</v>
      </c>
      <c r="AD491">
        <f>VLOOKUP(Z491,Nuclides!A:E,3,FALSE)</f>
        <v>50</v>
      </c>
      <c r="AE491" s="1">
        <f t="shared" si="29"/>
        <v>2613312</v>
      </c>
      <c r="AF491" t="s">
        <v>1394</v>
      </c>
    </row>
    <row r="492" spans="18:32" x14ac:dyDescent="0.2">
      <c r="R492" s="1">
        <v>50130</v>
      </c>
      <c r="S492" s="1">
        <v>2.2957200000000001E-5</v>
      </c>
      <c r="T492" t="str">
        <f>VLOOKUP(R492,Nuclides!A:E,5,FALSE)</f>
        <v>Sn130</v>
      </c>
      <c r="U492">
        <f>VLOOKUP(Sheet2!R492,Nuclides!A:E,2,FALSE)</f>
        <v>80</v>
      </c>
      <c r="V492">
        <f>VLOOKUP(R492,Nuclides!A:E,3,FALSE)</f>
        <v>50</v>
      </c>
      <c r="W492" s="1">
        <f t="shared" si="28"/>
        <v>286505856000</v>
      </c>
      <c r="X492" t="s">
        <v>1406</v>
      </c>
      <c r="Z492" s="1">
        <v>50119</v>
      </c>
      <c r="AA492" s="1">
        <v>8.3759999999999998E-10</v>
      </c>
      <c r="AB492" t="str">
        <f>VLOOKUP(Z492,Nuclides!A:E,5,FALSE)</f>
        <v>Sn119</v>
      </c>
      <c r="AC492">
        <f>VLOOKUP(Sheet2!Z492,Nuclides!A:E,2,FALSE)</f>
        <v>69</v>
      </c>
      <c r="AD492">
        <f>VLOOKUP(Z492,Nuclides!A:E,3,FALSE)</f>
        <v>50</v>
      </c>
      <c r="AE492" s="1">
        <f t="shared" si="29"/>
        <v>10453248</v>
      </c>
      <c r="AF492" t="s">
        <v>1395</v>
      </c>
    </row>
    <row r="493" spans="18:32" x14ac:dyDescent="0.2">
      <c r="R493" s="1">
        <v>50131</v>
      </c>
      <c r="S493" s="1">
        <v>2.2952800000000002E-5</v>
      </c>
      <c r="T493" t="str">
        <f>VLOOKUP(R493,Nuclides!A:E,5,FALSE)</f>
        <v>Sn131</v>
      </c>
      <c r="U493">
        <f>VLOOKUP(Sheet2!R493,Nuclides!A:E,2,FALSE)</f>
        <v>81</v>
      </c>
      <c r="V493">
        <f>VLOOKUP(R493,Nuclides!A:E,3,FALSE)</f>
        <v>50</v>
      </c>
      <c r="W493" s="1">
        <f t="shared" si="28"/>
        <v>286450944000</v>
      </c>
      <c r="X493" t="s">
        <v>1407</v>
      </c>
      <c r="Z493" s="1">
        <v>50120</v>
      </c>
      <c r="AA493" s="1">
        <v>1.47278E-8</v>
      </c>
      <c r="AB493" t="str">
        <f>VLOOKUP(Z493,Nuclides!A:E,5,FALSE)</f>
        <v>Sn120</v>
      </c>
      <c r="AC493">
        <f>VLOOKUP(Sheet2!Z493,Nuclides!A:E,2,FALSE)</f>
        <v>70</v>
      </c>
      <c r="AD493">
        <f>VLOOKUP(Z493,Nuclides!A:E,3,FALSE)</f>
        <v>50</v>
      </c>
      <c r="AE493" s="1">
        <f t="shared" si="29"/>
        <v>183802944</v>
      </c>
      <c r="AF493" t="s">
        <v>1396</v>
      </c>
    </row>
    <row r="494" spans="18:32" x14ac:dyDescent="0.2">
      <c r="R494" s="1">
        <v>50132</v>
      </c>
      <c r="S494" s="1">
        <v>2.00485E-5</v>
      </c>
      <c r="T494" t="str">
        <f>VLOOKUP(R494,Nuclides!A:E,5,FALSE)</f>
        <v>Sn132</v>
      </c>
      <c r="U494">
        <f>VLOOKUP(Sheet2!R494,Nuclides!A:E,2,FALSE)</f>
        <v>82</v>
      </c>
      <c r="V494">
        <f>VLOOKUP(R494,Nuclides!A:E,3,FALSE)</f>
        <v>50</v>
      </c>
      <c r="W494" s="1">
        <f t="shared" si="28"/>
        <v>250205280000</v>
      </c>
      <c r="X494" t="s">
        <v>1408</v>
      </c>
      <c r="Z494" s="1">
        <v>50121</v>
      </c>
      <c r="AA494" s="1">
        <v>4.2647800000000002E-8</v>
      </c>
      <c r="AB494" t="str">
        <f>VLOOKUP(Z494,Nuclides!A:E,5,FALSE)</f>
        <v>Sn121</v>
      </c>
      <c r="AC494">
        <f>VLOOKUP(Sheet2!Z494,Nuclides!A:E,2,FALSE)</f>
        <v>71</v>
      </c>
      <c r="AD494">
        <f>VLOOKUP(Z494,Nuclides!A:E,3,FALSE)</f>
        <v>50</v>
      </c>
      <c r="AE494" s="1">
        <f t="shared" si="29"/>
        <v>532244544</v>
      </c>
      <c r="AF494" t="s">
        <v>1397</v>
      </c>
    </row>
    <row r="495" spans="18:32" x14ac:dyDescent="0.2">
      <c r="R495" s="1">
        <v>50133</v>
      </c>
      <c r="S495" s="1">
        <v>7.7809599999999994E-6</v>
      </c>
      <c r="T495" t="str">
        <f>VLOOKUP(R495,Nuclides!A:E,5,FALSE)</f>
        <v>Sn133</v>
      </c>
      <c r="U495">
        <f>VLOOKUP(Sheet2!R495,Nuclides!A:E,2,FALSE)</f>
        <v>83</v>
      </c>
      <c r="V495">
        <f>VLOOKUP(R495,Nuclides!A:E,3,FALSE)</f>
        <v>50</v>
      </c>
      <c r="W495" s="1">
        <f t="shared" si="28"/>
        <v>97106380800</v>
      </c>
      <c r="X495" t="s">
        <v>1409</v>
      </c>
      <c r="Z495" s="1">
        <v>50122</v>
      </c>
      <c r="AA495" s="1">
        <v>2.5693400000000002E-7</v>
      </c>
      <c r="AB495" t="str">
        <f>VLOOKUP(Z495,Nuclides!A:E,5,FALSE)</f>
        <v>Sn122</v>
      </c>
      <c r="AC495">
        <f>VLOOKUP(Sheet2!Z495,Nuclides!A:E,2,FALSE)</f>
        <v>72</v>
      </c>
      <c r="AD495">
        <f>VLOOKUP(Z495,Nuclides!A:E,3,FALSE)</f>
        <v>50</v>
      </c>
      <c r="AE495" s="1">
        <f t="shared" si="29"/>
        <v>3206536320</v>
      </c>
      <c r="AF495" t="s">
        <v>1398</v>
      </c>
    </row>
    <row r="496" spans="18:32" x14ac:dyDescent="0.2">
      <c r="R496" s="1">
        <v>50134</v>
      </c>
      <c r="S496" s="1">
        <v>2.86354E-6</v>
      </c>
      <c r="T496" t="str">
        <f>VLOOKUP(R496,Nuclides!A:E,5,FALSE)</f>
        <v>Sn134</v>
      </c>
      <c r="U496">
        <f>VLOOKUP(Sheet2!R496,Nuclides!A:E,2,FALSE)</f>
        <v>84</v>
      </c>
      <c r="V496">
        <f>VLOOKUP(R496,Nuclides!A:E,3,FALSE)</f>
        <v>50</v>
      </c>
      <c r="W496" s="1">
        <f t="shared" si="28"/>
        <v>35736979200</v>
      </c>
      <c r="X496" t="s">
        <v>1410</v>
      </c>
      <c r="Z496" s="1">
        <v>50123</v>
      </c>
      <c r="AA496" s="1">
        <v>5.71034E-7</v>
      </c>
      <c r="AB496" t="str">
        <f>VLOOKUP(Z496,Nuclides!A:E,5,FALSE)</f>
        <v>Sn123</v>
      </c>
      <c r="AC496">
        <f>VLOOKUP(Sheet2!Z496,Nuclides!A:E,2,FALSE)</f>
        <v>73</v>
      </c>
      <c r="AD496">
        <f>VLOOKUP(Z496,Nuclides!A:E,3,FALSE)</f>
        <v>50</v>
      </c>
      <c r="AE496" s="1">
        <f t="shared" si="29"/>
        <v>7126504320</v>
      </c>
      <c r="AF496" t="s">
        <v>1399</v>
      </c>
    </row>
    <row r="497" spans="18:32" x14ac:dyDescent="0.2">
      <c r="R497" s="1">
        <v>51108</v>
      </c>
      <c r="S497" s="1">
        <v>5.9937300000000003E-7</v>
      </c>
      <c r="T497" t="str">
        <f>VLOOKUP(R497,Nuclides!A:E,5,FALSE)</f>
        <v>Sb108</v>
      </c>
      <c r="U497">
        <f>VLOOKUP(Sheet2!R497,Nuclides!A:E,2,FALSE)</f>
        <v>57</v>
      </c>
      <c r="V497">
        <f>VLOOKUP(R497,Nuclides!A:E,3,FALSE)</f>
        <v>51</v>
      </c>
      <c r="W497" s="1">
        <f t="shared" si="28"/>
        <v>7480175040</v>
      </c>
      <c r="X497" t="s">
        <v>1421</v>
      </c>
      <c r="Z497" s="1">
        <v>50124</v>
      </c>
      <c r="AA497" s="1">
        <v>2.1162000000000002E-6</v>
      </c>
      <c r="AB497" t="str">
        <f>VLOOKUP(Z497,Nuclides!A:E,5,FALSE)</f>
        <v>Sn124</v>
      </c>
      <c r="AC497">
        <f>VLOOKUP(Sheet2!Z497,Nuclides!A:E,2,FALSE)</f>
        <v>74</v>
      </c>
      <c r="AD497">
        <f>VLOOKUP(Z497,Nuclides!A:E,3,FALSE)</f>
        <v>50</v>
      </c>
      <c r="AE497" s="1">
        <f t="shared" si="29"/>
        <v>26410176000.000004</v>
      </c>
      <c r="AF497" t="s">
        <v>1400</v>
      </c>
    </row>
    <row r="498" spans="18:32" x14ac:dyDescent="0.2">
      <c r="R498" s="1">
        <v>51109</v>
      </c>
      <c r="S498" s="1">
        <v>1.1126100000000001E-7</v>
      </c>
      <c r="T498" t="str">
        <f>VLOOKUP(R498,Nuclides!A:E,5,FALSE)</f>
        <v>Sb109</v>
      </c>
      <c r="U498">
        <f>VLOOKUP(Sheet2!R498,Nuclides!A:E,2,FALSE)</f>
        <v>58</v>
      </c>
      <c r="V498">
        <f>VLOOKUP(R498,Nuclides!A:E,3,FALSE)</f>
        <v>51</v>
      </c>
      <c r="W498" s="1">
        <f t="shared" si="28"/>
        <v>1388537280</v>
      </c>
      <c r="X498" t="s">
        <v>1422</v>
      </c>
      <c r="Z498" s="1">
        <v>50125</v>
      </c>
      <c r="AA498" s="1">
        <v>3.0897700000000001E-6</v>
      </c>
      <c r="AB498" t="str">
        <f>VLOOKUP(Z498,Nuclides!A:E,5,FALSE)</f>
        <v>Sn125</v>
      </c>
      <c r="AC498">
        <f>VLOOKUP(Sheet2!Z498,Nuclides!A:E,2,FALSE)</f>
        <v>75</v>
      </c>
      <c r="AD498">
        <f>VLOOKUP(Z498,Nuclides!A:E,3,FALSE)</f>
        <v>50</v>
      </c>
      <c r="AE498" s="1">
        <f t="shared" si="29"/>
        <v>38560329600</v>
      </c>
      <c r="AF498" t="s">
        <v>1401</v>
      </c>
    </row>
    <row r="499" spans="18:32" x14ac:dyDescent="0.2">
      <c r="R499" s="1">
        <v>51110</v>
      </c>
      <c r="S499" s="1">
        <v>1.34016E-8</v>
      </c>
      <c r="T499" t="str">
        <f>VLOOKUP(R499,Nuclides!A:E,5,FALSE)</f>
        <v>Sb110</v>
      </c>
      <c r="U499">
        <f>VLOOKUP(Sheet2!R499,Nuclides!A:E,2,FALSE)</f>
        <v>59</v>
      </c>
      <c r="V499">
        <f>VLOOKUP(R499,Nuclides!A:E,3,FALSE)</f>
        <v>51</v>
      </c>
      <c r="W499" s="1">
        <f t="shared" si="28"/>
        <v>167251968</v>
      </c>
      <c r="X499" t="s">
        <v>1423</v>
      </c>
      <c r="Z499" s="1">
        <v>50126</v>
      </c>
      <c r="AA499" s="1">
        <v>7.5391000000000004E-6</v>
      </c>
      <c r="AB499" t="str">
        <f>VLOOKUP(Z499,Nuclides!A:E,5,FALSE)</f>
        <v>Sn126</v>
      </c>
      <c r="AC499">
        <f>VLOOKUP(Sheet2!Z499,Nuclides!A:E,2,FALSE)</f>
        <v>76</v>
      </c>
      <c r="AD499">
        <f>VLOOKUP(Z499,Nuclides!A:E,3,FALSE)</f>
        <v>50</v>
      </c>
      <c r="AE499" s="1">
        <f t="shared" si="29"/>
        <v>94087968000</v>
      </c>
      <c r="AF499" t="s">
        <v>1402</v>
      </c>
    </row>
    <row r="500" spans="18:32" x14ac:dyDescent="0.2">
      <c r="R500" s="1">
        <v>51111</v>
      </c>
      <c r="S500" s="1">
        <v>1.6054000000000001E-9</v>
      </c>
      <c r="T500" t="str">
        <f>VLOOKUP(R500,Nuclides!A:E,5,FALSE)</f>
        <v>Sb111</v>
      </c>
      <c r="U500">
        <f>VLOOKUP(Sheet2!R500,Nuclides!A:E,2,FALSE)</f>
        <v>60</v>
      </c>
      <c r="V500">
        <f>VLOOKUP(R500,Nuclides!A:E,3,FALSE)</f>
        <v>51</v>
      </c>
      <c r="W500" s="1">
        <f t="shared" si="28"/>
        <v>20035392</v>
      </c>
      <c r="X500" t="s">
        <v>1424</v>
      </c>
      <c r="Z500" s="1">
        <v>50127</v>
      </c>
      <c r="AA500" s="1">
        <v>7.5761600000000002E-6</v>
      </c>
      <c r="AB500" t="str">
        <f>VLOOKUP(Z500,Nuclides!A:E,5,FALSE)</f>
        <v>Sn127</v>
      </c>
      <c r="AC500">
        <f>VLOOKUP(Sheet2!Z500,Nuclides!A:E,2,FALSE)</f>
        <v>77</v>
      </c>
      <c r="AD500">
        <f>VLOOKUP(Z500,Nuclides!A:E,3,FALSE)</f>
        <v>50</v>
      </c>
      <c r="AE500" s="1">
        <f t="shared" si="29"/>
        <v>94550476800</v>
      </c>
      <c r="AF500" t="s">
        <v>1403</v>
      </c>
    </row>
    <row r="501" spans="18:32" x14ac:dyDescent="0.2">
      <c r="R501" s="1">
        <v>51119</v>
      </c>
      <c r="S501" s="1">
        <v>1.3959999999999999E-10</v>
      </c>
      <c r="T501" t="str">
        <f>VLOOKUP(R501,Nuclides!A:E,5,FALSE)</f>
        <v>Sb119</v>
      </c>
      <c r="U501">
        <f>VLOOKUP(Sheet2!R501,Nuclides!A:E,2,FALSE)</f>
        <v>68</v>
      </c>
      <c r="V501">
        <f>VLOOKUP(R501,Nuclides!A:E,3,FALSE)</f>
        <v>51</v>
      </c>
      <c r="W501" s="1">
        <f t="shared" si="28"/>
        <v>1742207.9999999998</v>
      </c>
      <c r="X501" t="s">
        <v>1432</v>
      </c>
      <c r="Z501" s="1">
        <v>50128</v>
      </c>
      <c r="AA501" s="1">
        <v>1.1311000000000001E-5</v>
      </c>
      <c r="AB501" t="str">
        <f>VLOOKUP(Z501,Nuclides!A:E,5,FALSE)</f>
        <v>Sn128</v>
      </c>
      <c r="AC501">
        <f>VLOOKUP(Sheet2!Z501,Nuclides!A:E,2,FALSE)</f>
        <v>78</v>
      </c>
      <c r="AD501">
        <f>VLOOKUP(Z501,Nuclides!A:E,3,FALSE)</f>
        <v>50</v>
      </c>
      <c r="AE501" s="1">
        <f t="shared" si="29"/>
        <v>141161280000</v>
      </c>
      <c r="AF501" t="s">
        <v>1404</v>
      </c>
    </row>
    <row r="502" spans="18:32" x14ac:dyDescent="0.2">
      <c r="R502" s="1">
        <v>51120</v>
      </c>
      <c r="S502" s="1">
        <v>4.8860000000000005E-10</v>
      </c>
      <c r="T502" t="str">
        <f>VLOOKUP(R502,Nuclides!A:E,5,FALSE)</f>
        <v>Sb120</v>
      </c>
      <c r="U502">
        <f>VLOOKUP(Sheet2!R502,Nuclides!A:E,2,FALSE)</f>
        <v>69</v>
      </c>
      <c r="V502">
        <f>VLOOKUP(R502,Nuclides!A:E,3,FALSE)</f>
        <v>51</v>
      </c>
      <c r="W502" s="1">
        <f t="shared" si="28"/>
        <v>6097728.0000000009</v>
      </c>
      <c r="X502" t="s">
        <v>1433</v>
      </c>
      <c r="Z502" s="1">
        <v>50129</v>
      </c>
      <c r="AA502" s="1">
        <v>7.2390999999999999E-6</v>
      </c>
      <c r="AB502" t="str">
        <f>VLOOKUP(Z502,Nuclides!A:E,5,FALSE)</f>
        <v>Sn129</v>
      </c>
      <c r="AC502">
        <f>VLOOKUP(Sheet2!Z502,Nuclides!A:E,2,FALSE)</f>
        <v>79</v>
      </c>
      <c r="AD502">
        <f>VLOOKUP(Z502,Nuclides!A:E,3,FALSE)</f>
        <v>50</v>
      </c>
      <c r="AE502" s="1">
        <f t="shared" si="29"/>
        <v>90343968000</v>
      </c>
      <c r="AF502" t="s">
        <v>1405</v>
      </c>
    </row>
    <row r="503" spans="18:32" x14ac:dyDescent="0.2">
      <c r="R503" s="1">
        <v>51121</v>
      </c>
      <c r="S503" s="1">
        <v>1.2563999999999999E-9</v>
      </c>
      <c r="T503" t="str">
        <f>VLOOKUP(R503,Nuclides!A:E,5,FALSE)</f>
        <v>Sb121</v>
      </c>
      <c r="U503">
        <f>VLOOKUP(Sheet2!R503,Nuclides!A:E,2,FALSE)</f>
        <v>70</v>
      </c>
      <c r="V503">
        <f>VLOOKUP(R503,Nuclides!A:E,3,FALSE)</f>
        <v>51</v>
      </c>
      <c r="W503" s="1">
        <f t="shared" si="28"/>
        <v>15679871.999999998</v>
      </c>
      <c r="X503" t="s">
        <v>1434</v>
      </c>
      <c r="Z503" s="1">
        <v>50130</v>
      </c>
      <c r="AA503" s="1">
        <v>7.3581099999999998E-6</v>
      </c>
      <c r="AB503" t="str">
        <f>VLOOKUP(Z503,Nuclides!A:E,5,FALSE)</f>
        <v>Sn130</v>
      </c>
      <c r="AC503">
        <f>VLOOKUP(Sheet2!Z503,Nuclides!A:E,2,FALSE)</f>
        <v>80</v>
      </c>
      <c r="AD503">
        <f>VLOOKUP(Z503,Nuclides!A:E,3,FALSE)</f>
        <v>50</v>
      </c>
      <c r="AE503" s="1">
        <f t="shared" si="29"/>
        <v>91829212800</v>
      </c>
      <c r="AF503" t="s">
        <v>1406</v>
      </c>
    </row>
    <row r="504" spans="18:32" x14ac:dyDescent="0.2">
      <c r="R504" s="1">
        <v>51122</v>
      </c>
      <c r="S504" s="1">
        <v>5.3746E-9</v>
      </c>
      <c r="T504" t="str">
        <f>VLOOKUP(R504,Nuclides!A:E,5,FALSE)</f>
        <v>Sb122</v>
      </c>
      <c r="U504">
        <f>VLOOKUP(Sheet2!R504,Nuclides!A:E,2,FALSE)</f>
        <v>71</v>
      </c>
      <c r="V504">
        <f>VLOOKUP(R504,Nuclides!A:E,3,FALSE)</f>
        <v>51</v>
      </c>
      <c r="W504" s="1">
        <f t="shared" si="28"/>
        <v>67075008</v>
      </c>
      <c r="X504" t="s">
        <v>1435</v>
      </c>
      <c r="Z504" s="1">
        <v>50131</v>
      </c>
      <c r="AA504" s="1">
        <v>2.7944400000000001E-6</v>
      </c>
      <c r="AB504" t="str">
        <f>VLOOKUP(Z504,Nuclides!A:E,5,FALSE)</f>
        <v>Sn131</v>
      </c>
      <c r="AC504">
        <f>VLOOKUP(Sheet2!Z504,Nuclides!A:E,2,FALSE)</f>
        <v>81</v>
      </c>
      <c r="AD504">
        <f>VLOOKUP(Z504,Nuclides!A:E,3,FALSE)</f>
        <v>50</v>
      </c>
      <c r="AE504" s="1">
        <f t="shared" si="29"/>
        <v>34874611200</v>
      </c>
      <c r="AF504" t="s">
        <v>1407</v>
      </c>
    </row>
    <row r="505" spans="18:32" x14ac:dyDescent="0.2">
      <c r="R505" s="1">
        <v>51123</v>
      </c>
      <c r="S505" s="1">
        <v>2.6314599999999999E-8</v>
      </c>
      <c r="T505" t="str">
        <f>VLOOKUP(R505,Nuclides!A:E,5,FALSE)</f>
        <v>Sb123</v>
      </c>
      <c r="U505">
        <f>VLOOKUP(Sheet2!R505,Nuclides!A:E,2,FALSE)</f>
        <v>72</v>
      </c>
      <c r="V505">
        <f>VLOOKUP(R505,Nuclides!A:E,3,FALSE)</f>
        <v>51</v>
      </c>
      <c r="W505" s="1">
        <f t="shared" si="28"/>
        <v>328406208</v>
      </c>
      <c r="X505" t="s">
        <v>1436</v>
      </c>
      <c r="Z505" s="1">
        <v>50132</v>
      </c>
      <c r="AA505" s="1">
        <v>1.12671E-6</v>
      </c>
      <c r="AB505" t="str">
        <f>VLOOKUP(Z505,Nuclides!A:E,5,FALSE)</f>
        <v>Sn132</v>
      </c>
      <c r="AC505">
        <f>VLOOKUP(Sheet2!Z505,Nuclides!A:E,2,FALSE)</f>
        <v>82</v>
      </c>
      <c r="AD505">
        <f>VLOOKUP(Z505,Nuclides!A:E,3,FALSE)</f>
        <v>50</v>
      </c>
      <c r="AE505" s="1">
        <f t="shared" si="29"/>
        <v>14061340800</v>
      </c>
      <c r="AF505" t="s">
        <v>1408</v>
      </c>
    </row>
    <row r="506" spans="18:32" x14ac:dyDescent="0.2">
      <c r="R506" s="1">
        <v>51124</v>
      </c>
      <c r="S506" s="1">
        <v>7.28014E-8</v>
      </c>
      <c r="T506" t="str">
        <f>VLOOKUP(R506,Nuclides!A:E,5,FALSE)</f>
        <v>Sb124</v>
      </c>
      <c r="U506">
        <f>VLOOKUP(Sheet2!R506,Nuclides!A:E,2,FALSE)</f>
        <v>73</v>
      </c>
      <c r="V506">
        <f>VLOOKUP(R506,Nuclides!A:E,3,FALSE)</f>
        <v>51</v>
      </c>
      <c r="W506" s="1">
        <f t="shared" si="28"/>
        <v>908561472</v>
      </c>
      <c r="X506" t="s">
        <v>1437</v>
      </c>
      <c r="Z506" s="1">
        <v>50133</v>
      </c>
      <c r="AA506" s="1">
        <v>2.6872999999999999E-8</v>
      </c>
      <c r="AB506" t="str">
        <f>VLOOKUP(Z506,Nuclides!A:E,5,FALSE)</f>
        <v>Sn133</v>
      </c>
      <c r="AC506">
        <f>VLOOKUP(Sheet2!Z506,Nuclides!A:E,2,FALSE)</f>
        <v>83</v>
      </c>
      <c r="AD506">
        <f>VLOOKUP(Z506,Nuclides!A:E,3,FALSE)</f>
        <v>50</v>
      </c>
      <c r="AE506" s="1">
        <f t="shared" si="29"/>
        <v>335375040</v>
      </c>
      <c r="AF506" t="s">
        <v>1409</v>
      </c>
    </row>
    <row r="507" spans="18:32" x14ac:dyDescent="0.2">
      <c r="R507" s="1">
        <v>51125</v>
      </c>
      <c r="S507" s="1">
        <v>2.6831100000000003E-7</v>
      </c>
      <c r="T507" t="str">
        <f>VLOOKUP(R507,Nuclides!A:E,5,FALSE)</f>
        <v>Sb125</v>
      </c>
      <c r="U507">
        <f>VLOOKUP(Sheet2!R507,Nuclides!A:E,2,FALSE)</f>
        <v>74</v>
      </c>
      <c r="V507">
        <f>VLOOKUP(R507,Nuclides!A:E,3,FALSE)</f>
        <v>51</v>
      </c>
      <c r="W507" s="1">
        <f t="shared" si="28"/>
        <v>3348521280.0000005</v>
      </c>
      <c r="X507" t="s">
        <v>1438</v>
      </c>
      <c r="Z507" s="1">
        <v>50134</v>
      </c>
      <c r="AA507" s="1">
        <v>1.3959999999999999E-10</v>
      </c>
      <c r="AB507" t="str">
        <f>VLOOKUP(Z507,Nuclides!A:E,5,FALSE)</f>
        <v>Sn134</v>
      </c>
      <c r="AC507">
        <f>VLOOKUP(Sheet2!Z507,Nuclides!A:E,2,FALSE)</f>
        <v>84</v>
      </c>
      <c r="AD507">
        <f>VLOOKUP(Z507,Nuclides!A:E,3,FALSE)</f>
        <v>50</v>
      </c>
      <c r="AE507" s="1">
        <f t="shared" si="29"/>
        <v>1742207.9999999998</v>
      </c>
      <c r="AF507" t="s">
        <v>1410</v>
      </c>
    </row>
    <row r="508" spans="18:32" x14ac:dyDescent="0.2">
      <c r="R508" s="1">
        <v>51126</v>
      </c>
      <c r="S508" s="1">
        <v>5.6084300000000001E-7</v>
      </c>
      <c r="T508" t="str">
        <f>VLOOKUP(R508,Nuclides!A:E,5,FALSE)</f>
        <v>Sb126</v>
      </c>
      <c r="U508">
        <f>VLOOKUP(Sheet2!R508,Nuclides!A:E,2,FALSE)</f>
        <v>75</v>
      </c>
      <c r="V508">
        <f>VLOOKUP(R508,Nuclides!A:E,3,FALSE)</f>
        <v>51</v>
      </c>
      <c r="W508" s="1">
        <f t="shared" si="28"/>
        <v>6999320640</v>
      </c>
      <c r="X508" t="s">
        <v>1439</v>
      </c>
      <c r="Z508" s="1">
        <v>51108</v>
      </c>
      <c r="AA508" s="1">
        <v>8.0339800000000006E-8</v>
      </c>
      <c r="AB508" t="str">
        <f>VLOOKUP(Z508,Nuclides!A:E,5,FALSE)</f>
        <v>Sb108</v>
      </c>
      <c r="AC508">
        <f>VLOOKUP(Sheet2!Z508,Nuclides!A:E,2,FALSE)</f>
        <v>57</v>
      </c>
      <c r="AD508">
        <f>VLOOKUP(Z508,Nuclides!A:E,3,FALSE)</f>
        <v>51</v>
      </c>
      <c r="AE508" s="1">
        <f t="shared" si="29"/>
        <v>1002640704.0000001</v>
      </c>
      <c r="AF508" t="s">
        <v>1421</v>
      </c>
    </row>
    <row r="509" spans="18:32" x14ac:dyDescent="0.2">
      <c r="R509" s="1">
        <v>51127</v>
      </c>
      <c r="S509" s="1">
        <v>1.5382500000000001E-6</v>
      </c>
      <c r="T509" t="str">
        <f>VLOOKUP(R509,Nuclides!A:E,5,FALSE)</f>
        <v>Sb127</v>
      </c>
      <c r="U509">
        <f>VLOOKUP(Sheet2!R509,Nuclides!A:E,2,FALSE)</f>
        <v>76</v>
      </c>
      <c r="V509">
        <f>VLOOKUP(R509,Nuclides!A:E,3,FALSE)</f>
        <v>51</v>
      </c>
      <c r="W509" s="1">
        <f t="shared" si="28"/>
        <v>19197360000</v>
      </c>
      <c r="X509" t="s">
        <v>1440</v>
      </c>
      <c r="Z509" s="1">
        <v>51109</v>
      </c>
      <c r="AA509" s="1">
        <v>3.7063800000000003E-8</v>
      </c>
      <c r="AB509" t="str">
        <f>VLOOKUP(Z509,Nuclides!A:E,5,FALSE)</f>
        <v>Sb109</v>
      </c>
      <c r="AC509">
        <f>VLOOKUP(Sheet2!Z509,Nuclides!A:E,2,FALSE)</f>
        <v>58</v>
      </c>
      <c r="AD509">
        <f>VLOOKUP(Z509,Nuclides!A:E,3,FALSE)</f>
        <v>51</v>
      </c>
      <c r="AE509" s="1">
        <f t="shared" si="29"/>
        <v>462556224.00000006</v>
      </c>
      <c r="AF509" t="s">
        <v>1422</v>
      </c>
    </row>
    <row r="510" spans="18:32" x14ac:dyDescent="0.2">
      <c r="R510" s="1">
        <v>51128</v>
      </c>
      <c r="S510" s="1">
        <v>2.82515E-6</v>
      </c>
      <c r="T510" t="str">
        <f>VLOOKUP(R510,Nuclides!A:E,5,FALSE)</f>
        <v>Sb128</v>
      </c>
      <c r="U510">
        <f>VLOOKUP(Sheet2!R510,Nuclides!A:E,2,FALSE)</f>
        <v>77</v>
      </c>
      <c r="V510">
        <f>VLOOKUP(R510,Nuclides!A:E,3,FALSE)</f>
        <v>51</v>
      </c>
      <c r="W510" s="1">
        <f t="shared" si="28"/>
        <v>35257872000</v>
      </c>
      <c r="X510" t="s">
        <v>1441</v>
      </c>
      <c r="Z510" s="1">
        <v>51110</v>
      </c>
      <c r="AA510" s="1">
        <v>5.7236000000000004E-9</v>
      </c>
      <c r="AB510" t="str">
        <f>VLOOKUP(Z510,Nuclides!A:E,5,FALSE)</f>
        <v>Sb110</v>
      </c>
      <c r="AC510">
        <f>VLOOKUP(Sheet2!Z510,Nuclides!A:E,2,FALSE)</f>
        <v>59</v>
      </c>
      <c r="AD510">
        <f>VLOOKUP(Z510,Nuclides!A:E,3,FALSE)</f>
        <v>51</v>
      </c>
      <c r="AE510" s="1">
        <f t="shared" si="29"/>
        <v>71430528</v>
      </c>
      <c r="AF510" t="s">
        <v>1423</v>
      </c>
    </row>
    <row r="511" spans="18:32" x14ac:dyDescent="0.2">
      <c r="R511" s="1">
        <v>51129</v>
      </c>
      <c r="S511" s="1">
        <v>6.9429400000000003E-6</v>
      </c>
      <c r="T511" t="str">
        <f>VLOOKUP(R511,Nuclides!A:E,5,FALSE)</f>
        <v>Sb129</v>
      </c>
      <c r="U511">
        <f>VLOOKUP(Sheet2!R511,Nuclides!A:E,2,FALSE)</f>
        <v>78</v>
      </c>
      <c r="V511">
        <f>VLOOKUP(R511,Nuclides!A:E,3,FALSE)</f>
        <v>51</v>
      </c>
      <c r="W511" s="1">
        <f t="shared" si="28"/>
        <v>86647891200</v>
      </c>
      <c r="X511" t="s">
        <v>1442</v>
      </c>
      <c r="Z511" s="1">
        <v>51111</v>
      </c>
      <c r="AA511" s="1">
        <v>1.8148E-9</v>
      </c>
      <c r="AB511" t="str">
        <f>VLOOKUP(Z511,Nuclides!A:E,5,FALSE)</f>
        <v>Sb111</v>
      </c>
      <c r="AC511">
        <f>VLOOKUP(Sheet2!Z511,Nuclides!A:E,2,FALSE)</f>
        <v>60</v>
      </c>
      <c r="AD511">
        <f>VLOOKUP(Z511,Nuclides!A:E,3,FALSE)</f>
        <v>51</v>
      </c>
      <c r="AE511" s="1">
        <f t="shared" si="29"/>
        <v>22648704</v>
      </c>
      <c r="AF511" t="s">
        <v>1424</v>
      </c>
    </row>
    <row r="512" spans="18:32" x14ac:dyDescent="0.2">
      <c r="R512" s="1">
        <v>51130</v>
      </c>
      <c r="S512" s="1">
        <v>1.3030999999999999E-5</v>
      </c>
      <c r="T512" t="str">
        <f>VLOOKUP(R512,Nuclides!A:E,5,FALSE)</f>
        <v>Sb130</v>
      </c>
      <c r="U512">
        <f>VLOOKUP(Sheet2!R512,Nuclides!A:E,2,FALSE)</f>
        <v>79</v>
      </c>
      <c r="V512">
        <f>VLOOKUP(R512,Nuclides!A:E,3,FALSE)</f>
        <v>51</v>
      </c>
      <c r="W512" s="1">
        <f t="shared" si="28"/>
        <v>162626880000</v>
      </c>
      <c r="X512" t="s">
        <v>1443</v>
      </c>
      <c r="Z512" s="1">
        <v>51112</v>
      </c>
      <c r="AA512" s="1">
        <v>6.9799999999999994E-11</v>
      </c>
      <c r="AB512" t="str">
        <f>VLOOKUP(Z512,Nuclides!A:E,5,FALSE)</f>
        <v>Sb112</v>
      </c>
      <c r="AC512">
        <f>VLOOKUP(Sheet2!Z512,Nuclides!A:E,2,FALSE)</f>
        <v>61</v>
      </c>
      <c r="AD512">
        <f>VLOOKUP(Z512,Nuclides!A:E,3,FALSE)</f>
        <v>51</v>
      </c>
      <c r="AE512" s="1">
        <f t="shared" si="29"/>
        <v>871103.99999999988</v>
      </c>
      <c r="AF512" t="s">
        <v>1425</v>
      </c>
    </row>
    <row r="513" spans="18:32" x14ac:dyDescent="0.2">
      <c r="R513" s="1">
        <v>51131</v>
      </c>
      <c r="S513" s="1">
        <v>2.8943100000000001E-5</v>
      </c>
      <c r="T513" t="str">
        <f>VLOOKUP(R513,Nuclides!A:E,5,FALSE)</f>
        <v>Sb131</v>
      </c>
      <c r="U513">
        <f>VLOOKUP(Sheet2!R513,Nuclides!A:E,2,FALSE)</f>
        <v>80</v>
      </c>
      <c r="V513">
        <f>VLOOKUP(R513,Nuclides!A:E,3,FALSE)</f>
        <v>51</v>
      </c>
      <c r="W513" s="1">
        <f t="shared" si="28"/>
        <v>361209888000</v>
      </c>
      <c r="X513" t="s">
        <v>1444</v>
      </c>
      <c r="Z513" s="1">
        <v>51121</v>
      </c>
      <c r="AA513" s="1">
        <v>2.7919999999999998E-10</v>
      </c>
      <c r="AB513" t="str">
        <f>VLOOKUP(Z513,Nuclides!A:E,5,FALSE)</f>
        <v>Sb121</v>
      </c>
      <c r="AC513">
        <f>VLOOKUP(Sheet2!Z513,Nuclides!A:E,2,FALSE)</f>
        <v>70</v>
      </c>
      <c r="AD513">
        <f>VLOOKUP(Z513,Nuclides!A:E,3,FALSE)</f>
        <v>51</v>
      </c>
      <c r="AE513" s="1">
        <f t="shared" si="29"/>
        <v>3484415.9999999995</v>
      </c>
      <c r="AF513" t="s">
        <v>1434</v>
      </c>
    </row>
    <row r="514" spans="18:32" x14ac:dyDescent="0.2">
      <c r="R514" s="1">
        <v>51132</v>
      </c>
      <c r="S514" s="1">
        <v>4.0145699999999997E-5</v>
      </c>
      <c r="T514" t="str">
        <f>VLOOKUP(R514,Nuclides!A:E,5,FALSE)</f>
        <v>Sb132</v>
      </c>
      <c r="U514">
        <f>VLOOKUP(Sheet2!R514,Nuclides!A:E,2,FALSE)</f>
        <v>81</v>
      </c>
      <c r="V514">
        <f>VLOOKUP(R514,Nuclides!A:E,3,FALSE)</f>
        <v>51</v>
      </c>
      <c r="W514" s="1">
        <f t="shared" si="28"/>
        <v>501018335999.99994</v>
      </c>
      <c r="X514" t="s">
        <v>1445</v>
      </c>
      <c r="Z514" s="1">
        <v>51122</v>
      </c>
      <c r="AA514" s="1">
        <v>2.3034000000000001E-9</v>
      </c>
      <c r="AB514" t="str">
        <f>VLOOKUP(Z514,Nuclides!A:E,5,FALSE)</f>
        <v>Sb122</v>
      </c>
      <c r="AC514">
        <f>VLOOKUP(Sheet2!Z514,Nuclides!A:E,2,FALSE)</f>
        <v>71</v>
      </c>
      <c r="AD514">
        <f>VLOOKUP(Z514,Nuclides!A:E,3,FALSE)</f>
        <v>51</v>
      </c>
      <c r="AE514" s="1">
        <f t="shared" si="29"/>
        <v>28746432</v>
      </c>
      <c r="AF514" t="s">
        <v>1435</v>
      </c>
    </row>
    <row r="515" spans="18:32" x14ac:dyDescent="0.2">
      <c r="R515" s="1">
        <v>51133</v>
      </c>
      <c r="S515" s="1">
        <v>5.31325E-5</v>
      </c>
      <c r="T515" t="str">
        <f>VLOOKUP(R515,Nuclides!A:E,5,FALSE)</f>
        <v>Sb133</v>
      </c>
      <c r="U515">
        <f>VLOOKUP(Sheet2!R515,Nuclides!A:E,2,FALSE)</f>
        <v>82</v>
      </c>
      <c r="V515">
        <f>VLOOKUP(R515,Nuclides!A:E,3,FALSE)</f>
        <v>51</v>
      </c>
      <c r="W515" s="1">
        <f t="shared" si="28"/>
        <v>663093600000</v>
      </c>
      <c r="X515" t="s">
        <v>1446</v>
      </c>
      <c r="Z515" s="1">
        <v>51123</v>
      </c>
      <c r="AA515" s="1">
        <v>2.5197800000000001E-8</v>
      </c>
      <c r="AB515" t="str">
        <f>VLOOKUP(Z515,Nuclides!A:E,5,FALSE)</f>
        <v>Sb123</v>
      </c>
      <c r="AC515">
        <f>VLOOKUP(Sheet2!Z515,Nuclides!A:E,2,FALSE)</f>
        <v>72</v>
      </c>
      <c r="AD515">
        <f>VLOOKUP(Z515,Nuclides!A:E,3,FALSE)</f>
        <v>51</v>
      </c>
      <c r="AE515" s="1">
        <f t="shared" si="29"/>
        <v>314468544</v>
      </c>
      <c r="AF515" t="s">
        <v>1436</v>
      </c>
    </row>
    <row r="516" spans="18:32" x14ac:dyDescent="0.2">
      <c r="R516" s="1">
        <v>51134</v>
      </c>
      <c r="S516" s="1">
        <v>2.96874E-5</v>
      </c>
      <c r="T516" t="str">
        <f>VLOOKUP(R516,Nuclides!A:E,5,FALSE)</f>
        <v>Sb134</v>
      </c>
      <c r="U516">
        <f>VLOOKUP(Sheet2!R516,Nuclides!A:E,2,FALSE)</f>
        <v>83</v>
      </c>
      <c r="V516">
        <f>VLOOKUP(R516,Nuclides!A:E,3,FALSE)</f>
        <v>51</v>
      </c>
      <c r="W516" s="1">
        <f t="shared" ref="W516:W579" si="30">S516*12480000000000000</f>
        <v>370498752000</v>
      </c>
      <c r="X516" t="s">
        <v>1447</v>
      </c>
      <c r="Z516" s="1">
        <v>51124</v>
      </c>
      <c r="AA516" s="1">
        <v>9.5207199999999998E-8</v>
      </c>
      <c r="AB516" t="str">
        <f>VLOOKUP(Z516,Nuclides!A:E,5,FALSE)</f>
        <v>Sb124</v>
      </c>
      <c r="AC516">
        <f>VLOOKUP(Sheet2!Z516,Nuclides!A:E,2,FALSE)</f>
        <v>73</v>
      </c>
      <c r="AD516">
        <f>VLOOKUP(Z516,Nuclides!A:E,3,FALSE)</f>
        <v>51</v>
      </c>
      <c r="AE516" s="1">
        <f t="shared" ref="AE516:AE579" si="31">AA516*12480000000000000</f>
        <v>1188185856</v>
      </c>
      <c r="AF516" t="s">
        <v>1437</v>
      </c>
    </row>
    <row r="517" spans="18:32" x14ac:dyDescent="0.2">
      <c r="R517" s="1">
        <v>51135</v>
      </c>
      <c r="S517" s="1">
        <v>1.80646E-5</v>
      </c>
      <c r="T517" t="str">
        <f>VLOOKUP(R517,Nuclides!A:E,5,FALSE)</f>
        <v>Sb135</v>
      </c>
      <c r="U517">
        <f>VLOOKUP(Sheet2!R517,Nuclides!A:E,2,FALSE)</f>
        <v>84</v>
      </c>
      <c r="V517">
        <f>VLOOKUP(R517,Nuclides!A:E,3,FALSE)</f>
        <v>51</v>
      </c>
      <c r="W517" s="1">
        <f t="shared" si="30"/>
        <v>225446208000</v>
      </c>
      <c r="X517" t="s">
        <v>1448</v>
      </c>
      <c r="Z517" s="1">
        <v>51125</v>
      </c>
      <c r="AA517" s="1">
        <v>5.4576600000000004E-7</v>
      </c>
      <c r="AB517" t="str">
        <f>VLOOKUP(Z517,Nuclides!A:E,5,FALSE)</f>
        <v>Sb125</v>
      </c>
      <c r="AC517">
        <f>VLOOKUP(Sheet2!Z517,Nuclides!A:E,2,FALSE)</f>
        <v>74</v>
      </c>
      <c r="AD517">
        <f>VLOOKUP(Z517,Nuclides!A:E,3,FALSE)</f>
        <v>51</v>
      </c>
      <c r="AE517" s="1">
        <f t="shared" si="31"/>
        <v>6811159680.000001</v>
      </c>
      <c r="AF517" t="s">
        <v>1438</v>
      </c>
    </row>
    <row r="518" spans="18:32" x14ac:dyDescent="0.2">
      <c r="R518" s="1">
        <v>51136</v>
      </c>
      <c r="S518" s="1">
        <v>5.6405399999999999E-6</v>
      </c>
      <c r="T518" t="str">
        <f>VLOOKUP(R518,Nuclides!A:E,5,FALSE)</f>
        <v>Sb136</v>
      </c>
      <c r="U518">
        <f>VLOOKUP(Sheet2!R518,Nuclides!A:E,2,FALSE)</f>
        <v>85</v>
      </c>
      <c r="V518">
        <f>VLOOKUP(R518,Nuclides!A:E,3,FALSE)</f>
        <v>51</v>
      </c>
      <c r="W518" s="1">
        <f t="shared" si="30"/>
        <v>70393939200</v>
      </c>
      <c r="X518" t="s">
        <v>1449</v>
      </c>
      <c r="Z518" s="1">
        <v>51126</v>
      </c>
      <c r="AA518" s="1">
        <v>1.3797399999999999E-6</v>
      </c>
      <c r="AB518" t="str">
        <f>VLOOKUP(Z518,Nuclides!A:E,5,FALSE)</f>
        <v>Sb126</v>
      </c>
      <c r="AC518">
        <f>VLOOKUP(Sheet2!Z518,Nuclides!A:E,2,FALSE)</f>
        <v>75</v>
      </c>
      <c r="AD518">
        <f>VLOOKUP(Z518,Nuclides!A:E,3,FALSE)</f>
        <v>51</v>
      </c>
      <c r="AE518" s="1">
        <f t="shared" si="31"/>
        <v>17219155200</v>
      </c>
      <c r="AF518" t="s">
        <v>1439</v>
      </c>
    </row>
    <row r="519" spans="18:32" x14ac:dyDescent="0.2">
      <c r="R519" s="1">
        <v>52106</v>
      </c>
      <c r="S519" s="1">
        <v>1.8392300000000001E-6</v>
      </c>
      <c r="T519" t="str">
        <f>VLOOKUP(R519,Nuclides!A:E,5,FALSE)</f>
        <v>Te106</v>
      </c>
      <c r="U519">
        <f>VLOOKUP(Sheet2!R519,Nuclides!A:E,2,FALSE)</f>
        <v>54</v>
      </c>
      <c r="V519">
        <f>VLOOKUP(R519,Nuclides!A:E,3,FALSE)</f>
        <v>52</v>
      </c>
      <c r="W519" s="1">
        <f t="shared" si="30"/>
        <v>22953590400</v>
      </c>
      <c r="X519" t="s">
        <v>1455</v>
      </c>
      <c r="Z519" s="1">
        <v>51127</v>
      </c>
      <c r="AA519" s="1">
        <v>4.6081300000000004E-6</v>
      </c>
      <c r="AB519" t="str">
        <f>VLOOKUP(Z519,Nuclides!A:E,5,FALSE)</f>
        <v>Sb127</v>
      </c>
      <c r="AC519">
        <f>VLOOKUP(Sheet2!Z519,Nuclides!A:E,2,FALSE)</f>
        <v>76</v>
      </c>
      <c r="AD519">
        <f>VLOOKUP(Z519,Nuclides!A:E,3,FALSE)</f>
        <v>51</v>
      </c>
      <c r="AE519" s="1">
        <f t="shared" si="31"/>
        <v>57509462400.000008</v>
      </c>
      <c r="AF519" t="s">
        <v>1440</v>
      </c>
    </row>
    <row r="520" spans="18:32" x14ac:dyDescent="0.2">
      <c r="R520" s="1">
        <v>52107</v>
      </c>
      <c r="S520" s="1">
        <v>3.4209000000000001E-7</v>
      </c>
      <c r="T520" t="str">
        <f>VLOOKUP(R520,Nuclides!A:E,5,FALSE)</f>
        <v>Te107</v>
      </c>
      <c r="U520">
        <f>VLOOKUP(Sheet2!R520,Nuclides!A:E,2,FALSE)</f>
        <v>55</v>
      </c>
      <c r="V520">
        <f>VLOOKUP(R520,Nuclides!A:E,3,FALSE)</f>
        <v>52</v>
      </c>
      <c r="W520" s="1">
        <f t="shared" si="30"/>
        <v>4269283200</v>
      </c>
      <c r="X520" t="s">
        <v>1456</v>
      </c>
      <c r="Z520" s="1">
        <v>51128</v>
      </c>
      <c r="AA520" s="1">
        <v>6.5655299999999996E-6</v>
      </c>
      <c r="AB520" t="str">
        <f>VLOOKUP(Z520,Nuclides!A:E,5,FALSE)</f>
        <v>Sb128</v>
      </c>
      <c r="AC520">
        <f>VLOOKUP(Sheet2!Z520,Nuclides!A:E,2,FALSE)</f>
        <v>77</v>
      </c>
      <c r="AD520">
        <f>VLOOKUP(Z520,Nuclides!A:E,3,FALSE)</f>
        <v>51</v>
      </c>
      <c r="AE520" s="1">
        <f t="shared" si="31"/>
        <v>81937814400</v>
      </c>
      <c r="AF520" t="s">
        <v>1441</v>
      </c>
    </row>
    <row r="521" spans="18:32" x14ac:dyDescent="0.2">
      <c r="R521" s="1">
        <v>52108</v>
      </c>
      <c r="S521" s="1">
        <v>6.2122000000000005E-8</v>
      </c>
      <c r="T521" t="str">
        <f>VLOOKUP(R521,Nuclides!A:E,5,FALSE)</f>
        <v>Te108</v>
      </c>
      <c r="U521">
        <f>VLOOKUP(Sheet2!R521,Nuclides!A:E,2,FALSE)</f>
        <v>56</v>
      </c>
      <c r="V521">
        <f>VLOOKUP(R521,Nuclides!A:E,3,FALSE)</f>
        <v>52</v>
      </c>
      <c r="W521" s="1">
        <f t="shared" si="30"/>
        <v>775282560.00000012</v>
      </c>
      <c r="X521" t="s">
        <v>1457</v>
      </c>
      <c r="Z521" s="1">
        <v>51129</v>
      </c>
      <c r="AA521" s="1">
        <v>1.40092E-5</v>
      </c>
      <c r="AB521" t="str">
        <f>VLOOKUP(Z521,Nuclides!A:E,5,FALSE)</f>
        <v>Sb129</v>
      </c>
      <c r="AC521">
        <f>VLOOKUP(Sheet2!Z521,Nuclides!A:E,2,FALSE)</f>
        <v>78</v>
      </c>
      <c r="AD521">
        <f>VLOOKUP(Z521,Nuclides!A:E,3,FALSE)</f>
        <v>51</v>
      </c>
      <c r="AE521" s="1">
        <f t="shared" si="31"/>
        <v>174834816000</v>
      </c>
      <c r="AF521" t="s">
        <v>1442</v>
      </c>
    </row>
    <row r="522" spans="18:32" x14ac:dyDescent="0.2">
      <c r="R522" s="1">
        <v>52109</v>
      </c>
      <c r="S522" s="1">
        <v>7.1196000000000001E-9</v>
      </c>
      <c r="T522" t="str">
        <f>VLOOKUP(R522,Nuclides!A:E,5,FALSE)</f>
        <v>Te109</v>
      </c>
      <c r="U522">
        <f>VLOOKUP(Sheet2!R522,Nuclides!A:E,2,FALSE)</f>
        <v>57</v>
      </c>
      <c r="V522">
        <f>VLOOKUP(R522,Nuclides!A:E,3,FALSE)</f>
        <v>52</v>
      </c>
      <c r="W522" s="1">
        <f t="shared" si="30"/>
        <v>88852608</v>
      </c>
      <c r="X522" t="s">
        <v>1458</v>
      </c>
      <c r="Z522" s="1">
        <v>51130</v>
      </c>
      <c r="AA522" s="1">
        <v>1.4266200000000001E-5</v>
      </c>
      <c r="AB522" t="str">
        <f>VLOOKUP(Z522,Nuclides!A:E,5,FALSE)</f>
        <v>Sb130</v>
      </c>
      <c r="AC522">
        <f>VLOOKUP(Sheet2!Z522,Nuclides!A:E,2,FALSE)</f>
        <v>79</v>
      </c>
      <c r="AD522">
        <f>VLOOKUP(Z522,Nuclides!A:E,3,FALSE)</f>
        <v>51</v>
      </c>
      <c r="AE522" s="1">
        <f t="shared" si="31"/>
        <v>178042176000</v>
      </c>
      <c r="AF522" t="s">
        <v>1443</v>
      </c>
    </row>
    <row r="523" spans="18:32" x14ac:dyDescent="0.2">
      <c r="R523" s="1">
        <v>52110</v>
      </c>
      <c r="S523" s="1">
        <v>7.6779999999999997E-10</v>
      </c>
      <c r="T523" t="str">
        <f>VLOOKUP(R523,Nuclides!A:E,5,FALSE)</f>
        <v>Te110</v>
      </c>
      <c r="U523">
        <f>VLOOKUP(Sheet2!R523,Nuclides!A:E,2,FALSE)</f>
        <v>58</v>
      </c>
      <c r="V523">
        <f>VLOOKUP(R523,Nuclides!A:E,3,FALSE)</f>
        <v>52</v>
      </c>
      <c r="W523" s="1">
        <f t="shared" si="30"/>
        <v>9582144</v>
      </c>
      <c r="X523" t="s">
        <v>1459</v>
      </c>
      <c r="Z523" s="1">
        <v>51131</v>
      </c>
      <c r="AA523" s="1">
        <v>1.8558100000000001E-5</v>
      </c>
      <c r="AB523" t="str">
        <f>VLOOKUP(Z523,Nuclides!A:E,5,FALSE)</f>
        <v>Sb131</v>
      </c>
      <c r="AC523">
        <f>VLOOKUP(Sheet2!Z523,Nuclides!A:E,2,FALSE)</f>
        <v>80</v>
      </c>
      <c r="AD523">
        <f>VLOOKUP(Z523,Nuclides!A:E,3,FALSE)</f>
        <v>51</v>
      </c>
      <c r="AE523" s="1">
        <f t="shared" si="31"/>
        <v>231605088000</v>
      </c>
      <c r="AF523" t="s">
        <v>1444</v>
      </c>
    </row>
    <row r="524" spans="18:32" x14ac:dyDescent="0.2">
      <c r="R524" s="1">
        <v>52120</v>
      </c>
      <c r="S524" s="1">
        <v>6.9799999999999994E-11</v>
      </c>
      <c r="T524" t="str">
        <f>VLOOKUP(R524,Nuclides!A:E,5,FALSE)</f>
        <v>Te120</v>
      </c>
      <c r="U524">
        <f>VLOOKUP(Sheet2!R524,Nuclides!A:E,2,FALSE)</f>
        <v>68</v>
      </c>
      <c r="V524">
        <f>VLOOKUP(R524,Nuclides!A:E,3,FALSE)</f>
        <v>52</v>
      </c>
      <c r="W524" s="1">
        <f t="shared" si="30"/>
        <v>871103.99999999988</v>
      </c>
      <c r="X524" t="s">
        <v>1469</v>
      </c>
      <c r="Z524" s="1">
        <v>51132</v>
      </c>
      <c r="AA524" s="1">
        <v>1.19459E-5</v>
      </c>
      <c r="AB524" t="str">
        <f>VLOOKUP(Z524,Nuclides!A:E,5,FALSE)</f>
        <v>Sb132</v>
      </c>
      <c r="AC524">
        <f>VLOOKUP(Sheet2!Z524,Nuclides!A:E,2,FALSE)</f>
        <v>81</v>
      </c>
      <c r="AD524">
        <f>VLOOKUP(Z524,Nuclides!A:E,3,FALSE)</f>
        <v>51</v>
      </c>
      <c r="AE524" s="1">
        <f t="shared" si="31"/>
        <v>149084832000</v>
      </c>
      <c r="AF524" t="s">
        <v>1445</v>
      </c>
    </row>
    <row r="525" spans="18:32" x14ac:dyDescent="0.2">
      <c r="R525" s="1">
        <v>52121</v>
      </c>
      <c r="S525" s="1">
        <v>1.3959999999999999E-10</v>
      </c>
      <c r="T525" t="str">
        <f>VLOOKUP(R525,Nuclides!A:E,5,FALSE)</f>
        <v>Te121</v>
      </c>
      <c r="U525">
        <f>VLOOKUP(Sheet2!R525,Nuclides!A:E,2,FALSE)</f>
        <v>69</v>
      </c>
      <c r="V525">
        <f>VLOOKUP(R525,Nuclides!A:E,3,FALSE)</f>
        <v>52</v>
      </c>
      <c r="W525" s="1">
        <f t="shared" si="30"/>
        <v>1742207.9999999998</v>
      </c>
      <c r="X525" t="s">
        <v>1470</v>
      </c>
      <c r="Z525" s="1">
        <v>51133</v>
      </c>
      <c r="AA525" s="1">
        <v>8.0660899999999999E-6</v>
      </c>
      <c r="AB525" t="str">
        <f>VLOOKUP(Z525,Nuclides!A:E,5,FALSE)</f>
        <v>Sb133</v>
      </c>
      <c r="AC525">
        <f>VLOOKUP(Sheet2!Z525,Nuclides!A:E,2,FALSE)</f>
        <v>82</v>
      </c>
      <c r="AD525">
        <f>VLOOKUP(Z525,Nuclides!A:E,3,FALSE)</f>
        <v>51</v>
      </c>
      <c r="AE525" s="1">
        <f t="shared" si="31"/>
        <v>100664803200</v>
      </c>
      <c r="AF525" t="s">
        <v>1446</v>
      </c>
    </row>
    <row r="526" spans="18:32" x14ac:dyDescent="0.2">
      <c r="R526" s="1">
        <v>52123</v>
      </c>
      <c r="S526" s="1">
        <v>3.4899999999999998E-10</v>
      </c>
      <c r="T526" t="str">
        <f>VLOOKUP(R526,Nuclides!A:E,5,FALSE)</f>
        <v>Te123</v>
      </c>
      <c r="U526">
        <f>VLOOKUP(Sheet2!R526,Nuclides!A:E,2,FALSE)</f>
        <v>71</v>
      </c>
      <c r="V526">
        <f>VLOOKUP(R526,Nuclides!A:E,3,FALSE)</f>
        <v>52</v>
      </c>
      <c r="W526" s="1">
        <f t="shared" si="30"/>
        <v>4355520</v>
      </c>
      <c r="X526" t="s">
        <v>1472</v>
      </c>
      <c r="Z526" s="1">
        <v>51134</v>
      </c>
      <c r="AA526" s="1">
        <v>1.8650600000000001E-6</v>
      </c>
      <c r="AB526" t="str">
        <f>VLOOKUP(Z526,Nuclides!A:E,5,FALSE)</f>
        <v>Sb134</v>
      </c>
      <c r="AC526">
        <f>VLOOKUP(Sheet2!Z526,Nuclides!A:E,2,FALSE)</f>
        <v>83</v>
      </c>
      <c r="AD526">
        <f>VLOOKUP(Z526,Nuclides!A:E,3,FALSE)</f>
        <v>51</v>
      </c>
      <c r="AE526" s="1">
        <f t="shared" si="31"/>
        <v>23275948800</v>
      </c>
      <c r="AF526" t="s">
        <v>1447</v>
      </c>
    </row>
    <row r="527" spans="18:32" x14ac:dyDescent="0.2">
      <c r="R527" s="1">
        <v>52124</v>
      </c>
      <c r="S527" s="1">
        <v>1.7450000000000001E-9</v>
      </c>
      <c r="T527" t="str">
        <f>VLOOKUP(R527,Nuclides!A:E,5,FALSE)</f>
        <v>Te124</v>
      </c>
      <c r="U527">
        <f>VLOOKUP(Sheet2!R527,Nuclides!A:E,2,FALSE)</f>
        <v>72</v>
      </c>
      <c r="V527">
        <f>VLOOKUP(R527,Nuclides!A:E,3,FALSE)</f>
        <v>52</v>
      </c>
      <c r="W527" s="1">
        <f t="shared" si="30"/>
        <v>21777600</v>
      </c>
      <c r="X527" t="s">
        <v>1473</v>
      </c>
      <c r="Z527" s="1">
        <v>51135</v>
      </c>
      <c r="AA527" s="1">
        <v>1.02096E-6</v>
      </c>
      <c r="AB527" t="str">
        <f>VLOOKUP(Z527,Nuclides!A:E,5,FALSE)</f>
        <v>Sb135</v>
      </c>
      <c r="AC527">
        <f>VLOOKUP(Sheet2!Z527,Nuclides!A:E,2,FALSE)</f>
        <v>84</v>
      </c>
      <c r="AD527">
        <f>VLOOKUP(Z527,Nuclides!A:E,3,FALSE)</f>
        <v>51</v>
      </c>
      <c r="AE527" s="1">
        <f t="shared" si="31"/>
        <v>12741580800</v>
      </c>
      <c r="AF527" t="s">
        <v>1448</v>
      </c>
    </row>
    <row r="528" spans="18:32" x14ac:dyDescent="0.2">
      <c r="R528" s="1">
        <v>52125</v>
      </c>
      <c r="S528" s="1">
        <v>7.2591999999999999E-9</v>
      </c>
      <c r="T528" t="str">
        <f>VLOOKUP(R528,Nuclides!A:E,5,FALSE)</f>
        <v>Te125</v>
      </c>
      <c r="U528">
        <f>VLOOKUP(Sheet2!R528,Nuclides!A:E,2,FALSE)</f>
        <v>73</v>
      </c>
      <c r="V528">
        <f>VLOOKUP(R528,Nuclides!A:E,3,FALSE)</f>
        <v>52</v>
      </c>
      <c r="W528" s="1">
        <f t="shared" si="30"/>
        <v>90594816</v>
      </c>
      <c r="X528" t="s">
        <v>1474</v>
      </c>
      <c r="Z528" s="1">
        <v>51136</v>
      </c>
      <c r="AA528" s="1">
        <v>2.5714300000000001E-7</v>
      </c>
      <c r="AB528" t="str">
        <f>VLOOKUP(Z528,Nuclides!A:E,5,FALSE)</f>
        <v>Sb136</v>
      </c>
      <c r="AC528">
        <f>VLOOKUP(Sheet2!Z528,Nuclides!A:E,2,FALSE)</f>
        <v>85</v>
      </c>
      <c r="AD528">
        <f>VLOOKUP(Z528,Nuclides!A:E,3,FALSE)</f>
        <v>51</v>
      </c>
      <c r="AE528" s="1">
        <f t="shared" si="31"/>
        <v>3209144640</v>
      </c>
      <c r="AF528" t="s">
        <v>1449</v>
      </c>
    </row>
    <row r="529" spans="18:32" x14ac:dyDescent="0.2">
      <c r="R529" s="1">
        <v>52126</v>
      </c>
      <c r="S529" s="1">
        <v>4.3485399999999997E-8</v>
      </c>
      <c r="T529" t="str">
        <f>VLOOKUP(R529,Nuclides!A:E,5,FALSE)</f>
        <v>Te126</v>
      </c>
      <c r="U529">
        <f>VLOOKUP(Sheet2!R529,Nuclides!A:E,2,FALSE)</f>
        <v>74</v>
      </c>
      <c r="V529">
        <f>VLOOKUP(R529,Nuclides!A:E,3,FALSE)</f>
        <v>52</v>
      </c>
      <c r="W529" s="1">
        <f t="shared" si="30"/>
        <v>542697792</v>
      </c>
      <c r="X529" t="s">
        <v>1475</v>
      </c>
      <c r="Z529" s="1">
        <v>52106</v>
      </c>
      <c r="AA529" s="1">
        <v>2.7919999999999998E-10</v>
      </c>
      <c r="AB529" t="str">
        <f>VLOOKUP(Z529,Nuclides!A:E,5,FALSE)</f>
        <v>Te106</v>
      </c>
      <c r="AC529">
        <f>VLOOKUP(Sheet2!Z529,Nuclides!A:E,2,FALSE)</f>
        <v>54</v>
      </c>
      <c r="AD529">
        <f>VLOOKUP(Z529,Nuclides!A:E,3,FALSE)</f>
        <v>52</v>
      </c>
      <c r="AE529" s="1">
        <f t="shared" si="31"/>
        <v>3484415.9999999995</v>
      </c>
      <c r="AF529" t="s">
        <v>1455</v>
      </c>
    </row>
    <row r="530" spans="18:32" x14ac:dyDescent="0.2">
      <c r="R530" s="1">
        <v>52127</v>
      </c>
      <c r="S530" s="1">
        <v>1.2982799999999999E-7</v>
      </c>
      <c r="T530" t="str">
        <f>VLOOKUP(R530,Nuclides!A:E,5,FALSE)</f>
        <v>Te127</v>
      </c>
      <c r="U530">
        <f>VLOOKUP(Sheet2!R530,Nuclides!A:E,2,FALSE)</f>
        <v>75</v>
      </c>
      <c r="V530">
        <f>VLOOKUP(R530,Nuclides!A:E,3,FALSE)</f>
        <v>52</v>
      </c>
      <c r="W530" s="1">
        <f t="shared" si="30"/>
        <v>1620253439.9999998</v>
      </c>
      <c r="X530" t="s">
        <v>1476</v>
      </c>
      <c r="Z530" s="1">
        <v>52107</v>
      </c>
      <c r="AA530" s="1">
        <v>8.1875400000000005E-8</v>
      </c>
      <c r="AB530" t="str">
        <f>VLOOKUP(Z530,Nuclides!A:E,5,FALSE)</f>
        <v>Te107</v>
      </c>
      <c r="AC530">
        <f>VLOOKUP(Sheet2!Z530,Nuclides!A:E,2,FALSE)</f>
        <v>55</v>
      </c>
      <c r="AD530">
        <f>VLOOKUP(Z530,Nuclides!A:E,3,FALSE)</f>
        <v>52</v>
      </c>
      <c r="AE530" s="1">
        <f t="shared" si="31"/>
        <v>1021804992.0000001</v>
      </c>
      <c r="AF530" t="s">
        <v>1456</v>
      </c>
    </row>
    <row r="531" spans="18:32" x14ac:dyDescent="0.2">
      <c r="R531" s="1">
        <v>52128</v>
      </c>
      <c r="S531" s="1">
        <v>5.3620399999999995E-7</v>
      </c>
      <c r="T531" t="str">
        <f>VLOOKUP(R531,Nuclides!A:E,5,FALSE)</f>
        <v>Te128</v>
      </c>
      <c r="U531">
        <f>VLOOKUP(Sheet2!R531,Nuclides!A:E,2,FALSE)</f>
        <v>76</v>
      </c>
      <c r="V531">
        <f>VLOOKUP(R531,Nuclides!A:E,3,FALSE)</f>
        <v>52</v>
      </c>
      <c r="W531" s="1">
        <f t="shared" si="30"/>
        <v>6691825919.999999</v>
      </c>
      <c r="X531" t="s">
        <v>1477</v>
      </c>
      <c r="Z531" s="1">
        <v>52108</v>
      </c>
      <c r="AA531" s="1">
        <v>2.9176400000000001E-8</v>
      </c>
      <c r="AB531" t="str">
        <f>VLOOKUP(Z531,Nuclides!A:E,5,FALSE)</f>
        <v>Te108</v>
      </c>
      <c r="AC531">
        <f>VLOOKUP(Sheet2!Z531,Nuclides!A:E,2,FALSE)</f>
        <v>56</v>
      </c>
      <c r="AD531">
        <f>VLOOKUP(Z531,Nuclides!A:E,3,FALSE)</f>
        <v>52</v>
      </c>
      <c r="AE531" s="1">
        <f t="shared" si="31"/>
        <v>364121472</v>
      </c>
      <c r="AF531" t="s">
        <v>1457</v>
      </c>
    </row>
    <row r="532" spans="18:32" x14ac:dyDescent="0.2">
      <c r="R532" s="1">
        <v>52129</v>
      </c>
      <c r="S532" s="1">
        <v>1.3836500000000001E-6</v>
      </c>
      <c r="T532" t="str">
        <f>VLOOKUP(R532,Nuclides!A:E,5,FALSE)</f>
        <v>Te129</v>
      </c>
      <c r="U532">
        <f>VLOOKUP(Sheet2!R532,Nuclides!A:E,2,FALSE)</f>
        <v>77</v>
      </c>
      <c r="V532">
        <f>VLOOKUP(R532,Nuclides!A:E,3,FALSE)</f>
        <v>52</v>
      </c>
      <c r="W532" s="1">
        <f t="shared" si="30"/>
        <v>17267952000</v>
      </c>
      <c r="X532" t="s">
        <v>1478</v>
      </c>
      <c r="Z532" s="1">
        <v>52109</v>
      </c>
      <c r="AA532" s="1">
        <v>3.9786000000000003E-9</v>
      </c>
      <c r="AB532" t="str">
        <f>VLOOKUP(Z532,Nuclides!A:E,5,FALSE)</f>
        <v>Te109</v>
      </c>
      <c r="AC532">
        <f>VLOOKUP(Sheet2!Z532,Nuclides!A:E,2,FALSE)</f>
        <v>57</v>
      </c>
      <c r="AD532">
        <f>VLOOKUP(Z532,Nuclides!A:E,3,FALSE)</f>
        <v>52</v>
      </c>
      <c r="AE532" s="1">
        <f t="shared" si="31"/>
        <v>49652928.000000007</v>
      </c>
      <c r="AF532" t="s">
        <v>1458</v>
      </c>
    </row>
    <row r="533" spans="18:32" x14ac:dyDescent="0.2">
      <c r="R533" s="1">
        <v>52130</v>
      </c>
      <c r="S533" s="1">
        <v>4.09768E-6</v>
      </c>
      <c r="T533" t="str">
        <f>VLOOKUP(R533,Nuclides!A:E,5,FALSE)</f>
        <v>Te130</v>
      </c>
      <c r="U533">
        <f>VLOOKUP(Sheet2!R533,Nuclides!A:E,2,FALSE)</f>
        <v>78</v>
      </c>
      <c r="V533">
        <f>VLOOKUP(R533,Nuclides!A:E,3,FALSE)</f>
        <v>52</v>
      </c>
      <c r="W533" s="1">
        <f t="shared" si="30"/>
        <v>51139046400</v>
      </c>
      <c r="X533" t="s">
        <v>1479</v>
      </c>
      <c r="Z533" s="1">
        <v>52110</v>
      </c>
      <c r="AA533" s="1">
        <v>6.9799999999999997E-10</v>
      </c>
      <c r="AB533" t="str">
        <f>VLOOKUP(Z533,Nuclides!A:E,5,FALSE)</f>
        <v>Te110</v>
      </c>
      <c r="AC533">
        <f>VLOOKUP(Sheet2!Z533,Nuclides!A:E,2,FALSE)</f>
        <v>58</v>
      </c>
      <c r="AD533">
        <f>VLOOKUP(Z533,Nuclides!A:E,3,FALSE)</f>
        <v>52</v>
      </c>
      <c r="AE533" s="1">
        <f t="shared" si="31"/>
        <v>8711040</v>
      </c>
      <c r="AF533" t="s">
        <v>1459</v>
      </c>
    </row>
    <row r="534" spans="18:32" x14ac:dyDescent="0.2">
      <c r="R534" s="1">
        <v>52131</v>
      </c>
      <c r="S534" s="1">
        <v>9.6286999999999998E-6</v>
      </c>
      <c r="T534" t="str">
        <f>VLOOKUP(R534,Nuclides!A:E,5,FALSE)</f>
        <v>Te131</v>
      </c>
      <c r="U534">
        <f>VLOOKUP(Sheet2!R534,Nuclides!A:E,2,FALSE)</f>
        <v>79</v>
      </c>
      <c r="V534">
        <f>VLOOKUP(R534,Nuclides!A:E,3,FALSE)</f>
        <v>52</v>
      </c>
      <c r="W534" s="1">
        <f t="shared" si="30"/>
        <v>120166176000</v>
      </c>
      <c r="X534" t="s">
        <v>1480</v>
      </c>
      <c r="Z534" s="1">
        <v>52123</v>
      </c>
      <c r="AA534" s="1">
        <v>2.094E-10</v>
      </c>
      <c r="AB534" t="str">
        <f>VLOOKUP(Z534,Nuclides!A:E,5,FALSE)</f>
        <v>Te123</v>
      </c>
      <c r="AC534">
        <f>VLOOKUP(Sheet2!Z534,Nuclides!A:E,2,FALSE)</f>
        <v>71</v>
      </c>
      <c r="AD534">
        <f>VLOOKUP(Z534,Nuclides!A:E,3,FALSE)</f>
        <v>52</v>
      </c>
      <c r="AE534" s="1">
        <f t="shared" si="31"/>
        <v>2613312</v>
      </c>
      <c r="AF534" t="s">
        <v>1472</v>
      </c>
    </row>
    <row r="535" spans="18:32" x14ac:dyDescent="0.2">
      <c r="R535" s="1">
        <v>52132</v>
      </c>
      <c r="S535" s="1">
        <v>2.2436400000000001E-5</v>
      </c>
      <c r="T535" t="str">
        <f>VLOOKUP(R535,Nuclides!A:E,5,FALSE)</f>
        <v>Te132</v>
      </c>
      <c r="U535">
        <f>VLOOKUP(Sheet2!R535,Nuclides!A:E,2,FALSE)</f>
        <v>80</v>
      </c>
      <c r="V535">
        <f>VLOOKUP(R535,Nuclides!A:E,3,FALSE)</f>
        <v>52</v>
      </c>
      <c r="W535" s="1">
        <f t="shared" si="30"/>
        <v>280006272000</v>
      </c>
      <c r="X535" t="s">
        <v>1481</v>
      </c>
      <c r="Z535" s="1">
        <v>52124</v>
      </c>
      <c r="AA535" s="1">
        <v>1.5355999999999999E-9</v>
      </c>
      <c r="AB535" t="str">
        <f>VLOOKUP(Z535,Nuclides!A:E,5,FALSE)</f>
        <v>Te124</v>
      </c>
      <c r="AC535">
        <f>VLOOKUP(Sheet2!Z535,Nuclides!A:E,2,FALSE)</f>
        <v>72</v>
      </c>
      <c r="AD535">
        <f>VLOOKUP(Z535,Nuclides!A:E,3,FALSE)</f>
        <v>52</v>
      </c>
      <c r="AE535" s="1">
        <f t="shared" si="31"/>
        <v>19164288</v>
      </c>
      <c r="AF535" t="s">
        <v>1473</v>
      </c>
    </row>
    <row r="536" spans="18:32" x14ac:dyDescent="0.2">
      <c r="R536" s="1">
        <v>52133</v>
      </c>
      <c r="S536" s="1">
        <v>4.2425999999999997E-5</v>
      </c>
      <c r="T536" t="str">
        <f>VLOOKUP(R536,Nuclides!A:E,5,FALSE)</f>
        <v>Te133</v>
      </c>
      <c r="U536">
        <f>VLOOKUP(Sheet2!R536,Nuclides!A:E,2,FALSE)</f>
        <v>81</v>
      </c>
      <c r="V536">
        <f>VLOOKUP(R536,Nuclides!A:E,3,FALSE)</f>
        <v>52</v>
      </c>
      <c r="W536" s="1">
        <f t="shared" si="30"/>
        <v>529476479999.99994</v>
      </c>
      <c r="X536" t="s">
        <v>1482</v>
      </c>
      <c r="Z536" s="1">
        <v>52125</v>
      </c>
      <c r="AA536" s="1">
        <v>9.6323999999999999E-9</v>
      </c>
      <c r="AB536" t="str">
        <f>VLOOKUP(Z536,Nuclides!A:E,5,FALSE)</f>
        <v>Te125</v>
      </c>
      <c r="AC536">
        <f>VLOOKUP(Sheet2!Z536,Nuclides!A:E,2,FALSE)</f>
        <v>73</v>
      </c>
      <c r="AD536">
        <f>VLOOKUP(Z536,Nuclides!A:E,3,FALSE)</f>
        <v>52</v>
      </c>
      <c r="AE536" s="1">
        <f t="shared" si="31"/>
        <v>120212352</v>
      </c>
      <c r="AF536" t="s">
        <v>1474</v>
      </c>
    </row>
    <row r="537" spans="18:32" x14ac:dyDescent="0.2">
      <c r="R537" s="1">
        <v>52134</v>
      </c>
      <c r="S537" s="1">
        <v>7.2801799999999998E-5</v>
      </c>
      <c r="T537" t="str">
        <f>VLOOKUP(R537,Nuclides!A:E,5,FALSE)</f>
        <v>Te134</v>
      </c>
      <c r="U537">
        <f>VLOOKUP(Sheet2!R537,Nuclides!A:E,2,FALSE)</f>
        <v>82</v>
      </c>
      <c r="V537">
        <f>VLOOKUP(R537,Nuclides!A:E,3,FALSE)</f>
        <v>52</v>
      </c>
      <c r="W537" s="1">
        <f t="shared" si="30"/>
        <v>908566464000</v>
      </c>
      <c r="X537" t="s">
        <v>1483</v>
      </c>
      <c r="Z537" s="1">
        <v>52126</v>
      </c>
      <c r="AA537" s="1">
        <v>9.6254199999999994E-8</v>
      </c>
      <c r="AB537" t="str">
        <f>VLOOKUP(Z537,Nuclides!A:E,5,FALSE)</f>
        <v>Te126</v>
      </c>
      <c r="AC537">
        <f>VLOOKUP(Sheet2!Z537,Nuclides!A:E,2,FALSE)</f>
        <v>74</v>
      </c>
      <c r="AD537">
        <f>VLOOKUP(Z537,Nuclides!A:E,3,FALSE)</f>
        <v>52</v>
      </c>
      <c r="AE537" s="1">
        <f t="shared" si="31"/>
        <v>1201252416</v>
      </c>
      <c r="AF537" t="s">
        <v>1475</v>
      </c>
    </row>
    <row r="538" spans="18:32" x14ac:dyDescent="0.2">
      <c r="R538" s="1">
        <v>52135</v>
      </c>
      <c r="S538" s="1">
        <v>6.9629100000000001E-5</v>
      </c>
      <c r="T538" t="str">
        <f>VLOOKUP(R538,Nuclides!A:E,5,FALSE)</f>
        <v>Te135</v>
      </c>
      <c r="U538">
        <f>VLOOKUP(Sheet2!R538,Nuclides!A:E,2,FALSE)</f>
        <v>83</v>
      </c>
      <c r="V538">
        <f>VLOOKUP(R538,Nuclides!A:E,3,FALSE)</f>
        <v>52</v>
      </c>
      <c r="W538" s="1">
        <f t="shared" si="30"/>
        <v>868971168000</v>
      </c>
      <c r="X538" t="s">
        <v>1484</v>
      </c>
      <c r="Z538" s="1">
        <v>52127</v>
      </c>
      <c r="AA538" s="1">
        <v>3.3915800000000003E-7</v>
      </c>
      <c r="AB538" t="str">
        <f>VLOOKUP(Z538,Nuclides!A:E,5,FALSE)</f>
        <v>Te127</v>
      </c>
      <c r="AC538">
        <f>VLOOKUP(Sheet2!Z538,Nuclides!A:E,2,FALSE)</f>
        <v>75</v>
      </c>
      <c r="AD538">
        <f>VLOOKUP(Z538,Nuclides!A:E,3,FALSE)</f>
        <v>52</v>
      </c>
      <c r="AE538" s="1">
        <f t="shared" si="31"/>
        <v>4232691840.0000005</v>
      </c>
      <c r="AF538" t="s">
        <v>1476</v>
      </c>
    </row>
    <row r="539" spans="18:32" x14ac:dyDescent="0.2">
      <c r="R539" s="1">
        <v>52136</v>
      </c>
      <c r="S539" s="1">
        <v>5.66803E-5</v>
      </c>
      <c r="T539" t="str">
        <f>VLOOKUP(R539,Nuclides!A:E,5,FALSE)</f>
        <v>Te136</v>
      </c>
      <c r="U539">
        <f>VLOOKUP(Sheet2!R539,Nuclides!A:E,2,FALSE)</f>
        <v>84</v>
      </c>
      <c r="V539">
        <f>VLOOKUP(R539,Nuclides!A:E,3,FALSE)</f>
        <v>52</v>
      </c>
      <c r="W539" s="1">
        <f t="shared" si="30"/>
        <v>707370144000</v>
      </c>
      <c r="X539" t="s">
        <v>1485</v>
      </c>
      <c r="Z539" s="1">
        <v>52128</v>
      </c>
      <c r="AA539" s="1">
        <v>1.87532E-6</v>
      </c>
      <c r="AB539" t="str">
        <f>VLOOKUP(Z539,Nuclides!A:E,5,FALSE)</f>
        <v>Te128</v>
      </c>
      <c r="AC539">
        <f>VLOOKUP(Sheet2!Z539,Nuclides!A:E,2,FALSE)</f>
        <v>76</v>
      </c>
      <c r="AD539">
        <f>VLOOKUP(Z539,Nuclides!A:E,3,FALSE)</f>
        <v>52</v>
      </c>
      <c r="AE539" s="1">
        <f t="shared" si="31"/>
        <v>23403993600</v>
      </c>
      <c r="AF539" t="s">
        <v>1477</v>
      </c>
    </row>
    <row r="540" spans="18:32" x14ac:dyDescent="0.2">
      <c r="R540" s="1">
        <v>52137</v>
      </c>
      <c r="S540" s="1">
        <v>2.8348200000000001E-5</v>
      </c>
      <c r="T540" t="str">
        <f>VLOOKUP(R540,Nuclides!A:E,5,FALSE)</f>
        <v>Te137</v>
      </c>
      <c r="U540">
        <f>VLOOKUP(Sheet2!R540,Nuclides!A:E,2,FALSE)</f>
        <v>85</v>
      </c>
      <c r="V540">
        <f>VLOOKUP(R540,Nuclides!A:E,3,FALSE)</f>
        <v>52</v>
      </c>
      <c r="W540" s="1">
        <f t="shared" si="30"/>
        <v>353785536000</v>
      </c>
      <c r="X540" t="s">
        <v>1486</v>
      </c>
      <c r="Z540" s="1">
        <v>52129</v>
      </c>
      <c r="AA540" s="1">
        <v>3.9155699999999998E-6</v>
      </c>
      <c r="AB540" t="str">
        <f>VLOOKUP(Z540,Nuclides!A:E,5,FALSE)</f>
        <v>Te129</v>
      </c>
      <c r="AC540">
        <f>VLOOKUP(Sheet2!Z540,Nuclides!A:E,2,FALSE)</f>
        <v>77</v>
      </c>
      <c r="AD540">
        <f>VLOOKUP(Z540,Nuclides!A:E,3,FALSE)</f>
        <v>52</v>
      </c>
      <c r="AE540" s="1">
        <f t="shared" si="31"/>
        <v>48866313600</v>
      </c>
      <c r="AF540" t="s">
        <v>1478</v>
      </c>
    </row>
    <row r="541" spans="18:32" x14ac:dyDescent="0.2">
      <c r="R541" s="1">
        <v>52138</v>
      </c>
      <c r="S541" s="1">
        <v>1.2497099999999999E-5</v>
      </c>
      <c r="T541" t="str">
        <f>VLOOKUP(R541,Nuclides!A:E,5,FALSE)</f>
        <v>Te138</v>
      </c>
      <c r="U541">
        <f>VLOOKUP(Sheet2!R541,Nuclides!A:E,2,FALSE)</f>
        <v>86</v>
      </c>
      <c r="V541">
        <f>VLOOKUP(R541,Nuclides!A:E,3,FALSE)</f>
        <v>52</v>
      </c>
      <c r="W541" s="1">
        <f t="shared" si="30"/>
        <v>155963808000</v>
      </c>
      <c r="X541" t="s">
        <v>1487</v>
      </c>
      <c r="Z541" s="1">
        <v>52130</v>
      </c>
      <c r="AA541" s="1">
        <v>1.12652E-5</v>
      </c>
      <c r="AB541" t="str">
        <f>VLOOKUP(Z541,Nuclides!A:E,5,FALSE)</f>
        <v>Te130</v>
      </c>
      <c r="AC541">
        <f>VLOOKUP(Sheet2!Z541,Nuclides!A:E,2,FALSE)</f>
        <v>78</v>
      </c>
      <c r="AD541">
        <f>VLOOKUP(Z541,Nuclides!A:E,3,FALSE)</f>
        <v>52</v>
      </c>
      <c r="AE541" s="1">
        <f t="shared" si="31"/>
        <v>140589696000</v>
      </c>
      <c r="AF541" t="s">
        <v>1479</v>
      </c>
    </row>
    <row r="542" spans="18:32" x14ac:dyDescent="0.2">
      <c r="R542" s="1">
        <v>53110</v>
      </c>
      <c r="S542" s="1">
        <v>2.92804E-6</v>
      </c>
      <c r="T542" t="str">
        <f>VLOOKUP(R542,Nuclides!A:E,5,FALSE)</f>
        <v>I110</v>
      </c>
      <c r="U542">
        <f>VLOOKUP(Sheet2!R542,Nuclides!A:E,2,FALSE)</f>
        <v>57</v>
      </c>
      <c r="V542">
        <f>VLOOKUP(R542,Nuclides!A:E,3,FALSE)</f>
        <v>53</v>
      </c>
      <c r="W542" s="1">
        <f t="shared" si="30"/>
        <v>36541939200</v>
      </c>
      <c r="X542" t="s">
        <v>1494</v>
      </c>
      <c r="Z542" s="1">
        <v>52131</v>
      </c>
      <c r="AA542" s="1">
        <v>1.4110900000000001E-5</v>
      </c>
      <c r="AB542" t="str">
        <f>VLOOKUP(Z542,Nuclides!A:E,5,FALSE)</f>
        <v>Te131</v>
      </c>
      <c r="AC542">
        <f>VLOOKUP(Sheet2!Z542,Nuclides!A:E,2,FALSE)</f>
        <v>79</v>
      </c>
      <c r="AD542">
        <f>VLOOKUP(Z542,Nuclides!A:E,3,FALSE)</f>
        <v>52</v>
      </c>
      <c r="AE542" s="1">
        <f t="shared" si="31"/>
        <v>176104032000</v>
      </c>
      <c r="AF542" t="s">
        <v>1480</v>
      </c>
    </row>
    <row r="543" spans="18:32" x14ac:dyDescent="0.2">
      <c r="R543" s="1">
        <v>53111</v>
      </c>
      <c r="S543" s="1">
        <v>7.1195999999999998E-7</v>
      </c>
      <c r="T543" t="str">
        <f>VLOOKUP(R543,Nuclides!A:E,5,FALSE)</f>
        <v>I111</v>
      </c>
      <c r="U543">
        <f>VLOOKUP(Sheet2!R543,Nuclides!A:E,2,FALSE)</f>
        <v>58</v>
      </c>
      <c r="V543">
        <f>VLOOKUP(R543,Nuclides!A:E,3,FALSE)</f>
        <v>53</v>
      </c>
      <c r="W543" s="1">
        <f t="shared" si="30"/>
        <v>8885260800</v>
      </c>
      <c r="X543" t="s">
        <v>1495</v>
      </c>
      <c r="Z543" s="1">
        <v>52132</v>
      </c>
      <c r="AA543" s="1">
        <v>2.69122E-5</v>
      </c>
      <c r="AB543" t="str">
        <f>VLOOKUP(Z543,Nuclides!A:E,5,FALSE)</f>
        <v>Te132</v>
      </c>
      <c r="AC543">
        <f>VLOOKUP(Sheet2!Z543,Nuclides!A:E,2,FALSE)</f>
        <v>80</v>
      </c>
      <c r="AD543">
        <f>VLOOKUP(Z543,Nuclides!A:E,3,FALSE)</f>
        <v>52</v>
      </c>
      <c r="AE543" s="1">
        <f t="shared" si="31"/>
        <v>335864256000</v>
      </c>
      <c r="AF543" t="s">
        <v>1481</v>
      </c>
    </row>
    <row r="544" spans="18:32" x14ac:dyDescent="0.2">
      <c r="R544" s="1">
        <v>53112</v>
      </c>
      <c r="S544" s="1">
        <v>9.6742799999999997E-8</v>
      </c>
      <c r="T544" t="str">
        <f>VLOOKUP(R544,Nuclides!A:E,5,FALSE)</f>
        <v>I112</v>
      </c>
      <c r="U544">
        <f>VLOOKUP(Sheet2!R544,Nuclides!A:E,2,FALSE)</f>
        <v>59</v>
      </c>
      <c r="V544">
        <f>VLOOKUP(R544,Nuclides!A:E,3,FALSE)</f>
        <v>53</v>
      </c>
      <c r="W544" s="1">
        <f t="shared" si="30"/>
        <v>1207350144</v>
      </c>
      <c r="X544" t="s">
        <v>1496</v>
      </c>
      <c r="Z544" s="1">
        <v>52133</v>
      </c>
      <c r="AA544" s="1">
        <v>2.2688999999999999E-5</v>
      </c>
      <c r="AB544" t="str">
        <f>VLOOKUP(Z544,Nuclides!A:E,5,FALSE)</f>
        <v>Te133</v>
      </c>
      <c r="AC544">
        <f>VLOOKUP(Sheet2!Z544,Nuclides!A:E,2,FALSE)</f>
        <v>81</v>
      </c>
      <c r="AD544">
        <f>VLOOKUP(Z544,Nuclides!A:E,3,FALSE)</f>
        <v>52</v>
      </c>
      <c r="AE544" s="1">
        <f t="shared" si="31"/>
        <v>283158720000</v>
      </c>
      <c r="AF544" t="s">
        <v>1482</v>
      </c>
    </row>
    <row r="545" spans="18:32" x14ac:dyDescent="0.2">
      <c r="R545" s="1">
        <v>53113</v>
      </c>
      <c r="S545" s="1">
        <v>1.1167999999999999E-8</v>
      </c>
      <c r="T545" t="str">
        <f>VLOOKUP(R545,Nuclides!A:E,5,FALSE)</f>
        <v>I113</v>
      </c>
      <c r="U545">
        <f>VLOOKUP(Sheet2!R545,Nuclides!A:E,2,FALSE)</f>
        <v>60</v>
      </c>
      <c r="V545">
        <f>VLOOKUP(R545,Nuclides!A:E,3,FALSE)</f>
        <v>53</v>
      </c>
      <c r="W545" s="1">
        <f t="shared" si="30"/>
        <v>139376640</v>
      </c>
      <c r="X545" t="s">
        <v>1497</v>
      </c>
      <c r="Z545" s="1">
        <v>52134</v>
      </c>
      <c r="AA545" s="1">
        <v>2.2263799999999998E-5</v>
      </c>
      <c r="AB545" t="str">
        <f>VLOOKUP(Z545,Nuclides!A:E,5,FALSE)</f>
        <v>Te134</v>
      </c>
      <c r="AC545">
        <f>VLOOKUP(Sheet2!Z545,Nuclides!A:E,2,FALSE)</f>
        <v>82</v>
      </c>
      <c r="AD545">
        <f>VLOOKUP(Z545,Nuclides!A:E,3,FALSE)</f>
        <v>52</v>
      </c>
      <c r="AE545" s="1">
        <f t="shared" si="31"/>
        <v>277852224000</v>
      </c>
      <c r="AF545" t="s">
        <v>1483</v>
      </c>
    </row>
    <row r="546" spans="18:32" x14ac:dyDescent="0.2">
      <c r="R546" s="1">
        <v>53114</v>
      </c>
      <c r="S546" s="1">
        <v>5.5839999999999995E-10</v>
      </c>
      <c r="T546" t="str">
        <f>VLOOKUP(R546,Nuclides!A:E,5,FALSE)</f>
        <v>I114</v>
      </c>
      <c r="U546">
        <f>VLOOKUP(Sheet2!R546,Nuclides!A:E,2,FALSE)</f>
        <v>61</v>
      </c>
      <c r="V546">
        <f>VLOOKUP(R546,Nuclides!A:E,3,FALSE)</f>
        <v>53</v>
      </c>
      <c r="W546" s="1">
        <f t="shared" si="30"/>
        <v>6968831.9999999991</v>
      </c>
      <c r="X546" t="s">
        <v>1498</v>
      </c>
      <c r="Z546" s="1">
        <v>52135</v>
      </c>
      <c r="AA546" s="1">
        <v>7.4746000000000004E-6</v>
      </c>
      <c r="AB546" t="str">
        <f>VLOOKUP(Z546,Nuclides!A:E,5,FALSE)</f>
        <v>Te135</v>
      </c>
      <c r="AC546">
        <f>VLOOKUP(Sheet2!Z546,Nuclides!A:E,2,FALSE)</f>
        <v>83</v>
      </c>
      <c r="AD546">
        <f>VLOOKUP(Z546,Nuclides!A:E,3,FALSE)</f>
        <v>52</v>
      </c>
      <c r="AE546" s="1">
        <f t="shared" si="31"/>
        <v>93283008000</v>
      </c>
      <c r="AF546" t="s">
        <v>1484</v>
      </c>
    </row>
    <row r="547" spans="18:32" x14ac:dyDescent="0.2">
      <c r="R547" s="1">
        <v>53126</v>
      </c>
      <c r="S547" s="1">
        <v>2.094E-10</v>
      </c>
      <c r="T547" t="str">
        <f>VLOOKUP(R547,Nuclides!A:E,5,FALSE)</f>
        <v>I126</v>
      </c>
      <c r="U547">
        <f>VLOOKUP(Sheet2!R547,Nuclides!A:E,2,FALSE)</f>
        <v>73</v>
      </c>
      <c r="V547">
        <f>VLOOKUP(R547,Nuclides!A:E,3,FALSE)</f>
        <v>53</v>
      </c>
      <c r="W547" s="1">
        <f t="shared" si="30"/>
        <v>2613312</v>
      </c>
      <c r="X547" t="s">
        <v>1510</v>
      </c>
      <c r="Z547" s="1">
        <v>52136</v>
      </c>
      <c r="AA547" s="1">
        <v>5.4134800000000002E-6</v>
      </c>
      <c r="AB547" t="str">
        <f>VLOOKUP(Z547,Nuclides!A:E,5,FALSE)</f>
        <v>Te136</v>
      </c>
      <c r="AC547">
        <f>VLOOKUP(Sheet2!Z547,Nuclides!A:E,2,FALSE)</f>
        <v>84</v>
      </c>
      <c r="AD547">
        <f>VLOOKUP(Z547,Nuclides!A:E,3,FALSE)</f>
        <v>52</v>
      </c>
      <c r="AE547" s="1">
        <f t="shared" si="31"/>
        <v>67560230400</v>
      </c>
      <c r="AF547" t="s">
        <v>1485</v>
      </c>
    </row>
    <row r="548" spans="18:32" x14ac:dyDescent="0.2">
      <c r="R548" s="1">
        <v>53127</v>
      </c>
      <c r="S548" s="1">
        <v>2.3034000000000001E-9</v>
      </c>
      <c r="T548" t="str">
        <f>VLOOKUP(R548,Nuclides!A:E,5,FALSE)</f>
        <v>I127</v>
      </c>
      <c r="U548">
        <f>VLOOKUP(Sheet2!R548,Nuclides!A:E,2,FALSE)</f>
        <v>74</v>
      </c>
      <c r="V548">
        <f>VLOOKUP(R548,Nuclides!A:E,3,FALSE)</f>
        <v>53</v>
      </c>
      <c r="W548" s="1">
        <f t="shared" si="30"/>
        <v>28746432</v>
      </c>
      <c r="X548" t="s">
        <v>1511</v>
      </c>
      <c r="Z548" s="1">
        <v>52137</v>
      </c>
      <c r="AA548" s="1">
        <v>1.8727300000000001E-6</v>
      </c>
      <c r="AB548" t="str">
        <f>VLOOKUP(Z548,Nuclides!A:E,5,FALSE)</f>
        <v>Te137</v>
      </c>
      <c r="AC548">
        <f>VLOOKUP(Sheet2!Z548,Nuclides!A:E,2,FALSE)</f>
        <v>85</v>
      </c>
      <c r="AD548">
        <f>VLOOKUP(Z548,Nuclides!A:E,3,FALSE)</f>
        <v>52</v>
      </c>
      <c r="AE548" s="1">
        <f t="shared" si="31"/>
        <v>23371670400</v>
      </c>
      <c r="AF548" t="s">
        <v>1486</v>
      </c>
    </row>
    <row r="549" spans="18:32" x14ac:dyDescent="0.2">
      <c r="R549" s="1">
        <v>53128</v>
      </c>
      <c r="S549" s="1">
        <v>1.2424399999999999E-8</v>
      </c>
      <c r="T549" t="str">
        <f>VLOOKUP(R549,Nuclides!A:E,5,FALSE)</f>
        <v>I128</v>
      </c>
      <c r="U549">
        <f>VLOOKUP(Sheet2!R549,Nuclides!A:E,2,FALSE)</f>
        <v>75</v>
      </c>
      <c r="V549">
        <f>VLOOKUP(R549,Nuclides!A:E,3,FALSE)</f>
        <v>53</v>
      </c>
      <c r="W549" s="1">
        <f t="shared" si="30"/>
        <v>155056512</v>
      </c>
      <c r="X549" t="s">
        <v>1512</v>
      </c>
      <c r="Z549" s="1">
        <v>52138</v>
      </c>
      <c r="AA549" s="1">
        <v>9.1075000000000003E-7</v>
      </c>
      <c r="AB549" t="str">
        <f>VLOOKUP(Z549,Nuclides!A:E,5,FALSE)</f>
        <v>Te138</v>
      </c>
      <c r="AC549">
        <f>VLOOKUP(Sheet2!Z549,Nuclides!A:E,2,FALSE)</f>
        <v>86</v>
      </c>
      <c r="AD549">
        <f>VLOOKUP(Z549,Nuclides!A:E,3,FALSE)</f>
        <v>52</v>
      </c>
      <c r="AE549" s="1">
        <f t="shared" si="31"/>
        <v>11366160000</v>
      </c>
      <c r="AF549" t="s">
        <v>1487</v>
      </c>
    </row>
    <row r="550" spans="18:32" x14ac:dyDescent="0.2">
      <c r="R550" s="1">
        <v>53129</v>
      </c>
      <c r="S550" s="1">
        <v>6.9800000000000003E-8</v>
      </c>
      <c r="T550" t="str">
        <f>VLOOKUP(R550,Nuclides!A:E,5,FALSE)</f>
        <v>I129</v>
      </c>
      <c r="U550">
        <f>VLOOKUP(Sheet2!R550,Nuclides!A:E,2,FALSE)</f>
        <v>76</v>
      </c>
      <c r="V550">
        <f>VLOOKUP(R550,Nuclides!A:E,3,FALSE)</f>
        <v>53</v>
      </c>
      <c r="W550" s="1">
        <f t="shared" si="30"/>
        <v>871104000</v>
      </c>
      <c r="X550" t="s">
        <v>1513</v>
      </c>
      <c r="Z550" s="1">
        <v>53110</v>
      </c>
      <c r="AA550" s="1">
        <v>2.7919999999999998E-10</v>
      </c>
      <c r="AB550" t="str">
        <f>VLOOKUP(Z550,Nuclides!A:E,5,FALSE)</f>
        <v>I110</v>
      </c>
      <c r="AC550">
        <f>VLOOKUP(Sheet2!Z550,Nuclides!A:E,2,FALSE)</f>
        <v>57</v>
      </c>
      <c r="AD550">
        <f>VLOOKUP(Z550,Nuclides!A:E,3,FALSE)</f>
        <v>53</v>
      </c>
      <c r="AE550" s="1">
        <f t="shared" si="31"/>
        <v>3484415.9999999995</v>
      </c>
      <c r="AF550" t="s">
        <v>1494</v>
      </c>
    </row>
    <row r="551" spans="18:32" x14ac:dyDescent="0.2">
      <c r="R551" s="1">
        <v>53130</v>
      </c>
      <c r="S551" s="1">
        <v>2.2838599999999999E-7</v>
      </c>
      <c r="T551" t="str">
        <f>VLOOKUP(R551,Nuclides!A:E,5,FALSE)</f>
        <v>I130</v>
      </c>
      <c r="U551">
        <f>VLOOKUP(Sheet2!R551,Nuclides!A:E,2,FALSE)</f>
        <v>77</v>
      </c>
      <c r="V551">
        <f>VLOOKUP(R551,Nuclides!A:E,3,FALSE)</f>
        <v>53</v>
      </c>
      <c r="W551" s="1">
        <f t="shared" si="30"/>
        <v>2850257280</v>
      </c>
      <c r="X551" t="s">
        <v>1514</v>
      </c>
      <c r="Z551" s="1">
        <v>53111</v>
      </c>
      <c r="AA551" s="1">
        <v>2.25733E-7</v>
      </c>
      <c r="AB551" t="str">
        <f>VLOOKUP(Z551,Nuclides!A:E,5,FALSE)</f>
        <v>I111</v>
      </c>
      <c r="AC551">
        <f>VLOOKUP(Sheet2!Z551,Nuclides!A:E,2,FALSE)</f>
        <v>58</v>
      </c>
      <c r="AD551">
        <f>VLOOKUP(Z551,Nuclides!A:E,3,FALSE)</f>
        <v>53</v>
      </c>
      <c r="AE551" s="1">
        <f t="shared" si="31"/>
        <v>2817147840</v>
      </c>
      <c r="AF551" t="s">
        <v>1495</v>
      </c>
    </row>
    <row r="552" spans="18:32" x14ac:dyDescent="0.2">
      <c r="R552" s="1">
        <v>53131</v>
      </c>
      <c r="S552" s="1">
        <v>9.0132699999999996E-7</v>
      </c>
      <c r="T552" t="str">
        <f>VLOOKUP(R552,Nuclides!A:E,5,FALSE)</f>
        <v>I131</v>
      </c>
      <c r="U552">
        <f>VLOOKUP(Sheet2!R552,Nuclides!A:E,2,FALSE)</f>
        <v>78</v>
      </c>
      <c r="V552">
        <f>VLOOKUP(R552,Nuclides!A:E,3,FALSE)</f>
        <v>53</v>
      </c>
      <c r="W552" s="1">
        <f t="shared" si="30"/>
        <v>11248560960</v>
      </c>
      <c r="X552" t="s">
        <v>1515</v>
      </c>
      <c r="Z552" s="1">
        <v>53112</v>
      </c>
      <c r="AA552" s="1">
        <v>3.4551000000000003E-8</v>
      </c>
      <c r="AB552" t="str">
        <f>VLOOKUP(Z552,Nuclides!A:E,5,FALSE)</f>
        <v>I112</v>
      </c>
      <c r="AC552">
        <f>VLOOKUP(Sheet2!Z552,Nuclides!A:E,2,FALSE)</f>
        <v>59</v>
      </c>
      <c r="AD552">
        <f>VLOOKUP(Z552,Nuclides!A:E,3,FALSE)</f>
        <v>53</v>
      </c>
      <c r="AE552" s="1">
        <f t="shared" si="31"/>
        <v>431196480.00000006</v>
      </c>
      <c r="AF552" t="s">
        <v>1496</v>
      </c>
    </row>
    <row r="553" spans="18:32" x14ac:dyDescent="0.2">
      <c r="R553" s="1">
        <v>53132</v>
      </c>
      <c r="S553" s="1">
        <v>2.3850699999999998E-6</v>
      </c>
      <c r="T553" t="str">
        <f>VLOOKUP(R553,Nuclides!A:E,5,FALSE)</f>
        <v>I132</v>
      </c>
      <c r="U553">
        <f>VLOOKUP(Sheet2!R553,Nuclides!A:E,2,FALSE)</f>
        <v>79</v>
      </c>
      <c r="V553">
        <f>VLOOKUP(R553,Nuclides!A:E,3,FALSE)</f>
        <v>53</v>
      </c>
      <c r="W553" s="1">
        <f t="shared" si="30"/>
        <v>29765673600</v>
      </c>
      <c r="X553" t="s">
        <v>1516</v>
      </c>
      <c r="Z553" s="1">
        <v>53113</v>
      </c>
      <c r="AA553" s="1">
        <v>1.4937200000000001E-8</v>
      </c>
      <c r="AB553" t="str">
        <f>VLOOKUP(Z553,Nuclides!A:E,5,FALSE)</f>
        <v>I113</v>
      </c>
      <c r="AC553">
        <f>VLOOKUP(Sheet2!Z553,Nuclides!A:E,2,FALSE)</f>
        <v>60</v>
      </c>
      <c r="AD553">
        <f>VLOOKUP(Z553,Nuclides!A:E,3,FALSE)</f>
        <v>53</v>
      </c>
      <c r="AE553" s="1">
        <f t="shared" si="31"/>
        <v>186416256</v>
      </c>
      <c r="AF553" t="s">
        <v>1497</v>
      </c>
    </row>
    <row r="554" spans="18:32" x14ac:dyDescent="0.2">
      <c r="R554" s="1">
        <v>53133</v>
      </c>
      <c r="S554" s="1">
        <v>7.7290899999999996E-6</v>
      </c>
      <c r="T554" t="str">
        <f>VLOOKUP(R554,Nuclides!A:E,5,FALSE)</f>
        <v>I133</v>
      </c>
      <c r="U554">
        <f>VLOOKUP(Sheet2!R554,Nuclides!A:E,2,FALSE)</f>
        <v>80</v>
      </c>
      <c r="V554">
        <f>VLOOKUP(R554,Nuclides!A:E,3,FALSE)</f>
        <v>53</v>
      </c>
      <c r="W554" s="1">
        <f t="shared" si="30"/>
        <v>96459043200</v>
      </c>
      <c r="X554" t="s">
        <v>1517</v>
      </c>
      <c r="Z554" s="1">
        <v>53114</v>
      </c>
      <c r="AA554" s="1">
        <v>7.6779999999999997E-10</v>
      </c>
      <c r="AB554" t="str">
        <f>VLOOKUP(Z554,Nuclides!A:E,5,FALSE)</f>
        <v>I114</v>
      </c>
      <c r="AC554">
        <f>VLOOKUP(Sheet2!Z554,Nuclides!A:E,2,FALSE)</f>
        <v>61</v>
      </c>
      <c r="AD554">
        <f>VLOOKUP(Z554,Nuclides!A:E,3,FALSE)</f>
        <v>53</v>
      </c>
      <c r="AE554" s="1">
        <f t="shared" si="31"/>
        <v>9582144</v>
      </c>
      <c r="AF554" t="s">
        <v>1498</v>
      </c>
    </row>
    <row r="555" spans="18:32" x14ac:dyDescent="0.2">
      <c r="R555" s="1">
        <v>53134</v>
      </c>
      <c r="S555" s="1">
        <v>1.9100700000000002E-5</v>
      </c>
      <c r="T555" t="str">
        <f>VLOOKUP(R555,Nuclides!A:E,5,FALSE)</f>
        <v>I134</v>
      </c>
      <c r="U555">
        <f>VLOOKUP(Sheet2!R555,Nuclides!A:E,2,FALSE)</f>
        <v>81</v>
      </c>
      <c r="V555">
        <f>VLOOKUP(R555,Nuclides!A:E,3,FALSE)</f>
        <v>53</v>
      </c>
      <c r="W555" s="1">
        <f t="shared" si="30"/>
        <v>238376736000.00003</v>
      </c>
      <c r="X555" t="s">
        <v>1518</v>
      </c>
      <c r="Z555" s="1">
        <v>53115</v>
      </c>
      <c r="AA555" s="1">
        <v>3.4899999999999998E-10</v>
      </c>
      <c r="AB555" t="str">
        <f>VLOOKUP(Z555,Nuclides!A:E,5,FALSE)</f>
        <v>I115</v>
      </c>
      <c r="AC555">
        <f>VLOOKUP(Sheet2!Z555,Nuclides!A:E,2,FALSE)</f>
        <v>62</v>
      </c>
      <c r="AD555">
        <f>VLOOKUP(Z555,Nuclides!A:E,3,FALSE)</f>
        <v>53</v>
      </c>
      <c r="AE555" s="1">
        <f t="shared" si="31"/>
        <v>4355520</v>
      </c>
      <c r="AF555" t="s">
        <v>1499</v>
      </c>
    </row>
    <row r="556" spans="18:32" x14ac:dyDescent="0.2">
      <c r="R556" s="1">
        <v>53135</v>
      </c>
      <c r="S556" s="1">
        <v>4.9772399999999998E-5</v>
      </c>
      <c r="T556" t="str">
        <f>VLOOKUP(R556,Nuclides!A:E,5,FALSE)</f>
        <v>I135</v>
      </c>
      <c r="U556">
        <f>VLOOKUP(Sheet2!R556,Nuclides!A:E,2,FALSE)</f>
        <v>82</v>
      </c>
      <c r="V556">
        <f>VLOOKUP(R556,Nuclides!A:E,3,FALSE)</f>
        <v>53</v>
      </c>
      <c r="W556" s="1">
        <f t="shared" si="30"/>
        <v>621159552000</v>
      </c>
      <c r="X556" t="s">
        <v>1519</v>
      </c>
      <c r="Z556" s="1">
        <v>53116</v>
      </c>
      <c r="AA556" s="1">
        <v>6.9799999999999994E-11</v>
      </c>
      <c r="AB556" t="str">
        <f>VLOOKUP(Z556,Nuclides!A:E,5,FALSE)</f>
        <v>I116</v>
      </c>
      <c r="AC556">
        <f>VLOOKUP(Sheet2!Z556,Nuclides!A:E,2,FALSE)</f>
        <v>63</v>
      </c>
      <c r="AD556">
        <f>VLOOKUP(Z556,Nuclides!A:E,3,FALSE)</f>
        <v>53</v>
      </c>
      <c r="AE556" s="1">
        <f t="shared" si="31"/>
        <v>871103.99999999988</v>
      </c>
      <c r="AF556" t="s">
        <v>1500</v>
      </c>
    </row>
    <row r="557" spans="18:32" x14ac:dyDescent="0.2">
      <c r="R557" s="1">
        <v>53136</v>
      </c>
      <c r="S557" s="1">
        <v>5.83337E-5</v>
      </c>
      <c r="T557" t="str">
        <f>VLOOKUP(R557,Nuclides!A:E,5,FALSE)</f>
        <v>I136</v>
      </c>
      <c r="U557">
        <f>VLOOKUP(Sheet2!R557,Nuclides!A:E,2,FALSE)</f>
        <v>83</v>
      </c>
      <c r="V557">
        <f>VLOOKUP(R557,Nuclides!A:E,3,FALSE)</f>
        <v>53</v>
      </c>
      <c r="W557" s="1">
        <f t="shared" si="30"/>
        <v>728004576000</v>
      </c>
      <c r="X557" t="s">
        <v>1520</v>
      </c>
      <c r="Z557" s="1">
        <v>53125</v>
      </c>
      <c r="AA557" s="1">
        <v>1.3959999999999999E-10</v>
      </c>
      <c r="AB557" t="str">
        <f>VLOOKUP(Z557,Nuclides!A:E,5,FALSE)</f>
        <v>I125</v>
      </c>
      <c r="AC557">
        <f>VLOOKUP(Sheet2!Z557,Nuclides!A:E,2,FALSE)</f>
        <v>72</v>
      </c>
      <c r="AD557">
        <f>VLOOKUP(Z557,Nuclides!A:E,3,FALSE)</f>
        <v>53</v>
      </c>
      <c r="AE557" s="1">
        <f t="shared" si="31"/>
        <v>1742207.9999999998</v>
      </c>
      <c r="AF557" t="s">
        <v>1509</v>
      </c>
    </row>
    <row r="558" spans="18:32" x14ac:dyDescent="0.2">
      <c r="R558" s="1">
        <v>53137</v>
      </c>
      <c r="S558" s="1">
        <v>7.1020700000000003E-5</v>
      </c>
      <c r="T558" t="str">
        <f>VLOOKUP(R558,Nuclides!A:E,5,FALSE)</f>
        <v>I137</v>
      </c>
      <c r="U558">
        <f>VLOOKUP(Sheet2!R558,Nuclides!A:E,2,FALSE)</f>
        <v>84</v>
      </c>
      <c r="V558">
        <f>VLOOKUP(R558,Nuclides!A:E,3,FALSE)</f>
        <v>53</v>
      </c>
      <c r="W558" s="1">
        <f t="shared" si="30"/>
        <v>886338336000</v>
      </c>
      <c r="X558" t="s">
        <v>1521</v>
      </c>
      <c r="Z558" s="1">
        <v>53126</v>
      </c>
      <c r="AA558" s="1">
        <v>2.7919999999999998E-10</v>
      </c>
      <c r="AB558" t="str">
        <f>VLOOKUP(Z558,Nuclides!A:E,5,FALSE)</f>
        <v>I126</v>
      </c>
      <c r="AC558">
        <f>VLOOKUP(Sheet2!Z558,Nuclides!A:E,2,FALSE)</f>
        <v>73</v>
      </c>
      <c r="AD558">
        <f>VLOOKUP(Z558,Nuclides!A:E,3,FALSE)</f>
        <v>53</v>
      </c>
      <c r="AE558" s="1">
        <f t="shared" si="31"/>
        <v>3484415.9999999995</v>
      </c>
      <c r="AF558" t="s">
        <v>1510</v>
      </c>
    </row>
    <row r="559" spans="18:32" x14ac:dyDescent="0.2">
      <c r="R559" s="1">
        <v>53138</v>
      </c>
      <c r="S559" s="1">
        <v>4.5197200000000002E-5</v>
      </c>
      <c r="T559" t="str">
        <f>VLOOKUP(R559,Nuclides!A:E,5,FALSE)</f>
        <v>I138</v>
      </c>
      <c r="U559">
        <f>VLOOKUP(Sheet2!R559,Nuclides!A:E,2,FALSE)</f>
        <v>85</v>
      </c>
      <c r="V559">
        <f>VLOOKUP(R559,Nuclides!A:E,3,FALSE)</f>
        <v>53</v>
      </c>
      <c r="W559" s="1">
        <f t="shared" si="30"/>
        <v>564061056000</v>
      </c>
      <c r="X559" t="s">
        <v>1522</v>
      </c>
      <c r="Z559" s="1">
        <v>53127</v>
      </c>
      <c r="AA559" s="1">
        <v>4.8859999999999999E-9</v>
      </c>
      <c r="AB559" t="str">
        <f>VLOOKUP(Z559,Nuclides!A:E,5,FALSE)</f>
        <v>I127</v>
      </c>
      <c r="AC559">
        <f>VLOOKUP(Sheet2!Z559,Nuclides!A:E,2,FALSE)</f>
        <v>74</v>
      </c>
      <c r="AD559">
        <f>VLOOKUP(Z559,Nuclides!A:E,3,FALSE)</f>
        <v>53</v>
      </c>
      <c r="AE559" s="1">
        <f t="shared" si="31"/>
        <v>60977280</v>
      </c>
      <c r="AF559" t="s">
        <v>1511</v>
      </c>
    </row>
    <row r="560" spans="18:32" x14ac:dyDescent="0.2">
      <c r="R560" s="1">
        <v>53139</v>
      </c>
      <c r="S560" s="1">
        <v>3.6078300000000003E-5</v>
      </c>
      <c r="T560" t="str">
        <f>VLOOKUP(R560,Nuclides!A:E,5,FALSE)</f>
        <v>I139</v>
      </c>
      <c r="U560">
        <f>VLOOKUP(Sheet2!R560,Nuclides!A:E,2,FALSE)</f>
        <v>86</v>
      </c>
      <c r="V560">
        <f>VLOOKUP(R560,Nuclides!A:E,3,FALSE)</f>
        <v>53</v>
      </c>
      <c r="W560" s="1">
        <f t="shared" si="30"/>
        <v>450257184000.00006</v>
      </c>
      <c r="X560" t="s">
        <v>1523</v>
      </c>
      <c r="Z560" s="1">
        <v>53128</v>
      </c>
      <c r="AA560" s="1">
        <v>2.6105199999999999E-8</v>
      </c>
      <c r="AB560" t="str">
        <f>VLOOKUP(Z560,Nuclides!A:E,5,FALSE)</f>
        <v>I128</v>
      </c>
      <c r="AC560">
        <f>VLOOKUP(Sheet2!Z560,Nuclides!A:E,2,FALSE)</f>
        <v>75</v>
      </c>
      <c r="AD560">
        <f>VLOOKUP(Z560,Nuclides!A:E,3,FALSE)</f>
        <v>53</v>
      </c>
      <c r="AE560" s="1">
        <f t="shared" si="31"/>
        <v>325792896</v>
      </c>
      <c r="AF560" t="s">
        <v>1512</v>
      </c>
    </row>
    <row r="561" spans="18:32" x14ac:dyDescent="0.2">
      <c r="R561" s="1">
        <v>53140</v>
      </c>
      <c r="S561" s="1">
        <v>1.4052299999999999E-5</v>
      </c>
      <c r="T561" t="str">
        <f>VLOOKUP(R561,Nuclides!A:E,5,FALSE)</f>
        <v>I140</v>
      </c>
      <c r="U561">
        <f>VLOOKUP(Sheet2!R561,Nuclides!A:E,2,FALSE)</f>
        <v>87</v>
      </c>
      <c r="V561">
        <f>VLOOKUP(R561,Nuclides!A:E,3,FALSE)</f>
        <v>53</v>
      </c>
      <c r="W561" s="1">
        <f t="shared" si="30"/>
        <v>175372704000</v>
      </c>
      <c r="X561" t="s">
        <v>1524</v>
      </c>
      <c r="Z561" s="1">
        <v>53129</v>
      </c>
      <c r="AA561" s="1">
        <v>2.12681E-7</v>
      </c>
      <c r="AB561" t="str">
        <f>VLOOKUP(Z561,Nuclides!A:E,5,FALSE)</f>
        <v>I129</v>
      </c>
      <c r="AC561">
        <f>VLOOKUP(Sheet2!Z561,Nuclides!A:E,2,FALSE)</f>
        <v>76</v>
      </c>
      <c r="AD561">
        <f>VLOOKUP(Z561,Nuclides!A:E,3,FALSE)</f>
        <v>53</v>
      </c>
      <c r="AE561" s="1">
        <f t="shared" si="31"/>
        <v>2654258880</v>
      </c>
      <c r="AF561" t="s">
        <v>1513</v>
      </c>
    </row>
    <row r="562" spans="18:32" x14ac:dyDescent="0.2">
      <c r="R562" s="1">
        <v>53141</v>
      </c>
      <c r="S562" s="1">
        <v>5.9477300000000002E-6</v>
      </c>
      <c r="T562" t="str">
        <f>VLOOKUP(R562,Nuclides!A:E,5,FALSE)</f>
        <v>I141</v>
      </c>
      <c r="U562">
        <f>VLOOKUP(Sheet2!R562,Nuclides!A:E,2,FALSE)</f>
        <v>88</v>
      </c>
      <c r="V562">
        <f>VLOOKUP(R562,Nuclides!A:E,3,FALSE)</f>
        <v>53</v>
      </c>
      <c r="W562" s="1">
        <f t="shared" si="30"/>
        <v>74227670400</v>
      </c>
      <c r="X562" t="s">
        <v>1525</v>
      </c>
      <c r="Z562" s="1">
        <v>53130</v>
      </c>
      <c r="AA562" s="1">
        <v>7.3073599999999999E-7</v>
      </c>
      <c r="AB562" t="str">
        <f>VLOOKUP(Z562,Nuclides!A:E,5,FALSE)</f>
        <v>I130</v>
      </c>
      <c r="AC562">
        <f>VLOOKUP(Sheet2!Z562,Nuclides!A:E,2,FALSE)</f>
        <v>77</v>
      </c>
      <c r="AD562">
        <f>VLOOKUP(Z562,Nuclides!A:E,3,FALSE)</f>
        <v>53</v>
      </c>
      <c r="AE562" s="1">
        <f t="shared" si="31"/>
        <v>9119585280</v>
      </c>
      <c r="AF562" t="s">
        <v>1514</v>
      </c>
    </row>
    <row r="563" spans="18:32" x14ac:dyDescent="0.2">
      <c r="R563" s="1">
        <v>53142</v>
      </c>
      <c r="S563" s="1">
        <v>1.31119E-6</v>
      </c>
      <c r="T563" t="str">
        <f>VLOOKUP(R563,Nuclides!A:E,5,FALSE)</f>
        <v>I142</v>
      </c>
      <c r="U563">
        <f>VLOOKUP(Sheet2!R563,Nuclides!A:E,2,FALSE)</f>
        <v>89</v>
      </c>
      <c r="V563">
        <f>VLOOKUP(R563,Nuclides!A:E,3,FALSE)</f>
        <v>53</v>
      </c>
      <c r="W563" s="1">
        <f t="shared" si="30"/>
        <v>16363651200</v>
      </c>
      <c r="X563" t="s">
        <v>1526</v>
      </c>
      <c r="Z563" s="1">
        <v>53131</v>
      </c>
      <c r="AA563" s="1">
        <v>3.51171E-6</v>
      </c>
      <c r="AB563" t="str">
        <f>VLOOKUP(Z563,Nuclides!A:E,5,FALSE)</f>
        <v>I131</v>
      </c>
      <c r="AC563">
        <f>VLOOKUP(Sheet2!Z563,Nuclides!A:E,2,FALSE)</f>
        <v>78</v>
      </c>
      <c r="AD563">
        <f>VLOOKUP(Z563,Nuclides!A:E,3,FALSE)</f>
        <v>53</v>
      </c>
      <c r="AE563" s="1">
        <f t="shared" si="31"/>
        <v>43826140800</v>
      </c>
      <c r="AF563" t="s">
        <v>1515</v>
      </c>
    </row>
    <row r="564" spans="18:32" x14ac:dyDescent="0.2">
      <c r="R564" s="1">
        <v>54110</v>
      </c>
      <c r="S564" s="1">
        <v>3.0872500000000001E-7</v>
      </c>
      <c r="T564" t="str">
        <f>VLOOKUP(R564,Nuclides!A:E,5,FALSE)</f>
        <v>Xe110</v>
      </c>
      <c r="U564">
        <f>VLOOKUP(Sheet2!R564,Nuclides!A:E,2,FALSE)</f>
        <v>56</v>
      </c>
      <c r="V564">
        <f>VLOOKUP(R564,Nuclides!A:E,3,FALSE)</f>
        <v>54</v>
      </c>
      <c r="W564" s="1">
        <f t="shared" si="30"/>
        <v>3852888000</v>
      </c>
      <c r="X564" t="s">
        <v>1531</v>
      </c>
      <c r="Z564" s="1">
        <v>53132</v>
      </c>
      <c r="AA564" s="1">
        <v>7.0228599999999999E-6</v>
      </c>
      <c r="AB564" t="str">
        <f>VLOOKUP(Z564,Nuclides!A:E,5,FALSE)</f>
        <v>I132</v>
      </c>
      <c r="AC564">
        <f>VLOOKUP(Sheet2!Z564,Nuclides!A:E,2,FALSE)</f>
        <v>79</v>
      </c>
      <c r="AD564">
        <f>VLOOKUP(Z564,Nuclides!A:E,3,FALSE)</f>
        <v>53</v>
      </c>
      <c r="AE564" s="1">
        <f t="shared" si="31"/>
        <v>87645292800</v>
      </c>
      <c r="AF564" t="s">
        <v>1516</v>
      </c>
    </row>
    <row r="565" spans="18:32" x14ac:dyDescent="0.2">
      <c r="R565" s="1">
        <v>54111</v>
      </c>
      <c r="S565" s="1">
        <v>4.2577999999999999E-8</v>
      </c>
      <c r="T565" t="str">
        <f>VLOOKUP(R565,Nuclides!A:E,5,FALSE)</f>
        <v>Xe111</v>
      </c>
      <c r="U565">
        <f>VLOOKUP(Sheet2!R565,Nuclides!A:E,2,FALSE)</f>
        <v>57</v>
      </c>
      <c r="V565">
        <f>VLOOKUP(R565,Nuclides!A:E,3,FALSE)</f>
        <v>54</v>
      </c>
      <c r="W565" s="1">
        <f t="shared" si="30"/>
        <v>531373440</v>
      </c>
      <c r="X565" t="s">
        <v>1532</v>
      </c>
      <c r="Z565" s="1">
        <v>53133</v>
      </c>
      <c r="AA565" s="1">
        <v>1.8415099999999999E-5</v>
      </c>
      <c r="AB565" t="str">
        <f>VLOOKUP(Z565,Nuclides!A:E,5,FALSE)</f>
        <v>I133</v>
      </c>
      <c r="AC565">
        <f>VLOOKUP(Sheet2!Z565,Nuclides!A:E,2,FALSE)</f>
        <v>80</v>
      </c>
      <c r="AD565">
        <f>VLOOKUP(Z565,Nuclides!A:E,3,FALSE)</f>
        <v>53</v>
      </c>
      <c r="AE565" s="1">
        <f t="shared" si="31"/>
        <v>229820448000</v>
      </c>
      <c r="AF565" t="s">
        <v>1517</v>
      </c>
    </row>
    <row r="566" spans="18:32" x14ac:dyDescent="0.2">
      <c r="R566" s="1">
        <v>54112</v>
      </c>
      <c r="S566" s="1">
        <v>5.1652000000000003E-9</v>
      </c>
      <c r="T566" t="str">
        <f>VLOOKUP(R566,Nuclides!A:E,5,FALSE)</f>
        <v>Xe112</v>
      </c>
      <c r="U566">
        <f>VLOOKUP(Sheet2!R566,Nuclides!A:E,2,FALSE)</f>
        <v>58</v>
      </c>
      <c r="V566">
        <f>VLOOKUP(R566,Nuclides!A:E,3,FALSE)</f>
        <v>54</v>
      </c>
      <c r="W566" s="1">
        <f t="shared" si="30"/>
        <v>64461696.000000007</v>
      </c>
      <c r="X566" t="s">
        <v>1533</v>
      </c>
      <c r="Z566" s="1">
        <v>53134</v>
      </c>
      <c r="AA566" s="1">
        <v>2.4316900000000001E-5</v>
      </c>
      <c r="AB566" t="str">
        <f>VLOOKUP(Z566,Nuclides!A:E,5,FALSE)</f>
        <v>I134</v>
      </c>
      <c r="AC566">
        <f>VLOOKUP(Sheet2!Z566,Nuclides!A:E,2,FALSE)</f>
        <v>81</v>
      </c>
      <c r="AD566">
        <f>VLOOKUP(Z566,Nuclides!A:E,3,FALSE)</f>
        <v>53</v>
      </c>
      <c r="AE566" s="1">
        <f t="shared" si="31"/>
        <v>303474912000</v>
      </c>
      <c r="AF566" t="s">
        <v>1518</v>
      </c>
    </row>
    <row r="567" spans="18:32" x14ac:dyDescent="0.2">
      <c r="R567" s="1">
        <v>54113</v>
      </c>
      <c r="S567" s="1">
        <v>4.1879999999999999E-10</v>
      </c>
      <c r="T567" t="str">
        <f>VLOOKUP(R567,Nuclides!A:E,5,FALSE)</f>
        <v>Xe113</v>
      </c>
      <c r="U567">
        <f>VLOOKUP(Sheet2!R567,Nuclides!A:E,2,FALSE)</f>
        <v>59</v>
      </c>
      <c r="V567">
        <f>VLOOKUP(R567,Nuclides!A:E,3,FALSE)</f>
        <v>54</v>
      </c>
      <c r="W567" s="1">
        <f t="shared" si="30"/>
        <v>5226624</v>
      </c>
      <c r="X567" t="s">
        <v>1534</v>
      </c>
      <c r="Z567" s="1">
        <v>53135</v>
      </c>
      <c r="AA567" s="1">
        <v>3.85706E-5</v>
      </c>
      <c r="AB567" t="str">
        <f>VLOOKUP(Z567,Nuclides!A:E,5,FALSE)</f>
        <v>I135</v>
      </c>
      <c r="AC567">
        <f>VLOOKUP(Sheet2!Z567,Nuclides!A:E,2,FALSE)</f>
        <v>82</v>
      </c>
      <c r="AD567">
        <f>VLOOKUP(Z567,Nuclides!A:E,3,FALSE)</f>
        <v>53</v>
      </c>
      <c r="AE567" s="1">
        <f t="shared" si="31"/>
        <v>481361088000</v>
      </c>
      <c r="AF567" t="s">
        <v>1519</v>
      </c>
    </row>
    <row r="568" spans="18:32" x14ac:dyDescent="0.2">
      <c r="R568" s="1">
        <v>54114</v>
      </c>
      <c r="S568" s="1">
        <v>6.9799999999999994E-11</v>
      </c>
      <c r="T568" t="str">
        <f>VLOOKUP(R568,Nuclides!A:E,5,FALSE)</f>
        <v>Xe114</v>
      </c>
      <c r="U568">
        <f>VLOOKUP(Sheet2!R568,Nuclides!A:E,2,FALSE)</f>
        <v>60</v>
      </c>
      <c r="V568">
        <f>VLOOKUP(R568,Nuclides!A:E,3,FALSE)</f>
        <v>54</v>
      </c>
      <c r="W568" s="1">
        <f t="shared" si="30"/>
        <v>871103.99999999988</v>
      </c>
      <c r="X568" t="s">
        <v>1535</v>
      </c>
      <c r="Z568" s="1">
        <v>53136</v>
      </c>
      <c r="AA568" s="1">
        <v>1.92375E-5</v>
      </c>
      <c r="AB568" t="str">
        <f>VLOOKUP(Z568,Nuclides!A:E,5,FALSE)</f>
        <v>I136</v>
      </c>
      <c r="AC568">
        <f>VLOOKUP(Sheet2!Z568,Nuclides!A:E,2,FALSE)</f>
        <v>83</v>
      </c>
      <c r="AD568">
        <f>VLOOKUP(Z568,Nuclides!A:E,3,FALSE)</f>
        <v>53</v>
      </c>
      <c r="AE568" s="1">
        <f t="shared" si="31"/>
        <v>240084000000</v>
      </c>
      <c r="AF568" t="s">
        <v>1520</v>
      </c>
    </row>
    <row r="569" spans="18:32" x14ac:dyDescent="0.2">
      <c r="R569" s="1">
        <v>54128</v>
      </c>
      <c r="S569" s="1">
        <v>6.9799999999999994E-11</v>
      </c>
      <c r="T569" t="str">
        <f>VLOOKUP(R569,Nuclides!A:E,5,FALSE)</f>
        <v>Xe128</v>
      </c>
      <c r="U569">
        <f>VLOOKUP(Sheet2!R569,Nuclides!A:E,2,FALSE)</f>
        <v>74</v>
      </c>
      <c r="V569">
        <f>VLOOKUP(R569,Nuclides!A:E,3,FALSE)</f>
        <v>54</v>
      </c>
      <c r="W569" s="1">
        <f t="shared" si="30"/>
        <v>871103.99999999988</v>
      </c>
      <c r="X569" t="s">
        <v>1549</v>
      </c>
      <c r="Z569" s="1">
        <v>53137</v>
      </c>
      <c r="AA569" s="1">
        <v>1.8481499999999999E-5</v>
      </c>
      <c r="AB569" t="str">
        <f>VLOOKUP(Z569,Nuclides!A:E,5,FALSE)</f>
        <v>I137</v>
      </c>
      <c r="AC569">
        <f>VLOOKUP(Sheet2!Z569,Nuclides!A:E,2,FALSE)</f>
        <v>84</v>
      </c>
      <c r="AD569">
        <f>VLOOKUP(Z569,Nuclides!A:E,3,FALSE)</f>
        <v>53</v>
      </c>
      <c r="AE569" s="1">
        <f t="shared" si="31"/>
        <v>230649120000</v>
      </c>
      <c r="AF569" t="s">
        <v>1521</v>
      </c>
    </row>
    <row r="570" spans="18:32" x14ac:dyDescent="0.2">
      <c r="R570" s="1">
        <v>54129</v>
      </c>
      <c r="S570" s="1">
        <v>1.3262E-9</v>
      </c>
      <c r="T570" t="str">
        <f>VLOOKUP(R570,Nuclides!A:E,5,FALSE)</f>
        <v>Xe129</v>
      </c>
      <c r="U570">
        <f>VLOOKUP(Sheet2!R570,Nuclides!A:E,2,FALSE)</f>
        <v>75</v>
      </c>
      <c r="V570">
        <f>VLOOKUP(R570,Nuclides!A:E,3,FALSE)</f>
        <v>54</v>
      </c>
      <c r="W570" s="1">
        <f t="shared" si="30"/>
        <v>16550976</v>
      </c>
      <c r="X570" t="s">
        <v>1550</v>
      </c>
      <c r="Z570" s="1">
        <v>53138</v>
      </c>
      <c r="AA570" s="1">
        <v>9.4235599999999996E-6</v>
      </c>
      <c r="AB570" t="str">
        <f>VLOOKUP(Z570,Nuclides!A:E,5,FALSE)</f>
        <v>I138</v>
      </c>
      <c r="AC570">
        <f>VLOOKUP(Sheet2!Z570,Nuclides!A:E,2,FALSE)</f>
        <v>85</v>
      </c>
      <c r="AD570">
        <f>VLOOKUP(Z570,Nuclides!A:E,3,FALSE)</f>
        <v>53</v>
      </c>
      <c r="AE570" s="1">
        <f t="shared" si="31"/>
        <v>117606028800</v>
      </c>
      <c r="AF570" t="s">
        <v>1522</v>
      </c>
    </row>
    <row r="571" spans="18:32" x14ac:dyDescent="0.2">
      <c r="R571" s="1">
        <v>54130</v>
      </c>
      <c r="S571" s="1">
        <v>8.5155999999999998E-9</v>
      </c>
      <c r="T571" t="str">
        <f>VLOOKUP(R571,Nuclides!A:E,5,FALSE)</f>
        <v>Xe130</v>
      </c>
      <c r="U571">
        <f>VLOOKUP(Sheet2!R571,Nuclides!A:E,2,FALSE)</f>
        <v>76</v>
      </c>
      <c r="V571">
        <f>VLOOKUP(R571,Nuclides!A:E,3,FALSE)</f>
        <v>54</v>
      </c>
      <c r="W571" s="1">
        <f t="shared" si="30"/>
        <v>106274688</v>
      </c>
      <c r="X571" t="s">
        <v>1551</v>
      </c>
      <c r="Z571" s="1">
        <v>53139</v>
      </c>
      <c r="AA571" s="1">
        <v>5.6522599999999998E-6</v>
      </c>
      <c r="AB571" t="str">
        <f>VLOOKUP(Z571,Nuclides!A:E,5,FALSE)</f>
        <v>I139</v>
      </c>
      <c r="AC571">
        <f>VLOOKUP(Sheet2!Z571,Nuclides!A:E,2,FALSE)</f>
        <v>86</v>
      </c>
      <c r="AD571">
        <f>VLOOKUP(Z571,Nuclides!A:E,3,FALSE)</f>
        <v>53</v>
      </c>
      <c r="AE571" s="1">
        <f t="shared" si="31"/>
        <v>70540204800</v>
      </c>
      <c r="AF571" t="s">
        <v>1523</v>
      </c>
    </row>
    <row r="572" spans="18:32" x14ac:dyDescent="0.2">
      <c r="R572" s="1">
        <v>54131</v>
      </c>
      <c r="S572" s="1">
        <v>4.2089400000000002E-8</v>
      </c>
      <c r="T572" t="str">
        <f>VLOOKUP(R572,Nuclides!A:E,5,FALSE)</f>
        <v>Xe131</v>
      </c>
      <c r="U572">
        <f>VLOOKUP(Sheet2!R572,Nuclides!A:E,2,FALSE)</f>
        <v>77</v>
      </c>
      <c r="V572">
        <f>VLOOKUP(R572,Nuclides!A:E,3,FALSE)</f>
        <v>54</v>
      </c>
      <c r="W572" s="1">
        <f t="shared" si="30"/>
        <v>525275712</v>
      </c>
      <c r="X572" t="s">
        <v>1552</v>
      </c>
      <c r="Z572" s="1">
        <v>53140</v>
      </c>
      <c r="AA572" s="1">
        <v>1.6166399999999999E-6</v>
      </c>
      <c r="AB572" t="str">
        <f>VLOOKUP(Z572,Nuclides!A:E,5,FALSE)</f>
        <v>I140</v>
      </c>
      <c r="AC572">
        <f>VLOOKUP(Sheet2!Z572,Nuclides!A:E,2,FALSE)</f>
        <v>87</v>
      </c>
      <c r="AD572">
        <f>VLOOKUP(Z572,Nuclides!A:E,3,FALSE)</f>
        <v>53</v>
      </c>
      <c r="AE572" s="1">
        <f t="shared" si="31"/>
        <v>20175667200</v>
      </c>
      <c r="AF572" t="s">
        <v>1524</v>
      </c>
    </row>
    <row r="573" spans="18:32" x14ac:dyDescent="0.2">
      <c r="R573" s="1">
        <v>54132</v>
      </c>
      <c r="S573" s="1">
        <v>2.3620299999999999E-7</v>
      </c>
      <c r="T573" t="str">
        <f>VLOOKUP(R573,Nuclides!A:E,5,FALSE)</f>
        <v>Xe132</v>
      </c>
      <c r="U573">
        <f>VLOOKUP(Sheet2!R573,Nuclides!A:E,2,FALSE)</f>
        <v>78</v>
      </c>
      <c r="V573">
        <f>VLOOKUP(R573,Nuclides!A:E,3,FALSE)</f>
        <v>54</v>
      </c>
      <c r="W573" s="1">
        <f t="shared" si="30"/>
        <v>2947813440</v>
      </c>
      <c r="X573" t="s">
        <v>1553</v>
      </c>
      <c r="Z573" s="1">
        <v>53141</v>
      </c>
      <c r="AA573" s="1">
        <v>7.4895400000000005E-7</v>
      </c>
      <c r="AB573" t="str">
        <f>VLOOKUP(Z573,Nuclides!A:E,5,FALSE)</f>
        <v>I141</v>
      </c>
      <c r="AC573">
        <f>VLOOKUP(Sheet2!Z573,Nuclides!A:E,2,FALSE)</f>
        <v>88</v>
      </c>
      <c r="AD573">
        <f>VLOOKUP(Z573,Nuclides!A:E,3,FALSE)</f>
        <v>53</v>
      </c>
      <c r="AE573" s="1">
        <f t="shared" si="31"/>
        <v>9346945920</v>
      </c>
      <c r="AF573" t="s">
        <v>1525</v>
      </c>
    </row>
    <row r="574" spans="18:32" x14ac:dyDescent="0.2">
      <c r="R574" s="1">
        <v>54133</v>
      </c>
      <c r="S574" s="1">
        <v>7.68917E-7</v>
      </c>
      <c r="T574" t="str">
        <f>VLOOKUP(R574,Nuclides!A:E,5,FALSE)</f>
        <v>Xe133</v>
      </c>
      <c r="U574">
        <f>VLOOKUP(Sheet2!R574,Nuclides!A:E,2,FALSE)</f>
        <v>79</v>
      </c>
      <c r="V574">
        <f>VLOOKUP(R574,Nuclides!A:E,3,FALSE)</f>
        <v>54</v>
      </c>
      <c r="W574" s="1">
        <f t="shared" si="30"/>
        <v>9596084160</v>
      </c>
      <c r="X574" t="s">
        <v>1554</v>
      </c>
      <c r="Z574" s="1">
        <v>53142</v>
      </c>
      <c r="AA574" s="1">
        <v>3.6379800000000001E-7</v>
      </c>
      <c r="AB574" t="str">
        <f>VLOOKUP(Z574,Nuclides!A:E,5,FALSE)</f>
        <v>I142</v>
      </c>
      <c r="AC574">
        <f>VLOOKUP(Sheet2!Z574,Nuclides!A:E,2,FALSE)</f>
        <v>89</v>
      </c>
      <c r="AD574">
        <f>VLOOKUP(Z574,Nuclides!A:E,3,FALSE)</f>
        <v>53</v>
      </c>
      <c r="AE574" s="1">
        <f t="shared" si="31"/>
        <v>4540199040</v>
      </c>
      <c r="AF574" t="s">
        <v>1526</v>
      </c>
    </row>
    <row r="575" spans="18:32" x14ac:dyDescent="0.2">
      <c r="R575" s="1">
        <v>54134</v>
      </c>
      <c r="S575" s="1">
        <v>2.70922E-6</v>
      </c>
      <c r="T575" t="str">
        <f>VLOOKUP(R575,Nuclides!A:E,5,FALSE)</f>
        <v>Xe134</v>
      </c>
      <c r="U575">
        <f>VLOOKUP(Sheet2!R575,Nuclides!A:E,2,FALSE)</f>
        <v>80</v>
      </c>
      <c r="V575">
        <f>VLOOKUP(R575,Nuclides!A:E,3,FALSE)</f>
        <v>54</v>
      </c>
      <c r="W575" s="1">
        <f t="shared" si="30"/>
        <v>33811065600</v>
      </c>
      <c r="X575" t="s">
        <v>1555</v>
      </c>
      <c r="Z575" s="1">
        <v>54110</v>
      </c>
      <c r="AA575" s="1">
        <v>1.47906E-7</v>
      </c>
      <c r="AB575" t="str">
        <f>VLOOKUP(Z575,Nuclides!A:E,5,FALSE)</f>
        <v>Xe110</v>
      </c>
      <c r="AC575">
        <f>VLOOKUP(Sheet2!Z575,Nuclides!A:E,2,FALSE)</f>
        <v>56</v>
      </c>
      <c r="AD575">
        <f>VLOOKUP(Z575,Nuclides!A:E,3,FALSE)</f>
        <v>54</v>
      </c>
      <c r="AE575" s="1">
        <f t="shared" si="31"/>
        <v>1845866880</v>
      </c>
      <c r="AF575" t="s">
        <v>1531</v>
      </c>
    </row>
    <row r="576" spans="18:32" x14ac:dyDescent="0.2">
      <c r="R576" s="1">
        <v>54135</v>
      </c>
      <c r="S576" s="1">
        <v>7.2907499999999996E-6</v>
      </c>
      <c r="T576" t="str">
        <f>VLOOKUP(R576,Nuclides!A:E,5,FALSE)</f>
        <v>Xe135</v>
      </c>
      <c r="U576">
        <f>VLOOKUP(Sheet2!R576,Nuclides!A:E,2,FALSE)</f>
        <v>81</v>
      </c>
      <c r="V576">
        <f>VLOOKUP(R576,Nuclides!A:E,3,FALSE)</f>
        <v>54</v>
      </c>
      <c r="W576" s="1">
        <f t="shared" si="30"/>
        <v>90988560000</v>
      </c>
      <c r="X576" t="s">
        <v>1556</v>
      </c>
      <c r="Z576" s="1">
        <v>54111</v>
      </c>
      <c r="AA576" s="1">
        <v>2.3103799999999999E-8</v>
      </c>
      <c r="AB576" t="str">
        <f>VLOOKUP(Z576,Nuclides!A:E,5,FALSE)</f>
        <v>Xe111</v>
      </c>
      <c r="AC576">
        <f>VLOOKUP(Sheet2!Z576,Nuclides!A:E,2,FALSE)</f>
        <v>57</v>
      </c>
      <c r="AD576">
        <f>VLOOKUP(Z576,Nuclides!A:E,3,FALSE)</f>
        <v>54</v>
      </c>
      <c r="AE576" s="1">
        <f t="shared" si="31"/>
        <v>288335424</v>
      </c>
      <c r="AF576" t="s">
        <v>1532</v>
      </c>
    </row>
    <row r="577" spans="18:32" x14ac:dyDescent="0.2">
      <c r="R577" s="1">
        <v>54136</v>
      </c>
      <c r="S577" s="1">
        <v>2.0393800000000001E-5</v>
      </c>
      <c r="T577" t="str">
        <f>VLOOKUP(R577,Nuclides!A:E,5,FALSE)</f>
        <v>Xe136</v>
      </c>
      <c r="U577">
        <f>VLOOKUP(Sheet2!R577,Nuclides!A:E,2,FALSE)</f>
        <v>82</v>
      </c>
      <c r="V577">
        <f>VLOOKUP(R577,Nuclides!A:E,3,FALSE)</f>
        <v>54</v>
      </c>
      <c r="W577" s="1">
        <f t="shared" si="30"/>
        <v>254514624000</v>
      </c>
      <c r="X577" t="s">
        <v>1557</v>
      </c>
      <c r="Z577" s="1">
        <v>54112</v>
      </c>
      <c r="AA577" s="1">
        <v>7.9572000000000006E-9</v>
      </c>
      <c r="AB577" t="str">
        <f>VLOOKUP(Z577,Nuclides!A:E,5,FALSE)</f>
        <v>Xe112</v>
      </c>
      <c r="AC577">
        <f>VLOOKUP(Sheet2!Z577,Nuclides!A:E,2,FALSE)</f>
        <v>58</v>
      </c>
      <c r="AD577">
        <f>VLOOKUP(Z577,Nuclides!A:E,3,FALSE)</f>
        <v>54</v>
      </c>
      <c r="AE577" s="1">
        <f t="shared" si="31"/>
        <v>99305856.000000015</v>
      </c>
      <c r="AF577" t="s">
        <v>1533</v>
      </c>
    </row>
    <row r="578" spans="18:32" x14ac:dyDescent="0.2">
      <c r="R578" s="1">
        <v>54137</v>
      </c>
      <c r="S578" s="1">
        <v>3.7379000000000002E-5</v>
      </c>
      <c r="T578" t="str">
        <f>VLOOKUP(R578,Nuclides!A:E,5,FALSE)</f>
        <v>Xe137</v>
      </c>
      <c r="U578">
        <f>VLOOKUP(Sheet2!R578,Nuclides!A:E,2,FALSE)</f>
        <v>83</v>
      </c>
      <c r="V578">
        <f>VLOOKUP(R578,Nuclides!A:E,3,FALSE)</f>
        <v>54</v>
      </c>
      <c r="W578" s="1">
        <f t="shared" si="30"/>
        <v>466489920000.00006</v>
      </c>
      <c r="X578" t="s">
        <v>1558</v>
      </c>
      <c r="Z578" s="1">
        <v>54113</v>
      </c>
      <c r="AA578" s="1">
        <v>5.5839999999999995E-10</v>
      </c>
      <c r="AB578" t="str">
        <f>VLOOKUP(Z578,Nuclides!A:E,5,FALSE)</f>
        <v>Xe113</v>
      </c>
      <c r="AC578">
        <f>VLOOKUP(Sheet2!Z578,Nuclides!A:E,2,FALSE)</f>
        <v>59</v>
      </c>
      <c r="AD578">
        <f>VLOOKUP(Z578,Nuclides!A:E,3,FALSE)</f>
        <v>54</v>
      </c>
      <c r="AE578" s="1">
        <f t="shared" si="31"/>
        <v>6968831.9999999991</v>
      </c>
      <c r="AF578" t="s">
        <v>1534</v>
      </c>
    </row>
    <row r="579" spans="18:32" x14ac:dyDescent="0.2">
      <c r="R579" s="1">
        <v>54138</v>
      </c>
      <c r="S579" s="1">
        <v>5.9450799999999997E-5</v>
      </c>
      <c r="T579" t="str">
        <f>VLOOKUP(R579,Nuclides!A:E,5,FALSE)</f>
        <v>Xe138</v>
      </c>
      <c r="U579">
        <f>VLOOKUP(Sheet2!R579,Nuclides!A:E,2,FALSE)</f>
        <v>84</v>
      </c>
      <c r="V579">
        <f>VLOOKUP(R579,Nuclides!A:E,3,FALSE)</f>
        <v>54</v>
      </c>
      <c r="W579" s="1">
        <f t="shared" si="30"/>
        <v>741945984000</v>
      </c>
      <c r="X579" t="s">
        <v>1559</v>
      </c>
      <c r="Z579" s="1">
        <v>54114</v>
      </c>
      <c r="AA579" s="1">
        <v>6.9799999999999994E-11</v>
      </c>
      <c r="AB579" t="str">
        <f>VLOOKUP(Z579,Nuclides!A:E,5,FALSE)</f>
        <v>Xe114</v>
      </c>
      <c r="AC579">
        <f>VLOOKUP(Sheet2!Z579,Nuclides!A:E,2,FALSE)</f>
        <v>60</v>
      </c>
      <c r="AD579">
        <f>VLOOKUP(Z579,Nuclides!A:E,3,FALSE)</f>
        <v>54</v>
      </c>
      <c r="AE579" s="1">
        <f t="shared" si="31"/>
        <v>871103.99999999988</v>
      </c>
      <c r="AF579" t="s">
        <v>1535</v>
      </c>
    </row>
    <row r="580" spans="18:32" x14ac:dyDescent="0.2">
      <c r="R580" s="1">
        <v>54139</v>
      </c>
      <c r="S580" s="1">
        <v>6.5991100000000006E-5</v>
      </c>
      <c r="T580" t="str">
        <f>VLOOKUP(R580,Nuclides!A:E,5,FALSE)</f>
        <v>Xe139</v>
      </c>
      <c r="U580">
        <f>VLOOKUP(Sheet2!R580,Nuclides!A:E,2,FALSE)</f>
        <v>85</v>
      </c>
      <c r="V580">
        <f>VLOOKUP(R580,Nuclides!A:E,3,FALSE)</f>
        <v>54</v>
      </c>
      <c r="W580" s="1">
        <f t="shared" ref="W580:W643" si="32">S580*12480000000000000</f>
        <v>823568928000.00012</v>
      </c>
      <c r="X580" t="s">
        <v>1560</v>
      </c>
      <c r="Z580" s="1">
        <v>54115</v>
      </c>
      <c r="AA580" s="1">
        <v>1.3959999999999999E-10</v>
      </c>
      <c r="AB580" t="str">
        <f>VLOOKUP(Z580,Nuclides!A:E,5,FALSE)</f>
        <v>Xe115</v>
      </c>
      <c r="AC580">
        <f>VLOOKUP(Sheet2!Z580,Nuclides!A:E,2,FALSE)</f>
        <v>61</v>
      </c>
      <c r="AD580">
        <f>VLOOKUP(Z580,Nuclides!A:E,3,FALSE)</f>
        <v>54</v>
      </c>
      <c r="AE580" s="1">
        <f t="shared" ref="AE580:AE643" si="33">AA580*12480000000000000</f>
        <v>1742207.9999999998</v>
      </c>
      <c r="AF580" t="s">
        <v>1536</v>
      </c>
    </row>
    <row r="581" spans="18:32" x14ac:dyDescent="0.2">
      <c r="R581" s="1">
        <v>54140</v>
      </c>
      <c r="S581" s="1">
        <v>6.6065399999999999E-5</v>
      </c>
      <c r="T581" t="str">
        <f>VLOOKUP(R581,Nuclides!A:E,5,FALSE)</f>
        <v>Xe140</v>
      </c>
      <c r="U581">
        <f>VLOOKUP(Sheet2!R581,Nuclides!A:E,2,FALSE)</f>
        <v>86</v>
      </c>
      <c r="V581">
        <f>VLOOKUP(R581,Nuclides!A:E,3,FALSE)</f>
        <v>54</v>
      </c>
      <c r="W581" s="1">
        <f t="shared" si="32"/>
        <v>824496192000</v>
      </c>
      <c r="X581" t="s">
        <v>1561</v>
      </c>
      <c r="Z581" s="1">
        <v>54128</v>
      </c>
      <c r="AA581" s="1">
        <v>6.9799999999999994E-11</v>
      </c>
      <c r="AB581" t="str">
        <f>VLOOKUP(Z581,Nuclides!A:E,5,FALSE)</f>
        <v>Xe128</v>
      </c>
      <c r="AC581">
        <f>VLOOKUP(Sheet2!Z581,Nuclides!A:E,2,FALSE)</f>
        <v>74</v>
      </c>
      <c r="AD581">
        <f>VLOOKUP(Z581,Nuclides!A:E,3,FALSE)</f>
        <v>54</v>
      </c>
      <c r="AE581" s="1">
        <f t="shared" si="33"/>
        <v>871103.99999999988</v>
      </c>
      <c r="AF581" t="s">
        <v>1549</v>
      </c>
    </row>
    <row r="582" spans="18:32" x14ac:dyDescent="0.2">
      <c r="R582" s="1">
        <v>54141</v>
      </c>
      <c r="S582" s="1">
        <v>4.4573300000000002E-5</v>
      </c>
      <c r="T582" t="str">
        <f>VLOOKUP(R582,Nuclides!A:E,5,FALSE)</f>
        <v>Xe141</v>
      </c>
      <c r="U582">
        <f>VLOOKUP(Sheet2!R582,Nuclides!A:E,2,FALSE)</f>
        <v>87</v>
      </c>
      <c r="V582">
        <f>VLOOKUP(R582,Nuclides!A:E,3,FALSE)</f>
        <v>54</v>
      </c>
      <c r="W582" s="1">
        <f t="shared" si="32"/>
        <v>556274784000</v>
      </c>
      <c r="X582" t="s">
        <v>1562</v>
      </c>
      <c r="Z582" s="1">
        <v>54129</v>
      </c>
      <c r="AA582" s="1">
        <v>1.1167999999999999E-9</v>
      </c>
      <c r="AB582" t="str">
        <f>VLOOKUP(Z582,Nuclides!A:E,5,FALSE)</f>
        <v>Xe129</v>
      </c>
      <c r="AC582">
        <f>VLOOKUP(Sheet2!Z582,Nuclides!A:E,2,FALSE)</f>
        <v>75</v>
      </c>
      <c r="AD582">
        <f>VLOOKUP(Z582,Nuclides!A:E,3,FALSE)</f>
        <v>54</v>
      </c>
      <c r="AE582" s="1">
        <f t="shared" si="33"/>
        <v>13937663.999999998</v>
      </c>
      <c r="AF582" t="s">
        <v>1550</v>
      </c>
    </row>
    <row r="583" spans="18:32" x14ac:dyDescent="0.2">
      <c r="R583" s="1">
        <v>54142</v>
      </c>
      <c r="S583" s="1">
        <v>2.5604899999999999E-5</v>
      </c>
      <c r="T583" t="str">
        <f>VLOOKUP(R583,Nuclides!A:E,5,FALSE)</f>
        <v>Xe142</v>
      </c>
      <c r="U583">
        <f>VLOOKUP(Sheet2!R583,Nuclides!A:E,2,FALSE)</f>
        <v>88</v>
      </c>
      <c r="V583">
        <f>VLOOKUP(R583,Nuclides!A:E,3,FALSE)</f>
        <v>54</v>
      </c>
      <c r="W583" s="1">
        <f t="shared" si="32"/>
        <v>319549152000</v>
      </c>
      <c r="X583" t="s">
        <v>1563</v>
      </c>
      <c r="Z583" s="1">
        <v>54130</v>
      </c>
      <c r="AA583" s="1">
        <v>1.7100999999999999E-8</v>
      </c>
      <c r="AB583" t="str">
        <f>VLOOKUP(Z583,Nuclides!A:E,5,FALSE)</f>
        <v>Xe130</v>
      </c>
      <c r="AC583">
        <f>VLOOKUP(Sheet2!Z583,Nuclides!A:E,2,FALSE)</f>
        <v>76</v>
      </c>
      <c r="AD583">
        <f>VLOOKUP(Z583,Nuclides!A:E,3,FALSE)</f>
        <v>54</v>
      </c>
      <c r="AE583" s="1">
        <f t="shared" si="33"/>
        <v>213420479.99999997</v>
      </c>
      <c r="AF583" t="s">
        <v>1551</v>
      </c>
    </row>
    <row r="584" spans="18:32" x14ac:dyDescent="0.2">
      <c r="R584" s="1">
        <v>54143</v>
      </c>
      <c r="S584" s="1">
        <v>8.9868199999999998E-6</v>
      </c>
      <c r="T584" t="str">
        <f>VLOOKUP(R584,Nuclides!A:E,5,FALSE)</f>
        <v>Xe143</v>
      </c>
      <c r="U584">
        <f>VLOOKUP(Sheet2!R584,Nuclides!A:E,2,FALSE)</f>
        <v>89</v>
      </c>
      <c r="V584">
        <f>VLOOKUP(R584,Nuclides!A:E,3,FALSE)</f>
        <v>54</v>
      </c>
      <c r="W584" s="1">
        <f t="shared" si="32"/>
        <v>112155513600</v>
      </c>
      <c r="X584" t="s">
        <v>1564</v>
      </c>
      <c r="Z584" s="1">
        <v>54131</v>
      </c>
      <c r="AA584" s="1">
        <v>8.5365400000000006E-8</v>
      </c>
      <c r="AB584" t="str">
        <f>VLOOKUP(Z584,Nuclides!A:E,5,FALSE)</f>
        <v>Xe131</v>
      </c>
      <c r="AC584">
        <f>VLOOKUP(Sheet2!Z584,Nuclides!A:E,2,FALSE)</f>
        <v>77</v>
      </c>
      <c r="AD584">
        <f>VLOOKUP(Z584,Nuclides!A:E,3,FALSE)</f>
        <v>54</v>
      </c>
      <c r="AE584" s="1">
        <f t="shared" si="33"/>
        <v>1065360192.0000001</v>
      </c>
      <c r="AF584" t="s">
        <v>1552</v>
      </c>
    </row>
    <row r="585" spans="18:32" x14ac:dyDescent="0.2">
      <c r="R585" s="1">
        <v>54144</v>
      </c>
      <c r="S585" s="1">
        <v>2.85636E-6</v>
      </c>
      <c r="T585" t="str">
        <f>VLOOKUP(R585,Nuclides!A:E,5,FALSE)</f>
        <v>Xe144</v>
      </c>
      <c r="U585">
        <f>VLOOKUP(Sheet2!R585,Nuclides!A:E,2,FALSE)</f>
        <v>90</v>
      </c>
      <c r="V585">
        <f>VLOOKUP(R585,Nuclides!A:E,3,FALSE)</f>
        <v>54</v>
      </c>
      <c r="W585" s="1">
        <f t="shared" si="32"/>
        <v>35647372800</v>
      </c>
      <c r="X585" t="s">
        <v>1565</v>
      </c>
      <c r="Z585" s="1">
        <v>54132</v>
      </c>
      <c r="AA585" s="1">
        <v>6.4125299999999998E-7</v>
      </c>
      <c r="AB585" t="str">
        <f>VLOOKUP(Z585,Nuclides!A:E,5,FALSE)</f>
        <v>Xe132</v>
      </c>
      <c r="AC585">
        <f>VLOOKUP(Sheet2!Z585,Nuclides!A:E,2,FALSE)</f>
        <v>78</v>
      </c>
      <c r="AD585">
        <f>VLOOKUP(Z585,Nuclides!A:E,3,FALSE)</f>
        <v>54</v>
      </c>
      <c r="AE585" s="1">
        <f t="shared" si="33"/>
        <v>8002837440</v>
      </c>
      <c r="AF585" t="s">
        <v>1553</v>
      </c>
    </row>
    <row r="586" spans="18:32" x14ac:dyDescent="0.2">
      <c r="R586" s="1">
        <v>54145</v>
      </c>
      <c r="S586" s="1">
        <v>5.0577100000000004E-7</v>
      </c>
      <c r="T586" t="str">
        <f>VLOOKUP(R586,Nuclides!A:E,5,FALSE)</f>
        <v>Xe145</v>
      </c>
      <c r="U586">
        <f>VLOOKUP(Sheet2!R586,Nuclides!A:E,2,FALSE)</f>
        <v>91</v>
      </c>
      <c r="V586">
        <f>VLOOKUP(R586,Nuclides!A:E,3,FALSE)</f>
        <v>54</v>
      </c>
      <c r="W586" s="1">
        <f t="shared" si="32"/>
        <v>6312022080</v>
      </c>
      <c r="X586" t="s">
        <v>1566</v>
      </c>
      <c r="Z586" s="1">
        <v>54133</v>
      </c>
      <c r="AA586" s="1">
        <v>1.9443499999999999E-6</v>
      </c>
      <c r="AB586" t="str">
        <f>VLOOKUP(Z586,Nuclides!A:E,5,FALSE)</f>
        <v>Xe133</v>
      </c>
      <c r="AC586">
        <f>VLOOKUP(Sheet2!Z586,Nuclides!A:E,2,FALSE)</f>
        <v>79</v>
      </c>
      <c r="AD586">
        <f>VLOOKUP(Z586,Nuclides!A:E,3,FALSE)</f>
        <v>54</v>
      </c>
      <c r="AE586" s="1">
        <f t="shared" si="33"/>
        <v>24265488000</v>
      </c>
      <c r="AF586" t="s">
        <v>1554</v>
      </c>
    </row>
    <row r="587" spans="18:32" x14ac:dyDescent="0.2">
      <c r="R587" s="1">
        <v>55114</v>
      </c>
      <c r="S587" s="1">
        <v>9.3601799999999996E-8</v>
      </c>
      <c r="T587" t="str">
        <f>VLOOKUP(R587,Nuclides!A:E,5,FALSE)</f>
        <v>Cs114</v>
      </c>
      <c r="U587">
        <f>VLOOKUP(Sheet2!R587,Nuclides!A:E,2,FALSE)</f>
        <v>59</v>
      </c>
      <c r="V587">
        <f>VLOOKUP(R587,Nuclides!A:E,3,FALSE)</f>
        <v>55</v>
      </c>
      <c r="W587" s="1">
        <f t="shared" si="32"/>
        <v>1168150464</v>
      </c>
      <c r="X587" t="s">
        <v>1572</v>
      </c>
      <c r="Z587" s="1">
        <v>54134</v>
      </c>
      <c r="AA587" s="1">
        <v>7.86311E-6</v>
      </c>
      <c r="AB587" t="str">
        <f>VLOOKUP(Z587,Nuclides!A:E,5,FALSE)</f>
        <v>Xe134</v>
      </c>
      <c r="AC587">
        <f>VLOOKUP(Sheet2!Z587,Nuclides!A:E,2,FALSE)</f>
        <v>80</v>
      </c>
      <c r="AD587">
        <f>VLOOKUP(Z587,Nuclides!A:E,3,FALSE)</f>
        <v>54</v>
      </c>
      <c r="AE587" s="1">
        <f t="shared" si="33"/>
        <v>98131612800</v>
      </c>
      <c r="AF587" t="s">
        <v>1555</v>
      </c>
    </row>
    <row r="588" spans="18:32" x14ac:dyDescent="0.2">
      <c r="R588" s="1">
        <v>55115</v>
      </c>
      <c r="S588" s="1">
        <v>7.2591999999999999E-9</v>
      </c>
      <c r="T588" t="str">
        <f>VLOOKUP(R588,Nuclides!A:E,5,FALSE)</f>
        <v>Cs115</v>
      </c>
      <c r="U588">
        <f>VLOOKUP(Sheet2!R588,Nuclides!A:E,2,FALSE)</f>
        <v>60</v>
      </c>
      <c r="V588">
        <f>VLOOKUP(R588,Nuclides!A:E,3,FALSE)</f>
        <v>55</v>
      </c>
      <c r="W588" s="1">
        <f t="shared" si="32"/>
        <v>90594816</v>
      </c>
      <c r="X588" t="s">
        <v>1573</v>
      </c>
      <c r="Z588" s="1">
        <v>54135</v>
      </c>
      <c r="AA588" s="1">
        <v>1.42142E-5</v>
      </c>
      <c r="AB588" t="str">
        <f>VLOOKUP(Z588,Nuclides!A:E,5,FALSE)</f>
        <v>Xe135</v>
      </c>
      <c r="AC588">
        <f>VLOOKUP(Sheet2!Z588,Nuclides!A:E,2,FALSE)</f>
        <v>81</v>
      </c>
      <c r="AD588">
        <f>VLOOKUP(Z588,Nuclides!A:E,3,FALSE)</f>
        <v>54</v>
      </c>
      <c r="AE588" s="1">
        <f t="shared" si="33"/>
        <v>177393216000</v>
      </c>
      <c r="AF588" t="s">
        <v>1556</v>
      </c>
    </row>
    <row r="589" spans="18:32" x14ac:dyDescent="0.2">
      <c r="R589" s="1">
        <v>55116</v>
      </c>
      <c r="S589" s="1">
        <v>7.6779999999999997E-10</v>
      </c>
      <c r="T589" t="str">
        <f>VLOOKUP(R589,Nuclides!A:E,5,FALSE)</f>
        <v>Cs116</v>
      </c>
      <c r="U589">
        <f>VLOOKUP(Sheet2!R589,Nuclides!A:E,2,FALSE)</f>
        <v>61</v>
      </c>
      <c r="V589">
        <f>VLOOKUP(R589,Nuclides!A:E,3,FALSE)</f>
        <v>55</v>
      </c>
      <c r="W589" s="1">
        <f t="shared" si="32"/>
        <v>9582144</v>
      </c>
      <c r="X589" t="s">
        <v>1574</v>
      </c>
      <c r="Z589" s="1">
        <v>54136</v>
      </c>
      <c r="AA589" s="1">
        <v>3.2630599999999999E-5</v>
      </c>
      <c r="AB589" t="str">
        <f>VLOOKUP(Z589,Nuclides!A:E,5,FALSE)</f>
        <v>Xe136</v>
      </c>
      <c r="AC589">
        <f>VLOOKUP(Sheet2!Z589,Nuclides!A:E,2,FALSE)</f>
        <v>82</v>
      </c>
      <c r="AD589">
        <f>VLOOKUP(Z589,Nuclides!A:E,3,FALSE)</f>
        <v>54</v>
      </c>
      <c r="AE589" s="1">
        <f t="shared" si="33"/>
        <v>407229888000</v>
      </c>
      <c r="AF589" t="s">
        <v>1557</v>
      </c>
    </row>
    <row r="590" spans="18:32" x14ac:dyDescent="0.2">
      <c r="R590" s="1">
        <v>55130</v>
      </c>
      <c r="S590" s="1">
        <v>6.9799999999999994E-11</v>
      </c>
      <c r="T590" t="str">
        <f>VLOOKUP(R590,Nuclides!A:E,5,FALSE)</f>
        <v>Cs130</v>
      </c>
      <c r="U590">
        <f>VLOOKUP(Sheet2!R590,Nuclides!A:E,2,FALSE)</f>
        <v>75</v>
      </c>
      <c r="V590">
        <f>VLOOKUP(R590,Nuclides!A:E,3,FALSE)</f>
        <v>55</v>
      </c>
      <c r="W590" s="1">
        <f t="shared" si="32"/>
        <v>871103.99999999988</v>
      </c>
      <c r="X590" t="s">
        <v>1588</v>
      </c>
      <c r="Z590" s="1">
        <v>54137</v>
      </c>
      <c r="AA590" s="1">
        <v>2.42532E-5</v>
      </c>
      <c r="AB590" t="str">
        <f>VLOOKUP(Z590,Nuclides!A:E,5,FALSE)</f>
        <v>Xe137</v>
      </c>
      <c r="AC590">
        <f>VLOOKUP(Sheet2!Z590,Nuclides!A:E,2,FALSE)</f>
        <v>83</v>
      </c>
      <c r="AD590">
        <f>VLOOKUP(Z590,Nuclides!A:E,3,FALSE)</f>
        <v>54</v>
      </c>
      <c r="AE590" s="1">
        <f t="shared" si="33"/>
        <v>302679936000</v>
      </c>
      <c r="AF590" t="s">
        <v>1558</v>
      </c>
    </row>
    <row r="591" spans="18:32" x14ac:dyDescent="0.2">
      <c r="R591" s="1">
        <v>55131</v>
      </c>
      <c r="S591" s="1">
        <v>3.4899999999999998E-10</v>
      </c>
      <c r="T591" t="str">
        <f>VLOOKUP(R591,Nuclides!A:E,5,FALSE)</f>
        <v>Cs131</v>
      </c>
      <c r="U591">
        <f>VLOOKUP(Sheet2!R591,Nuclides!A:E,2,FALSE)</f>
        <v>76</v>
      </c>
      <c r="V591">
        <f>VLOOKUP(R591,Nuclides!A:E,3,FALSE)</f>
        <v>55</v>
      </c>
      <c r="W591" s="1">
        <f t="shared" si="32"/>
        <v>4355520</v>
      </c>
      <c r="X591" t="s">
        <v>1589</v>
      </c>
      <c r="Z591" s="1">
        <v>54138</v>
      </c>
      <c r="AA591" s="1">
        <v>3.17471E-5</v>
      </c>
      <c r="AB591" t="str">
        <f>VLOOKUP(Z591,Nuclides!A:E,5,FALSE)</f>
        <v>Xe138</v>
      </c>
      <c r="AC591">
        <f>VLOOKUP(Sheet2!Z591,Nuclides!A:E,2,FALSE)</f>
        <v>84</v>
      </c>
      <c r="AD591">
        <f>VLOOKUP(Z591,Nuclides!A:E,3,FALSE)</f>
        <v>54</v>
      </c>
      <c r="AE591" s="1">
        <f t="shared" si="33"/>
        <v>396203808000</v>
      </c>
      <c r="AF591" t="s">
        <v>1559</v>
      </c>
    </row>
    <row r="592" spans="18:32" x14ac:dyDescent="0.2">
      <c r="R592" s="1">
        <v>55132</v>
      </c>
      <c r="S592" s="1">
        <v>2.5127999999999998E-9</v>
      </c>
      <c r="T592" t="str">
        <f>VLOOKUP(R592,Nuclides!A:E,5,FALSE)</f>
        <v>Cs132</v>
      </c>
      <c r="U592">
        <f>VLOOKUP(Sheet2!R592,Nuclides!A:E,2,FALSE)</f>
        <v>77</v>
      </c>
      <c r="V592">
        <f>VLOOKUP(R592,Nuclides!A:E,3,FALSE)</f>
        <v>55</v>
      </c>
      <c r="W592" s="1">
        <f t="shared" si="32"/>
        <v>31359743.999999996</v>
      </c>
      <c r="X592" t="s">
        <v>1590</v>
      </c>
      <c r="Z592" s="1">
        <v>54139</v>
      </c>
      <c r="AA592" s="1">
        <v>1.7910800000000001E-5</v>
      </c>
      <c r="AB592" t="str">
        <f>VLOOKUP(Z592,Nuclides!A:E,5,FALSE)</f>
        <v>Xe139</v>
      </c>
      <c r="AC592">
        <f>VLOOKUP(Sheet2!Z592,Nuclides!A:E,2,FALSE)</f>
        <v>85</v>
      </c>
      <c r="AD592">
        <f>VLOOKUP(Z592,Nuclides!A:E,3,FALSE)</f>
        <v>54</v>
      </c>
      <c r="AE592" s="1">
        <f t="shared" si="33"/>
        <v>223526784000.00003</v>
      </c>
      <c r="AF592" t="s">
        <v>1560</v>
      </c>
    </row>
    <row r="593" spans="18:32" x14ac:dyDescent="0.2">
      <c r="R593" s="1">
        <v>55133</v>
      </c>
      <c r="S593" s="1">
        <v>1.4169399999999999E-8</v>
      </c>
      <c r="T593" t="str">
        <f>VLOOKUP(R593,Nuclides!A:E,5,FALSE)</f>
        <v>Cs133</v>
      </c>
      <c r="U593">
        <f>VLOOKUP(Sheet2!R593,Nuclides!A:E,2,FALSE)</f>
        <v>78</v>
      </c>
      <c r="V593">
        <f>VLOOKUP(R593,Nuclides!A:E,3,FALSE)</f>
        <v>55</v>
      </c>
      <c r="W593" s="1">
        <f t="shared" si="32"/>
        <v>176834112</v>
      </c>
      <c r="X593" t="s">
        <v>1591</v>
      </c>
      <c r="Z593" s="1">
        <v>54140</v>
      </c>
      <c r="AA593" s="1">
        <v>1.61934E-5</v>
      </c>
      <c r="AB593" t="str">
        <f>VLOOKUP(Z593,Nuclides!A:E,5,FALSE)</f>
        <v>Xe140</v>
      </c>
      <c r="AC593">
        <f>VLOOKUP(Sheet2!Z593,Nuclides!A:E,2,FALSE)</f>
        <v>86</v>
      </c>
      <c r="AD593">
        <f>VLOOKUP(Z593,Nuclides!A:E,3,FALSE)</f>
        <v>54</v>
      </c>
      <c r="AE593" s="1">
        <f t="shared" si="33"/>
        <v>202093632000</v>
      </c>
      <c r="AF593" t="s">
        <v>1561</v>
      </c>
    </row>
    <row r="594" spans="18:32" x14ac:dyDescent="0.2">
      <c r="R594" s="1">
        <v>55134</v>
      </c>
      <c r="S594" s="1">
        <v>6.6868399999999995E-8</v>
      </c>
      <c r="T594" t="str">
        <f>VLOOKUP(R594,Nuclides!A:E,5,FALSE)</f>
        <v>Cs134</v>
      </c>
      <c r="U594">
        <f>VLOOKUP(Sheet2!R594,Nuclides!A:E,2,FALSE)</f>
        <v>79</v>
      </c>
      <c r="V594">
        <f>VLOOKUP(R594,Nuclides!A:E,3,FALSE)</f>
        <v>55</v>
      </c>
      <c r="W594" s="1">
        <f t="shared" si="32"/>
        <v>834517632</v>
      </c>
      <c r="X594" t="s">
        <v>1592</v>
      </c>
      <c r="Z594" s="1">
        <v>54141</v>
      </c>
      <c r="AA594" s="1">
        <v>6.4096600000000004E-6</v>
      </c>
      <c r="AB594" t="str">
        <f>VLOOKUP(Z594,Nuclides!A:E,5,FALSE)</f>
        <v>Xe141</v>
      </c>
      <c r="AC594">
        <f>VLOOKUP(Sheet2!Z594,Nuclides!A:E,2,FALSE)</f>
        <v>87</v>
      </c>
      <c r="AD594">
        <f>VLOOKUP(Z594,Nuclides!A:E,3,FALSE)</f>
        <v>54</v>
      </c>
      <c r="AE594" s="1">
        <f t="shared" si="33"/>
        <v>79992556800</v>
      </c>
      <c r="AF594" t="s">
        <v>1562</v>
      </c>
    </row>
    <row r="595" spans="18:32" x14ac:dyDescent="0.2">
      <c r="R595" s="1">
        <v>55135</v>
      </c>
      <c r="S595" s="1">
        <v>3.3322499999999999E-7</v>
      </c>
      <c r="T595" t="str">
        <f>VLOOKUP(R595,Nuclides!A:E,5,FALSE)</f>
        <v>Cs135</v>
      </c>
      <c r="U595">
        <f>VLOOKUP(Sheet2!R595,Nuclides!A:E,2,FALSE)</f>
        <v>80</v>
      </c>
      <c r="V595">
        <f>VLOOKUP(R595,Nuclides!A:E,3,FALSE)</f>
        <v>55</v>
      </c>
      <c r="W595" s="1">
        <f t="shared" si="32"/>
        <v>4158648000</v>
      </c>
      <c r="X595" t="s">
        <v>1593</v>
      </c>
      <c r="Z595" s="1">
        <v>54142</v>
      </c>
      <c r="AA595" s="1">
        <v>4.2274399999999998E-6</v>
      </c>
      <c r="AB595" t="str">
        <f>VLOOKUP(Z595,Nuclides!A:E,5,FALSE)</f>
        <v>Xe142</v>
      </c>
      <c r="AC595">
        <f>VLOOKUP(Sheet2!Z595,Nuclides!A:E,2,FALSE)</f>
        <v>88</v>
      </c>
      <c r="AD595">
        <f>VLOOKUP(Z595,Nuclides!A:E,3,FALSE)</f>
        <v>54</v>
      </c>
      <c r="AE595" s="1">
        <f t="shared" si="33"/>
        <v>52758451200</v>
      </c>
      <c r="AF595" t="s">
        <v>1563</v>
      </c>
    </row>
    <row r="596" spans="18:32" x14ac:dyDescent="0.2">
      <c r="R596" s="1">
        <v>55136</v>
      </c>
      <c r="S596" s="1">
        <v>1.18297E-6</v>
      </c>
      <c r="T596" t="str">
        <f>VLOOKUP(R596,Nuclides!A:E,5,FALSE)</f>
        <v>Cs136</v>
      </c>
      <c r="U596">
        <f>VLOOKUP(Sheet2!R596,Nuclides!A:E,2,FALSE)</f>
        <v>81</v>
      </c>
      <c r="V596">
        <f>VLOOKUP(R596,Nuclides!A:E,3,FALSE)</f>
        <v>55</v>
      </c>
      <c r="W596" s="1">
        <f t="shared" si="32"/>
        <v>14763465600</v>
      </c>
      <c r="X596" t="s">
        <v>1594</v>
      </c>
      <c r="Z596" s="1">
        <v>54143</v>
      </c>
      <c r="AA596" s="1">
        <v>8.5114099999999996E-7</v>
      </c>
      <c r="AB596" t="str">
        <f>VLOOKUP(Z596,Nuclides!A:E,5,FALSE)</f>
        <v>Xe143</v>
      </c>
      <c r="AC596">
        <f>VLOOKUP(Sheet2!Z596,Nuclides!A:E,2,FALSE)</f>
        <v>89</v>
      </c>
      <c r="AD596">
        <f>VLOOKUP(Z596,Nuclides!A:E,3,FALSE)</f>
        <v>54</v>
      </c>
      <c r="AE596" s="1">
        <f t="shared" si="33"/>
        <v>10622239680</v>
      </c>
      <c r="AF596" t="s">
        <v>1564</v>
      </c>
    </row>
    <row r="597" spans="18:32" x14ac:dyDescent="0.2">
      <c r="R597" s="1">
        <v>55137</v>
      </c>
      <c r="S597" s="1">
        <v>4.9134999999999996E-6</v>
      </c>
      <c r="T597" t="str">
        <f>VLOOKUP(R597,Nuclides!A:E,5,FALSE)</f>
        <v>Cs137</v>
      </c>
      <c r="U597">
        <f>VLOOKUP(Sheet2!R597,Nuclides!A:E,2,FALSE)</f>
        <v>82</v>
      </c>
      <c r="V597">
        <f>VLOOKUP(R597,Nuclides!A:E,3,FALSE)</f>
        <v>55</v>
      </c>
      <c r="W597" s="1">
        <f t="shared" si="32"/>
        <v>61320479999.999992</v>
      </c>
      <c r="X597" t="s">
        <v>1595</v>
      </c>
      <c r="Z597" s="1">
        <v>54144</v>
      </c>
      <c r="AA597" s="1">
        <v>7.7261600000000004E-7</v>
      </c>
      <c r="AB597" t="str">
        <f>VLOOKUP(Z597,Nuclides!A:E,5,FALSE)</f>
        <v>Xe144</v>
      </c>
      <c r="AC597">
        <f>VLOOKUP(Sheet2!Z597,Nuclides!A:E,2,FALSE)</f>
        <v>90</v>
      </c>
      <c r="AD597">
        <f>VLOOKUP(Z597,Nuclides!A:E,3,FALSE)</f>
        <v>54</v>
      </c>
      <c r="AE597" s="1">
        <f t="shared" si="33"/>
        <v>9642247680</v>
      </c>
      <c r="AF597" t="s">
        <v>1565</v>
      </c>
    </row>
    <row r="598" spans="18:32" x14ac:dyDescent="0.2">
      <c r="R598" s="1">
        <v>55138</v>
      </c>
      <c r="S598" s="1">
        <v>1.07027E-5</v>
      </c>
      <c r="T598" t="str">
        <f>VLOOKUP(R598,Nuclides!A:E,5,FALSE)</f>
        <v>Cs138</v>
      </c>
      <c r="U598">
        <f>VLOOKUP(Sheet2!R598,Nuclides!A:E,2,FALSE)</f>
        <v>83</v>
      </c>
      <c r="V598">
        <f>VLOOKUP(R598,Nuclides!A:E,3,FALSE)</f>
        <v>55</v>
      </c>
      <c r="W598" s="1">
        <f t="shared" si="32"/>
        <v>133569696000</v>
      </c>
      <c r="X598" t="s">
        <v>1596</v>
      </c>
      <c r="Z598" s="1">
        <v>54145</v>
      </c>
      <c r="AA598" s="1">
        <v>1.56422E-7</v>
      </c>
      <c r="AB598" t="str">
        <f>VLOOKUP(Z598,Nuclides!A:E,5,FALSE)</f>
        <v>Xe145</v>
      </c>
      <c r="AC598">
        <f>VLOOKUP(Sheet2!Z598,Nuclides!A:E,2,FALSE)</f>
        <v>91</v>
      </c>
      <c r="AD598">
        <f>VLOOKUP(Z598,Nuclides!A:E,3,FALSE)</f>
        <v>54</v>
      </c>
      <c r="AE598" s="1">
        <f t="shared" si="33"/>
        <v>1952146560</v>
      </c>
      <c r="AF598" t="s">
        <v>1566</v>
      </c>
    </row>
    <row r="599" spans="18:32" x14ac:dyDescent="0.2">
      <c r="R599" s="1">
        <v>55139</v>
      </c>
      <c r="S599" s="1">
        <v>2.4928700000000001E-5</v>
      </c>
      <c r="T599" t="str">
        <f>VLOOKUP(R599,Nuclides!A:E,5,FALSE)</f>
        <v>Cs139</v>
      </c>
      <c r="U599">
        <f>VLOOKUP(Sheet2!R599,Nuclides!A:E,2,FALSE)</f>
        <v>84</v>
      </c>
      <c r="V599">
        <f>VLOOKUP(R599,Nuclides!A:E,3,FALSE)</f>
        <v>55</v>
      </c>
      <c r="W599" s="1">
        <f t="shared" si="32"/>
        <v>311110176000</v>
      </c>
      <c r="X599" t="s">
        <v>1597</v>
      </c>
      <c r="Z599" s="1">
        <v>55114</v>
      </c>
      <c r="AA599" s="1">
        <v>5.8562200000000003E-8</v>
      </c>
      <c r="AB599" t="str">
        <f>VLOOKUP(Z599,Nuclides!A:E,5,FALSE)</f>
        <v>Cs114</v>
      </c>
      <c r="AC599">
        <f>VLOOKUP(Sheet2!Z599,Nuclides!A:E,2,FALSE)</f>
        <v>59</v>
      </c>
      <c r="AD599">
        <f>VLOOKUP(Z599,Nuclides!A:E,3,FALSE)</f>
        <v>55</v>
      </c>
      <c r="AE599" s="1">
        <f t="shared" si="33"/>
        <v>730856256</v>
      </c>
      <c r="AF599" t="s">
        <v>1572</v>
      </c>
    </row>
    <row r="600" spans="18:32" x14ac:dyDescent="0.2">
      <c r="R600" s="1">
        <v>55140</v>
      </c>
      <c r="S600" s="1">
        <v>3.4020899999999998E-5</v>
      </c>
      <c r="T600" t="str">
        <f>VLOOKUP(R600,Nuclides!A:E,5,FALSE)</f>
        <v>Cs140</v>
      </c>
      <c r="U600">
        <f>VLOOKUP(Sheet2!R600,Nuclides!A:E,2,FALSE)</f>
        <v>85</v>
      </c>
      <c r="V600">
        <f>VLOOKUP(R600,Nuclides!A:E,3,FALSE)</f>
        <v>55</v>
      </c>
      <c r="W600" s="1">
        <f t="shared" si="32"/>
        <v>424580832000</v>
      </c>
      <c r="X600" t="s">
        <v>1598</v>
      </c>
      <c r="Z600" s="1">
        <v>55115</v>
      </c>
      <c r="AA600" s="1">
        <v>6.631E-9</v>
      </c>
      <c r="AB600" t="str">
        <f>VLOOKUP(Z600,Nuclides!A:E,5,FALSE)</f>
        <v>Cs115</v>
      </c>
      <c r="AC600">
        <f>VLOOKUP(Sheet2!Z600,Nuclides!A:E,2,FALSE)</f>
        <v>60</v>
      </c>
      <c r="AD600">
        <f>VLOOKUP(Z600,Nuclides!A:E,3,FALSE)</f>
        <v>55</v>
      </c>
      <c r="AE600" s="1">
        <f t="shared" si="33"/>
        <v>82754880</v>
      </c>
      <c r="AF600" t="s">
        <v>1573</v>
      </c>
    </row>
    <row r="601" spans="18:32" x14ac:dyDescent="0.2">
      <c r="R601" s="1">
        <v>55141</v>
      </c>
      <c r="S601" s="1">
        <v>5.3979900000000001E-5</v>
      </c>
      <c r="T601" t="str">
        <f>VLOOKUP(R601,Nuclides!A:E,5,FALSE)</f>
        <v>Cs141</v>
      </c>
      <c r="U601">
        <f>VLOOKUP(Sheet2!R601,Nuclides!A:E,2,FALSE)</f>
        <v>86</v>
      </c>
      <c r="V601">
        <f>VLOOKUP(R601,Nuclides!A:E,3,FALSE)</f>
        <v>55</v>
      </c>
      <c r="W601" s="1">
        <f t="shared" si="32"/>
        <v>673669152000</v>
      </c>
      <c r="X601" t="s">
        <v>1599</v>
      </c>
      <c r="Z601" s="1">
        <v>55116</v>
      </c>
      <c r="AA601" s="1">
        <v>1.8845999999999999E-9</v>
      </c>
      <c r="AB601" t="str">
        <f>VLOOKUP(Z601,Nuclides!A:E,5,FALSE)</f>
        <v>Cs116</v>
      </c>
      <c r="AC601">
        <f>VLOOKUP(Sheet2!Z601,Nuclides!A:E,2,FALSE)</f>
        <v>61</v>
      </c>
      <c r="AD601">
        <f>VLOOKUP(Z601,Nuclides!A:E,3,FALSE)</f>
        <v>55</v>
      </c>
      <c r="AE601" s="1">
        <f t="shared" si="33"/>
        <v>23519808</v>
      </c>
      <c r="AF601" t="s">
        <v>1574</v>
      </c>
    </row>
    <row r="602" spans="18:32" x14ac:dyDescent="0.2">
      <c r="R602" s="1">
        <v>55142</v>
      </c>
      <c r="S602" s="1">
        <v>4.7759999999999997E-5</v>
      </c>
      <c r="T602" t="str">
        <f>VLOOKUP(R602,Nuclides!A:E,5,FALSE)</f>
        <v>Cs142</v>
      </c>
      <c r="U602">
        <f>VLOOKUP(Sheet2!R602,Nuclides!A:E,2,FALSE)</f>
        <v>87</v>
      </c>
      <c r="V602">
        <f>VLOOKUP(R602,Nuclides!A:E,3,FALSE)</f>
        <v>55</v>
      </c>
      <c r="W602" s="1">
        <f t="shared" si="32"/>
        <v>596044800000</v>
      </c>
      <c r="X602" t="s">
        <v>1600</v>
      </c>
      <c r="Z602" s="1">
        <v>55117</v>
      </c>
      <c r="AA602" s="1">
        <v>4.1879999999999999E-10</v>
      </c>
      <c r="AB602" t="str">
        <f>VLOOKUP(Z602,Nuclides!A:E,5,FALSE)</f>
        <v>Cs117</v>
      </c>
      <c r="AC602">
        <f>VLOOKUP(Sheet2!Z602,Nuclides!A:E,2,FALSE)</f>
        <v>62</v>
      </c>
      <c r="AD602">
        <f>VLOOKUP(Z602,Nuclides!A:E,3,FALSE)</f>
        <v>55</v>
      </c>
      <c r="AE602" s="1">
        <f t="shared" si="33"/>
        <v>5226624</v>
      </c>
      <c r="AF602" t="s">
        <v>1575</v>
      </c>
    </row>
    <row r="603" spans="18:32" x14ac:dyDescent="0.2">
      <c r="R603" s="1">
        <v>55143</v>
      </c>
      <c r="S603" s="1">
        <v>4.1903899999999997E-5</v>
      </c>
      <c r="T603" t="str">
        <f>VLOOKUP(R603,Nuclides!A:E,5,FALSE)</f>
        <v>Cs143</v>
      </c>
      <c r="U603">
        <f>VLOOKUP(Sheet2!R603,Nuclides!A:E,2,FALSE)</f>
        <v>88</v>
      </c>
      <c r="V603">
        <f>VLOOKUP(R603,Nuclides!A:E,3,FALSE)</f>
        <v>55</v>
      </c>
      <c r="W603" s="1">
        <f t="shared" si="32"/>
        <v>522960671999.99994</v>
      </c>
      <c r="X603" t="s">
        <v>1601</v>
      </c>
      <c r="Z603" s="1">
        <v>55131</v>
      </c>
      <c r="AA603" s="1">
        <v>2.094E-10</v>
      </c>
      <c r="AB603" t="str">
        <f>VLOOKUP(Z603,Nuclides!A:E,5,FALSE)</f>
        <v>Cs131</v>
      </c>
      <c r="AC603">
        <f>VLOOKUP(Sheet2!Z603,Nuclides!A:E,2,FALSE)</f>
        <v>76</v>
      </c>
      <c r="AD603">
        <f>VLOOKUP(Z603,Nuclides!A:E,3,FALSE)</f>
        <v>55</v>
      </c>
      <c r="AE603" s="1">
        <f t="shared" si="33"/>
        <v>2613312</v>
      </c>
      <c r="AF603" t="s">
        <v>1589</v>
      </c>
    </row>
    <row r="604" spans="18:32" x14ac:dyDescent="0.2">
      <c r="R604" s="1">
        <v>55144</v>
      </c>
      <c r="S604" s="1">
        <v>2.15569E-5</v>
      </c>
      <c r="T604" t="str">
        <f>VLOOKUP(R604,Nuclides!A:E,5,FALSE)</f>
        <v>Cs144</v>
      </c>
      <c r="U604">
        <f>VLOOKUP(Sheet2!R604,Nuclides!A:E,2,FALSE)</f>
        <v>89</v>
      </c>
      <c r="V604">
        <f>VLOOKUP(R604,Nuclides!A:E,3,FALSE)</f>
        <v>55</v>
      </c>
      <c r="W604" s="1">
        <f t="shared" si="32"/>
        <v>269030112000</v>
      </c>
      <c r="X604" t="s">
        <v>1602</v>
      </c>
      <c r="Z604" s="1">
        <v>55132</v>
      </c>
      <c r="AA604" s="1">
        <v>2.5826000000000002E-9</v>
      </c>
      <c r="AB604" t="str">
        <f>VLOOKUP(Z604,Nuclides!A:E,5,FALSE)</f>
        <v>Cs132</v>
      </c>
      <c r="AC604">
        <f>VLOOKUP(Sheet2!Z604,Nuclides!A:E,2,FALSE)</f>
        <v>77</v>
      </c>
      <c r="AD604">
        <f>VLOOKUP(Z604,Nuclides!A:E,3,FALSE)</f>
        <v>55</v>
      </c>
      <c r="AE604" s="1">
        <f t="shared" si="33"/>
        <v>32230848.000000004</v>
      </c>
      <c r="AF604" t="s">
        <v>1590</v>
      </c>
    </row>
    <row r="605" spans="18:32" x14ac:dyDescent="0.2">
      <c r="R605" s="1">
        <v>55145</v>
      </c>
      <c r="S605" s="1">
        <v>1.1148000000000001E-5</v>
      </c>
      <c r="T605" t="str">
        <f>VLOOKUP(R605,Nuclides!A:E,5,FALSE)</f>
        <v>Cs145</v>
      </c>
      <c r="U605">
        <f>VLOOKUP(Sheet2!R605,Nuclides!A:E,2,FALSE)</f>
        <v>90</v>
      </c>
      <c r="V605">
        <f>VLOOKUP(R605,Nuclides!A:E,3,FALSE)</f>
        <v>55</v>
      </c>
      <c r="W605" s="1">
        <f t="shared" si="32"/>
        <v>139127040000</v>
      </c>
      <c r="X605" t="s">
        <v>1603</v>
      </c>
      <c r="Z605" s="1">
        <v>55133</v>
      </c>
      <c r="AA605" s="1">
        <v>2.8967000000000001E-8</v>
      </c>
      <c r="AB605" t="str">
        <f>VLOOKUP(Z605,Nuclides!A:E,5,FALSE)</f>
        <v>Cs133</v>
      </c>
      <c r="AC605">
        <f>VLOOKUP(Sheet2!Z605,Nuclides!A:E,2,FALSE)</f>
        <v>78</v>
      </c>
      <c r="AD605">
        <f>VLOOKUP(Z605,Nuclides!A:E,3,FALSE)</f>
        <v>55</v>
      </c>
      <c r="AE605" s="1">
        <f t="shared" si="33"/>
        <v>361508160</v>
      </c>
      <c r="AF605" t="s">
        <v>1591</v>
      </c>
    </row>
    <row r="606" spans="18:32" x14ac:dyDescent="0.2">
      <c r="R606" s="1">
        <v>55146</v>
      </c>
      <c r="S606" s="1">
        <v>3.2069600000000001E-6</v>
      </c>
      <c r="T606" t="str">
        <f>VLOOKUP(R606,Nuclides!A:E,5,FALSE)</f>
        <v>Cs146</v>
      </c>
      <c r="U606">
        <f>VLOOKUP(Sheet2!R606,Nuclides!A:E,2,FALSE)</f>
        <v>91</v>
      </c>
      <c r="V606">
        <f>VLOOKUP(R606,Nuclides!A:E,3,FALSE)</f>
        <v>55</v>
      </c>
      <c r="W606" s="1">
        <f t="shared" si="32"/>
        <v>40022860800</v>
      </c>
      <c r="X606" t="s">
        <v>1604</v>
      </c>
      <c r="Z606" s="1">
        <v>55134</v>
      </c>
      <c r="AA606" s="1">
        <v>1.47767E-7</v>
      </c>
      <c r="AB606" t="str">
        <f>VLOOKUP(Z606,Nuclides!A:E,5,FALSE)</f>
        <v>Cs134</v>
      </c>
      <c r="AC606">
        <f>VLOOKUP(Sheet2!Z606,Nuclides!A:E,2,FALSE)</f>
        <v>79</v>
      </c>
      <c r="AD606">
        <f>VLOOKUP(Z606,Nuclides!A:E,3,FALSE)</f>
        <v>55</v>
      </c>
      <c r="AE606" s="1">
        <f t="shared" si="33"/>
        <v>1844132160</v>
      </c>
      <c r="AF606" t="s">
        <v>1592</v>
      </c>
    </row>
    <row r="607" spans="18:32" x14ac:dyDescent="0.2">
      <c r="R607" s="1">
        <v>55147</v>
      </c>
      <c r="S607" s="1">
        <v>1.0100799999999999E-6</v>
      </c>
      <c r="T607" t="str">
        <f>VLOOKUP(R607,Nuclides!A:E,5,FALSE)</f>
        <v>Cs147</v>
      </c>
      <c r="U607">
        <f>VLOOKUP(Sheet2!R607,Nuclides!A:E,2,FALSE)</f>
        <v>92</v>
      </c>
      <c r="V607">
        <f>VLOOKUP(R607,Nuclides!A:E,3,FALSE)</f>
        <v>55</v>
      </c>
      <c r="W607" s="1">
        <f t="shared" si="32"/>
        <v>12605798400</v>
      </c>
      <c r="X607" t="s">
        <v>1605</v>
      </c>
      <c r="Z607" s="1">
        <v>55135</v>
      </c>
      <c r="AA607" s="1">
        <v>9.9255600000000009E-7</v>
      </c>
      <c r="AB607" t="str">
        <f>VLOOKUP(Z607,Nuclides!A:E,5,FALSE)</f>
        <v>Cs135</v>
      </c>
      <c r="AC607">
        <f>VLOOKUP(Sheet2!Z607,Nuclides!A:E,2,FALSE)</f>
        <v>80</v>
      </c>
      <c r="AD607">
        <f>VLOOKUP(Z607,Nuclides!A:E,3,FALSE)</f>
        <v>55</v>
      </c>
      <c r="AE607" s="1">
        <f t="shared" si="33"/>
        <v>12387098880.000002</v>
      </c>
      <c r="AF607" t="s">
        <v>1593</v>
      </c>
    </row>
    <row r="608" spans="18:32" x14ac:dyDescent="0.2">
      <c r="R608" s="1">
        <v>55148</v>
      </c>
      <c r="S608" s="1">
        <v>1.6102900000000001E-7</v>
      </c>
      <c r="T608" t="str">
        <f>VLOOKUP(R608,Nuclides!A:E,5,FALSE)</f>
        <v>Cs148</v>
      </c>
      <c r="U608">
        <f>VLOOKUP(Sheet2!R608,Nuclides!A:E,2,FALSE)</f>
        <v>93</v>
      </c>
      <c r="V608">
        <f>VLOOKUP(R608,Nuclides!A:E,3,FALSE)</f>
        <v>55</v>
      </c>
      <c r="W608" s="1">
        <f t="shared" si="32"/>
        <v>2009641920</v>
      </c>
      <c r="X608" t="s">
        <v>1606</v>
      </c>
      <c r="Z608" s="1">
        <v>55136</v>
      </c>
      <c r="AA608" s="1">
        <v>3.0998200000000001E-6</v>
      </c>
      <c r="AB608" t="str">
        <f>VLOOKUP(Z608,Nuclides!A:E,5,FALSE)</f>
        <v>Cs136</v>
      </c>
      <c r="AC608">
        <f>VLOOKUP(Sheet2!Z608,Nuclides!A:E,2,FALSE)</f>
        <v>81</v>
      </c>
      <c r="AD608">
        <f>VLOOKUP(Z608,Nuclides!A:E,3,FALSE)</f>
        <v>55</v>
      </c>
      <c r="AE608" s="1">
        <f t="shared" si="33"/>
        <v>38685753600</v>
      </c>
      <c r="AF608" t="s">
        <v>1594</v>
      </c>
    </row>
    <row r="609" spans="18:32" x14ac:dyDescent="0.2">
      <c r="R609" s="1">
        <v>56117</v>
      </c>
      <c r="S609" s="1">
        <v>2.52676E-8</v>
      </c>
      <c r="T609" t="str">
        <f>VLOOKUP(R609,Nuclides!A:E,5,FALSE)</f>
        <v>Ba117</v>
      </c>
      <c r="U609">
        <f>VLOOKUP(Sheet2!R609,Nuclides!A:E,2,FALSE)</f>
        <v>61</v>
      </c>
      <c r="V609">
        <f>VLOOKUP(R609,Nuclides!A:E,3,FALSE)</f>
        <v>56</v>
      </c>
      <c r="W609" s="1">
        <f t="shared" si="32"/>
        <v>315339648</v>
      </c>
      <c r="X609" t="s">
        <v>1613</v>
      </c>
      <c r="Z609" s="1">
        <v>55137</v>
      </c>
      <c r="AA609" s="1">
        <v>1.1737599999999999E-5</v>
      </c>
      <c r="AB609" t="str">
        <f>VLOOKUP(Z609,Nuclides!A:E,5,FALSE)</f>
        <v>Cs137</v>
      </c>
      <c r="AC609">
        <f>VLOOKUP(Sheet2!Z609,Nuclides!A:E,2,FALSE)</f>
        <v>82</v>
      </c>
      <c r="AD609">
        <f>VLOOKUP(Z609,Nuclides!A:E,3,FALSE)</f>
        <v>55</v>
      </c>
      <c r="AE609" s="1">
        <f t="shared" si="33"/>
        <v>146485248000</v>
      </c>
      <c r="AF609" t="s">
        <v>1595</v>
      </c>
    </row>
    <row r="610" spans="18:32" x14ac:dyDescent="0.2">
      <c r="R610" s="1">
        <v>56118</v>
      </c>
      <c r="S610" s="1">
        <v>2.4429999999999999E-9</v>
      </c>
      <c r="T610" t="str">
        <f>VLOOKUP(R610,Nuclides!A:E,5,FALSE)</f>
        <v>Ba118</v>
      </c>
      <c r="U610">
        <f>VLOOKUP(Sheet2!R610,Nuclides!A:E,2,FALSE)</f>
        <v>62</v>
      </c>
      <c r="V610">
        <f>VLOOKUP(R610,Nuclides!A:E,3,FALSE)</f>
        <v>56</v>
      </c>
      <c r="W610" s="1">
        <f t="shared" si="32"/>
        <v>30488640</v>
      </c>
      <c r="X610" t="s">
        <v>1614</v>
      </c>
      <c r="Z610" s="1">
        <v>55138</v>
      </c>
      <c r="AA610" s="1">
        <v>1.4260800000000001E-5</v>
      </c>
      <c r="AB610" t="str">
        <f>VLOOKUP(Z610,Nuclides!A:E,5,FALSE)</f>
        <v>Cs138</v>
      </c>
      <c r="AC610">
        <f>VLOOKUP(Sheet2!Z610,Nuclides!A:E,2,FALSE)</f>
        <v>83</v>
      </c>
      <c r="AD610">
        <f>VLOOKUP(Z610,Nuclides!A:E,3,FALSE)</f>
        <v>55</v>
      </c>
      <c r="AE610" s="1">
        <f t="shared" si="33"/>
        <v>177974784000</v>
      </c>
      <c r="AF610" t="s">
        <v>1596</v>
      </c>
    </row>
    <row r="611" spans="18:32" x14ac:dyDescent="0.2">
      <c r="R611" s="1">
        <v>56119</v>
      </c>
      <c r="S611" s="1">
        <v>4.1879999999999999E-10</v>
      </c>
      <c r="T611" t="str">
        <f>VLOOKUP(R611,Nuclides!A:E,5,FALSE)</f>
        <v>Ba119</v>
      </c>
      <c r="U611">
        <f>VLOOKUP(Sheet2!R611,Nuclides!A:E,2,FALSE)</f>
        <v>63</v>
      </c>
      <c r="V611">
        <f>VLOOKUP(R611,Nuclides!A:E,3,FALSE)</f>
        <v>56</v>
      </c>
      <c r="W611" s="1">
        <f t="shared" si="32"/>
        <v>5226624</v>
      </c>
      <c r="X611" t="s">
        <v>1615</v>
      </c>
      <c r="Z611" s="1">
        <v>55139</v>
      </c>
      <c r="AA611" s="1">
        <v>2.6011199999999999E-5</v>
      </c>
      <c r="AB611" t="str">
        <f>VLOOKUP(Z611,Nuclides!A:E,5,FALSE)</f>
        <v>Cs139</v>
      </c>
      <c r="AC611">
        <f>VLOOKUP(Sheet2!Z611,Nuclides!A:E,2,FALSE)</f>
        <v>84</v>
      </c>
      <c r="AD611">
        <f>VLOOKUP(Z611,Nuclides!A:E,3,FALSE)</f>
        <v>55</v>
      </c>
      <c r="AE611" s="1">
        <f t="shared" si="33"/>
        <v>324619776000</v>
      </c>
      <c r="AF611" t="s">
        <v>1597</v>
      </c>
    </row>
    <row r="612" spans="18:32" x14ac:dyDescent="0.2">
      <c r="R612" s="1">
        <v>56133</v>
      </c>
      <c r="S612" s="1">
        <v>1.3959999999999999E-10</v>
      </c>
      <c r="T612" t="str">
        <f>VLOOKUP(R612,Nuclides!A:E,5,FALSE)</f>
        <v>Ba133</v>
      </c>
      <c r="U612">
        <f>VLOOKUP(Sheet2!R612,Nuclides!A:E,2,FALSE)</f>
        <v>77</v>
      </c>
      <c r="V612">
        <f>VLOOKUP(R612,Nuclides!A:E,3,FALSE)</f>
        <v>56</v>
      </c>
      <c r="W612" s="1">
        <f t="shared" si="32"/>
        <v>1742207.9999999998</v>
      </c>
      <c r="X612" t="s">
        <v>1629</v>
      </c>
      <c r="Z612" s="1">
        <v>55140</v>
      </c>
      <c r="AA612" s="1">
        <v>2.4516799999999999E-5</v>
      </c>
      <c r="AB612" t="str">
        <f>VLOOKUP(Z612,Nuclides!A:E,5,FALSE)</f>
        <v>Cs140</v>
      </c>
      <c r="AC612">
        <f>VLOOKUP(Sheet2!Z612,Nuclides!A:E,2,FALSE)</f>
        <v>85</v>
      </c>
      <c r="AD612">
        <f>VLOOKUP(Z612,Nuclides!A:E,3,FALSE)</f>
        <v>55</v>
      </c>
      <c r="AE612" s="1">
        <f t="shared" si="33"/>
        <v>305969664000</v>
      </c>
      <c r="AF612" t="s">
        <v>1598</v>
      </c>
    </row>
    <row r="613" spans="18:32" x14ac:dyDescent="0.2">
      <c r="R613" s="1">
        <v>56134</v>
      </c>
      <c r="S613" s="1">
        <v>1.6054000000000001E-9</v>
      </c>
      <c r="T613" t="str">
        <f>VLOOKUP(R613,Nuclides!A:E,5,FALSE)</f>
        <v>Ba134</v>
      </c>
      <c r="U613">
        <f>VLOOKUP(Sheet2!R613,Nuclides!A:E,2,FALSE)</f>
        <v>78</v>
      </c>
      <c r="V613">
        <f>VLOOKUP(R613,Nuclides!A:E,3,FALSE)</f>
        <v>56</v>
      </c>
      <c r="W613" s="1">
        <f t="shared" si="32"/>
        <v>20035392</v>
      </c>
      <c r="X613" t="s">
        <v>1630</v>
      </c>
      <c r="Z613" s="1">
        <v>55141</v>
      </c>
      <c r="AA613" s="1">
        <v>2.7565200000000002E-5</v>
      </c>
      <c r="AB613" t="str">
        <f>VLOOKUP(Z613,Nuclides!A:E,5,FALSE)</f>
        <v>Cs141</v>
      </c>
      <c r="AC613">
        <f>VLOOKUP(Sheet2!Z613,Nuclides!A:E,2,FALSE)</f>
        <v>86</v>
      </c>
      <c r="AD613">
        <f>VLOOKUP(Z613,Nuclides!A:E,3,FALSE)</f>
        <v>55</v>
      </c>
      <c r="AE613" s="1">
        <f t="shared" si="33"/>
        <v>344013696000</v>
      </c>
      <c r="AF613" t="s">
        <v>1599</v>
      </c>
    </row>
    <row r="614" spans="18:32" x14ac:dyDescent="0.2">
      <c r="R614" s="1">
        <v>56135</v>
      </c>
      <c r="S614" s="1">
        <v>7.3289999999999998E-9</v>
      </c>
      <c r="T614" t="str">
        <f>VLOOKUP(R614,Nuclides!A:E,5,FALSE)</f>
        <v>Ba135</v>
      </c>
      <c r="U614">
        <f>VLOOKUP(Sheet2!R614,Nuclides!A:E,2,FALSE)</f>
        <v>79</v>
      </c>
      <c r="V614">
        <f>VLOOKUP(R614,Nuclides!A:E,3,FALSE)</f>
        <v>56</v>
      </c>
      <c r="W614" s="1">
        <f t="shared" si="32"/>
        <v>91465920</v>
      </c>
      <c r="X614" t="s">
        <v>1631</v>
      </c>
      <c r="Z614" s="1">
        <v>55142</v>
      </c>
      <c r="AA614" s="1">
        <v>1.6966400000000001E-5</v>
      </c>
      <c r="AB614" t="str">
        <f>VLOOKUP(Z614,Nuclides!A:E,5,FALSE)</f>
        <v>Cs142</v>
      </c>
      <c r="AC614">
        <f>VLOOKUP(Sheet2!Z614,Nuclides!A:E,2,FALSE)</f>
        <v>87</v>
      </c>
      <c r="AD614">
        <f>VLOOKUP(Z614,Nuclides!A:E,3,FALSE)</f>
        <v>55</v>
      </c>
      <c r="AE614" s="1">
        <f t="shared" si="33"/>
        <v>211740672000</v>
      </c>
      <c r="AF614" t="s">
        <v>1600</v>
      </c>
    </row>
    <row r="615" spans="18:32" x14ac:dyDescent="0.2">
      <c r="R615" s="1">
        <v>56136</v>
      </c>
      <c r="S615" s="1">
        <v>4.89996E-8</v>
      </c>
      <c r="T615" t="str">
        <f>VLOOKUP(R615,Nuclides!A:E,5,FALSE)</f>
        <v>Ba136</v>
      </c>
      <c r="U615">
        <f>VLOOKUP(Sheet2!R615,Nuclides!A:E,2,FALSE)</f>
        <v>80</v>
      </c>
      <c r="V615">
        <f>VLOOKUP(R615,Nuclides!A:E,3,FALSE)</f>
        <v>56</v>
      </c>
      <c r="W615" s="1">
        <f t="shared" si="32"/>
        <v>611515008</v>
      </c>
      <c r="X615" t="s">
        <v>1632</v>
      </c>
      <c r="Z615" s="1">
        <v>55143</v>
      </c>
      <c r="AA615" s="1">
        <v>1.31636E-5</v>
      </c>
      <c r="AB615" t="str">
        <f>VLOOKUP(Z615,Nuclides!A:E,5,FALSE)</f>
        <v>Cs143</v>
      </c>
      <c r="AC615">
        <f>VLOOKUP(Sheet2!Z615,Nuclides!A:E,2,FALSE)</f>
        <v>88</v>
      </c>
      <c r="AD615">
        <f>VLOOKUP(Z615,Nuclides!A:E,3,FALSE)</f>
        <v>55</v>
      </c>
      <c r="AE615" s="1">
        <f t="shared" si="33"/>
        <v>164281728000</v>
      </c>
      <c r="AF615" t="s">
        <v>1601</v>
      </c>
    </row>
    <row r="616" spans="18:32" x14ac:dyDescent="0.2">
      <c r="R616" s="1">
        <v>56137</v>
      </c>
      <c r="S616" s="1">
        <v>2.1568200000000001E-7</v>
      </c>
      <c r="T616" t="str">
        <f>VLOOKUP(R616,Nuclides!A:E,5,FALSE)</f>
        <v>Ba137</v>
      </c>
      <c r="U616">
        <f>VLOOKUP(Sheet2!R616,Nuclides!A:E,2,FALSE)</f>
        <v>81</v>
      </c>
      <c r="V616">
        <f>VLOOKUP(R616,Nuclides!A:E,3,FALSE)</f>
        <v>56</v>
      </c>
      <c r="W616" s="1">
        <f t="shared" si="32"/>
        <v>2691711360</v>
      </c>
      <c r="X616" t="s">
        <v>1633</v>
      </c>
      <c r="Z616" s="1">
        <v>55144</v>
      </c>
      <c r="AA616" s="1">
        <v>5.37823E-6</v>
      </c>
      <c r="AB616" t="str">
        <f>VLOOKUP(Z616,Nuclides!A:E,5,FALSE)</f>
        <v>Cs144</v>
      </c>
      <c r="AC616">
        <f>VLOOKUP(Sheet2!Z616,Nuclides!A:E,2,FALSE)</f>
        <v>89</v>
      </c>
      <c r="AD616">
        <f>VLOOKUP(Z616,Nuclides!A:E,3,FALSE)</f>
        <v>55</v>
      </c>
      <c r="AE616" s="1">
        <f t="shared" si="33"/>
        <v>67120310400</v>
      </c>
      <c r="AF616" t="s">
        <v>1602</v>
      </c>
    </row>
    <row r="617" spans="18:32" x14ac:dyDescent="0.2">
      <c r="R617" s="1">
        <v>56138</v>
      </c>
      <c r="S617" s="1">
        <v>9.18777E-7</v>
      </c>
      <c r="T617" t="str">
        <f>VLOOKUP(R617,Nuclides!A:E,5,FALSE)</f>
        <v>Ba138</v>
      </c>
      <c r="U617">
        <f>VLOOKUP(Sheet2!R617,Nuclides!A:E,2,FALSE)</f>
        <v>82</v>
      </c>
      <c r="V617">
        <f>VLOOKUP(R617,Nuclides!A:E,3,FALSE)</f>
        <v>56</v>
      </c>
      <c r="W617" s="1">
        <f t="shared" si="32"/>
        <v>11466336960</v>
      </c>
      <c r="X617" t="s">
        <v>1634</v>
      </c>
      <c r="Z617" s="1">
        <v>55145</v>
      </c>
      <c r="AA617" s="1">
        <v>3.20947E-6</v>
      </c>
      <c r="AB617" t="str">
        <f>VLOOKUP(Z617,Nuclides!A:E,5,FALSE)</f>
        <v>Cs145</v>
      </c>
      <c r="AC617">
        <f>VLOOKUP(Sheet2!Z617,Nuclides!A:E,2,FALSE)</f>
        <v>90</v>
      </c>
      <c r="AD617">
        <f>VLOOKUP(Z617,Nuclides!A:E,3,FALSE)</f>
        <v>55</v>
      </c>
      <c r="AE617" s="1">
        <f t="shared" si="33"/>
        <v>40054185600</v>
      </c>
      <c r="AF617" t="s">
        <v>1603</v>
      </c>
    </row>
    <row r="618" spans="18:32" x14ac:dyDescent="0.2">
      <c r="R618" s="1">
        <v>56139</v>
      </c>
      <c r="S618" s="1">
        <v>2.3648199999999999E-6</v>
      </c>
      <c r="T618" t="str">
        <f>VLOOKUP(R618,Nuclides!A:E,5,FALSE)</f>
        <v>Ba139</v>
      </c>
      <c r="U618">
        <f>VLOOKUP(Sheet2!R618,Nuclides!A:E,2,FALSE)</f>
        <v>83</v>
      </c>
      <c r="V618">
        <f>VLOOKUP(R618,Nuclides!A:E,3,FALSE)</f>
        <v>56</v>
      </c>
      <c r="W618" s="1">
        <f t="shared" si="32"/>
        <v>29512953600</v>
      </c>
      <c r="X618" t="s">
        <v>1635</v>
      </c>
      <c r="Z618" s="1">
        <v>55146</v>
      </c>
      <c r="AA618" s="1">
        <v>1.0418299999999999E-6</v>
      </c>
      <c r="AB618" t="str">
        <f>VLOOKUP(Z618,Nuclides!A:E,5,FALSE)</f>
        <v>Cs146</v>
      </c>
      <c r="AC618">
        <f>VLOOKUP(Sheet2!Z618,Nuclides!A:E,2,FALSE)</f>
        <v>91</v>
      </c>
      <c r="AD618">
        <f>VLOOKUP(Z618,Nuclides!A:E,3,FALSE)</f>
        <v>55</v>
      </c>
      <c r="AE618" s="1">
        <f t="shared" si="33"/>
        <v>13002038399.999998</v>
      </c>
      <c r="AF618" t="s">
        <v>1604</v>
      </c>
    </row>
    <row r="619" spans="18:32" x14ac:dyDescent="0.2">
      <c r="R619" s="1">
        <v>56140</v>
      </c>
      <c r="S619" s="1">
        <v>6.5803299999999999E-6</v>
      </c>
      <c r="T619" t="str">
        <f>VLOOKUP(R619,Nuclides!A:E,5,FALSE)</f>
        <v>Ba140</v>
      </c>
      <c r="U619">
        <f>VLOOKUP(Sheet2!R619,Nuclides!A:E,2,FALSE)</f>
        <v>84</v>
      </c>
      <c r="V619">
        <f>VLOOKUP(R619,Nuclides!A:E,3,FALSE)</f>
        <v>56</v>
      </c>
      <c r="W619" s="1">
        <f t="shared" si="32"/>
        <v>82122518400</v>
      </c>
      <c r="X619" t="s">
        <v>1636</v>
      </c>
      <c r="Z619" s="1">
        <v>55147</v>
      </c>
      <c r="AA619" s="1">
        <v>4.52862E-7</v>
      </c>
      <c r="AB619" t="str">
        <f>VLOOKUP(Z619,Nuclides!A:E,5,FALSE)</f>
        <v>Cs147</v>
      </c>
      <c r="AC619">
        <f>VLOOKUP(Sheet2!Z619,Nuclides!A:E,2,FALSE)</f>
        <v>92</v>
      </c>
      <c r="AD619">
        <f>VLOOKUP(Z619,Nuclides!A:E,3,FALSE)</f>
        <v>55</v>
      </c>
      <c r="AE619" s="1">
        <f t="shared" si="33"/>
        <v>5651717760</v>
      </c>
      <c r="AF619" t="s">
        <v>1605</v>
      </c>
    </row>
    <row r="620" spans="18:32" x14ac:dyDescent="0.2">
      <c r="R620" s="1">
        <v>56141</v>
      </c>
      <c r="S620" s="1">
        <v>1.33224E-5</v>
      </c>
      <c r="T620" t="str">
        <f>VLOOKUP(R620,Nuclides!A:E,5,FALSE)</f>
        <v>Ba141</v>
      </c>
      <c r="U620">
        <f>VLOOKUP(Sheet2!R620,Nuclides!A:E,2,FALSE)</f>
        <v>85</v>
      </c>
      <c r="V620">
        <f>VLOOKUP(R620,Nuclides!A:E,3,FALSE)</f>
        <v>56</v>
      </c>
      <c r="W620" s="1">
        <f t="shared" si="32"/>
        <v>166263552000</v>
      </c>
      <c r="X620" t="s">
        <v>1637</v>
      </c>
      <c r="Z620" s="1">
        <v>55148</v>
      </c>
      <c r="AA620" s="1">
        <v>8.5853999999999996E-8</v>
      </c>
      <c r="AB620" t="str">
        <f>VLOOKUP(Z620,Nuclides!A:E,5,FALSE)</f>
        <v>Cs148</v>
      </c>
      <c r="AC620">
        <f>VLOOKUP(Sheet2!Z620,Nuclides!A:E,2,FALSE)</f>
        <v>93</v>
      </c>
      <c r="AD620">
        <f>VLOOKUP(Z620,Nuclides!A:E,3,FALSE)</f>
        <v>55</v>
      </c>
      <c r="AE620" s="1">
        <f t="shared" si="33"/>
        <v>1071457920</v>
      </c>
      <c r="AF620" t="s">
        <v>1606</v>
      </c>
    </row>
    <row r="621" spans="18:32" x14ac:dyDescent="0.2">
      <c r="R621" s="1">
        <v>56142</v>
      </c>
      <c r="S621" s="1">
        <v>2.6614600000000001E-5</v>
      </c>
      <c r="T621" t="str">
        <f>VLOOKUP(R621,Nuclides!A:E,5,FALSE)</f>
        <v>Ba142</v>
      </c>
      <c r="U621">
        <f>VLOOKUP(Sheet2!R621,Nuclides!A:E,2,FALSE)</f>
        <v>86</v>
      </c>
      <c r="V621">
        <f>VLOOKUP(R621,Nuclides!A:E,3,FALSE)</f>
        <v>56</v>
      </c>
      <c r="W621" s="1">
        <f t="shared" si="32"/>
        <v>332150208000</v>
      </c>
      <c r="X621" t="s">
        <v>1638</v>
      </c>
      <c r="Z621" s="1">
        <v>56117</v>
      </c>
      <c r="AA621" s="1">
        <v>2.5895800000000002E-8</v>
      </c>
      <c r="AB621" t="str">
        <f>VLOOKUP(Z621,Nuclides!A:E,5,FALSE)</f>
        <v>Ba117</v>
      </c>
      <c r="AC621">
        <f>VLOOKUP(Sheet2!Z621,Nuclides!A:E,2,FALSE)</f>
        <v>61</v>
      </c>
      <c r="AD621">
        <f>VLOOKUP(Z621,Nuclides!A:E,3,FALSE)</f>
        <v>56</v>
      </c>
      <c r="AE621" s="1">
        <f t="shared" si="33"/>
        <v>323179584</v>
      </c>
      <c r="AF621" t="s">
        <v>1613</v>
      </c>
    </row>
    <row r="622" spans="18:32" x14ac:dyDescent="0.2">
      <c r="R622" s="1">
        <v>56143</v>
      </c>
      <c r="S622" s="1">
        <v>3.7416200000000003E-5</v>
      </c>
      <c r="T622" t="str">
        <f>VLOOKUP(R622,Nuclides!A:E,5,FALSE)</f>
        <v>Ba143</v>
      </c>
      <c r="U622">
        <f>VLOOKUP(Sheet2!R622,Nuclides!A:E,2,FALSE)</f>
        <v>87</v>
      </c>
      <c r="V622">
        <f>VLOOKUP(R622,Nuclides!A:E,3,FALSE)</f>
        <v>56</v>
      </c>
      <c r="W622" s="1">
        <f t="shared" si="32"/>
        <v>466954176000.00006</v>
      </c>
      <c r="X622" t="s">
        <v>1639</v>
      </c>
      <c r="Z622" s="1">
        <v>56118</v>
      </c>
      <c r="AA622" s="1">
        <v>4.1182000000000001E-9</v>
      </c>
      <c r="AB622" t="str">
        <f>VLOOKUP(Z622,Nuclides!A:E,5,FALSE)</f>
        <v>Ba118</v>
      </c>
      <c r="AC622">
        <f>VLOOKUP(Sheet2!Z622,Nuclides!A:E,2,FALSE)</f>
        <v>62</v>
      </c>
      <c r="AD622">
        <f>VLOOKUP(Z622,Nuclides!A:E,3,FALSE)</f>
        <v>56</v>
      </c>
      <c r="AE622" s="1">
        <f t="shared" si="33"/>
        <v>51395136</v>
      </c>
      <c r="AF622" t="s">
        <v>1614</v>
      </c>
    </row>
    <row r="623" spans="18:32" x14ac:dyDescent="0.2">
      <c r="R623" s="1">
        <v>56144</v>
      </c>
      <c r="S623" s="1">
        <v>4.4557600000000002E-5</v>
      </c>
      <c r="T623" t="str">
        <f>VLOOKUP(R623,Nuclides!A:E,5,FALSE)</f>
        <v>Ba144</v>
      </c>
      <c r="U623">
        <f>VLOOKUP(Sheet2!R623,Nuclides!A:E,2,FALSE)</f>
        <v>88</v>
      </c>
      <c r="V623">
        <f>VLOOKUP(R623,Nuclides!A:E,3,FALSE)</f>
        <v>56</v>
      </c>
      <c r="W623" s="1">
        <f t="shared" si="32"/>
        <v>556078848000</v>
      </c>
      <c r="X623" t="s">
        <v>1640</v>
      </c>
      <c r="Z623" s="1">
        <v>56119</v>
      </c>
      <c r="AA623" s="1">
        <v>1.1167999999999999E-9</v>
      </c>
      <c r="AB623" t="str">
        <f>VLOOKUP(Z623,Nuclides!A:E,5,FALSE)</f>
        <v>Ba119</v>
      </c>
      <c r="AC623">
        <f>VLOOKUP(Sheet2!Z623,Nuclides!A:E,2,FALSE)</f>
        <v>63</v>
      </c>
      <c r="AD623">
        <f>VLOOKUP(Z623,Nuclides!A:E,3,FALSE)</f>
        <v>56</v>
      </c>
      <c r="AE623" s="1">
        <f t="shared" si="33"/>
        <v>13937663.999999998</v>
      </c>
      <c r="AF623" t="s">
        <v>1615</v>
      </c>
    </row>
    <row r="624" spans="18:32" x14ac:dyDescent="0.2">
      <c r="R624" s="1">
        <v>56145</v>
      </c>
      <c r="S624" s="1">
        <v>3.6569200000000002E-5</v>
      </c>
      <c r="T624" t="str">
        <f>VLOOKUP(R624,Nuclides!A:E,5,FALSE)</f>
        <v>Ba145</v>
      </c>
      <c r="U624">
        <f>VLOOKUP(Sheet2!R624,Nuclides!A:E,2,FALSE)</f>
        <v>89</v>
      </c>
      <c r="V624">
        <f>VLOOKUP(R624,Nuclides!A:E,3,FALSE)</f>
        <v>56</v>
      </c>
      <c r="W624" s="1">
        <f t="shared" si="32"/>
        <v>456383616000</v>
      </c>
      <c r="X624" t="s">
        <v>1641</v>
      </c>
      <c r="Z624" s="1">
        <v>56133</v>
      </c>
      <c r="AA624" s="1">
        <v>6.9799999999999994E-11</v>
      </c>
      <c r="AB624" t="str">
        <f>VLOOKUP(Z624,Nuclides!A:E,5,FALSE)</f>
        <v>Ba133</v>
      </c>
      <c r="AC624">
        <f>VLOOKUP(Sheet2!Z624,Nuclides!A:E,2,FALSE)</f>
        <v>77</v>
      </c>
      <c r="AD624">
        <f>VLOOKUP(Z624,Nuclides!A:E,3,FALSE)</f>
        <v>56</v>
      </c>
      <c r="AE624" s="1">
        <f t="shared" si="33"/>
        <v>871103.99999999988</v>
      </c>
      <c r="AF624" t="s">
        <v>1629</v>
      </c>
    </row>
    <row r="625" spans="18:32" x14ac:dyDescent="0.2">
      <c r="R625" s="1">
        <v>56146</v>
      </c>
      <c r="S625" s="1">
        <v>2.5329599999999999E-5</v>
      </c>
      <c r="T625" t="str">
        <f>VLOOKUP(R625,Nuclides!A:E,5,FALSE)</f>
        <v>Ba146</v>
      </c>
      <c r="U625">
        <f>VLOOKUP(Sheet2!R625,Nuclides!A:E,2,FALSE)</f>
        <v>90</v>
      </c>
      <c r="V625">
        <f>VLOOKUP(R625,Nuclides!A:E,3,FALSE)</f>
        <v>56</v>
      </c>
      <c r="W625" s="1">
        <f t="shared" si="32"/>
        <v>316113408000</v>
      </c>
      <c r="X625" t="s">
        <v>1642</v>
      </c>
      <c r="Z625" s="1">
        <v>56134</v>
      </c>
      <c r="AA625" s="1">
        <v>1.8148E-9</v>
      </c>
      <c r="AB625" t="str">
        <f>VLOOKUP(Z625,Nuclides!A:E,5,FALSE)</f>
        <v>Ba134</v>
      </c>
      <c r="AC625">
        <f>VLOOKUP(Sheet2!Z625,Nuclides!A:E,2,FALSE)</f>
        <v>78</v>
      </c>
      <c r="AD625">
        <f>VLOOKUP(Z625,Nuclides!A:E,3,FALSE)</f>
        <v>56</v>
      </c>
      <c r="AE625" s="1">
        <f t="shared" si="33"/>
        <v>22648704</v>
      </c>
      <c r="AF625" t="s">
        <v>1630</v>
      </c>
    </row>
    <row r="626" spans="18:32" x14ac:dyDescent="0.2">
      <c r="R626" s="1">
        <v>56147</v>
      </c>
      <c r="S626" s="1">
        <v>1.22515E-5</v>
      </c>
      <c r="T626" t="str">
        <f>VLOOKUP(R626,Nuclides!A:E,5,FALSE)</f>
        <v>Ba147</v>
      </c>
      <c r="U626">
        <f>VLOOKUP(Sheet2!R626,Nuclides!A:E,2,FALSE)</f>
        <v>91</v>
      </c>
      <c r="V626">
        <f>VLOOKUP(R626,Nuclides!A:E,3,FALSE)</f>
        <v>56</v>
      </c>
      <c r="W626" s="1">
        <f t="shared" si="32"/>
        <v>152898720000</v>
      </c>
      <c r="X626" t="s">
        <v>1643</v>
      </c>
      <c r="Z626" s="1">
        <v>56135</v>
      </c>
      <c r="AA626" s="1">
        <v>9.9115999999999996E-9</v>
      </c>
      <c r="AB626" t="str">
        <f>VLOOKUP(Z626,Nuclides!A:E,5,FALSE)</f>
        <v>Ba135</v>
      </c>
      <c r="AC626">
        <f>VLOOKUP(Sheet2!Z626,Nuclides!A:E,2,FALSE)</f>
        <v>79</v>
      </c>
      <c r="AD626">
        <f>VLOOKUP(Z626,Nuclides!A:E,3,FALSE)</f>
        <v>56</v>
      </c>
      <c r="AE626" s="1">
        <f t="shared" si="33"/>
        <v>123696768</v>
      </c>
      <c r="AF626" t="s">
        <v>1631</v>
      </c>
    </row>
    <row r="627" spans="18:32" x14ac:dyDescent="0.2">
      <c r="R627" s="1">
        <v>56148</v>
      </c>
      <c r="S627" s="1">
        <v>4.9977499999999997E-6</v>
      </c>
      <c r="T627" t="str">
        <f>VLOOKUP(R627,Nuclides!A:E,5,FALSE)</f>
        <v>Ba148</v>
      </c>
      <c r="U627">
        <f>VLOOKUP(Sheet2!R627,Nuclides!A:E,2,FALSE)</f>
        <v>92</v>
      </c>
      <c r="V627">
        <f>VLOOKUP(R627,Nuclides!A:E,3,FALSE)</f>
        <v>56</v>
      </c>
      <c r="W627" s="1">
        <f t="shared" si="32"/>
        <v>62371920000</v>
      </c>
      <c r="X627" t="s">
        <v>1644</v>
      </c>
      <c r="Z627" s="1">
        <v>56136</v>
      </c>
      <c r="AA627" s="1">
        <v>1.1454199999999999E-7</v>
      </c>
      <c r="AB627" t="str">
        <f>VLOOKUP(Z627,Nuclides!A:E,5,FALSE)</f>
        <v>Ba136</v>
      </c>
      <c r="AC627">
        <f>VLOOKUP(Sheet2!Z627,Nuclides!A:E,2,FALSE)</f>
        <v>80</v>
      </c>
      <c r="AD627">
        <f>VLOOKUP(Z627,Nuclides!A:E,3,FALSE)</f>
        <v>56</v>
      </c>
      <c r="AE627" s="1">
        <f t="shared" si="33"/>
        <v>1429484160</v>
      </c>
      <c r="AF627" t="s">
        <v>1632</v>
      </c>
    </row>
    <row r="628" spans="18:32" x14ac:dyDescent="0.2">
      <c r="R628" s="1">
        <v>57123</v>
      </c>
      <c r="S628" s="1">
        <v>1.16559E-6</v>
      </c>
      <c r="T628" t="str">
        <f>VLOOKUP(R628,Nuclides!A:E,5,FALSE)</f>
        <v>La123</v>
      </c>
      <c r="U628">
        <f>VLOOKUP(Sheet2!R628,Nuclides!A:E,2,FALSE)</f>
        <v>66</v>
      </c>
      <c r="V628">
        <f>VLOOKUP(R628,Nuclides!A:E,3,FALSE)</f>
        <v>57</v>
      </c>
      <c r="W628" s="1">
        <f t="shared" si="32"/>
        <v>14546563200</v>
      </c>
      <c r="X628" t="s">
        <v>1653</v>
      </c>
      <c r="Z628" s="1">
        <v>56137</v>
      </c>
      <c r="AA628" s="1">
        <v>5.5330499999999999E-7</v>
      </c>
      <c r="AB628" t="str">
        <f>VLOOKUP(Z628,Nuclides!A:E,5,FALSE)</f>
        <v>Ba137</v>
      </c>
      <c r="AC628">
        <f>VLOOKUP(Sheet2!Z628,Nuclides!A:E,2,FALSE)</f>
        <v>81</v>
      </c>
      <c r="AD628">
        <f>VLOOKUP(Z628,Nuclides!A:E,3,FALSE)</f>
        <v>56</v>
      </c>
      <c r="AE628" s="1">
        <f t="shared" si="33"/>
        <v>6905246400</v>
      </c>
      <c r="AF628" t="s">
        <v>1633</v>
      </c>
    </row>
    <row r="629" spans="18:32" x14ac:dyDescent="0.2">
      <c r="R629" s="1">
        <v>57124</v>
      </c>
      <c r="S629" s="1">
        <v>2.5239699999999998E-7</v>
      </c>
      <c r="T629" t="str">
        <f>VLOOKUP(R629,Nuclides!A:E,5,FALSE)</f>
        <v>La124</v>
      </c>
      <c r="U629">
        <f>VLOOKUP(Sheet2!R629,Nuclides!A:E,2,FALSE)</f>
        <v>67</v>
      </c>
      <c r="V629">
        <f>VLOOKUP(R629,Nuclides!A:E,3,FALSE)</f>
        <v>57</v>
      </c>
      <c r="W629" s="1">
        <f t="shared" si="32"/>
        <v>3149914559.9999995</v>
      </c>
      <c r="X629" t="s">
        <v>1654</v>
      </c>
      <c r="Z629" s="1">
        <v>56138</v>
      </c>
      <c r="AA629" s="1">
        <v>3.2158300000000002E-6</v>
      </c>
      <c r="AB629" t="str">
        <f>VLOOKUP(Z629,Nuclides!A:E,5,FALSE)</f>
        <v>Ba138</v>
      </c>
      <c r="AC629">
        <f>VLOOKUP(Sheet2!Z629,Nuclides!A:E,2,FALSE)</f>
        <v>82</v>
      </c>
      <c r="AD629">
        <f>VLOOKUP(Z629,Nuclides!A:E,3,FALSE)</f>
        <v>56</v>
      </c>
      <c r="AE629" s="1">
        <f t="shared" si="33"/>
        <v>40133558400</v>
      </c>
      <c r="AF629" t="s">
        <v>1634</v>
      </c>
    </row>
    <row r="630" spans="18:32" x14ac:dyDescent="0.2">
      <c r="R630" s="1">
        <v>57125</v>
      </c>
      <c r="S630" s="1">
        <v>2.7361599999999999E-8</v>
      </c>
      <c r="T630" t="str">
        <f>VLOOKUP(R630,Nuclides!A:E,5,FALSE)</f>
        <v>La125</v>
      </c>
      <c r="U630">
        <f>VLOOKUP(Sheet2!R630,Nuclides!A:E,2,FALSE)</f>
        <v>68</v>
      </c>
      <c r="V630">
        <f>VLOOKUP(R630,Nuclides!A:E,3,FALSE)</f>
        <v>57</v>
      </c>
      <c r="W630" s="1">
        <f t="shared" si="32"/>
        <v>341472768</v>
      </c>
      <c r="X630" t="s">
        <v>1655</v>
      </c>
      <c r="Z630" s="1">
        <v>56139</v>
      </c>
      <c r="AA630" s="1">
        <v>4.9483300000000001E-6</v>
      </c>
      <c r="AB630" t="str">
        <f>VLOOKUP(Z630,Nuclides!A:E,5,FALSE)</f>
        <v>Ba139</v>
      </c>
      <c r="AC630">
        <f>VLOOKUP(Sheet2!Z630,Nuclides!A:E,2,FALSE)</f>
        <v>83</v>
      </c>
      <c r="AD630">
        <f>VLOOKUP(Z630,Nuclides!A:E,3,FALSE)</f>
        <v>56</v>
      </c>
      <c r="AE630" s="1">
        <f t="shared" si="33"/>
        <v>61755158400</v>
      </c>
      <c r="AF630" t="s">
        <v>1635</v>
      </c>
    </row>
    <row r="631" spans="18:32" x14ac:dyDescent="0.2">
      <c r="R631" s="1">
        <v>57126</v>
      </c>
      <c r="S631" s="1">
        <v>3.3503999999999999E-9</v>
      </c>
      <c r="T631" t="str">
        <f>VLOOKUP(R631,Nuclides!A:E,5,FALSE)</f>
        <v>La126</v>
      </c>
      <c r="U631">
        <f>VLOOKUP(Sheet2!R631,Nuclides!A:E,2,FALSE)</f>
        <v>69</v>
      </c>
      <c r="V631">
        <f>VLOOKUP(R631,Nuclides!A:E,3,FALSE)</f>
        <v>57</v>
      </c>
      <c r="W631" s="1">
        <f t="shared" si="32"/>
        <v>41812992</v>
      </c>
      <c r="X631" t="s">
        <v>1656</v>
      </c>
      <c r="Z631" s="1">
        <v>56140</v>
      </c>
      <c r="AA631" s="1">
        <v>1.1966E-5</v>
      </c>
      <c r="AB631" t="str">
        <f>VLOOKUP(Z631,Nuclides!A:E,5,FALSE)</f>
        <v>Ba140</v>
      </c>
      <c r="AC631">
        <f>VLOOKUP(Sheet2!Z631,Nuclides!A:E,2,FALSE)</f>
        <v>84</v>
      </c>
      <c r="AD631">
        <f>VLOOKUP(Z631,Nuclides!A:E,3,FALSE)</f>
        <v>56</v>
      </c>
      <c r="AE631" s="1">
        <f t="shared" si="33"/>
        <v>149335680000</v>
      </c>
      <c r="AF631" t="s">
        <v>1636</v>
      </c>
    </row>
    <row r="632" spans="18:32" x14ac:dyDescent="0.2">
      <c r="R632" s="1">
        <v>57127</v>
      </c>
      <c r="S632" s="1">
        <v>1.3959999999999999E-10</v>
      </c>
      <c r="T632" t="str">
        <f>VLOOKUP(R632,Nuclides!A:E,5,FALSE)</f>
        <v>La127</v>
      </c>
      <c r="U632">
        <f>VLOOKUP(Sheet2!R632,Nuclides!A:E,2,FALSE)</f>
        <v>70</v>
      </c>
      <c r="V632">
        <f>VLOOKUP(R632,Nuclides!A:E,3,FALSE)</f>
        <v>57</v>
      </c>
      <c r="W632" s="1">
        <f t="shared" si="32"/>
        <v>1742207.9999999998</v>
      </c>
      <c r="X632" t="s">
        <v>1657</v>
      </c>
      <c r="Z632" s="1">
        <v>56141</v>
      </c>
      <c r="AA632" s="1">
        <v>1.4184499999999999E-5</v>
      </c>
      <c r="AB632" t="str">
        <f>VLOOKUP(Z632,Nuclides!A:E,5,FALSE)</f>
        <v>Ba141</v>
      </c>
      <c r="AC632">
        <f>VLOOKUP(Sheet2!Z632,Nuclides!A:E,2,FALSE)</f>
        <v>85</v>
      </c>
      <c r="AD632">
        <f>VLOOKUP(Z632,Nuclides!A:E,3,FALSE)</f>
        <v>56</v>
      </c>
      <c r="AE632" s="1">
        <f t="shared" si="33"/>
        <v>177022560000</v>
      </c>
      <c r="AF632" t="s">
        <v>1637</v>
      </c>
    </row>
    <row r="633" spans="18:32" x14ac:dyDescent="0.2">
      <c r="R633" s="1">
        <v>57136</v>
      </c>
      <c r="S633" s="1">
        <v>2.7919999999999998E-10</v>
      </c>
      <c r="T633" t="str">
        <f>VLOOKUP(R633,Nuclides!A:E,5,FALSE)</f>
        <v>La136</v>
      </c>
      <c r="U633">
        <f>VLOOKUP(Sheet2!R633,Nuclides!A:E,2,FALSE)</f>
        <v>79</v>
      </c>
      <c r="V633">
        <f>VLOOKUP(R633,Nuclides!A:E,3,FALSE)</f>
        <v>57</v>
      </c>
      <c r="W633" s="1">
        <f t="shared" si="32"/>
        <v>3484415.9999999995</v>
      </c>
      <c r="X633" t="s">
        <v>1666</v>
      </c>
      <c r="Z633" s="1">
        <v>56142</v>
      </c>
      <c r="AA633" s="1">
        <v>2.3874199999999999E-5</v>
      </c>
      <c r="AB633" t="str">
        <f>VLOOKUP(Z633,Nuclides!A:E,5,FALSE)</f>
        <v>Ba142</v>
      </c>
      <c r="AC633">
        <f>VLOOKUP(Sheet2!Z633,Nuclides!A:E,2,FALSE)</f>
        <v>86</v>
      </c>
      <c r="AD633">
        <f>VLOOKUP(Z633,Nuclides!A:E,3,FALSE)</f>
        <v>56</v>
      </c>
      <c r="AE633" s="1">
        <f t="shared" si="33"/>
        <v>297950016000</v>
      </c>
      <c r="AF633" t="s">
        <v>1638</v>
      </c>
    </row>
    <row r="634" spans="18:32" x14ac:dyDescent="0.2">
      <c r="R634" s="1">
        <v>57137</v>
      </c>
      <c r="S634" s="1">
        <v>1.5355999999999999E-9</v>
      </c>
      <c r="T634" t="str">
        <f>VLOOKUP(R634,Nuclides!A:E,5,FALSE)</f>
        <v>La137</v>
      </c>
      <c r="U634">
        <f>VLOOKUP(Sheet2!R634,Nuclides!A:E,2,FALSE)</f>
        <v>80</v>
      </c>
      <c r="V634">
        <f>VLOOKUP(R634,Nuclides!A:E,3,FALSE)</f>
        <v>57</v>
      </c>
      <c r="W634" s="1">
        <f t="shared" si="32"/>
        <v>19164288</v>
      </c>
      <c r="X634" t="s">
        <v>1667</v>
      </c>
      <c r="Z634" s="1">
        <v>56143</v>
      </c>
      <c r="AA634" s="1">
        <v>1.8289999999999999E-5</v>
      </c>
      <c r="AB634" t="str">
        <f>VLOOKUP(Z634,Nuclides!A:E,5,FALSE)</f>
        <v>Ba143</v>
      </c>
      <c r="AC634">
        <f>VLOOKUP(Sheet2!Z634,Nuclides!A:E,2,FALSE)</f>
        <v>87</v>
      </c>
      <c r="AD634">
        <f>VLOOKUP(Z634,Nuclides!A:E,3,FALSE)</f>
        <v>56</v>
      </c>
      <c r="AE634" s="1">
        <f t="shared" si="33"/>
        <v>228259200000</v>
      </c>
      <c r="AF634" t="s">
        <v>1639</v>
      </c>
    </row>
    <row r="635" spans="18:32" x14ac:dyDescent="0.2">
      <c r="R635" s="1">
        <v>57138</v>
      </c>
      <c r="S635" s="1">
        <v>9.9814000000000003E-9</v>
      </c>
      <c r="T635" t="str">
        <f>VLOOKUP(R635,Nuclides!A:E,5,FALSE)</f>
        <v>La138</v>
      </c>
      <c r="U635">
        <f>VLOOKUP(Sheet2!R635,Nuclides!A:E,2,FALSE)</f>
        <v>81</v>
      </c>
      <c r="V635">
        <f>VLOOKUP(R635,Nuclides!A:E,3,FALSE)</f>
        <v>57</v>
      </c>
      <c r="W635" s="1">
        <f t="shared" si="32"/>
        <v>124567872</v>
      </c>
      <c r="X635" t="s">
        <v>1668</v>
      </c>
      <c r="Z635" s="1">
        <v>56144</v>
      </c>
      <c r="AA635" s="1">
        <v>2.0009399999999999E-5</v>
      </c>
      <c r="AB635" t="str">
        <f>VLOOKUP(Z635,Nuclides!A:E,5,FALSE)</f>
        <v>Ba144</v>
      </c>
      <c r="AC635">
        <f>VLOOKUP(Sheet2!Z635,Nuclides!A:E,2,FALSE)</f>
        <v>88</v>
      </c>
      <c r="AD635">
        <f>VLOOKUP(Z635,Nuclides!A:E,3,FALSE)</f>
        <v>56</v>
      </c>
      <c r="AE635" s="1">
        <f t="shared" si="33"/>
        <v>249717311999.99997</v>
      </c>
      <c r="AF635" t="s">
        <v>1640</v>
      </c>
    </row>
    <row r="636" spans="18:32" x14ac:dyDescent="0.2">
      <c r="R636" s="1">
        <v>57139</v>
      </c>
      <c r="S636" s="1">
        <v>6.8892599999999998E-8</v>
      </c>
      <c r="T636" t="str">
        <f>VLOOKUP(R636,Nuclides!A:E,5,FALSE)</f>
        <v>La139</v>
      </c>
      <c r="U636">
        <f>VLOOKUP(Sheet2!R636,Nuclides!A:E,2,FALSE)</f>
        <v>82</v>
      </c>
      <c r="V636">
        <f>VLOOKUP(R636,Nuclides!A:E,3,FALSE)</f>
        <v>57</v>
      </c>
      <c r="W636" s="1">
        <f t="shared" si="32"/>
        <v>859779648</v>
      </c>
      <c r="X636" t="s">
        <v>1669</v>
      </c>
      <c r="Z636" s="1">
        <v>56145</v>
      </c>
      <c r="AA636" s="1">
        <v>1.04223E-5</v>
      </c>
      <c r="AB636" t="str">
        <f>VLOOKUP(Z636,Nuclides!A:E,5,FALSE)</f>
        <v>Ba145</v>
      </c>
      <c r="AC636">
        <f>VLOOKUP(Sheet2!Z636,Nuclides!A:E,2,FALSE)</f>
        <v>89</v>
      </c>
      <c r="AD636">
        <f>VLOOKUP(Z636,Nuclides!A:E,3,FALSE)</f>
        <v>56</v>
      </c>
      <c r="AE636" s="1">
        <f t="shared" si="33"/>
        <v>130070304000</v>
      </c>
      <c r="AF636" t="s">
        <v>1641</v>
      </c>
    </row>
    <row r="637" spans="18:32" x14ac:dyDescent="0.2">
      <c r="R637" s="1">
        <v>57140</v>
      </c>
      <c r="S637" s="1">
        <v>2.2007899999999999E-7</v>
      </c>
      <c r="T637" t="str">
        <f>VLOOKUP(R637,Nuclides!A:E,5,FALSE)</f>
        <v>La140</v>
      </c>
      <c r="U637">
        <f>VLOOKUP(Sheet2!R637,Nuclides!A:E,2,FALSE)</f>
        <v>83</v>
      </c>
      <c r="V637">
        <f>VLOOKUP(R637,Nuclides!A:E,3,FALSE)</f>
        <v>57</v>
      </c>
      <c r="W637" s="1">
        <f t="shared" si="32"/>
        <v>2746585920</v>
      </c>
      <c r="X637" t="s">
        <v>1670</v>
      </c>
      <c r="Z637" s="1">
        <v>56146</v>
      </c>
      <c r="AA637" s="1">
        <v>6.8142900000000003E-6</v>
      </c>
      <c r="AB637" t="str">
        <f>VLOOKUP(Z637,Nuclides!A:E,5,FALSE)</f>
        <v>Ba146</v>
      </c>
      <c r="AC637">
        <f>VLOOKUP(Sheet2!Z637,Nuclides!A:E,2,FALSE)</f>
        <v>90</v>
      </c>
      <c r="AD637">
        <f>VLOOKUP(Z637,Nuclides!A:E,3,FALSE)</f>
        <v>56</v>
      </c>
      <c r="AE637" s="1">
        <f t="shared" si="33"/>
        <v>85042339200</v>
      </c>
      <c r="AF637" t="s">
        <v>1642</v>
      </c>
    </row>
    <row r="638" spans="18:32" x14ac:dyDescent="0.2">
      <c r="R638" s="1">
        <v>57141</v>
      </c>
      <c r="S638" s="1">
        <v>8.3725100000000004E-7</v>
      </c>
      <c r="T638" t="str">
        <f>VLOOKUP(R638,Nuclides!A:E,5,FALSE)</f>
        <v>La141</v>
      </c>
      <c r="U638">
        <f>VLOOKUP(Sheet2!R638,Nuclides!A:E,2,FALSE)</f>
        <v>84</v>
      </c>
      <c r="V638">
        <f>VLOOKUP(R638,Nuclides!A:E,3,FALSE)</f>
        <v>57</v>
      </c>
      <c r="W638" s="1">
        <f t="shared" si="32"/>
        <v>10448892480</v>
      </c>
      <c r="X638" t="s">
        <v>1671</v>
      </c>
      <c r="Z638" s="1">
        <v>56147</v>
      </c>
      <c r="AA638" s="1">
        <v>3.00196E-6</v>
      </c>
      <c r="AB638" t="str">
        <f>VLOOKUP(Z638,Nuclides!A:E,5,FALSE)</f>
        <v>Ba147</v>
      </c>
      <c r="AC638">
        <f>VLOOKUP(Sheet2!Z638,Nuclides!A:E,2,FALSE)</f>
        <v>91</v>
      </c>
      <c r="AD638">
        <f>VLOOKUP(Z638,Nuclides!A:E,3,FALSE)</f>
        <v>56</v>
      </c>
      <c r="AE638" s="1">
        <f t="shared" si="33"/>
        <v>37464460800</v>
      </c>
      <c r="AF638" t="s">
        <v>1643</v>
      </c>
    </row>
    <row r="639" spans="18:32" x14ac:dyDescent="0.2">
      <c r="R639" s="1">
        <v>57142</v>
      </c>
      <c r="S639" s="1">
        <v>2.1142399999999999E-6</v>
      </c>
      <c r="T639" t="str">
        <f>VLOOKUP(R639,Nuclides!A:E,5,FALSE)</f>
        <v>La142</v>
      </c>
      <c r="U639">
        <f>VLOOKUP(Sheet2!R639,Nuclides!A:E,2,FALSE)</f>
        <v>85</v>
      </c>
      <c r="V639">
        <f>VLOOKUP(R639,Nuclides!A:E,3,FALSE)</f>
        <v>57</v>
      </c>
      <c r="W639" s="1">
        <f t="shared" si="32"/>
        <v>26385715200</v>
      </c>
      <c r="X639" t="s">
        <v>1672</v>
      </c>
      <c r="Z639" s="1">
        <v>56148</v>
      </c>
      <c r="AA639" s="1">
        <v>1.4886199999999999E-6</v>
      </c>
      <c r="AB639" t="str">
        <f>VLOOKUP(Z639,Nuclides!A:E,5,FALSE)</f>
        <v>Ba148</v>
      </c>
      <c r="AC639">
        <f>VLOOKUP(Sheet2!Z639,Nuclides!A:E,2,FALSE)</f>
        <v>92</v>
      </c>
      <c r="AD639">
        <f>VLOOKUP(Z639,Nuclides!A:E,3,FALSE)</f>
        <v>56</v>
      </c>
      <c r="AE639" s="1">
        <f t="shared" si="33"/>
        <v>18577977600</v>
      </c>
      <c r="AF639" t="s">
        <v>1644</v>
      </c>
    </row>
    <row r="640" spans="18:32" x14ac:dyDescent="0.2">
      <c r="R640" s="1">
        <v>57143</v>
      </c>
      <c r="S640" s="1">
        <v>6.0190600000000003E-6</v>
      </c>
      <c r="T640" t="str">
        <f>VLOOKUP(R640,Nuclides!A:E,5,FALSE)</f>
        <v>La143</v>
      </c>
      <c r="U640">
        <f>VLOOKUP(Sheet2!R640,Nuclides!A:E,2,FALSE)</f>
        <v>86</v>
      </c>
      <c r="V640">
        <f>VLOOKUP(R640,Nuclides!A:E,3,FALSE)</f>
        <v>57</v>
      </c>
      <c r="W640" s="1">
        <f t="shared" si="32"/>
        <v>75117868800</v>
      </c>
      <c r="X640" t="s">
        <v>1673</v>
      </c>
      <c r="Z640" s="1">
        <v>57123</v>
      </c>
      <c r="AA640" s="1">
        <v>3.3413300000000002E-7</v>
      </c>
      <c r="AB640" t="str">
        <f>VLOOKUP(Z640,Nuclides!A:E,5,FALSE)</f>
        <v>La123</v>
      </c>
      <c r="AC640">
        <f>VLOOKUP(Sheet2!Z640,Nuclides!A:E,2,FALSE)</f>
        <v>66</v>
      </c>
      <c r="AD640">
        <f>VLOOKUP(Z640,Nuclides!A:E,3,FALSE)</f>
        <v>57</v>
      </c>
      <c r="AE640" s="1">
        <f t="shared" si="33"/>
        <v>4169979840</v>
      </c>
      <c r="AF640" t="s">
        <v>1653</v>
      </c>
    </row>
    <row r="641" spans="18:32" x14ac:dyDescent="0.2">
      <c r="R641" s="1">
        <v>57144</v>
      </c>
      <c r="S641" s="1">
        <v>1.06554E-5</v>
      </c>
      <c r="T641" t="str">
        <f>VLOOKUP(R641,Nuclides!A:E,5,FALSE)</f>
        <v>La144</v>
      </c>
      <c r="U641">
        <f>VLOOKUP(Sheet2!R641,Nuclides!A:E,2,FALSE)</f>
        <v>87</v>
      </c>
      <c r="V641">
        <f>VLOOKUP(R641,Nuclides!A:E,3,FALSE)</f>
        <v>57</v>
      </c>
      <c r="W641" s="1">
        <f t="shared" si="32"/>
        <v>132979392000</v>
      </c>
      <c r="X641" t="s">
        <v>1674</v>
      </c>
      <c r="Z641" s="1">
        <v>57124</v>
      </c>
      <c r="AA641" s="1">
        <v>1.5020999999999999E-7</v>
      </c>
      <c r="AB641" t="str">
        <f>VLOOKUP(Z641,Nuclides!A:E,5,FALSE)</f>
        <v>La124</v>
      </c>
      <c r="AC641">
        <f>VLOOKUP(Sheet2!Z641,Nuclides!A:E,2,FALSE)</f>
        <v>67</v>
      </c>
      <c r="AD641">
        <f>VLOOKUP(Z641,Nuclides!A:E,3,FALSE)</f>
        <v>57</v>
      </c>
      <c r="AE641" s="1">
        <f t="shared" si="33"/>
        <v>1874620800</v>
      </c>
      <c r="AF641" t="s">
        <v>1654</v>
      </c>
    </row>
    <row r="642" spans="18:32" x14ac:dyDescent="0.2">
      <c r="R642" s="1">
        <v>57145</v>
      </c>
      <c r="S642" s="1">
        <v>1.9298899999999999E-5</v>
      </c>
      <c r="T642" t="str">
        <f>VLOOKUP(R642,Nuclides!A:E,5,FALSE)</f>
        <v>La145</v>
      </c>
      <c r="U642">
        <f>VLOOKUP(Sheet2!R642,Nuclides!A:E,2,FALSE)</f>
        <v>88</v>
      </c>
      <c r="V642">
        <f>VLOOKUP(R642,Nuclides!A:E,3,FALSE)</f>
        <v>57</v>
      </c>
      <c r="W642" s="1">
        <f t="shared" si="32"/>
        <v>240850272000</v>
      </c>
      <c r="X642" t="s">
        <v>1675</v>
      </c>
      <c r="Z642" s="1">
        <v>57125</v>
      </c>
      <c r="AA642" s="1">
        <v>2.4220600000000001E-8</v>
      </c>
      <c r="AB642" t="str">
        <f>VLOOKUP(Z642,Nuclides!A:E,5,FALSE)</f>
        <v>La125</v>
      </c>
      <c r="AC642">
        <f>VLOOKUP(Sheet2!Z642,Nuclides!A:E,2,FALSE)</f>
        <v>68</v>
      </c>
      <c r="AD642">
        <f>VLOOKUP(Z642,Nuclides!A:E,3,FALSE)</f>
        <v>57</v>
      </c>
      <c r="AE642" s="1">
        <f t="shared" si="33"/>
        <v>302273088</v>
      </c>
      <c r="AF642" t="s">
        <v>1655</v>
      </c>
    </row>
    <row r="643" spans="18:32" x14ac:dyDescent="0.2">
      <c r="R643" s="1">
        <v>57146</v>
      </c>
      <c r="S643" s="1">
        <v>1.9771599999999999E-5</v>
      </c>
      <c r="T643" t="str">
        <f>VLOOKUP(R643,Nuclides!A:E,5,FALSE)</f>
        <v>La146</v>
      </c>
      <c r="U643">
        <f>VLOOKUP(Sheet2!R643,Nuclides!A:E,2,FALSE)</f>
        <v>89</v>
      </c>
      <c r="V643">
        <f>VLOOKUP(R643,Nuclides!A:E,3,FALSE)</f>
        <v>57</v>
      </c>
      <c r="W643" s="1">
        <f t="shared" si="32"/>
        <v>246749568000</v>
      </c>
      <c r="X643" t="s">
        <v>1676</v>
      </c>
      <c r="Z643" s="1">
        <v>57126</v>
      </c>
      <c r="AA643" s="1">
        <v>7.6779999999999993E-9</v>
      </c>
      <c r="AB643" t="str">
        <f>VLOOKUP(Z643,Nuclides!A:E,5,FALSE)</f>
        <v>La126</v>
      </c>
      <c r="AC643">
        <f>VLOOKUP(Sheet2!Z643,Nuclides!A:E,2,FALSE)</f>
        <v>69</v>
      </c>
      <c r="AD643">
        <f>VLOOKUP(Z643,Nuclides!A:E,3,FALSE)</f>
        <v>57</v>
      </c>
      <c r="AE643" s="1">
        <f t="shared" si="33"/>
        <v>95821439.999999985</v>
      </c>
      <c r="AF643" t="s">
        <v>1656</v>
      </c>
    </row>
    <row r="644" spans="18:32" x14ac:dyDescent="0.2">
      <c r="R644" s="1">
        <v>57147</v>
      </c>
      <c r="S644" s="1">
        <v>2.1732299999999999E-5</v>
      </c>
      <c r="T644" t="str">
        <f>VLOOKUP(R644,Nuclides!A:E,5,FALSE)</f>
        <v>La147</v>
      </c>
      <c r="U644">
        <f>VLOOKUP(Sheet2!R644,Nuclides!A:E,2,FALSE)</f>
        <v>90</v>
      </c>
      <c r="V644">
        <f>VLOOKUP(R644,Nuclides!A:E,3,FALSE)</f>
        <v>57</v>
      </c>
      <c r="W644" s="1">
        <f t="shared" ref="W644:W707" si="34">S644*12480000000000000</f>
        <v>271219103999.99997</v>
      </c>
      <c r="X644" t="s">
        <v>1677</v>
      </c>
      <c r="Z644" s="1">
        <v>57127</v>
      </c>
      <c r="AA644" s="1">
        <v>9.0739999999999999E-10</v>
      </c>
      <c r="AB644" t="str">
        <f>VLOOKUP(Z644,Nuclides!A:E,5,FALSE)</f>
        <v>La127</v>
      </c>
      <c r="AC644">
        <f>VLOOKUP(Sheet2!Z644,Nuclides!A:E,2,FALSE)</f>
        <v>70</v>
      </c>
      <c r="AD644">
        <f>VLOOKUP(Z644,Nuclides!A:E,3,FALSE)</f>
        <v>57</v>
      </c>
      <c r="AE644" s="1">
        <f t="shared" ref="AE644:AE707" si="35">AA644*12480000000000000</f>
        <v>11324352</v>
      </c>
      <c r="AF644" t="s">
        <v>1657</v>
      </c>
    </row>
    <row r="645" spans="18:32" x14ac:dyDescent="0.2">
      <c r="R645" s="1">
        <v>57148</v>
      </c>
      <c r="S645" s="1">
        <v>1.40988E-5</v>
      </c>
      <c r="T645" t="str">
        <f>VLOOKUP(R645,Nuclides!A:E,5,FALSE)</f>
        <v>La148</v>
      </c>
      <c r="U645">
        <f>VLOOKUP(Sheet2!R645,Nuclides!A:E,2,FALSE)</f>
        <v>91</v>
      </c>
      <c r="V645">
        <f>VLOOKUP(R645,Nuclides!A:E,3,FALSE)</f>
        <v>57</v>
      </c>
      <c r="W645" s="1">
        <f t="shared" si="34"/>
        <v>175953024000</v>
      </c>
      <c r="X645" t="s">
        <v>1678</v>
      </c>
      <c r="Z645" s="1">
        <v>57128</v>
      </c>
      <c r="AA645" s="1">
        <v>1.3959999999999999E-10</v>
      </c>
      <c r="AB645" t="str">
        <f>VLOOKUP(Z645,Nuclides!A:E,5,FALSE)</f>
        <v>La128</v>
      </c>
      <c r="AC645">
        <f>VLOOKUP(Sheet2!Z645,Nuclides!A:E,2,FALSE)</f>
        <v>71</v>
      </c>
      <c r="AD645">
        <f>VLOOKUP(Z645,Nuclides!A:E,3,FALSE)</f>
        <v>57</v>
      </c>
      <c r="AE645" s="1">
        <f t="shared" si="35"/>
        <v>1742207.9999999998</v>
      </c>
      <c r="AF645" t="s">
        <v>1658</v>
      </c>
    </row>
    <row r="646" spans="18:32" x14ac:dyDescent="0.2">
      <c r="R646" s="1">
        <v>57149</v>
      </c>
      <c r="S646" s="1">
        <v>8.7177400000000007E-6</v>
      </c>
      <c r="T646" t="str">
        <f>VLOOKUP(R646,Nuclides!A:E,5,FALSE)</f>
        <v>La149</v>
      </c>
      <c r="U646">
        <f>VLOOKUP(Sheet2!R646,Nuclides!A:E,2,FALSE)</f>
        <v>92</v>
      </c>
      <c r="V646">
        <f>VLOOKUP(R646,Nuclides!A:E,3,FALSE)</f>
        <v>57</v>
      </c>
      <c r="W646" s="1">
        <f t="shared" si="34"/>
        <v>108797395200.00002</v>
      </c>
      <c r="X646" t="s">
        <v>1679</v>
      </c>
      <c r="Z646" s="1">
        <v>57136</v>
      </c>
      <c r="AA646" s="1">
        <v>4.1879999999999999E-10</v>
      </c>
      <c r="AB646" t="str">
        <f>VLOOKUP(Z646,Nuclides!A:E,5,FALSE)</f>
        <v>La136</v>
      </c>
      <c r="AC646">
        <f>VLOOKUP(Sheet2!Z646,Nuclides!A:E,2,FALSE)</f>
        <v>79</v>
      </c>
      <c r="AD646">
        <f>VLOOKUP(Z646,Nuclides!A:E,3,FALSE)</f>
        <v>57</v>
      </c>
      <c r="AE646" s="1">
        <f t="shared" si="35"/>
        <v>5226624</v>
      </c>
      <c r="AF646" t="s">
        <v>1666</v>
      </c>
    </row>
    <row r="647" spans="18:32" x14ac:dyDescent="0.2">
      <c r="R647" s="1">
        <v>58124</v>
      </c>
      <c r="S647" s="1">
        <v>3.02562E-6</v>
      </c>
      <c r="T647" t="str">
        <f>VLOOKUP(R647,Nuclides!A:E,5,FALSE)</f>
        <v>Ce124</v>
      </c>
      <c r="U647">
        <f>VLOOKUP(Sheet2!R647,Nuclides!A:E,2,FALSE)</f>
        <v>66</v>
      </c>
      <c r="V647">
        <f>VLOOKUP(R647,Nuclides!A:E,3,FALSE)</f>
        <v>58</v>
      </c>
      <c r="W647" s="1">
        <f t="shared" si="34"/>
        <v>37759737600</v>
      </c>
      <c r="X647" t="s">
        <v>1686</v>
      </c>
      <c r="Z647" s="1">
        <v>57137</v>
      </c>
      <c r="AA647" s="1">
        <v>3.2108000000000001E-9</v>
      </c>
      <c r="AB647" t="str">
        <f>VLOOKUP(Z647,Nuclides!A:E,5,FALSE)</f>
        <v>La137</v>
      </c>
      <c r="AC647">
        <f>VLOOKUP(Sheet2!Z647,Nuclides!A:E,2,FALSE)</f>
        <v>80</v>
      </c>
      <c r="AD647">
        <f>VLOOKUP(Z647,Nuclides!A:E,3,FALSE)</f>
        <v>57</v>
      </c>
      <c r="AE647" s="1">
        <f t="shared" si="35"/>
        <v>40070784</v>
      </c>
      <c r="AF647" t="s">
        <v>1667</v>
      </c>
    </row>
    <row r="648" spans="18:32" x14ac:dyDescent="0.2">
      <c r="R648" s="1">
        <v>58125</v>
      </c>
      <c r="S648" s="1">
        <v>1.04623E-6</v>
      </c>
      <c r="T648" t="str">
        <f>VLOOKUP(R648,Nuclides!A:E,5,FALSE)</f>
        <v>Ce125</v>
      </c>
      <c r="U648">
        <f>VLOOKUP(Sheet2!R648,Nuclides!A:E,2,FALSE)</f>
        <v>67</v>
      </c>
      <c r="V648">
        <f>VLOOKUP(R648,Nuclides!A:E,3,FALSE)</f>
        <v>58</v>
      </c>
      <c r="W648" s="1">
        <f t="shared" si="34"/>
        <v>13056950400</v>
      </c>
      <c r="X648" t="s">
        <v>1687</v>
      </c>
      <c r="Z648" s="1">
        <v>57138</v>
      </c>
      <c r="AA648" s="1">
        <v>2.1428600000000001E-8</v>
      </c>
      <c r="AB648" t="str">
        <f>VLOOKUP(Z648,Nuclides!A:E,5,FALSE)</f>
        <v>La138</v>
      </c>
      <c r="AC648">
        <f>VLOOKUP(Sheet2!Z648,Nuclides!A:E,2,FALSE)</f>
        <v>81</v>
      </c>
      <c r="AD648">
        <f>VLOOKUP(Z648,Nuclides!A:E,3,FALSE)</f>
        <v>57</v>
      </c>
      <c r="AE648" s="1">
        <f t="shared" si="35"/>
        <v>267428928</v>
      </c>
      <c r="AF648" t="s">
        <v>1668</v>
      </c>
    </row>
    <row r="649" spans="18:32" x14ac:dyDescent="0.2">
      <c r="R649" s="1">
        <v>58126</v>
      </c>
      <c r="S649" s="1">
        <v>1.83155E-7</v>
      </c>
      <c r="T649" t="str">
        <f>VLOOKUP(R649,Nuclides!A:E,5,FALSE)</f>
        <v>Ce126</v>
      </c>
      <c r="U649">
        <f>VLOOKUP(Sheet2!R649,Nuclides!A:E,2,FALSE)</f>
        <v>68</v>
      </c>
      <c r="V649">
        <f>VLOOKUP(R649,Nuclides!A:E,3,FALSE)</f>
        <v>58</v>
      </c>
      <c r="W649" s="1">
        <f t="shared" si="34"/>
        <v>2285774400</v>
      </c>
      <c r="X649" t="s">
        <v>1688</v>
      </c>
      <c r="Z649" s="1">
        <v>57139</v>
      </c>
      <c r="AA649" s="1">
        <v>2.0912100000000001E-7</v>
      </c>
      <c r="AB649" t="str">
        <f>VLOOKUP(Z649,Nuclides!A:E,5,FALSE)</f>
        <v>La139</v>
      </c>
      <c r="AC649">
        <f>VLOOKUP(Sheet2!Z649,Nuclides!A:E,2,FALSE)</f>
        <v>82</v>
      </c>
      <c r="AD649">
        <f>VLOOKUP(Z649,Nuclides!A:E,3,FALSE)</f>
        <v>57</v>
      </c>
      <c r="AE649" s="1">
        <f t="shared" si="35"/>
        <v>2609830080</v>
      </c>
      <c r="AF649" t="s">
        <v>1669</v>
      </c>
    </row>
    <row r="650" spans="18:32" x14ac:dyDescent="0.2">
      <c r="R650" s="1">
        <v>58127</v>
      </c>
      <c r="S650" s="1">
        <v>3.1689199999999998E-8</v>
      </c>
      <c r="T650" t="str">
        <f>VLOOKUP(R650,Nuclides!A:E,5,FALSE)</f>
        <v>Ce127</v>
      </c>
      <c r="U650">
        <f>VLOOKUP(Sheet2!R650,Nuclides!A:E,2,FALSE)</f>
        <v>69</v>
      </c>
      <c r="V650">
        <f>VLOOKUP(R650,Nuclides!A:E,3,FALSE)</f>
        <v>58</v>
      </c>
      <c r="W650" s="1">
        <f t="shared" si="34"/>
        <v>395481216</v>
      </c>
      <c r="X650" t="s">
        <v>1689</v>
      </c>
      <c r="Z650" s="1">
        <v>57140</v>
      </c>
      <c r="AA650" s="1">
        <v>5.8625E-7</v>
      </c>
      <c r="AB650" t="str">
        <f>VLOOKUP(Z650,Nuclides!A:E,5,FALSE)</f>
        <v>La140</v>
      </c>
      <c r="AC650">
        <f>VLOOKUP(Sheet2!Z650,Nuclides!A:E,2,FALSE)</f>
        <v>83</v>
      </c>
      <c r="AD650">
        <f>VLOOKUP(Z650,Nuclides!A:E,3,FALSE)</f>
        <v>57</v>
      </c>
      <c r="AE650" s="1">
        <f t="shared" si="35"/>
        <v>7316400000</v>
      </c>
      <c r="AF650" t="s">
        <v>1670</v>
      </c>
    </row>
    <row r="651" spans="18:32" x14ac:dyDescent="0.2">
      <c r="R651" s="1">
        <v>58128</v>
      </c>
      <c r="S651" s="1">
        <v>2.8618000000000002E-9</v>
      </c>
      <c r="T651" t="str">
        <f>VLOOKUP(R651,Nuclides!A:E,5,FALSE)</f>
        <v>Ce128</v>
      </c>
      <c r="U651">
        <f>VLOOKUP(Sheet2!R651,Nuclides!A:E,2,FALSE)</f>
        <v>70</v>
      </c>
      <c r="V651">
        <f>VLOOKUP(R651,Nuclides!A:E,3,FALSE)</f>
        <v>58</v>
      </c>
      <c r="W651" s="1">
        <f t="shared" si="34"/>
        <v>35715264</v>
      </c>
      <c r="X651" t="s">
        <v>1690</v>
      </c>
      <c r="Z651" s="1">
        <v>57141</v>
      </c>
      <c r="AA651" s="1">
        <v>2.1732900000000002E-6</v>
      </c>
      <c r="AB651" t="str">
        <f>VLOOKUP(Z651,Nuclides!A:E,5,FALSE)</f>
        <v>La141</v>
      </c>
      <c r="AC651">
        <f>VLOOKUP(Sheet2!Z651,Nuclides!A:E,2,FALSE)</f>
        <v>84</v>
      </c>
      <c r="AD651">
        <f>VLOOKUP(Z651,Nuclides!A:E,3,FALSE)</f>
        <v>57</v>
      </c>
      <c r="AE651" s="1">
        <f t="shared" si="35"/>
        <v>27122659200.000004</v>
      </c>
      <c r="AF651" t="s">
        <v>1671</v>
      </c>
    </row>
    <row r="652" spans="18:32" x14ac:dyDescent="0.2">
      <c r="R652" s="1">
        <v>58129</v>
      </c>
      <c r="S652" s="1">
        <v>1.3959999999999999E-10</v>
      </c>
      <c r="T652" t="str">
        <f>VLOOKUP(R652,Nuclides!A:E,5,FALSE)</f>
        <v>Ce129</v>
      </c>
      <c r="U652">
        <f>VLOOKUP(Sheet2!R652,Nuclides!A:E,2,FALSE)</f>
        <v>71</v>
      </c>
      <c r="V652">
        <f>VLOOKUP(R652,Nuclides!A:E,3,FALSE)</f>
        <v>58</v>
      </c>
      <c r="W652" s="1">
        <f t="shared" si="34"/>
        <v>1742207.9999999998</v>
      </c>
      <c r="X652" t="s">
        <v>1691</v>
      </c>
      <c r="Z652" s="1">
        <v>57142</v>
      </c>
      <c r="AA652" s="1">
        <v>4.0859500000000002E-6</v>
      </c>
      <c r="AB652" t="str">
        <f>VLOOKUP(Z652,Nuclides!A:E,5,FALSE)</f>
        <v>La142</v>
      </c>
      <c r="AC652">
        <f>VLOOKUP(Sheet2!Z652,Nuclides!A:E,2,FALSE)</f>
        <v>85</v>
      </c>
      <c r="AD652">
        <f>VLOOKUP(Z652,Nuclides!A:E,3,FALSE)</f>
        <v>57</v>
      </c>
      <c r="AE652" s="1">
        <f t="shared" si="35"/>
        <v>50992656000</v>
      </c>
      <c r="AF652" t="s">
        <v>1672</v>
      </c>
    </row>
    <row r="653" spans="18:32" x14ac:dyDescent="0.2">
      <c r="R653" s="1">
        <v>58138</v>
      </c>
      <c r="S653" s="1">
        <v>6.9799999999999994E-11</v>
      </c>
      <c r="T653" t="str">
        <f>VLOOKUP(R653,Nuclides!A:E,5,FALSE)</f>
        <v>Ce138</v>
      </c>
      <c r="U653">
        <f>VLOOKUP(Sheet2!R653,Nuclides!A:E,2,FALSE)</f>
        <v>80</v>
      </c>
      <c r="V653">
        <f>VLOOKUP(R653,Nuclides!A:E,3,FALSE)</f>
        <v>58</v>
      </c>
      <c r="W653" s="1">
        <f t="shared" si="34"/>
        <v>871103.99999999988</v>
      </c>
      <c r="X653" t="s">
        <v>1700</v>
      </c>
      <c r="Z653" s="1">
        <v>57143</v>
      </c>
      <c r="AA653" s="1">
        <v>9.0913099999999995E-6</v>
      </c>
      <c r="AB653" t="str">
        <f>VLOOKUP(Z653,Nuclides!A:E,5,FALSE)</f>
        <v>La143</v>
      </c>
      <c r="AC653">
        <f>VLOOKUP(Sheet2!Z653,Nuclides!A:E,2,FALSE)</f>
        <v>86</v>
      </c>
      <c r="AD653">
        <f>VLOOKUP(Z653,Nuclides!A:E,3,FALSE)</f>
        <v>57</v>
      </c>
      <c r="AE653" s="1">
        <f t="shared" si="35"/>
        <v>113459548800</v>
      </c>
      <c r="AF653" t="s">
        <v>1673</v>
      </c>
    </row>
    <row r="654" spans="18:32" x14ac:dyDescent="0.2">
      <c r="R654" s="1">
        <v>58139</v>
      </c>
      <c r="S654" s="1">
        <v>6.9799999999999997E-10</v>
      </c>
      <c r="T654" t="str">
        <f>VLOOKUP(R654,Nuclides!A:E,5,FALSE)</f>
        <v>Ce139</v>
      </c>
      <c r="U654">
        <f>VLOOKUP(Sheet2!R654,Nuclides!A:E,2,FALSE)</f>
        <v>81</v>
      </c>
      <c r="V654">
        <f>VLOOKUP(R654,Nuclides!A:E,3,FALSE)</f>
        <v>58</v>
      </c>
      <c r="W654" s="1">
        <f t="shared" si="34"/>
        <v>8711040</v>
      </c>
      <c r="X654" t="s">
        <v>1701</v>
      </c>
      <c r="Z654" s="1">
        <v>57144</v>
      </c>
      <c r="AA654" s="1">
        <v>1.13531E-5</v>
      </c>
      <c r="AB654" t="str">
        <f>VLOOKUP(Z654,Nuclides!A:E,5,FALSE)</f>
        <v>La144</v>
      </c>
      <c r="AC654">
        <f>VLOOKUP(Sheet2!Z654,Nuclides!A:E,2,FALSE)</f>
        <v>87</v>
      </c>
      <c r="AD654">
        <f>VLOOKUP(Z654,Nuclides!A:E,3,FALSE)</f>
        <v>57</v>
      </c>
      <c r="AE654" s="1">
        <f t="shared" si="35"/>
        <v>141686688000</v>
      </c>
      <c r="AF654" t="s">
        <v>1674</v>
      </c>
    </row>
    <row r="655" spans="18:32" x14ac:dyDescent="0.2">
      <c r="R655" s="1">
        <v>58140</v>
      </c>
      <c r="S655" s="1">
        <v>5.0255999999999997E-9</v>
      </c>
      <c r="T655" t="str">
        <f>VLOOKUP(R655,Nuclides!A:E,5,FALSE)</f>
        <v>Ce140</v>
      </c>
      <c r="U655">
        <f>VLOOKUP(Sheet2!R655,Nuclides!A:E,2,FALSE)</f>
        <v>82</v>
      </c>
      <c r="V655">
        <f>VLOOKUP(R655,Nuclides!A:E,3,FALSE)</f>
        <v>58</v>
      </c>
      <c r="W655" s="1">
        <f t="shared" si="34"/>
        <v>62719487.999999993</v>
      </c>
      <c r="X655" t="s">
        <v>1702</v>
      </c>
      <c r="Z655" s="1">
        <v>57145</v>
      </c>
      <c r="AA655" s="1">
        <v>1.72596E-5</v>
      </c>
      <c r="AB655" t="str">
        <f>VLOOKUP(Z655,Nuclides!A:E,5,FALSE)</f>
        <v>La145</v>
      </c>
      <c r="AC655">
        <f>VLOOKUP(Sheet2!Z655,Nuclides!A:E,2,FALSE)</f>
        <v>88</v>
      </c>
      <c r="AD655">
        <f>VLOOKUP(Z655,Nuclides!A:E,3,FALSE)</f>
        <v>57</v>
      </c>
      <c r="AE655" s="1">
        <f t="shared" si="35"/>
        <v>215399808000</v>
      </c>
      <c r="AF655" t="s">
        <v>1675</v>
      </c>
    </row>
    <row r="656" spans="18:32" x14ac:dyDescent="0.2">
      <c r="R656" s="1">
        <v>58141</v>
      </c>
      <c r="S656" s="1">
        <v>2.3313199999999999E-8</v>
      </c>
      <c r="T656" t="str">
        <f>VLOOKUP(R656,Nuclides!A:E,5,FALSE)</f>
        <v>Ce141</v>
      </c>
      <c r="U656">
        <f>VLOOKUP(Sheet2!R656,Nuclides!A:E,2,FALSE)</f>
        <v>83</v>
      </c>
      <c r="V656">
        <f>VLOOKUP(R656,Nuclides!A:E,3,FALSE)</f>
        <v>58</v>
      </c>
      <c r="W656" s="1">
        <f t="shared" si="34"/>
        <v>290948736</v>
      </c>
      <c r="X656" t="s">
        <v>1703</v>
      </c>
      <c r="Z656" s="1">
        <v>57146</v>
      </c>
      <c r="AA656" s="1">
        <v>1.2153200000000001E-5</v>
      </c>
      <c r="AB656" t="str">
        <f>VLOOKUP(Z656,Nuclides!A:E,5,FALSE)</f>
        <v>La146</v>
      </c>
      <c r="AC656">
        <f>VLOOKUP(Sheet2!Z656,Nuclides!A:E,2,FALSE)</f>
        <v>89</v>
      </c>
      <c r="AD656">
        <f>VLOOKUP(Z656,Nuclides!A:E,3,FALSE)</f>
        <v>57</v>
      </c>
      <c r="AE656" s="1">
        <f t="shared" si="35"/>
        <v>151671936000</v>
      </c>
      <c r="AF656" t="s">
        <v>1676</v>
      </c>
    </row>
    <row r="657" spans="18:32" x14ac:dyDescent="0.2">
      <c r="R657" s="1">
        <v>58142</v>
      </c>
      <c r="S657" s="1">
        <v>1.0742199999999999E-7</v>
      </c>
      <c r="T657" t="str">
        <f>VLOOKUP(R657,Nuclides!A:E,5,FALSE)</f>
        <v>Ce142</v>
      </c>
      <c r="U657">
        <f>VLOOKUP(Sheet2!R657,Nuclides!A:E,2,FALSE)</f>
        <v>84</v>
      </c>
      <c r="V657">
        <f>VLOOKUP(R657,Nuclides!A:E,3,FALSE)</f>
        <v>58</v>
      </c>
      <c r="W657" s="1">
        <f t="shared" si="34"/>
        <v>1340626560</v>
      </c>
      <c r="X657" t="s">
        <v>1704</v>
      </c>
      <c r="Z657" s="1">
        <v>57147</v>
      </c>
      <c r="AA657" s="1">
        <v>1.2774E-5</v>
      </c>
      <c r="AB657" t="str">
        <f>VLOOKUP(Z657,Nuclides!A:E,5,FALSE)</f>
        <v>La147</v>
      </c>
      <c r="AC657">
        <f>VLOOKUP(Sheet2!Z657,Nuclides!A:E,2,FALSE)</f>
        <v>90</v>
      </c>
      <c r="AD657">
        <f>VLOOKUP(Z657,Nuclides!A:E,3,FALSE)</f>
        <v>57</v>
      </c>
      <c r="AE657" s="1">
        <f t="shared" si="35"/>
        <v>159419520000</v>
      </c>
      <c r="AF657" t="s">
        <v>1677</v>
      </c>
    </row>
    <row r="658" spans="18:32" x14ac:dyDescent="0.2">
      <c r="R658" s="1">
        <v>58143</v>
      </c>
      <c r="S658" s="1">
        <v>3.0963299999999998E-7</v>
      </c>
      <c r="T658" t="str">
        <f>VLOOKUP(R658,Nuclides!A:E,5,FALSE)</f>
        <v>Ce143</v>
      </c>
      <c r="U658">
        <f>VLOOKUP(Sheet2!R658,Nuclides!A:E,2,FALSE)</f>
        <v>85</v>
      </c>
      <c r="V658">
        <f>VLOOKUP(R658,Nuclides!A:E,3,FALSE)</f>
        <v>58</v>
      </c>
      <c r="W658" s="1">
        <f t="shared" si="34"/>
        <v>3864219839.9999995</v>
      </c>
      <c r="X658" t="s">
        <v>1705</v>
      </c>
      <c r="Z658" s="1">
        <v>57148</v>
      </c>
      <c r="AA658" s="1">
        <v>5.8163599999999997E-6</v>
      </c>
      <c r="AB658" t="str">
        <f>VLOOKUP(Z658,Nuclides!A:E,5,FALSE)</f>
        <v>La148</v>
      </c>
      <c r="AC658">
        <f>VLOOKUP(Sheet2!Z658,Nuclides!A:E,2,FALSE)</f>
        <v>91</v>
      </c>
      <c r="AD658">
        <f>VLOOKUP(Z658,Nuclides!A:E,3,FALSE)</f>
        <v>57</v>
      </c>
      <c r="AE658" s="1">
        <f t="shared" si="35"/>
        <v>72588172800</v>
      </c>
      <c r="AF658" t="s">
        <v>1678</v>
      </c>
    </row>
    <row r="659" spans="18:32" x14ac:dyDescent="0.2">
      <c r="R659" s="1">
        <v>58144</v>
      </c>
      <c r="S659" s="1">
        <v>1.01657E-6</v>
      </c>
      <c r="T659" t="str">
        <f>VLOOKUP(R659,Nuclides!A:E,5,FALSE)</f>
        <v>Ce144</v>
      </c>
      <c r="U659">
        <f>VLOOKUP(Sheet2!R659,Nuclides!A:E,2,FALSE)</f>
        <v>86</v>
      </c>
      <c r="V659">
        <f>VLOOKUP(R659,Nuclides!A:E,3,FALSE)</f>
        <v>58</v>
      </c>
      <c r="W659" s="1">
        <f t="shared" si="34"/>
        <v>12686793600</v>
      </c>
      <c r="X659" t="s">
        <v>1706</v>
      </c>
      <c r="Z659" s="1">
        <v>57149</v>
      </c>
      <c r="AA659" s="1">
        <v>4.5715500000000003E-6</v>
      </c>
      <c r="AB659" t="str">
        <f>VLOOKUP(Z659,Nuclides!A:E,5,FALSE)</f>
        <v>La149</v>
      </c>
      <c r="AC659">
        <f>VLOOKUP(Sheet2!Z659,Nuclides!A:E,2,FALSE)</f>
        <v>92</v>
      </c>
      <c r="AD659">
        <f>VLOOKUP(Z659,Nuclides!A:E,3,FALSE)</f>
        <v>57</v>
      </c>
      <c r="AE659" s="1">
        <f t="shared" si="35"/>
        <v>57052944000</v>
      </c>
      <c r="AF659" t="s">
        <v>1679</v>
      </c>
    </row>
    <row r="660" spans="18:32" x14ac:dyDescent="0.2">
      <c r="R660" s="1">
        <v>58145</v>
      </c>
      <c r="S660" s="1">
        <v>2.3251800000000001E-6</v>
      </c>
      <c r="T660" t="str">
        <f>VLOOKUP(R660,Nuclides!A:E,5,FALSE)</f>
        <v>Ce145</v>
      </c>
      <c r="U660">
        <f>VLOOKUP(Sheet2!R660,Nuclides!A:E,2,FALSE)</f>
        <v>87</v>
      </c>
      <c r="V660">
        <f>VLOOKUP(R660,Nuclides!A:E,3,FALSE)</f>
        <v>58</v>
      </c>
      <c r="W660" s="1">
        <f t="shared" si="34"/>
        <v>29018246400</v>
      </c>
      <c r="X660" t="s">
        <v>1707</v>
      </c>
      <c r="Z660" s="1">
        <v>58124</v>
      </c>
      <c r="AA660" s="1">
        <v>1.6613099999999999E-6</v>
      </c>
      <c r="AB660" t="str">
        <f>VLOOKUP(Z660,Nuclides!A:E,5,FALSE)</f>
        <v>Ce124</v>
      </c>
      <c r="AC660">
        <f>VLOOKUP(Sheet2!Z660,Nuclides!A:E,2,FALSE)</f>
        <v>66</v>
      </c>
      <c r="AD660">
        <f>VLOOKUP(Z660,Nuclides!A:E,3,FALSE)</f>
        <v>58</v>
      </c>
      <c r="AE660" s="1">
        <f t="shared" si="35"/>
        <v>20733148800</v>
      </c>
      <c r="AF660" t="s">
        <v>1686</v>
      </c>
    </row>
    <row r="661" spans="18:32" x14ac:dyDescent="0.2">
      <c r="R661" s="1">
        <v>58146</v>
      </c>
      <c r="S661" s="1">
        <v>5.2133599999999997E-6</v>
      </c>
      <c r="T661" t="str">
        <f>VLOOKUP(R661,Nuclides!A:E,5,FALSE)</f>
        <v>Ce146</v>
      </c>
      <c r="U661">
        <f>VLOOKUP(Sheet2!R661,Nuclides!A:E,2,FALSE)</f>
        <v>88</v>
      </c>
      <c r="V661">
        <f>VLOOKUP(R661,Nuclides!A:E,3,FALSE)</f>
        <v>58</v>
      </c>
      <c r="W661" s="1">
        <f t="shared" si="34"/>
        <v>65062732799.999992</v>
      </c>
      <c r="X661" t="s">
        <v>1708</v>
      </c>
      <c r="Z661" s="1">
        <v>58125</v>
      </c>
      <c r="AA661" s="1">
        <v>7.0728300000000005E-7</v>
      </c>
      <c r="AB661" t="str">
        <f>VLOOKUP(Z661,Nuclides!A:E,5,FALSE)</f>
        <v>Ce125</v>
      </c>
      <c r="AC661">
        <f>VLOOKUP(Sheet2!Z661,Nuclides!A:E,2,FALSE)</f>
        <v>67</v>
      </c>
      <c r="AD661">
        <f>VLOOKUP(Z661,Nuclides!A:E,3,FALSE)</f>
        <v>58</v>
      </c>
      <c r="AE661" s="1">
        <f t="shared" si="35"/>
        <v>8826891840</v>
      </c>
      <c r="AF661" t="s">
        <v>1687</v>
      </c>
    </row>
    <row r="662" spans="18:32" x14ac:dyDescent="0.2">
      <c r="R662" s="1">
        <v>58147</v>
      </c>
      <c r="S662" s="1">
        <v>8.1946600000000002E-6</v>
      </c>
      <c r="T662" t="str">
        <f>VLOOKUP(R662,Nuclides!A:E,5,FALSE)</f>
        <v>Ce147</v>
      </c>
      <c r="U662">
        <f>VLOOKUP(Sheet2!R662,Nuclides!A:E,2,FALSE)</f>
        <v>89</v>
      </c>
      <c r="V662">
        <f>VLOOKUP(R662,Nuclides!A:E,3,FALSE)</f>
        <v>58</v>
      </c>
      <c r="W662" s="1">
        <f t="shared" si="34"/>
        <v>102269356800</v>
      </c>
      <c r="X662" t="s">
        <v>1709</v>
      </c>
      <c r="Z662" s="1">
        <v>58126</v>
      </c>
      <c r="AA662" s="1">
        <v>1.54467E-7</v>
      </c>
      <c r="AB662" t="str">
        <f>VLOOKUP(Z662,Nuclides!A:E,5,FALSE)</f>
        <v>Ce126</v>
      </c>
      <c r="AC662">
        <f>VLOOKUP(Sheet2!Z662,Nuclides!A:E,2,FALSE)</f>
        <v>68</v>
      </c>
      <c r="AD662">
        <f>VLOOKUP(Z662,Nuclides!A:E,3,FALSE)</f>
        <v>58</v>
      </c>
      <c r="AE662" s="1">
        <f t="shared" si="35"/>
        <v>1927748160</v>
      </c>
      <c r="AF662" t="s">
        <v>1688</v>
      </c>
    </row>
    <row r="663" spans="18:32" x14ac:dyDescent="0.2">
      <c r="R663" s="1">
        <v>58148</v>
      </c>
      <c r="S663" s="1">
        <v>1.21451E-5</v>
      </c>
      <c r="T663" t="str">
        <f>VLOOKUP(R663,Nuclides!A:E,5,FALSE)</f>
        <v>Ce148</v>
      </c>
      <c r="U663">
        <f>VLOOKUP(Sheet2!R663,Nuclides!A:E,2,FALSE)</f>
        <v>90</v>
      </c>
      <c r="V663">
        <f>VLOOKUP(R663,Nuclides!A:E,3,FALSE)</f>
        <v>58</v>
      </c>
      <c r="W663" s="1">
        <f t="shared" si="34"/>
        <v>151570848000</v>
      </c>
      <c r="X663" t="s">
        <v>1710</v>
      </c>
      <c r="Z663" s="1">
        <v>58127</v>
      </c>
      <c r="AA663" s="1">
        <v>6.0865600000000002E-8</v>
      </c>
      <c r="AB663" t="str">
        <f>VLOOKUP(Z663,Nuclides!A:E,5,FALSE)</f>
        <v>Ce127</v>
      </c>
      <c r="AC663">
        <f>VLOOKUP(Sheet2!Z663,Nuclides!A:E,2,FALSE)</f>
        <v>69</v>
      </c>
      <c r="AD663">
        <f>VLOOKUP(Z663,Nuclides!A:E,3,FALSE)</f>
        <v>58</v>
      </c>
      <c r="AE663" s="1">
        <f t="shared" si="35"/>
        <v>759602688</v>
      </c>
      <c r="AF663" t="s">
        <v>1689</v>
      </c>
    </row>
    <row r="664" spans="18:32" x14ac:dyDescent="0.2">
      <c r="R664" s="1">
        <v>58149</v>
      </c>
      <c r="S664" s="1">
        <v>1.27654E-5</v>
      </c>
      <c r="T664" t="str">
        <f>VLOOKUP(R664,Nuclides!A:E,5,FALSE)</f>
        <v>Ce149</v>
      </c>
      <c r="U664">
        <f>VLOOKUP(Sheet2!R664,Nuclides!A:E,2,FALSE)</f>
        <v>91</v>
      </c>
      <c r="V664">
        <f>VLOOKUP(R664,Nuclides!A:E,3,FALSE)</f>
        <v>58</v>
      </c>
      <c r="W664" s="1">
        <f t="shared" si="34"/>
        <v>159312192000</v>
      </c>
      <c r="X664" t="s">
        <v>1711</v>
      </c>
      <c r="Z664" s="1">
        <v>58128</v>
      </c>
      <c r="AA664" s="1">
        <v>8.8646000000000002E-9</v>
      </c>
      <c r="AB664" t="str">
        <f>VLOOKUP(Z664,Nuclides!A:E,5,FALSE)</f>
        <v>Ce128</v>
      </c>
      <c r="AC664">
        <f>VLOOKUP(Sheet2!Z664,Nuclides!A:E,2,FALSE)</f>
        <v>70</v>
      </c>
      <c r="AD664">
        <f>VLOOKUP(Z664,Nuclides!A:E,3,FALSE)</f>
        <v>58</v>
      </c>
      <c r="AE664" s="1">
        <f t="shared" si="35"/>
        <v>110630208</v>
      </c>
      <c r="AF664" t="s">
        <v>1690</v>
      </c>
    </row>
    <row r="665" spans="18:32" x14ac:dyDescent="0.2">
      <c r="R665" s="1">
        <v>58150</v>
      </c>
      <c r="S665" s="1">
        <v>1.07713E-5</v>
      </c>
      <c r="T665" t="str">
        <f>VLOOKUP(R665,Nuclides!A:E,5,FALSE)</f>
        <v>Ce150</v>
      </c>
      <c r="U665">
        <f>VLOOKUP(Sheet2!R665,Nuclides!A:E,2,FALSE)</f>
        <v>92</v>
      </c>
      <c r="V665">
        <f>VLOOKUP(R665,Nuclides!A:E,3,FALSE)</f>
        <v>58</v>
      </c>
      <c r="W665" s="1">
        <f t="shared" si="34"/>
        <v>134425824000</v>
      </c>
      <c r="X665" t="s">
        <v>1712</v>
      </c>
      <c r="Z665" s="1">
        <v>58129</v>
      </c>
      <c r="AA665" s="1">
        <v>2.7222E-9</v>
      </c>
      <c r="AB665" t="str">
        <f>VLOOKUP(Z665,Nuclides!A:E,5,FALSE)</f>
        <v>Ce129</v>
      </c>
      <c r="AC665">
        <f>VLOOKUP(Sheet2!Z665,Nuclides!A:E,2,FALSE)</f>
        <v>71</v>
      </c>
      <c r="AD665">
        <f>VLOOKUP(Z665,Nuclides!A:E,3,FALSE)</f>
        <v>58</v>
      </c>
      <c r="AE665" s="1">
        <f t="shared" si="35"/>
        <v>33973056</v>
      </c>
      <c r="AF665" t="s">
        <v>1691</v>
      </c>
    </row>
    <row r="666" spans="18:32" x14ac:dyDescent="0.2">
      <c r="R666" s="1">
        <v>58151</v>
      </c>
      <c r="S666" s="1">
        <v>6.23279E-6</v>
      </c>
      <c r="T666" t="str">
        <f>VLOOKUP(R666,Nuclides!A:E,5,FALSE)</f>
        <v>Ce151</v>
      </c>
      <c r="U666">
        <f>VLOOKUP(Sheet2!R666,Nuclides!A:E,2,FALSE)</f>
        <v>93</v>
      </c>
      <c r="V666">
        <f>VLOOKUP(R666,Nuclides!A:E,3,FALSE)</f>
        <v>58</v>
      </c>
      <c r="W666" s="1">
        <f t="shared" si="34"/>
        <v>77785219200</v>
      </c>
      <c r="X666" t="s">
        <v>1713</v>
      </c>
      <c r="Z666" s="1">
        <v>58130</v>
      </c>
      <c r="AA666" s="1">
        <v>6.9799999999999994E-11</v>
      </c>
      <c r="AB666" t="str">
        <f>VLOOKUP(Z666,Nuclides!A:E,5,FALSE)</f>
        <v>Ce130</v>
      </c>
      <c r="AC666">
        <f>VLOOKUP(Sheet2!Z666,Nuclides!A:E,2,FALSE)</f>
        <v>72</v>
      </c>
      <c r="AD666">
        <f>VLOOKUP(Z666,Nuclides!A:E,3,FALSE)</f>
        <v>58</v>
      </c>
      <c r="AE666" s="1">
        <f t="shared" si="35"/>
        <v>871103.99999999988</v>
      </c>
      <c r="AF666" t="s">
        <v>1692</v>
      </c>
    </row>
    <row r="667" spans="18:32" x14ac:dyDescent="0.2">
      <c r="R667" s="1">
        <v>59129</v>
      </c>
      <c r="S667" s="1">
        <v>2.8427400000000002E-6</v>
      </c>
      <c r="T667" t="str">
        <f>VLOOKUP(R667,Nuclides!A:E,5,FALSE)</f>
        <v>Pr129</v>
      </c>
      <c r="U667">
        <f>VLOOKUP(Sheet2!R667,Nuclides!A:E,2,FALSE)</f>
        <v>70</v>
      </c>
      <c r="V667">
        <f>VLOOKUP(R667,Nuclides!A:E,3,FALSE)</f>
        <v>59</v>
      </c>
      <c r="W667" s="1">
        <f t="shared" si="34"/>
        <v>35477395200</v>
      </c>
      <c r="X667" t="s">
        <v>1726</v>
      </c>
      <c r="Z667" s="1">
        <v>58139</v>
      </c>
      <c r="AA667" s="1">
        <v>4.8860000000000005E-10</v>
      </c>
      <c r="AB667" t="str">
        <f>VLOOKUP(Z667,Nuclides!A:E,5,FALSE)</f>
        <v>Ce139</v>
      </c>
      <c r="AC667">
        <f>VLOOKUP(Sheet2!Z667,Nuclides!A:E,2,FALSE)</f>
        <v>81</v>
      </c>
      <c r="AD667">
        <f>VLOOKUP(Z667,Nuclides!A:E,3,FALSE)</f>
        <v>58</v>
      </c>
      <c r="AE667" s="1">
        <f t="shared" si="35"/>
        <v>6097728.0000000009</v>
      </c>
      <c r="AF667" t="s">
        <v>1701</v>
      </c>
    </row>
    <row r="668" spans="18:32" x14ac:dyDescent="0.2">
      <c r="R668" s="1">
        <v>59130</v>
      </c>
      <c r="S668" s="1">
        <v>8.9099700000000005E-7</v>
      </c>
      <c r="T668" t="str">
        <f>VLOOKUP(R668,Nuclides!A:E,5,FALSE)</f>
        <v>Pr130</v>
      </c>
      <c r="U668">
        <f>VLOOKUP(Sheet2!R668,Nuclides!A:E,2,FALSE)</f>
        <v>71</v>
      </c>
      <c r="V668">
        <f>VLOOKUP(R668,Nuclides!A:E,3,FALSE)</f>
        <v>59</v>
      </c>
      <c r="W668" s="1">
        <f t="shared" si="34"/>
        <v>11119642560</v>
      </c>
      <c r="X668" t="s">
        <v>1727</v>
      </c>
      <c r="Z668" s="1">
        <v>58140</v>
      </c>
      <c r="AA668" s="1">
        <v>1.3052599999999999E-8</v>
      </c>
      <c r="AB668" t="str">
        <f>VLOOKUP(Z668,Nuclides!A:E,5,FALSE)</f>
        <v>Ce140</v>
      </c>
      <c r="AC668">
        <f>VLOOKUP(Sheet2!Z668,Nuclides!A:E,2,FALSE)</f>
        <v>82</v>
      </c>
      <c r="AD668">
        <f>VLOOKUP(Z668,Nuclides!A:E,3,FALSE)</f>
        <v>58</v>
      </c>
      <c r="AE668" s="1">
        <f t="shared" si="35"/>
        <v>162896448</v>
      </c>
      <c r="AF668" t="s">
        <v>1702</v>
      </c>
    </row>
    <row r="669" spans="18:32" x14ac:dyDescent="0.2">
      <c r="R669" s="1">
        <v>59131</v>
      </c>
      <c r="S669" s="1">
        <v>2.4409099999999999E-7</v>
      </c>
      <c r="T669" t="str">
        <f>VLOOKUP(R669,Nuclides!A:E,5,FALSE)</f>
        <v>Pr131</v>
      </c>
      <c r="U669">
        <f>VLOOKUP(Sheet2!R669,Nuclides!A:E,2,FALSE)</f>
        <v>72</v>
      </c>
      <c r="V669">
        <f>VLOOKUP(R669,Nuclides!A:E,3,FALSE)</f>
        <v>59</v>
      </c>
      <c r="W669" s="1">
        <f t="shared" si="34"/>
        <v>3046255680</v>
      </c>
      <c r="X669" t="s">
        <v>1728</v>
      </c>
      <c r="Z669" s="1">
        <v>58141</v>
      </c>
      <c r="AA669" s="1">
        <v>4.7464000000000001E-8</v>
      </c>
      <c r="AB669" t="str">
        <f>VLOOKUP(Z669,Nuclides!A:E,5,FALSE)</f>
        <v>Ce141</v>
      </c>
      <c r="AC669">
        <f>VLOOKUP(Sheet2!Z669,Nuclides!A:E,2,FALSE)</f>
        <v>83</v>
      </c>
      <c r="AD669">
        <f>VLOOKUP(Z669,Nuclides!A:E,3,FALSE)</f>
        <v>58</v>
      </c>
      <c r="AE669" s="1">
        <f t="shared" si="35"/>
        <v>592350720</v>
      </c>
      <c r="AF669" t="s">
        <v>1703</v>
      </c>
    </row>
    <row r="670" spans="18:32" x14ac:dyDescent="0.2">
      <c r="R670" s="1">
        <v>59132</v>
      </c>
      <c r="S670" s="1">
        <v>3.3783200000000003E-8</v>
      </c>
      <c r="T670" t="str">
        <f>VLOOKUP(R670,Nuclides!A:E,5,FALSE)</f>
        <v>Pr132</v>
      </c>
      <c r="U670">
        <f>VLOOKUP(Sheet2!R670,Nuclides!A:E,2,FALSE)</f>
        <v>73</v>
      </c>
      <c r="V670">
        <f>VLOOKUP(R670,Nuclides!A:E,3,FALSE)</f>
        <v>59</v>
      </c>
      <c r="W670" s="1">
        <f t="shared" si="34"/>
        <v>421614336.00000006</v>
      </c>
      <c r="X670" t="s">
        <v>1729</v>
      </c>
      <c r="Z670" s="1">
        <v>58142</v>
      </c>
      <c r="AA670" s="1">
        <v>2.8422599999999999E-7</v>
      </c>
      <c r="AB670" t="str">
        <f>VLOOKUP(Z670,Nuclides!A:E,5,FALSE)</f>
        <v>Ce142</v>
      </c>
      <c r="AC670">
        <f>VLOOKUP(Sheet2!Z670,Nuclides!A:E,2,FALSE)</f>
        <v>84</v>
      </c>
      <c r="AD670">
        <f>VLOOKUP(Z670,Nuclides!A:E,3,FALSE)</f>
        <v>58</v>
      </c>
      <c r="AE670" s="1">
        <f t="shared" si="35"/>
        <v>3547140480</v>
      </c>
      <c r="AF670" t="s">
        <v>1704</v>
      </c>
    </row>
    <row r="671" spans="18:32" x14ac:dyDescent="0.2">
      <c r="R671" s="1">
        <v>59133</v>
      </c>
      <c r="S671" s="1">
        <v>6.4216000000000002E-9</v>
      </c>
      <c r="T671" t="str">
        <f>VLOOKUP(R671,Nuclides!A:E,5,FALSE)</f>
        <v>Pr133</v>
      </c>
      <c r="U671">
        <f>VLOOKUP(Sheet2!R671,Nuclides!A:E,2,FALSE)</f>
        <v>74</v>
      </c>
      <c r="V671">
        <f>VLOOKUP(R671,Nuclides!A:E,3,FALSE)</f>
        <v>59</v>
      </c>
      <c r="W671" s="1">
        <f t="shared" si="34"/>
        <v>80141568</v>
      </c>
      <c r="X671" t="s">
        <v>1730</v>
      </c>
      <c r="Z671" s="1">
        <v>58143</v>
      </c>
      <c r="AA671" s="1">
        <v>6.9953599999999997E-7</v>
      </c>
      <c r="AB671" t="str">
        <f>VLOOKUP(Z671,Nuclides!A:E,5,FALSE)</f>
        <v>Ce143</v>
      </c>
      <c r="AC671">
        <f>VLOOKUP(Sheet2!Z671,Nuclides!A:E,2,FALSE)</f>
        <v>85</v>
      </c>
      <c r="AD671">
        <f>VLOOKUP(Z671,Nuclides!A:E,3,FALSE)</f>
        <v>58</v>
      </c>
      <c r="AE671" s="1">
        <f t="shared" si="35"/>
        <v>8730209280</v>
      </c>
      <c r="AF671" t="s">
        <v>1705</v>
      </c>
    </row>
    <row r="672" spans="18:32" x14ac:dyDescent="0.2">
      <c r="R672" s="1">
        <v>59134</v>
      </c>
      <c r="S672" s="1">
        <v>4.8860000000000005E-10</v>
      </c>
      <c r="T672" t="str">
        <f>VLOOKUP(R672,Nuclides!A:E,5,FALSE)</f>
        <v>Pr134</v>
      </c>
      <c r="U672">
        <f>VLOOKUP(Sheet2!R672,Nuclides!A:E,2,FALSE)</f>
        <v>75</v>
      </c>
      <c r="V672">
        <f>VLOOKUP(R672,Nuclides!A:E,3,FALSE)</f>
        <v>59</v>
      </c>
      <c r="W672" s="1">
        <f t="shared" si="34"/>
        <v>6097728.0000000009</v>
      </c>
      <c r="X672" t="s">
        <v>1731</v>
      </c>
      <c r="Z672" s="1">
        <v>58144</v>
      </c>
      <c r="AA672" s="1">
        <v>2.4042600000000002E-6</v>
      </c>
      <c r="AB672" t="str">
        <f>VLOOKUP(Z672,Nuclides!A:E,5,FALSE)</f>
        <v>Ce144</v>
      </c>
      <c r="AC672">
        <f>VLOOKUP(Sheet2!Z672,Nuclides!A:E,2,FALSE)</f>
        <v>86</v>
      </c>
      <c r="AD672">
        <f>VLOOKUP(Z672,Nuclides!A:E,3,FALSE)</f>
        <v>58</v>
      </c>
      <c r="AE672" s="1">
        <f t="shared" si="35"/>
        <v>30005164800.000004</v>
      </c>
      <c r="AF672" t="s">
        <v>1706</v>
      </c>
    </row>
    <row r="673" spans="18:32" x14ac:dyDescent="0.2">
      <c r="R673" s="1">
        <v>59142</v>
      </c>
      <c r="S673" s="1">
        <v>5.5839999999999995E-10</v>
      </c>
      <c r="T673" t="str">
        <f>VLOOKUP(R673,Nuclides!A:E,5,FALSE)</f>
        <v>Pr142</v>
      </c>
      <c r="U673">
        <f>VLOOKUP(Sheet2!R673,Nuclides!A:E,2,FALSE)</f>
        <v>83</v>
      </c>
      <c r="V673">
        <f>VLOOKUP(R673,Nuclides!A:E,3,FALSE)</f>
        <v>59</v>
      </c>
      <c r="W673" s="1">
        <f t="shared" si="34"/>
        <v>6968831.9999999991</v>
      </c>
      <c r="X673" t="s">
        <v>1739</v>
      </c>
      <c r="Z673" s="1">
        <v>58145</v>
      </c>
      <c r="AA673" s="1">
        <v>3.5895999999999999E-6</v>
      </c>
      <c r="AB673" t="str">
        <f>VLOOKUP(Z673,Nuclides!A:E,5,FALSE)</f>
        <v>Ce145</v>
      </c>
      <c r="AC673">
        <f>VLOOKUP(Sheet2!Z673,Nuclides!A:E,2,FALSE)</f>
        <v>87</v>
      </c>
      <c r="AD673">
        <f>VLOOKUP(Z673,Nuclides!A:E,3,FALSE)</f>
        <v>58</v>
      </c>
      <c r="AE673" s="1">
        <f t="shared" si="35"/>
        <v>44798208000</v>
      </c>
      <c r="AF673" t="s">
        <v>1707</v>
      </c>
    </row>
    <row r="674" spans="18:32" x14ac:dyDescent="0.2">
      <c r="R674" s="1">
        <v>59143</v>
      </c>
      <c r="S674" s="1">
        <v>4.0484000000000002E-9</v>
      </c>
      <c r="T674" t="str">
        <f>VLOOKUP(R674,Nuclides!A:E,5,FALSE)</f>
        <v>Pr143</v>
      </c>
      <c r="U674">
        <f>VLOOKUP(Sheet2!R674,Nuclides!A:E,2,FALSE)</f>
        <v>84</v>
      </c>
      <c r="V674">
        <f>VLOOKUP(R674,Nuclides!A:E,3,FALSE)</f>
        <v>59</v>
      </c>
      <c r="W674" s="1">
        <f t="shared" si="34"/>
        <v>50524032</v>
      </c>
      <c r="X674" t="s">
        <v>1740</v>
      </c>
      <c r="Z674" s="1">
        <v>58146</v>
      </c>
      <c r="AA674" s="1">
        <v>7.8511000000000001E-6</v>
      </c>
      <c r="AB674" t="str">
        <f>VLOOKUP(Z674,Nuclides!A:E,5,FALSE)</f>
        <v>Ce146</v>
      </c>
      <c r="AC674">
        <f>VLOOKUP(Sheet2!Z674,Nuclides!A:E,2,FALSE)</f>
        <v>88</v>
      </c>
      <c r="AD674">
        <f>VLOOKUP(Z674,Nuclides!A:E,3,FALSE)</f>
        <v>58</v>
      </c>
      <c r="AE674" s="1">
        <f t="shared" si="35"/>
        <v>97981728000</v>
      </c>
      <c r="AF674" t="s">
        <v>1708</v>
      </c>
    </row>
    <row r="675" spans="18:32" x14ac:dyDescent="0.2">
      <c r="R675" s="1">
        <v>59144</v>
      </c>
      <c r="S675" s="1">
        <v>1.26338E-8</v>
      </c>
      <c r="T675" t="str">
        <f>VLOOKUP(R675,Nuclides!A:E,5,FALSE)</f>
        <v>Pr144</v>
      </c>
      <c r="U675">
        <f>VLOOKUP(Sheet2!R675,Nuclides!A:E,2,FALSE)</f>
        <v>85</v>
      </c>
      <c r="V675">
        <f>VLOOKUP(R675,Nuclides!A:E,3,FALSE)</f>
        <v>59</v>
      </c>
      <c r="W675" s="1">
        <f t="shared" si="34"/>
        <v>157669824</v>
      </c>
      <c r="X675" t="s">
        <v>1741</v>
      </c>
      <c r="Z675" s="1">
        <v>58147</v>
      </c>
      <c r="AA675" s="1">
        <v>7.1020799999999996E-6</v>
      </c>
      <c r="AB675" t="str">
        <f>VLOOKUP(Z675,Nuclides!A:E,5,FALSE)</f>
        <v>Ce147</v>
      </c>
      <c r="AC675">
        <f>VLOOKUP(Sheet2!Z675,Nuclides!A:E,2,FALSE)</f>
        <v>89</v>
      </c>
      <c r="AD675">
        <f>VLOOKUP(Z675,Nuclides!A:E,3,FALSE)</f>
        <v>58</v>
      </c>
      <c r="AE675" s="1">
        <f t="shared" si="35"/>
        <v>88633958400</v>
      </c>
      <c r="AF675" t="s">
        <v>1709</v>
      </c>
    </row>
    <row r="676" spans="18:32" x14ac:dyDescent="0.2">
      <c r="R676" s="1">
        <v>59145</v>
      </c>
      <c r="S676" s="1">
        <v>6.8473799999999997E-8</v>
      </c>
      <c r="T676" t="str">
        <f>VLOOKUP(R676,Nuclides!A:E,5,FALSE)</f>
        <v>Pr145</v>
      </c>
      <c r="U676">
        <f>VLOOKUP(Sheet2!R676,Nuclides!A:E,2,FALSE)</f>
        <v>86</v>
      </c>
      <c r="V676">
        <f>VLOOKUP(R676,Nuclides!A:E,3,FALSE)</f>
        <v>59</v>
      </c>
      <c r="W676" s="1">
        <f t="shared" si="34"/>
        <v>854553024</v>
      </c>
      <c r="X676" t="s">
        <v>1742</v>
      </c>
      <c r="Z676" s="1">
        <v>58148</v>
      </c>
      <c r="AA676" s="1">
        <v>9.7765399999999997E-6</v>
      </c>
      <c r="AB676" t="str">
        <f>VLOOKUP(Z676,Nuclides!A:E,5,FALSE)</f>
        <v>Ce148</v>
      </c>
      <c r="AC676">
        <f>VLOOKUP(Sheet2!Z676,Nuclides!A:E,2,FALSE)</f>
        <v>90</v>
      </c>
      <c r="AD676">
        <f>VLOOKUP(Z676,Nuclides!A:E,3,FALSE)</f>
        <v>58</v>
      </c>
      <c r="AE676" s="1">
        <f t="shared" si="35"/>
        <v>122011219200</v>
      </c>
      <c r="AF676" t="s">
        <v>1710</v>
      </c>
    </row>
    <row r="677" spans="18:32" x14ac:dyDescent="0.2">
      <c r="R677" s="1">
        <v>59146</v>
      </c>
      <c r="S677" s="1">
        <v>1.8811100000000001E-7</v>
      </c>
      <c r="T677" t="str">
        <f>VLOOKUP(R677,Nuclides!A:E,5,FALSE)</f>
        <v>Pr146</v>
      </c>
      <c r="U677">
        <f>VLOOKUP(Sheet2!R677,Nuclides!A:E,2,FALSE)</f>
        <v>87</v>
      </c>
      <c r="V677">
        <f>VLOOKUP(R677,Nuclides!A:E,3,FALSE)</f>
        <v>59</v>
      </c>
      <c r="W677" s="1">
        <f t="shared" si="34"/>
        <v>2347625280</v>
      </c>
      <c r="X677" t="s">
        <v>1743</v>
      </c>
      <c r="Z677" s="1">
        <v>58149</v>
      </c>
      <c r="AA677" s="1">
        <v>6.3781799999999996E-6</v>
      </c>
      <c r="AB677" t="str">
        <f>VLOOKUP(Z677,Nuclides!A:E,5,FALSE)</f>
        <v>Ce149</v>
      </c>
      <c r="AC677">
        <f>VLOOKUP(Sheet2!Z677,Nuclides!A:E,2,FALSE)</f>
        <v>91</v>
      </c>
      <c r="AD677">
        <f>VLOOKUP(Z677,Nuclides!A:E,3,FALSE)</f>
        <v>58</v>
      </c>
      <c r="AE677" s="1">
        <f t="shared" si="35"/>
        <v>79599686400</v>
      </c>
      <c r="AF677" t="s">
        <v>1711</v>
      </c>
    </row>
    <row r="678" spans="18:32" x14ac:dyDescent="0.2">
      <c r="R678" s="1">
        <v>59147</v>
      </c>
      <c r="S678" s="1">
        <v>5.9671999999999996E-7</v>
      </c>
      <c r="T678" t="str">
        <f>VLOOKUP(R678,Nuclides!A:E,5,FALSE)</f>
        <v>Pr147</v>
      </c>
      <c r="U678">
        <f>VLOOKUP(Sheet2!R678,Nuclides!A:E,2,FALSE)</f>
        <v>88</v>
      </c>
      <c r="V678">
        <f>VLOOKUP(R678,Nuclides!A:E,3,FALSE)</f>
        <v>59</v>
      </c>
      <c r="W678" s="1">
        <f t="shared" si="34"/>
        <v>7447065599.999999</v>
      </c>
      <c r="X678" t="s">
        <v>1744</v>
      </c>
      <c r="Z678" s="1">
        <v>58150</v>
      </c>
      <c r="AA678" s="1">
        <v>6.0666700000000003E-6</v>
      </c>
      <c r="AB678" t="str">
        <f>VLOOKUP(Z678,Nuclides!A:E,5,FALSE)</f>
        <v>Ce150</v>
      </c>
      <c r="AC678">
        <f>VLOOKUP(Sheet2!Z678,Nuclides!A:E,2,FALSE)</f>
        <v>92</v>
      </c>
      <c r="AD678">
        <f>VLOOKUP(Z678,Nuclides!A:E,3,FALSE)</f>
        <v>58</v>
      </c>
      <c r="AE678" s="1">
        <f t="shared" si="35"/>
        <v>75712041600</v>
      </c>
      <c r="AF678" t="s">
        <v>1712</v>
      </c>
    </row>
    <row r="679" spans="18:32" x14ac:dyDescent="0.2">
      <c r="R679" s="1">
        <v>59148</v>
      </c>
      <c r="S679" s="1">
        <v>1.20726E-6</v>
      </c>
      <c r="T679" t="str">
        <f>VLOOKUP(R679,Nuclides!A:E,5,FALSE)</f>
        <v>Pr148</v>
      </c>
      <c r="U679">
        <f>VLOOKUP(Sheet2!R679,Nuclides!A:E,2,FALSE)</f>
        <v>89</v>
      </c>
      <c r="V679">
        <f>VLOOKUP(R679,Nuclides!A:E,3,FALSE)</f>
        <v>59</v>
      </c>
      <c r="W679" s="1">
        <f t="shared" si="34"/>
        <v>15066604800</v>
      </c>
      <c r="X679" t="s">
        <v>1745</v>
      </c>
      <c r="Z679" s="1">
        <v>58151</v>
      </c>
      <c r="AA679" s="1">
        <v>3.00566E-6</v>
      </c>
      <c r="AB679" t="str">
        <f>VLOOKUP(Z679,Nuclides!A:E,5,FALSE)</f>
        <v>Ce151</v>
      </c>
      <c r="AC679">
        <f>VLOOKUP(Sheet2!Z679,Nuclides!A:E,2,FALSE)</f>
        <v>93</v>
      </c>
      <c r="AD679">
        <f>VLOOKUP(Z679,Nuclides!A:E,3,FALSE)</f>
        <v>58</v>
      </c>
      <c r="AE679" s="1">
        <f t="shared" si="35"/>
        <v>37510636800</v>
      </c>
      <c r="AF679" t="s">
        <v>1713</v>
      </c>
    </row>
    <row r="680" spans="18:32" x14ac:dyDescent="0.2">
      <c r="R680" s="1">
        <v>59149</v>
      </c>
      <c r="S680" s="1">
        <v>2.6309000000000001E-6</v>
      </c>
      <c r="T680" t="str">
        <f>VLOOKUP(R680,Nuclides!A:E,5,FALSE)</f>
        <v>Pr149</v>
      </c>
      <c r="U680">
        <f>VLOOKUP(Sheet2!R680,Nuclides!A:E,2,FALSE)</f>
        <v>90</v>
      </c>
      <c r="V680">
        <f>VLOOKUP(R680,Nuclides!A:E,3,FALSE)</f>
        <v>59</v>
      </c>
      <c r="W680" s="1">
        <f t="shared" si="34"/>
        <v>32833632000</v>
      </c>
      <c r="X680" t="s">
        <v>1746</v>
      </c>
      <c r="Z680" s="1">
        <v>59129</v>
      </c>
      <c r="AA680" s="1">
        <v>1.5113799999999999E-6</v>
      </c>
      <c r="AB680" t="str">
        <f>VLOOKUP(Z680,Nuclides!A:E,5,FALSE)</f>
        <v>Pr129</v>
      </c>
      <c r="AC680">
        <f>VLOOKUP(Sheet2!Z680,Nuclides!A:E,2,FALSE)</f>
        <v>70</v>
      </c>
      <c r="AD680">
        <f>VLOOKUP(Z680,Nuclides!A:E,3,FALSE)</f>
        <v>59</v>
      </c>
      <c r="AE680" s="1">
        <f t="shared" si="35"/>
        <v>18862022400</v>
      </c>
      <c r="AF680" t="s">
        <v>1726</v>
      </c>
    </row>
    <row r="681" spans="18:32" x14ac:dyDescent="0.2">
      <c r="R681" s="1">
        <v>59150</v>
      </c>
      <c r="S681" s="1">
        <v>3.4937000000000001E-6</v>
      </c>
      <c r="T681" t="str">
        <f>VLOOKUP(R681,Nuclides!A:E,5,FALSE)</f>
        <v>Pr150</v>
      </c>
      <c r="U681">
        <f>VLOOKUP(Sheet2!R681,Nuclides!A:E,2,FALSE)</f>
        <v>91</v>
      </c>
      <c r="V681">
        <f>VLOOKUP(R681,Nuclides!A:E,3,FALSE)</f>
        <v>59</v>
      </c>
      <c r="W681" s="1">
        <f t="shared" si="34"/>
        <v>43601376000</v>
      </c>
      <c r="X681" t="s">
        <v>1747</v>
      </c>
      <c r="Z681" s="1">
        <v>59130</v>
      </c>
      <c r="AA681" s="1">
        <v>4.7470999999999999E-7</v>
      </c>
      <c r="AB681" t="str">
        <f>VLOOKUP(Z681,Nuclides!A:E,5,FALSE)</f>
        <v>Pr130</v>
      </c>
      <c r="AC681">
        <f>VLOOKUP(Sheet2!Z681,Nuclides!A:E,2,FALSE)</f>
        <v>71</v>
      </c>
      <c r="AD681">
        <f>VLOOKUP(Z681,Nuclides!A:E,3,FALSE)</f>
        <v>59</v>
      </c>
      <c r="AE681" s="1">
        <f t="shared" si="35"/>
        <v>5924380800</v>
      </c>
      <c r="AF681" t="s">
        <v>1727</v>
      </c>
    </row>
    <row r="682" spans="18:32" x14ac:dyDescent="0.2">
      <c r="R682" s="1">
        <v>59151</v>
      </c>
      <c r="S682" s="1">
        <v>4.5314899999999999E-6</v>
      </c>
      <c r="T682" t="str">
        <f>VLOOKUP(R682,Nuclides!A:E,5,FALSE)</f>
        <v>Pr151</v>
      </c>
      <c r="U682">
        <f>VLOOKUP(Sheet2!R682,Nuclides!A:E,2,FALSE)</f>
        <v>92</v>
      </c>
      <c r="V682">
        <f>VLOOKUP(R682,Nuclides!A:E,3,FALSE)</f>
        <v>59</v>
      </c>
      <c r="W682" s="1">
        <f t="shared" si="34"/>
        <v>56552995200</v>
      </c>
      <c r="X682" t="s">
        <v>1748</v>
      </c>
      <c r="Z682" s="1">
        <v>59131</v>
      </c>
      <c r="AA682" s="1">
        <v>2.1009800000000001E-7</v>
      </c>
      <c r="AB682" t="str">
        <f>VLOOKUP(Z682,Nuclides!A:E,5,FALSE)</f>
        <v>Pr131</v>
      </c>
      <c r="AC682">
        <f>VLOOKUP(Sheet2!Z682,Nuclides!A:E,2,FALSE)</f>
        <v>72</v>
      </c>
      <c r="AD682">
        <f>VLOOKUP(Z682,Nuclides!A:E,3,FALSE)</f>
        <v>59</v>
      </c>
      <c r="AE682" s="1">
        <f t="shared" si="35"/>
        <v>2622023040</v>
      </c>
      <c r="AF682" t="s">
        <v>1728</v>
      </c>
    </row>
    <row r="683" spans="18:32" x14ac:dyDescent="0.2">
      <c r="R683" s="1">
        <v>59152</v>
      </c>
      <c r="S683" s="1">
        <v>3.4899299999999998E-6</v>
      </c>
      <c r="T683" t="str">
        <f>VLOOKUP(R683,Nuclides!A:E,5,FALSE)</f>
        <v>Pr152</v>
      </c>
      <c r="U683">
        <f>VLOOKUP(Sheet2!R683,Nuclides!A:E,2,FALSE)</f>
        <v>93</v>
      </c>
      <c r="V683">
        <f>VLOOKUP(R683,Nuclides!A:E,3,FALSE)</f>
        <v>59</v>
      </c>
      <c r="W683" s="1">
        <f t="shared" si="34"/>
        <v>43554326400</v>
      </c>
      <c r="X683" t="s">
        <v>1749</v>
      </c>
      <c r="Z683" s="1">
        <v>59132</v>
      </c>
      <c r="AA683" s="1">
        <v>4.0972599999999997E-8</v>
      </c>
      <c r="AB683" t="str">
        <f>VLOOKUP(Z683,Nuclides!A:E,5,FALSE)</f>
        <v>Pr132</v>
      </c>
      <c r="AC683">
        <f>VLOOKUP(Sheet2!Z683,Nuclides!A:E,2,FALSE)</f>
        <v>73</v>
      </c>
      <c r="AD683">
        <f>VLOOKUP(Z683,Nuclides!A:E,3,FALSE)</f>
        <v>59</v>
      </c>
      <c r="AE683" s="1">
        <f t="shared" si="35"/>
        <v>511338047.99999994</v>
      </c>
      <c r="AF683" t="s">
        <v>1729</v>
      </c>
    </row>
    <row r="684" spans="18:32" x14ac:dyDescent="0.2">
      <c r="R684" s="1">
        <v>60129</v>
      </c>
      <c r="S684" s="1">
        <v>2.4384600000000002E-6</v>
      </c>
      <c r="T684" t="str">
        <f>VLOOKUP(R684,Nuclides!A:E,5,FALSE)</f>
        <v>Nd129</v>
      </c>
      <c r="U684">
        <f>VLOOKUP(Sheet2!R684,Nuclides!A:E,2,FALSE)</f>
        <v>69</v>
      </c>
      <c r="V684">
        <f>VLOOKUP(R684,Nuclides!A:E,3,FALSE)</f>
        <v>60</v>
      </c>
      <c r="W684" s="1">
        <f t="shared" si="34"/>
        <v>30431980800.000004</v>
      </c>
      <c r="X684" t="s">
        <v>1758</v>
      </c>
      <c r="Z684" s="1">
        <v>59133</v>
      </c>
      <c r="AA684" s="1">
        <v>1.5146600000000001E-8</v>
      </c>
      <c r="AB684" t="str">
        <f>VLOOKUP(Z684,Nuclides!A:E,5,FALSE)</f>
        <v>Pr133</v>
      </c>
      <c r="AC684">
        <f>VLOOKUP(Sheet2!Z684,Nuclides!A:E,2,FALSE)</f>
        <v>74</v>
      </c>
      <c r="AD684">
        <f>VLOOKUP(Z684,Nuclides!A:E,3,FALSE)</f>
        <v>59</v>
      </c>
      <c r="AE684" s="1">
        <f t="shared" si="35"/>
        <v>189029568.00000003</v>
      </c>
      <c r="AF684" t="s">
        <v>1730</v>
      </c>
    </row>
    <row r="685" spans="18:32" x14ac:dyDescent="0.2">
      <c r="R685" s="1">
        <v>60130</v>
      </c>
      <c r="S685" s="1">
        <v>1.0072099999999999E-6</v>
      </c>
      <c r="T685" t="str">
        <f>VLOOKUP(R685,Nuclides!A:E,5,FALSE)</f>
        <v>Nd130</v>
      </c>
      <c r="U685">
        <f>VLOOKUP(Sheet2!R685,Nuclides!A:E,2,FALSE)</f>
        <v>70</v>
      </c>
      <c r="V685">
        <f>VLOOKUP(R685,Nuclides!A:E,3,FALSE)</f>
        <v>60</v>
      </c>
      <c r="W685" s="1">
        <f t="shared" si="34"/>
        <v>12569980800</v>
      </c>
      <c r="X685" t="s">
        <v>1759</v>
      </c>
      <c r="Z685" s="1">
        <v>59134</v>
      </c>
      <c r="AA685" s="1">
        <v>2.094E-9</v>
      </c>
      <c r="AB685" t="str">
        <f>VLOOKUP(Z685,Nuclides!A:E,5,FALSE)</f>
        <v>Pr134</v>
      </c>
      <c r="AC685">
        <f>VLOOKUP(Sheet2!Z685,Nuclides!A:E,2,FALSE)</f>
        <v>75</v>
      </c>
      <c r="AD685">
        <f>VLOOKUP(Z685,Nuclides!A:E,3,FALSE)</f>
        <v>59</v>
      </c>
      <c r="AE685" s="1">
        <f t="shared" si="35"/>
        <v>26133120</v>
      </c>
      <c r="AF685" t="s">
        <v>1731</v>
      </c>
    </row>
    <row r="686" spans="18:32" x14ac:dyDescent="0.2">
      <c r="R686" s="1">
        <v>60131</v>
      </c>
      <c r="S686" s="1">
        <v>4.1349500000000001E-7</v>
      </c>
      <c r="T686" t="str">
        <f>VLOOKUP(R686,Nuclides!A:E,5,FALSE)</f>
        <v>Nd131</v>
      </c>
      <c r="U686">
        <f>VLOOKUP(Sheet2!R686,Nuclides!A:E,2,FALSE)</f>
        <v>71</v>
      </c>
      <c r="V686">
        <f>VLOOKUP(R686,Nuclides!A:E,3,FALSE)</f>
        <v>60</v>
      </c>
      <c r="W686" s="1">
        <f t="shared" si="34"/>
        <v>5160417600</v>
      </c>
      <c r="X686" t="s">
        <v>1760</v>
      </c>
      <c r="Z686" s="1">
        <v>59135</v>
      </c>
      <c r="AA686" s="1">
        <v>3.4899999999999998E-10</v>
      </c>
      <c r="AB686" t="str">
        <f>VLOOKUP(Z686,Nuclides!A:E,5,FALSE)</f>
        <v>Pr135</v>
      </c>
      <c r="AC686">
        <f>VLOOKUP(Sheet2!Z686,Nuclides!A:E,2,FALSE)</f>
        <v>76</v>
      </c>
      <c r="AD686">
        <f>VLOOKUP(Z686,Nuclides!A:E,3,FALSE)</f>
        <v>59</v>
      </c>
      <c r="AE686" s="1">
        <f t="shared" si="35"/>
        <v>4355520</v>
      </c>
      <c r="AF686" t="s">
        <v>1732</v>
      </c>
    </row>
    <row r="687" spans="18:32" x14ac:dyDescent="0.2">
      <c r="R687" s="1">
        <v>60132</v>
      </c>
      <c r="S687" s="1">
        <v>9.2694400000000004E-8</v>
      </c>
      <c r="T687" t="str">
        <f>VLOOKUP(R687,Nuclides!A:E,5,FALSE)</f>
        <v>Nd132</v>
      </c>
      <c r="U687">
        <f>VLOOKUP(Sheet2!R687,Nuclides!A:E,2,FALSE)</f>
        <v>72</v>
      </c>
      <c r="V687">
        <f>VLOOKUP(R687,Nuclides!A:E,3,FALSE)</f>
        <v>60</v>
      </c>
      <c r="W687" s="1">
        <f t="shared" si="34"/>
        <v>1156826112</v>
      </c>
      <c r="X687" t="s">
        <v>1761</v>
      </c>
      <c r="Z687" s="1">
        <v>59136</v>
      </c>
      <c r="AA687" s="1">
        <v>1.3959999999999999E-10</v>
      </c>
      <c r="AB687" t="str">
        <f>VLOOKUP(Z687,Nuclides!A:E,5,FALSE)</f>
        <v>Pr136</v>
      </c>
      <c r="AC687">
        <f>VLOOKUP(Sheet2!Z687,Nuclides!A:E,2,FALSE)</f>
        <v>77</v>
      </c>
      <c r="AD687">
        <f>VLOOKUP(Z687,Nuclides!A:E,3,FALSE)</f>
        <v>59</v>
      </c>
      <c r="AE687" s="1">
        <f t="shared" si="35"/>
        <v>1742207.9999999998</v>
      </c>
      <c r="AF687" t="s">
        <v>1733</v>
      </c>
    </row>
    <row r="688" spans="18:32" x14ac:dyDescent="0.2">
      <c r="R688" s="1">
        <v>60133</v>
      </c>
      <c r="S688" s="1">
        <v>2.35226E-8</v>
      </c>
      <c r="T688" t="str">
        <f>VLOOKUP(R688,Nuclides!A:E,5,FALSE)</f>
        <v>Nd133</v>
      </c>
      <c r="U688">
        <f>VLOOKUP(Sheet2!R688,Nuclides!A:E,2,FALSE)</f>
        <v>73</v>
      </c>
      <c r="V688">
        <f>VLOOKUP(R688,Nuclides!A:E,3,FALSE)</f>
        <v>60</v>
      </c>
      <c r="W688" s="1">
        <f t="shared" si="34"/>
        <v>293562048</v>
      </c>
      <c r="X688" t="s">
        <v>1762</v>
      </c>
      <c r="Z688" s="1">
        <v>59141</v>
      </c>
      <c r="AA688" s="1">
        <v>6.9799999999999994E-11</v>
      </c>
      <c r="AB688" t="str">
        <f>VLOOKUP(Z688,Nuclides!A:E,5,FALSE)</f>
        <v>Pr141</v>
      </c>
      <c r="AC688">
        <f>VLOOKUP(Sheet2!Z688,Nuclides!A:E,2,FALSE)</f>
        <v>82</v>
      </c>
      <c r="AD688">
        <f>VLOOKUP(Z688,Nuclides!A:E,3,FALSE)</f>
        <v>59</v>
      </c>
      <c r="AE688" s="1">
        <f t="shared" si="35"/>
        <v>871103.99999999988</v>
      </c>
      <c r="AF688" t="s">
        <v>1738</v>
      </c>
    </row>
    <row r="689" spans="18:32" x14ac:dyDescent="0.2">
      <c r="R689" s="1">
        <v>60134</v>
      </c>
      <c r="S689" s="1">
        <v>2.3732E-9</v>
      </c>
      <c r="T689" t="str">
        <f>VLOOKUP(R689,Nuclides!A:E,5,FALSE)</f>
        <v>Nd134</v>
      </c>
      <c r="U689">
        <f>VLOOKUP(Sheet2!R689,Nuclides!A:E,2,FALSE)</f>
        <v>74</v>
      </c>
      <c r="V689">
        <f>VLOOKUP(R689,Nuclides!A:E,3,FALSE)</f>
        <v>60</v>
      </c>
      <c r="W689" s="1">
        <f t="shared" si="34"/>
        <v>29617536</v>
      </c>
      <c r="X689" t="s">
        <v>1763</v>
      </c>
      <c r="Z689" s="1">
        <v>59142</v>
      </c>
      <c r="AA689" s="1">
        <v>1.1866E-9</v>
      </c>
      <c r="AB689" t="str">
        <f>VLOOKUP(Z689,Nuclides!A:E,5,FALSE)</f>
        <v>Pr142</v>
      </c>
      <c r="AC689">
        <f>VLOOKUP(Sheet2!Z689,Nuclides!A:E,2,FALSE)</f>
        <v>83</v>
      </c>
      <c r="AD689">
        <f>VLOOKUP(Z689,Nuclides!A:E,3,FALSE)</f>
        <v>59</v>
      </c>
      <c r="AE689" s="1">
        <f t="shared" si="35"/>
        <v>14808768</v>
      </c>
      <c r="AF689" t="s">
        <v>1739</v>
      </c>
    </row>
    <row r="690" spans="18:32" x14ac:dyDescent="0.2">
      <c r="R690" s="1">
        <v>60135</v>
      </c>
      <c r="S690" s="1">
        <v>5.5839999999999995E-10</v>
      </c>
      <c r="T690" t="str">
        <f>VLOOKUP(R690,Nuclides!A:E,5,FALSE)</f>
        <v>Nd135</v>
      </c>
      <c r="U690">
        <f>VLOOKUP(Sheet2!R690,Nuclides!A:E,2,FALSE)</f>
        <v>75</v>
      </c>
      <c r="V690">
        <f>VLOOKUP(R690,Nuclides!A:E,3,FALSE)</f>
        <v>60</v>
      </c>
      <c r="W690" s="1">
        <f t="shared" si="34"/>
        <v>6968831.9999999991</v>
      </c>
      <c r="X690" t="s">
        <v>1764</v>
      </c>
      <c r="Z690" s="1">
        <v>59143</v>
      </c>
      <c r="AA690" s="1">
        <v>8.0968000000000004E-9</v>
      </c>
      <c r="AB690" t="str">
        <f>VLOOKUP(Z690,Nuclides!A:E,5,FALSE)</f>
        <v>Pr143</v>
      </c>
      <c r="AC690">
        <f>VLOOKUP(Sheet2!Z690,Nuclides!A:E,2,FALSE)</f>
        <v>84</v>
      </c>
      <c r="AD690">
        <f>VLOOKUP(Z690,Nuclides!A:E,3,FALSE)</f>
        <v>59</v>
      </c>
      <c r="AE690" s="1">
        <f t="shared" si="35"/>
        <v>101048064</v>
      </c>
      <c r="AF690" t="s">
        <v>1740</v>
      </c>
    </row>
    <row r="691" spans="18:32" x14ac:dyDescent="0.2">
      <c r="R691" s="1">
        <v>60144</v>
      </c>
      <c r="S691" s="1">
        <v>2.7919999999999998E-10</v>
      </c>
      <c r="T691" t="str">
        <f>VLOOKUP(R691,Nuclides!A:E,5,FALSE)</f>
        <v>Nd144</v>
      </c>
      <c r="U691">
        <f>VLOOKUP(Sheet2!R691,Nuclides!A:E,2,FALSE)</f>
        <v>84</v>
      </c>
      <c r="V691">
        <f>VLOOKUP(R691,Nuclides!A:E,3,FALSE)</f>
        <v>60</v>
      </c>
      <c r="W691" s="1">
        <f t="shared" si="34"/>
        <v>3484415.9999999995</v>
      </c>
      <c r="X691" t="s">
        <v>1773</v>
      </c>
      <c r="Z691" s="1">
        <v>59144</v>
      </c>
      <c r="AA691" s="1">
        <v>3.2806000000000003E-8</v>
      </c>
      <c r="AB691" t="str">
        <f>VLOOKUP(Z691,Nuclides!A:E,5,FALSE)</f>
        <v>Pr144</v>
      </c>
      <c r="AC691">
        <f>VLOOKUP(Sheet2!Z691,Nuclides!A:E,2,FALSE)</f>
        <v>85</v>
      </c>
      <c r="AD691">
        <f>VLOOKUP(Z691,Nuclides!A:E,3,FALSE)</f>
        <v>59</v>
      </c>
      <c r="AE691" s="1">
        <f t="shared" si="35"/>
        <v>409418880.00000006</v>
      </c>
      <c r="AF691" t="s">
        <v>1741</v>
      </c>
    </row>
    <row r="692" spans="18:32" x14ac:dyDescent="0.2">
      <c r="R692" s="1">
        <v>60145</v>
      </c>
      <c r="S692" s="1">
        <v>3.4899999999999998E-10</v>
      </c>
      <c r="T692" t="str">
        <f>VLOOKUP(R692,Nuclides!A:E,5,FALSE)</f>
        <v>Nd145</v>
      </c>
      <c r="U692">
        <f>VLOOKUP(Sheet2!R692,Nuclides!A:E,2,FALSE)</f>
        <v>85</v>
      </c>
      <c r="V692">
        <f>VLOOKUP(R692,Nuclides!A:E,3,FALSE)</f>
        <v>60</v>
      </c>
      <c r="W692" s="1">
        <f t="shared" si="34"/>
        <v>4355520</v>
      </c>
      <c r="X692" t="s">
        <v>1774</v>
      </c>
      <c r="Z692" s="1">
        <v>59145</v>
      </c>
      <c r="AA692" s="1">
        <v>1.84063E-7</v>
      </c>
      <c r="AB692" t="str">
        <f>VLOOKUP(Z692,Nuclides!A:E,5,FALSE)</f>
        <v>Pr145</v>
      </c>
      <c r="AC692">
        <f>VLOOKUP(Sheet2!Z692,Nuclides!A:E,2,FALSE)</f>
        <v>86</v>
      </c>
      <c r="AD692">
        <f>VLOOKUP(Z692,Nuclides!A:E,3,FALSE)</f>
        <v>59</v>
      </c>
      <c r="AE692" s="1">
        <f t="shared" si="35"/>
        <v>2297106240</v>
      </c>
      <c r="AF692" t="s">
        <v>1742</v>
      </c>
    </row>
    <row r="693" spans="18:32" x14ac:dyDescent="0.2">
      <c r="R693" s="1">
        <v>60146</v>
      </c>
      <c r="S693" s="1">
        <v>4.4671999999999996E-9</v>
      </c>
      <c r="T693" t="str">
        <f>VLOOKUP(R693,Nuclides!A:E,5,FALSE)</f>
        <v>Nd146</v>
      </c>
      <c r="U693">
        <f>VLOOKUP(Sheet2!R693,Nuclides!A:E,2,FALSE)</f>
        <v>86</v>
      </c>
      <c r="V693">
        <f>VLOOKUP(R693,Nuclides!A:E,3,FALSE)</f>
        <v>60</v>
      </c>
      <c r="W693" s="1">
        <f t="shared" si="34"/>
        <v>55750655.999999993</v>
      </c>
      <c r="X693" t="s">
        <v>1775</v>
      </c>
      <c r="Z693" s="1">
        <v>59146</v>
      </c>
      <c r="AA693" s="1">
        <v>4.3290000000000002E-7</v>
      </c>
      <c r="AB693" t="str">
        <f>VLOOKUP(Z693,Nuclides!A:E,5,FALSE)</f>
        <v>Pr146</v>
      </c>
      <c r="AC693">
        <f>VLOOKUP(Sheet2!Z693,Nuclides!A:E,2,FALSE)</f>
        <v>87</v>
      </c>
      <c r="AD693">
        <f>VLOOKUP(Z693,Nuclides!A:E,3,FALSE)</f>
        <v>59</v>
      </c>
      <c r="AE693" s="1">
        <f t="shared" si="35"/>
        <v>5402592000</v>
      </c>
      <c r="AF693" t="s">
        <v>1743</v>
      </c>
    </row>
    <row r="694" spans="18:32" x14ac:dyDescent="0.2">
      <c r="R694" s="1">
        <v>60147</v>
      </c>
      <c r="S694" s="1">
        <v>1.72406E-8</v>
      </c>
      <c r="T694" t="str">
        <f>VLOOKUP(R694,Nuclides!A:E,5,FALSE)</f>
        <v>Nd147</v>
      </c>
      <c r="U694">
        <f>VLOOKUP(Sheet2!R694,Nuclides!A:E,2,FALSE)</f>
        <v>87</v>
      </c>
      <c r="V694">
        <f>VLOOKUP(R694,Nuclides!A:E,3,FALSE)</f>
        <v>60</v>
      </c>
      <c r="W694" s="1">
        <f t="shared" si="34"/>
        <v>215162688</v>
      </c>
      <c r="X694" t="s">
        <v>1776</v>
      </c>
      <c r="Z694" s="1">
        <v>59147</v>
      </c>
      <c r="AA694" s="1">
        <v>1.40528E-6</v>
      </c>
      <c r="AB694" t="str">
        <f>VLOOKUP(Z694,Nuclides!A:E,5,FALSE)</f>
        <v>Pr147</v>
      </c>
      <c r="AC694">
        <f>VLOOKUP(Sheet2!Z694,Nuclides!A:E,2,FALSE)</f>
        <v>88</v>
      </c>
      <c r="AD694">
        <f>VLOOKUP(Z694,Nuclides!A:E,3,FALSE)</f>
        <v>59</v>
      </c>
      <c r="AE694" s="1">
        <f t="shared" si="35"/>
        <v>17537894400</v>
      </c>
      <c r="AF694" t="s">
        <v>1744</v>
      </c>
    </row>
    <row r="695" spans="18:32" x14ac:dyDescent="0.2">
      <c r="R695" s="1">
        <v>60148</v>
      </c>
      <c r="S695" s="1">
        <v>6.5542200000000003E-8</v>
      </c>
      <c r="T695" t="str">
        <f>VLOOKUP(R695,Nuclides!A:E,5,FALSE)</f>
        <v>Nd148</v>
      </c>
      <c r="U695">
        <f>VLOOKUP(Sheet2!R695,Nuclides!A:E,2,FALSE)</f>
        <v>88</v>
      </c>
      <c r="V695">
        <f>VLOOKUP(R695,Nuclides!A:E,3,FALSE)</f>
        <v>60</v>
      </c>
      <c r="W695" s="1">
        <f t="shared" si="34"/>
        <v>817966656</v>
      </c>
      <c r="X695" t="s">
        <v>1777</v>
      </c>
      <c r="Z695" s="1">
        <v>59148</v>
      </c>
      <c r="AA695" s="1">
        <v>2.0761299999999999E-6</v>
      </c>
      <c r="AB695" t="str">
        <f>VLOOKUP(Z695,Nuclides!A:E,5,FALSE)</f>
        <v>Pr148</v>
      </c>
      <c r="AC695">
        <f>VLOOKUP(Sheet2!Z695,Nuclides!A:E,2,FALSE)</f>
        <v>89</v>
      </c>
      <c r="AD695">
        <f>VLOOKUP(Z695,Nuclides!A:E,3,FALSE)</f>
        <v>59</v>
      </c>
      <c r="AE695" s="1">
        <f t="shared" si="35"/>
        <v>25910102400</v>
      </c>
      <c r="AF695" t="s">
        <v>1745</v>
      </c>
    </row>
    <row r="696" spans="18:32" x14ac:dyDescent="0.2">
      <c r="R696" s="1">
        <v>60149</v>
      </c>
      <c r="S696" s="1">
        <v>1.6458799999999999E-7</v>
      </c>
      <c r="T696" t="str">
        <f>VLOOKUP(R696,Nuclides!A:E,5,FALSE)</f>
        <v>Nd149</v>
      </c>
      <c r="U696">
        <f>VLOOKUP(Sheet2!R696,Nuclides!A:E,2,FALSE)</f>
        <v>89</v>
      </c>
      <c r="V696">
        <f>VLOOKUP(R696,Nuclides!A:E,3,FALSE)</f>
        <v>60</v>
      </c>
      <c r="W696" s="1">
        <f t="shared" si="34"/>
        <v>2054058240</v>
      </c>
      <c r="X696" t="s">
        <v>1778</v>
      </c>
      <c r="Z696" s="1">
        <v>59149</v>
      </c>
      <c r="AA696" s="1">
        <v>3.99235E-6</v>
      </c>
      <c r="AB696" t="str">
        <f>VLOOKUP(Z696,Nuclides!A:E,5,FALSE)</f>
        <v>Pr149</v>
      </c>
      <c r="AC696">
        <f>VLOOKUP(Sheet2!Z696,Nuclides!A:E,2,FALSE)</f>
        <v>90</v>
      </c>
      <c r="AD696">
        <f>VLOOKUP(Z696,Nuclides!A:E,3,FALSE)</f>
        <v>59</v>
      </c>
      <c r="AE696" s="1">
        <f t="shared" si="35"/>
        <v>49824528000</v>
      </c>
      <c r="AF696" t="s">
        <v>1746</v>
      </c>
    </row>
    <row r="697" spans="18:32" x14ac:dyDescent="0.2">
      <c r="R697" s="1">
        <v>60150</v>
      </c>
      <c r="S697" s="1">
        <v>4.5593399999999998E-7</v>
      </c>
      <c r="T697" t="str">
        <f>VLOOKUP(R697,Nuclides!A:E,5,FALSE)</f>
        <v>Nd150</v>
      </c>
      <c r="U697">
        <f>VLOOKUP(Sheet2!R697,Nuclides!A:E,2,FALSE)</f>
        <v>90</v>
      </c>
      <c r="V697">
        <f>VLOOKUP(R697,Nuclides!A:E,3,FALSE)</f>
        <v>60</v>
      </c>
      <c r="W697" s="1">
        <f t="shared" si="34"/>
        <v>5690056320</v>
      </c>
      <c r="X697" t="s">
        <v>1779</v>
      </c>
      <c r="Z697" s="1">
        <v>59150</v>
      </c>
      <c r="AA697" s="1">
        <v>3.9568199999999997E-6</v>
      </c>
      <c r="AB697" t="str">
        <f>VLOOKUP(Z697,Nuclides!A:E,5,FALSE)</f>
        <v>Pr150</v>
      </c>
      <c r="AC697">
        <f>VLOOKUP(Sheet2!Z697,Nuclides!A:E,2,FALSE)</f>
        <v>91</v>
      </c>
      <c r="AD697">
        <f>VLOOKUP(Z697,Nuclides!A:E,3,FALSE)</f>
        <v>59</v>
      </c>
      <c r="AE697" s="1">
        <f t="shared" si="35"/>
        <v>49381113599.999992</v>
      </c>
      <c r="AF697" t="s">
        <v>1747</v>
      </c>
    </row>
    <row r="698" spans="18:32" x14ac:dyDescent="0.2">
      <c r="R698" s="1">
        <v>60151</v>
      </c>
      <c r="S698" s="1">
        <v>8.6831200000000003E-7</v>
      </c>
      <c r="T698" t="str">
        <f>VLOOKUP(R698,Nuclides!A:E,5,FALSE)</f>
        <v>Nd151</v>
      </c>
      <c r="U698">
        <f>VLOOKUP(Sheet2!R698,Nuclides!A:E,2,FALSE)</f>
        <v>91</v>
      </c>
      <c r="V698">
        <f>VLOOKUP(R698,Nuclides!A:E,3,FALSE)</f>
        <v>60</v>
      </c>
      <c r="W698" s="1">
        <f t="shared" si="34"/>
        <v>10836533760</v>
      </c>
      <c r="X698" t="s">
        <v>1780</v>
      </c>
      <c r="Z698" s="1">
        <v>59151</v>
      </c>
      <c r="AA698" s="1">
        <v>5.3140799999999999E-6</v>
      </c>
      <c r="AB698" t="str">
        <f>VLOOKUP(Z698,Nuclides!A:E,5,FALSE)</f>
        <v>Pr151</v>
      </c>
      <c r="AC698">
        <f>VLOOKUP(Sheet2!Z698,Nuclides!A:E,2,FALSE)</f>
        <v>92</v>
      </c>
      <c r="AD698">
        <f>VLOOKUP(Z698,Nuclides!A:E,3,FALSE)</f>
        <v>59</v>
      </c>
      <c r="AE698" s="1">
        <f t="shared" si="35"/>
        <v>66319718400</v>
      </c>
      <c r="AF698" t="s">
        <v>1748</v>
      </c>
    </row>
    <row r="699" spans="18:32" x14ac:dyDescent="0.2">
      <c r="R699" s="1">
        <v>60152</v>
      </c>
      <c r="S699" s="1">
        <v>1.5264600000000001E-6</v>
      </c>
      <c r="T699" t="str">
        <f>VLOOKUP(R699,Nuclides!A:E,5,FALSE)</f>
        <v>Nd152</v>
      </c>
      <c r="U699">
        <f>VLOOKUP(Sheet2!R699,Nuclides!A:E,2,FALSE)</f>
        <v>92</v>
      </c>
      <c r="V699">
        <f>VLOOKUP(R699,Nuclides!A:E,3,FALSE)</f>
        <v>60</v>
      </c>
      <c r="W699" s="1">
        <f t="shared" si="34"/>
        <v>19050220800</v>
      </c>
      <c r="X699" t="s">
        <v>1781</v>
      </c>
      <c r="Z699" s="1">
        <v>59152</v>
      </c>
      <c r="AA699" s="1">
        <v>3.8441000000000002E-6</v>
      </c>
      <c r="AB699" t="str">
        <f>VLOOKUP(Z699,Nuclides!A:E,5,FALSE)</f>
        <v>Pr152</v>
      </c>
      <c r="AC699">
        <f>VLOOKUP(Sheet2!Z699,Nuclides!A:E,2,FALSE)</f>
        <v>93</v>
      </c>
      <c r="AD699">
        <f>VLOOKUP(Z699,Nuclides!A:E,3,FALSE)</f>
        <v>59</v>
      </c>
      <c r="AE699" s="1">
        <f t="shared" si="35"/>
        <v>47974368000</v>
      </c>
      <c r="AF699" t="s">
        <v>1749</v>
      </c>
    </row>
    <row r="700" spans="18:32" x14ac:dyDescent="0.2">
      <c r="R700" s="1">
        <v>60153</v>
      </c>
      <c r="S700" s="1">
        <v>1.8548E-6</v>
      </c>
      <c r="T700" t="str">
        <f>VLOOKUP(R700,Nuclides!A:E,5,FALSE)</f>
        <v>Nd153</v>
      </c>
      <c r="U700">
        <f>VLOOKUP(Sheet2!R700,Nuclides!A:E,2,FALSE)</f>
        <v>93</v>
      </c>
      <c r="V700">
        <f>VLOOKUP(R700,Nuclides!A:E,3,FALSE)</f>
        <v>60</v>
      </c>
      <c r="W700" s="1">
        <f t="shared" si="34"/>
        <v>23147904000</v>
      </c>
      <c r="X700" t="s">
        <v>1782</v>
      </c>
      <c r="Z700" s="1">
        <v>60129</v>
      </c>
      <c r="AA700" s="1">
        <v>2.47615E-6</v>
      </c>
      <c r="AB700" t="str">
        <f>VLOOKUP(Z700,Nuclides!A:E,5,FALSE)</f>
        <v>Nd129</v>
      </c>
      <c r="AC700">
        <f>VLOOKUP(Sheet2!Z700,Nuclides!A:E,2,FALSE)</f>
        <v>69</v>
      </c>
      <c r="AD700">
        <f>VLOOKUP(Z700,Nuclides!A:E,3,FALSE)</f>
        <v>60</v>
      </c>
      <c r="AE700" s="1">
        <f t="shared" si="35"/>
        <v>30902352000</v>
      </c>
      <c r="AF700" t="s">
        <v>1758</v>
      </c>
    </row>
    <row r="701" spans="18:32" x14ac:dyDescent="0.2">
      <c r="R701" s="1">
        <v>60154</v>
      </c>
      <c r="S701" s="1">
        <v>1.9192900000000001E-6</v>
      </c>
      <c r="T701" t="str">
        <f>VLOOKUP(R701,Nuclides!A:E,5,FALSE)</f>
        <v>Nd154</v>
      </c>
      <c r="U701">
        <f>VLOOKUP(Sheet2!R701,Nuclides!A:E,2,FALSE)</f>
        <v>94</v>
      </c>
      <c r="V701">
        <f>VLOOKUP(R701,Nuclides!A:E,3,FALSE)</f>
        <v>60</v>
      </c>
      <c r="W701" s="1">
        <f t="shared" si="34"/>
        <v>23952739200</v>
      </c>
      <c r="X701" t="s">
        <v>1783</v>
      </c>
      <c r="Z701" s="1">
        <v>60130</v>
      </c>
      <c r="AA701" s="1">
        <v>1.0235499999999999E-6</v>
      </c>
      <c r="AB701" t="str">
        <f>VLOOKUP(Z701,Nuclides!A:E,5,FALSE)</f>
        <v>Nd130</v>
      </c>
      <c r="AC701">
        <f>VLOOKUP(Sheet2!Z701,Nuclides!A:E,2,FALSE)</f>
        <v>70</v>
      </c>
      <c r="AD701">
        <f>VLOOKUP(Z701,Nuclides!A:E,3,FALSE)</f>
        <v>60</v>
      </c>
      <c r="AE701" s="1">
        <f t="shared" si="35"/>
        <v>12773904000</v>
      </c>
      <c r="AF701" t="s">
        <v>1759</v>
      </c>
    </row>
    <row r="702" spans="18:32" x14ac:dyDescent="0.2">
      <c r="R702" s="1">
        <v>61132</v>
      </c>
      <c r="S702" s="1">
        <v>1.3462999999999999E-6</v>
      </c>
      <c r="T702" t="str">
        <f>VLOOKUP(R702,Nuclides!A:E,5,FALSE)</f>
        <v>Pm132</v>
      </c>
      <c r="U702">
        <f>VLOOKUP(Sheet2!R702,Nuclides!A:E,2,FALSE)</f>
        <v>71</v>
      </c>
      <c r="V702">
        <f>VLOOKUP(R702,Nuclides!A:E,3,FALSE)</f>
        <v>61</v>
      </c>
      <c r="W702" s="1">
        <f t="shared" si="34"/>
        <v>16801824000</v>
      </c>
      <c r="X702" t="s">
        <v>1795</v>
      </c>
      <c r="Z702" s="1">
        <v>60131</v>
      </c>
      <c r="AA702" s="1">
        <v>5.8799499999999999E-7</v>
      </c>
      <c r="AB702" t="str">
        <f>VLOOKUP(Z702,Nuclides!A:E,5,FALSE)</f>
        <v>Nd131</v>
      </c>
      <c r="AC702">
        <f>VLOOKUP(Sheet2!Z702,Nuclides!A:E,2,FALSE)</f>
        <v>71</v>
      </c>
      <c r="AD702">
        <f>VLOOKUP(Z702,Nuclides!A:E,3,FALSE)</f>
        <v>60</v>
      </c>
      <c r="AE702" s="1">
        <f t="shared" si="35"/>
        <v>7338177600</v>
      </c>
      <c r="AF702" t="s">
        <v>1760</v>
      </c>
    </row>
    <row r="703" spans="18:32" x14ac:dyDescent="0.2">
      <c r="R703" s="1">
        <v>61133</v>
      </c>
      <c r="S703" s="1">
        <v>7.9571999999999998E-7</v>
      </c>
      <c r="T703" t="str">
        <f>VLOOKUP(R703,Nuclides!A:E,5,FALSE)</f>
        <v>Pm133</v>
      </c>
      <c r="U703">
        <f>VLOOKUP(Sheet2!R703,Nuclides!A:E,2,FALSE)</f>
        <v>72</v>
      </c>
      <c r="V703">
        <f>VLOOKUP(R703,Nuclides!A:E,3,FALSE)</f>
        <v>61</v>
      </c>
      <c r="W703" s="1">
        <f t="shared" si="34"/>
        <v>9930585600</v>
      </c>
      <c r="X703" t="s">
        <v>1796</v>
      </c>
      <c r="Z703" s="1">
        <v>60132</v>
      </c>
      <c r="AA703" s="1">
        <v>1.61517E-7</v>
      </c>
      <c r="AB703" t="str">
        <f>VLOOKUP(Z703,Nuclides!A:E,5,FALSE)</f>
        <v>Nd132</v>
      </c>
      <c r="AC703">
        <f>VLOOKUP(Sheet2!Z703,Nuclides!A:E,2,FALSE)</f>
        <v>72</v>
      </c>
      <c r="AD703">
        <f>VLOOKUP(Z703,Nuclides!A:E,3,FALSE)</f>
        <v>60</v>
      </c>
      <c r="AE703" s="1">
        <f t="shared" si="35"/>
        <v>2015732160</v>
      </c>
      <c r="AF703" t="s">
        <v>1761</v>
      </c>
    </row>
    <row r="704" spans="18:32" x14ac:dyDescent="0.2">
      <c r="R704" s="1">
        <v>61134</v>
      </c>
      <c r="S704" s="1">
        <v>3.2261600000000001E-7</v>
      </c>
      <c r="T704" t="str">
        <f>VLOOKUP(R704,Nuclides!A:E,5,FALSE)</f>
        <v>Pm134</v>
      </c>
      <c r="U704">
        <f>VLOOKUP(Sheet2!R704,Nuclides!A:E,2,FALSE)</f>
        <v>73</v>
      </c>
      <c r="V704">
        <f>VLOOKUP(R704,Nuclides!A:E,3,FALSE)</f>
        <v>61</v>
      </c>
      <c r="W704" s="1">
        <f t="shared" si="34"/>
        <v>4026247680</v>
      </c>
      <c r="X704" t="s">
        <v>1797</v>
      </c>
      <c r="Z704" s="1">
        <v>60133</v>
      </c>
      <c r="AA704" s="1">
        <v>7.0707399999999994E-8</v>
      </c>
      <c r="AB704" t="str">
        <f>VLOOKUP(Z704,Nuclides!A:E,5,FALSE)</f>
        <v>Nd133</v>
      </c>
      <c r="AC704">
        <f>VLOOKUP(Sheet2!Z704,Nuclides!A:E,2,FALSE)</f>
        <v>73</v>
      </c>
      <c r="AD704">
        <f>VLOOKUP(Z704,Nuclides!A:E,3,FALSE)</f>
        <v>60</v>
      </c>
      <c r="AE704" s="1">
        <f t="shared" si="35"/>
        <v>882428351.99999988</v>
      </c>
      <c r="AF704" t="s">
        <v>1762</v>
      </c>
    </row>
    <row r="705" spans="18:32" x14ac:dyDescent="0.2">
      <c r="R705" s="1">
        <v>61135</v>
      </c>
      <c r="S705" s="1">
        <v>1.02815E-7</v>
      </c>
      <c r="T705" t="str">
        <f>VLOOKUP(R705,Nuclides!A:E,5,FALSE)</f>
        <v>Pm135</v>
      </c>
      <c r="U705">
        <f>VLOOKUP(Sheet2!R705,Nuclides!A:E,2,FALSE)</f>
        <v>74</v>
      </c>
      <c r="V705">
        <f>VLOOKUP(R705,Nuclides!A:E,3,FALSE)</f>
        <v>61</v>
      </c>
      <c r="W705" s="1">
        <f t="shared" si="34"/>
        <v>1283131200</v>
      </c>
      <c r="X705" t="s">
        <v>1798</v>
      </c>
      <c r="Z705" s="1">
        <v>60134</v>
      </c>
      <c r="AA705" s="1">
        <v>1.42392E-8</v>
      </c>
      <c r="AB705" t="str">
        <f>VLOOKUP(Z705,Nuclides!A:E,5,FALSE)</f>
        <v>Nd134</v>
      </c>
      <c r="AC705">
        <f>VLOOKUP(Sheet2!Z705,Nuclides!A:E,2,FALSE)</f>
        <v>74</v>
      </c>
      <c r="AD705">
        <f>VLOOKUP(Z705,Nuclides!A:E,3,FALSE)</f>
        <v>60</v>
      </c>
      <c r="AE705" s="1">
        <f t="shared" si="35"/>
        <v>177705216</v>
      </c>
      <c r="AF705" t="s">
        <v>1763</v>
      </c>
    </row>
    <row r="706" spans="18:32" x14ac:dyDescent="0.2">
      <c r="R706" s="1">
        <v>61136</v>
      </c>
      <c r="S706" s="1">
        <v>2.42904E-8</v>
      </c>
      <c r="T706" t="str">
        <f>VLOOKUP(R706,Nuclides!A:E,5,FALSE)</f>
        <v>Pm136</v>
      </c>
      <c r="U706">
        <f>VLOOKUP(Sheet2!R706,Nuclides!A:E,2,FALSE)</f>
        <v>75</v>
      </c>
      <c r="V706">
        <f>VLOOKUP(R706,Nuclides!A:E,3,FALSE)</f>
        <v>61</v>
      </c>
      <c r="W706" s="1">
        <f t="shared" si="34"/>
        <v>303144192</v>
      </c>
      <c r="X706" t="s">
        <v>1799</v>
      </c>
      <c r="Z706" s="1">
        <v>60135</v>
      </c>
      <c r="AA706" s="1">
        <v>3.8389999999999997E-9</v>
      </c>
      <c r="AB706" t="str">
        <f>VLOOKUP(Z706,Nuclides!A:E,5,FALSE)</f>
        <v>Nd135</v>
      </c>
      <c r="AC706">
        <f>VLOOKUP(Sheet2!Z706,Nuclides!A:E,2,FALSE)</f>
        <v>75</v>
      </c>
      <c r="AD706">
        <f>VLOOKUP(Z706,Nuclides!A:E,3,FALSE)</f>
        <v>60</v>
      </c>
      <c r="AE706" s="1">
        <f t="shared" si="35"/>
        <v>47910719.999999993</v>
      </c>
      <c r="AF706" t="s">
        <v>1764</v>
      </c>
    </row>
    <row r="707" spans="18:32" x14ac:dyDescent="0.2">
      <c r="R707" s="1">
        <v>61137</v>
      </c>
      <c r="S707" s="1">
        <v>5.0255999999999997E-9</v>
      </c>
      <c r="T707" t="str">
        <f>VLOOKUP(R707,Nuclides!A:E,5,FALSE)</f>
        <v>Pm137</v>
      </c>
      <c r="U707">
        <f>VLOOKUP(Sheet2!R707,Nuclides!A:E,2,FALSE)</f>
        <v>76</v>
      </c>
      <c r="V707">
        <f>VLOOKUP(R707,Nuclides!A:E,3,FALSE)</f>
        <v>61</v>
      </c>
      <c r="W707" s="1">
        <f t="shared" si="34"/>
        <v>62719487.999999993</v>
      </c>
      <c r="X707" t="s">
        <v>1800</v>
      </c>
      <c r="Z707" s="1">
        <v>60136</v>
      </c>
      <c r="AA707" s="1">
        <v>4.1879999999999999E-10</v>
      </c>
      <c r="AB707" t="str">
        <f>VLOOKUP(Z707,Nuclides!A:E,5,FALSE)</f>
        <v>Nd136</v>
      </c>
      <c r="AC707">
        <f>VLOOKUP(Sheet2!Z707,Nuclides!A:E,2,FALSE)</f>
        <v>76</v>
      </c>
      <c r="AD707">
        <f>VLOOKUP(Z707,Nuclides!A:E,3,FALSE)</f>
        <v>60</v>
      </c>
      <c r="AE707" s="1">
        <f t="shared" si="35"/>
        <v>5226624</v>
      </c>
      <c r="AF707" t="s">
        <v>1765</v>
      </c>
    </row>
    <row r="708" spans="18:32" x14ac:dyDescent="0.2">
      <c r="R708" s="1">
        <v>61138</v>
      </c>
      <c r="S708" s="1">
        <v>6.2819999999999996E-10</v>
      </c>
      <c r="T708" t="str">
        <f>VLOOKUP(R708,Nuclides!A:E,5,FALSE)</f>
        <v>Pm138</v>
      </c>
      <c r="U708">
        <f>VLOOKUP(Sheet2!R708,Nuclides!A:E,2,FALSE)</f>
        <v>77</v>
      </c>
      <c r="V708">
        <f>VLOOKUP(R708,Nuclides!A:E,3,FALSE)</f>
        <v>61</v>
      </c>
      <c r="W708" s="1">
        <f t="shared" ref="W708:W771" si="36">S708*12480000000000000</f>
        <v>7839935.9999999991</v>
      </c>
      <c r="X708" t="s">
        <v>1801</v>
      </c>
      <c r="Z708" s="1">
        <v>60137</v>
      </c>
      <c r="AA708" s="1">
        <v>1.3959999999999999E-10</v>
      </c>
      <c r="AB708" t="str">
        <f>VLOOKUP(Z708,Nuclides!A:E,5,FALSE)</f>
        <v>Nd137</v>
      </c>
      <c r="AC708">
        <f>VLOOKUP(Sheet2!Z708,Nuclides!A:E,2,FALSE)</f>
        <v>77</v>
      </c>
      <c r="AD708">
        <f>VLOOKUP(Z708,Nuclides!A:E,3,FALSE)</f>
        <v>60</v>
      </c>
      <c r="AE708" s="1">
        <f t="shared" ref="AE708:AE771" si="37">AA708*12480000000000000</f>
        <v>1742207.9999999998</v>
      </c>
      <c r="AF708" t="s">
        <v>1766</v>
      </c>
    </row>
    <row r="709" spans="18:32" x14ac:dyDescent="0.2">
      <c r="R709" s="1">
        <v>61139</v>
      </c>
      <c r="S709" s="1">
        <v>1.3959999999999999E-10</v>
      </c>
      <c r="T709" t="str">
        <f>VLOOKUP(R709,Nuclides!A:E,5,FALSE)</f>
        <v>Pm139</v>
      </c>
      <c r="U709">
        <f>VLOOKUP(Sheet2!R709,Nuclides!A:E,2,FALSE)</f>
        <v>78</v>
      </c>
      <c r="V709">
        <f>VLOOKUP(R709,Nuclides!A:E,3,FALSE)</f>
        <v>61</v>
      </c>
      <c r="W709" s="1">
        <f t="shared" si="36"/>
        <v>1742207.9999999998</v>
      </c>
      <c r="X709" t="s">
        <v>1802</v>
      </c>
      <c r="Z709" s="1">
        <v>60144</v>
      </c>
      <c r="AA709" s="1">
        <v>6.9799999999999994E-11</v>
      </c>
      <c r="AB709" t="str">
        <f>VLOOKUP(Z709,Nuclides!A:E,5,FALSE)</f>
        <v>Nd144</v>
      </c>
      <c r="AC709">
        <f>VLOOKUP(Sheet2!Z709,Nuclides!A:E,2,FALSE)</f>
        <v>84</v>
      </c>
      <c r="AD709">
        <f>VLOOKUP(Z709,Nuclides!A:E,3,FALSE)</f>
        <v>60</v>
      </c>
      <c r="AE709" s="1">
        <f t="shared" si="37"/>
        <v>871103.99999999988</v>
      </c>
      <c r="AF709" t="s">
        <v>1773</v>
      </c>
    </row>
    <row r="710" spans="18:32" x14ac:dyDescent="0.2">
      <c r="R710" s="1">
        <v>61147</v>
      </c>
      <c r="S710" s="1">
        <v>2.7919999999999998E-10</v>
      </c>
      <c r="T710" t="str">
        <f>VLOOKUP(R710,Nuclides!A:E,5,FALSE)</f>
        <v>Pm147</v>
      </c>
      <c r="U710">
        <f>VLOOKUP(Sheet2!R710,Nuclides!A:E,2,FALSE)</f>
        <v>86</v>
      </c>
      <c r="V710">
        <f>VLOOKUP(R710,Nuclides!A:E,3,FALSE)</f>
        <v>61</v>
      </c>
      <c r="W710" s="1">
        <f t="shared" si="36"/>
        <v>3484415.9999999995</v>
      </c>
      <c r="X710" t="s">
        <v>1810</v>
      </c>
      <c r="Z710" s="1">
        <v>60145</v>
      </c>
      <c r="AA710" s="1">
        <v>1.3262E-9</v>
      </c>
      <c r="AB710" t="str">
        <f>VLOOKUP(Z710,Nuclides!A:E,5,FALSE)</f>
        <v>Nd145</v>
      </c>
      <c r="AC710">
        <f>VLOOKUP(Sheet2!Z710,Nuclides!A:E,2,FALSE)</f>
        <v>85</v>
      </c>
      <c r="AD710">
        <f>VLOOKUP(Z710,Nuclides!A:E,3,FALSE)</f>
        <v>60</v>
      </c>
      <c r="AE710" s="1">
        <f t="shared" si="37"/>
        <v>16550976</v>
      </c>
      <c r="AF710" t="s">
        <v>1774</v>
      </c>
    </row>
    <row r="711" spans="18:32" x14ac:dyDescent="0.2">
      <c r="R711" s="1">
        <v>61148</v>
      </c>
      <c r="S711" s="1">
        <v>4.8860000000000005E-10</v>
      </c>
      <c r="T711" t="str">
        <f>VLOOKUP(R711,Nuclides!A:E,5,FALSE)</f>
        <v>Pm148</v>
      </c>
      <c r="U711">
        <f>VLOOKUP(Sheet2!R711,Nuclides!A:E,2,FALSE)</f>
        <v>87</v>
      </c>
      <c r="V711">
        <f>VLOOKUP(R711,Nuclides!A:E,3,FALSE)</f>
        <v>61</v>
      </c>
      <c r="W711" s="1">
        <f t="shared" si="36"/>
        <v>6097728.0000000009</v>
      </c>
      <c r="X711" t="s">
        <v>1811</v>
      </c>
      <c r="Z711" s="1">
        <v>60146</v>
      </c>
      <c r="AA711" s="1">
        <v>8.9343999999999993E-9</v>
      </c>
      <c r="AB711" t="str">
        <f>VLOOKUP(Z711,Nuclides!A:E,5,FALSE)</f>
        <v>Nd146</v>
      </c>
      <c r="AC711">
        <f>VLOOKUP(Sheet2!Z711,Nuclides!A:E,2,FALSE)</f>
        <v>86</v>
      </c>
      <c r="AD711">
        <f>VLOOKUP(Z711,Nuclides!A:E,3,FALSE)</f>
        <v>60</v>
      </c>
      <c r="AE711" s="1">
        <f t="shared" si="37"/>
        <v>111501311.99999999</v>
      </c>
      <c r="AF711" t="s">
        <v>1775</v>
      </c>
    </row>
    <row r="712" spans="18:32" x14ac:dyDescent="0.2">
      <c r="R712" s="1">
        <v>61149</v>
      </c>
      <c r="S712" s="1">
        <v>2.0242000000000001E-9</v>
      </c>
      <c r="T712" t="str">
        <f>VLOOKUP(R712,Nuclides!A:E,5,FALSE)</f>
        <v>Pm149</v>
      </c>
      <c r="U712">
        <f>VLOOKUP(Sheet2!R712,Nuclides!A:E,2,FALSE)</f>
        <v>88</v>
      </c>
      <c r="V712">
        <f>VLOOKUP(R712,Nuclides!A:E,3,FALSE)</f>
        <v>61</v>
      </c>
      <c r="W712" s="1">
        <f t="shared" si="36"/>
        <v>25262016</v>
      </c>
      <c r="X712" t="s">
        <v>1812</v>
      </c>
      <c r="Z712" s="1">
        <v>60147</v>
      </c>
      <c r="AA712" s="1">
        <v>3.1689199999999998E-8</v>
      </c>
      <c r="AB712" t="str">
        <f>VLOOKUP(Z712,Nuclides!A:E,5,FALSE)</f>
        <v>Nd147</v>
      </c>
      <c r="AC712">
        <f>VLOOKUP(Sheet2!Z712,Nuclides!A:E,2,FALSE)</f>
        <v>87</v>
      </c>
      <c r="AD712">
        <f>VLOOKUP(Z712,Nuclides!A:E,3,FALSE)</f>
        <v>60</v>
      </c>
      <c r="AE712" s="1">
        <f t="shared" si="37"/>
        <v>395481216</v>
      </c>
      <c r="AF712" t="s">
        <v>1776</v>
      </c>
    </row>
    <row r="713" spans="18:32" x14ac:dyDescent="0.2">
      <c r="R713" s="1">
        <v>61150</v>
      </c>
      <c r="S713" s="1">
        <v>7.2591999999999999E-9</v>
      </c>
      <c r="T713" t="str">
        <f>VLOOKUP(R713,Nuclides!A:E,5,FALSE)</f>
        <v>Pm150</v>
      </c>
      <c r="U713">
        <f>VLOOKUP(Sheet2!R713,Nuclides!A:E,2,FALSE)</f>
        <v>89</v>
      </c>
      <c r="V713">
        <f>VLOOKUP(R713,Nuclides!A:E,3,FALSE)</f>
        <v>61</v>
      </c>
      <c r="W713" s="1">
        <f t="shared" si="36"/>
        <v>90594816</v>
      </c>
      <c r="X713" t="s">
        <v>1813</v>
      </c>
      <c r="Z713" s="1">
        <v>60148</v>
      </c>
      <c r="AA713" s="1">
        <v>1.54607E-7</v>
      </c>
      <c r="AB713" t="str">
        <f>VLOOKUP(Z713,Nuclides!A:E,5,FALSE)</f>
        <v>Nd148</v>
      </c>
      <c r="AC713">
        <f>VLOOKUP(Sheet2!Z713,Nuclides!A:E,2,FALSE)</f>
        <v>88</v>
      </c>
      <c r="AD713">
        <f>VLOOKUP(Z713,Nuclides!A:E,3,FALSE)</f>
        <v>60</v>
      </c>
      <c r="AE713" s="1">
        <f t="shared" si="37"/>
        <v>1929495360</v>
      </c>
      <c r="AF713" t="s">
        <v>1777</v>
      </c>
    </row>
    <row r="714" spans="18:32" x14ac:dyDescent="0.2">
      <c r="R714" s="1">
        <v>61151</v>
      </c>
      <c r="S714" s="1">
        <v>2.8967000000000001E-8</v>
      </c>
      <c r="T714" t="str">
        <f>VLOOKUP(R714,Nuclides!A:E,5,FALSE)</f>
        <v>Pm151</v>
      </c>
      <c r="U714">
        <f>VLOOKUP(Sheet2!R714,Nuclides!A:E,2,FALSE)</f>
        <v>90</v>
      </c>
      <c r="V714">
        <f>VLOOKUP(R714,Nuclides!A:E,3,FALSE)</f>
        <v>61</v>
      </c>
      <c r="W714" s="1">
        <f t="shared" si="36"/>
        <v>361508160</v>
      </c>
      <c r="X714" t="s">
        <v>1814</v>
      </c>
      <c r="Z714" s="1">
        <v>60149</v>
      </c>
      <c r="AA714" s="1">
        <v>2.9378799999999998E-7</v>
      </c>
      <c r="AB714" t="str">
        <f>VLOOKUP(Z714,Nuclides!A:E,5,FALSE)</f>
        <v>Nd149</v>
      </c>
      <c r="AC714">
        <f>VLOOKUP(Sheet2!Z714,Nuclides!A:E,2,FALSE)</f>
        <v>89</v>
      </c>
      <c r="AD714">
        <f>VLOOKUP(Z714,Nuclides!A:E,3,FALSE)</f>
        <v>60</v>
      </c>
      <c r="AE714" s="1">
        <f t="shared" si="37"/>
        <v>3666474240</v>
      </c>
      <c r="AF714" t="s">
        <v>1778</v>
      </c>
    </row>
    <row r="715" spans="18:32" x14ac:dyDescent="0.2">
      <c r="R715" s="1">
        <v>61152</v>
      </c>
      <c r="S715" s="1">
        <v>6.9660399999999998E-8</v>
      </c>
      <c r="T715" t="str">
        <f>VLOOKUP(R715,Nuclides!A:E,5,FALSE)</f>
        <v>Pm152</v>
      </c>
      <c r="U715">
        <f>VLOOKUP(Sheet2!R715,Nuclides!A:E,2,FALSE)</f>
        <v>91</v>
      </c>
      <c r="V715">
        <f>VLOOKUP(R715,Nuclides!A:E,3,FALSE)</f>
        <v>61</v>
      </c>
      <c r="W715" s="1">
        <f t="shared" si="36"/>
        <v>869361792</v>
      </c>
      <c r="X715" t="s">
        <v>1815</v>
      </c>
      <c r="Z715" s="1">
        <v>60150</v>
      </c>
      <c r="AA715" s="1">
        <v>9.2966599999999998E-7</v>
      </c>
      <c r="AB715" t="str">
        <f>VLOOKUP(Z715,Nuclides!A:E,5,FALSE)</f>
        <v>Nd150</v>
      </c>
      <c r="AC715">
        <f>VLOOKUP(Sheet2!Z715,Nuclides!A:E,2,FALSE)</f>
        <v>90</v>
      </c>
      <c r="AD715">
        <f>VLOOKUP(Z715,Nuclides!A:E,3,FALSE)</f>
        <v>60</v>
      </c>
      <c r="AE715" s="1">
        <f t="shared" si="37"/>
        <v>11602231680</v>
      </c>
      <c r="AF715" t="s">
        <v>1779</v>
      </c>
    </row>
    <row r="716" spans="18:32" x14ac:dyDescent="0.2">
      <c r="R716" s="1">
        <v>61153</v>
      </c>
      <c r="S716" s="1">
        <v>1.68986E-7</v>
      </c>
      <c r="T716" t="str">
        <f>VLOOKUP(R716,Nuclides!A:E,5,FALSE)</f>
        <v>Pm153</v>
      </c>
      <c r="U716">
        <f>VLOOKUP(Sheet2!R716,Nuclides!A:E,2,FALSE)</f>
        <v>92</v>
      </c>
      <c r="V716">
        <f>VLOOKUP(R716,Nuclides!A:E,3,FALSE)</f>
        <v>61</v>
      </c>
      <c r="W716" s="1">
        <f t="shared" si="36"/>
        <v>2108945280</v>
      </c>
      <c r="X716" t="s">
        <v>1816</v>
      </c>
      <c r="Z716" s="1">
        <v>60151</v>
      </c>
      <c r="AA716" s="1">
        <v>1.2463499999999999E-6</v>
      </c>
      <c r="AB716" t="str">
        <f>VLOOKUP(Z716,Nuclides!A:E,5,FALSE)</f>
        <v>Nd151</v>
      </c>
      <c r="AC716">
        <f>VLOOKUP(Sheet2!Z716,Nuclides!A:E,2,FALSE)</f>
        <v>91</v>
      </c>
      <c r="AD716">
        <f>VLOOKUP(Z716,Nuclides!A:E,3,FALSE)</f>
        <v>60</v>
      </c>
      <c r="AE716" s="1">
        <f t="shared" si="37"/>
        <v>15554448000</v>
      </c>
      <c r="AF716" t="s">
        <v>1780</v>
      </c>
    </row>
    <row r="717" spans="18:32" x14ac:dyDescent="0.2">
      <c r="R717" s="1">
        <v>61154</v>
      </c>
      <c r="S717" s="1">
        <v>2.7431399999999998E-7</v>
      </c>
      <c r="T717" t="str">
        <f>VLOOKUP(R717,Nuclides!A:E,5,FALSE)</f>
        <v>Pm154</v>
      </c>
      <c r="U717">
        <f>VLOOKUP(Sheet2!R717,Nuclides!A:E,2,FALSE)</f>
        <v>93</v>
      </c>
      <c r="V717">
        <f>VLOOKUP(R717,Nuclides!A:E,3,FALSE)</f>
        <v>61</v>
      </c>
      <c r="W717" s="1">
        <f t="shared" si="36"/>
        <v>3423438719.9999995</v>
      </c>
      <c r="X717" t="s">
        <v>1817</v>
      </c>
      <c r="Z717" s="1">
        <v>60152</v>
      </c>
      <c r="AA717" s="1">
        <v>2.3340399999999998E-6</v>
      </c>
      <c r="AB717" t="str">
        <f>VLOOKUP(Z717,Nuclides!A:E,5,FALSE)</f>
        <v>Nd152</v>
      </c>
      <c r="AC717">
        <f>VLOOKUP(Sheet2!Z717,Nuclides!A:E,2,FALSE)</f>
        <v>92</v>
      </c>
      <c r="AD717">
        <f>VLOOKUP(Z717,Nuclides!A:E,3,FALSE)</f>
        <v>60</v>
      </c>
      <c r="AE717" s="1">
        <f t="shared" si="37"/>
        <v>29128819200</v>
      </c>
      <c r="AF717" t="s">
        <v>1781</v>
      </c>
    </row>
    <row r="718" spans="18:32" x14ac:dyDescent="0.2">
      <c r="R718" s="1">
        <v>61155</v>
      </c>
      <c r="S718" s="1">
        <v>4.0218799999999997E-7</v>
      </c>
      <c r="T718" t="str">
        <f>VLOOKUP(R718,Nuclides!A:E,5,FALSE)</f>
        <v>Pm155</v>
      </c>
      <c r="U718">
        <f>VLOOKUP(Sheet2!R718,Nuclides!A:E,2,FALSE)</f>
        <v>94</v>
      </c>
      <c r="V718">
        <f>VLOOKUP(R718,Nuclides!A:E,3,FALSE)</f>
        <v>61</v>
      </c>
      <c r="W718" s="1">
        <f t="shared" si="36"/>
        <v>5019306240</v>
      </c>
      <c r="X718" t="s">
        <v>1818</v>
      </c>
      <c r="Z718" s="1">
        <v>60153</v>
      </c>
      <c r="AA718" s="1">
        <v>1.9652900000000002E-6</v>
      </c>
      <c r="AB718" t="str">
        <f>VLOOKUP(Z718,Nuclides!A:E,5,FALSE)</f>
        <v>Nd153</v>
      </c>
      <c r="AC718">
        <f>VLOOKUP(Sheet2!Z718,Nuclides!A:E,2,FALSE)</f>
        <v>93</v>
      </c>
      <c r="AD718">
        <f>VLOOKUP(Z718,Nuclides!A:E,3,FALSE)</f>
        <v>60</v>
      </c>
      <c r="AE718" s="1">
        <f t="shared" si="37"/>
        <v>24526819200.000004</v>
      </c>
      <c r="AF718" t="s">
        <v>1782</v>
      </c>
    </row>
    <row r="719" spans="18:32" x14ac:dyDescent="0.2">
      <c r="R719" s="1">
        <v>62133</v>
      </c>
      <c r="S719" s="1">
        <v>3.6854399999999999E-7</v>
      </c>
      <c r="T719" t="str">
        <f>VLOOKUP(R719,Nuclides!A:E,5,FALSE)</f>
        <v>Sm133</v>
      </c>
      <c r="U719">
        <f>VLOOKUP(Sheet2!R719,Nuclides!A:E,2,FALSE)</f>
        <v>71</v>
      </c>
      <c r="V719">
        <f>VLOOKUP(R719,Nuclides!A:E,3,FALSE)</f>
        <v>62</v>
      </c>
      <c r="W719" s="1">
        <f t="shared" si="36"/>
        <v>4599429120</v>
      </c>
      <c r="X719" t="s">
        <v>1830</v>
      </c>
      <c r="Z719" s="1">
        <v>60154</v>
      </c>
      <c r="AA719" s="1">
        <v>1.9971899999999998E-6</v>
      </c>
      <c r="AB719" t="str">
        <f>VLOOKUP(Z719,Nuclides!A:E,5,FALSE)</f>
        <v>Nd154</v>
      </c>
      <c r="AC719">
        <f>VLOOKUP(Sheet2!Z719,Nuclides!A:E,2,FALSE)</f>
        <v>94</v>
      </c>
      <c r="AD719">
        <f>VLOOKUP(Z719,Nuclides!A:E,3,FALSE)</f>
        <v>60</v>
      </c>
      <c r="AE719" s="1">
        <f t="shared" si="37"/>
        <v>24924931199.999996</v>
      </c>
      <c r="AF719" t="s">
        <v>1783</v>
      </c>
    </row>
    <row r="720" spans="18:32" x14ac:dyDescent="0.2">
      <c r="R720" s="1">
        <v>62134</v>
      </c>
      <c r="S720" s="1">
        <v>3.3566799999999999E-7</v>
      </c>
      <c r="T720" t="str">
        <f>VLOOKUP(R720,Nuclides!A:E,5,FALSE)</f>
        <v>Sm134</v>
      </c>
      <c r="U720">
        <f>VLOOKUP(Sheet2!R720,Nuclides!A:E,2,FALSE)</f>
        <v>72</v>
      </c>
      <c r="V720">
        <f>VLOOKUP(R720,Nuclides!A:E,3,FALSE)</f>
        <v>62</v>
      </c>
      <c r="W720" s="1">
        <f t="shared" si="36"/>
        <v>4189136640</v>
      </c>
      <c r="X720" t="s">
        <v>1831</v>
      </c>
      <c r="Z720" s="1">
        <v>61132</v>
      </c>
      <c r="AA720" s="1">
        <v>1.1575600000000001E-6</v>
      </c>
      <c r="AB720" t="str">
        <f>VLOOKUP(Z720,Nuclides!A:E,5,FALSE)</f>
        <v>Pm132</v>
      </c>
      <c r="AC720">
        <f>VLOOKUP(Sheet2!Z720,Nuclides!A:E,2,FALSE)</f>
        <v>71</v>
      </c>
      <c r="AD720">
        <f>VLOOKUP(Z720,Nuclides!A:E,3,FALSE)</f>
        <v>61</v>
      </c>
      <c r="AE720" s="1">
        <f t="shared" si="37"/>
        <v>14446348800.000002</v>
      </c>
      <c r="AF720" t="s">
        <v>1795</v>
      </c>
    </row>
    <row r="721" spans="18:32" x14ac:dyDescent="0.2">
      <c r="R721" s="1">
        <v>62135</v>
      </c>
      <c r="S721" s="1">
        <v>1.76664E-7</v>
      </c>
      <c r="T721" t="str">
        <f>VLOOKUP(R721,Nuclides!A:E,5,FALSE)</f>
        <v>Sm135</v>
      </c>
      <c r="U721">
        <f>VLOOKUP(Sheet2!R721,Nuclides!A:E,2,FALSE)</f>
        <v>73</v>
      </c>
      <c r="V721">
        <f>VLOOKUP(R721,Nuclides!A:E,3,FALSE)</f>
        <v>62</v>
      </c>
      <c r="W721" s="1">
        <f t="shared" si="36"/>
        <v>2204766720</v>
      </c>
      <c r="X721" t="s">
        <v>1832</v>
      </c>
      <c r="Z721" s="1">
        <v>61133</v>
      </c>
      <c r="AA721" s="1">
        <v>7.98582E-7</v>
      </c>
      <c r="AB721" t="str">
        <f>VLOOKUP(Z721,Nuclides!A:E,5,FALSE)</f>
        <v>Pm133</v>
      </c>
      <c r="AC721">
        <f>VLOOKUP(Sheet2!Z721,Nuclides!A:E,2,FALSE)</f>
        <v>72</v>
      </c>
      <c r="AD721">
        <f>VLOOKUP(Z721,Nuclides!A:E,3,FALSE)</f>
        <v>61</v>
      </c>
      <c r="AE721" s="1">
        <f t="shared" si="37"/>
        <v>9966303360</v>
      </c>
      <c r="AF721" t="s">
        <v>1796</v>
      </c>
    </row>
    <row r="722" spans="18:32" x14ac:dyDescent="0.2">
      <c r="R722" s="1">
        <v>62136</v>
      </c>
      <c r="S722" s="1">
        <v>9.3531999999999993E-8</v>
      </c>
      <c r="T722" t="str">
        <f>VLOOKUP(R722,Nuclides!A:E,5,FALSE)</f>
        <v>Sm136</v>
      </c>
      <c r="U722">
        <f>VLOOKUP(Sheet2!R722,Nuclides!A:E,2,FALSE)</f>
        <v>74</v>
      </c>
      <c r="V722">
        <f>VLOOKUP(R722,Nuclides!A:E,3,FALSE)</f>
        <v>62</v>
      </c>
      <c r="W722" s="1">
        <f t="shared" si="36"/>
        <v>1167279360</v>
      </c>
      <c r="X722" t="s">
        <v>1833</v>
      </c>
      <c r="Z722" s="1">
        <v>61134</v>
      </c>
      <c r="AA722" s="1">
        <v>2.7054500000000002E-7</v>
      </c>
      <c r="AB722" t="str">
        <f>VLOOKUP(Z722,Nuclides!A:E,5,FALSE)</f>
        <v>Pm134</v>
      </c>
      <c r="AC722">
        <f>VLOOKUP(Sheet2!Z722,Nuclides!A:E,2,FALSE)</f>
        <v>73</v>
      </c>
      <c r="AD722">
        <f>VLOOKUP(Z722,Nuclides!A:E,3,FALSE)</f>
        <v>61</v>
      </c>
      <c r="AE722" s="1">
        <f t="shared" si="37"/>
        <v>3376401600</v>
      </c>
      <c r="AF722" t="s">
        <v>1797</v>
      </c>
    </row>
    <row r="723" spans="18:32" x14ac:dyDescent="0.2">
      <c r="R723" s="1">
        <v>62137</v>
      </c>
      <c r="S723" s="1">
        <v>2.5895800000000002E-8</v>
      </c>
      <c r="T723" t="str">
        <f>VLOOKUP(R723,Nuclides!A:E,5,FALSE)</f>
        <v>Sm137</v>
      </c>
      <c r="U723">
        <f>VLOOKUP(Sheet2!R723,Nuclides!A:E,2,FALSE)</f>
        <v>75</v>
      </c>
      <c r="V723">
        <f>VLOOKUP(R723,Nuclides!A:E,3,FALSE)</f>
        <v>62</v>
      </c>
      <c r="W723" s="1">
        <f t="shared" si="36"/>
        <v>323179584</v>
      </c>
      <c r="X723" t="s">
        <v>1834</v>
      </c>
      <c r="Z723" s="1">
        <v>61135</v>
      </c>
      <c r="AA723" s="1">
        <v>1.5670099999999999E-7</v>
      </c>
      <c r="AB723" t="str">
        <f>VLOOKUP(Z723,Nuclides!A:E,5,FALSE)</f>
        <v>Pm135</v>
      </c>
      <c r="AC723">
        <f>VLOOKUP(Sheet2!Z723,Nuclides!A:E,2,FALSE)</f>
        <v>74</v>
      </c>
      <c r="AD723">
        <f>VLOOKUP(Z723,Nuclides!A:E,3,FALSE)</f>
        <v>61</v>
      </c>
      <c r="AE723" s="1">
        <f t="shared" si="37"/>
        <v>1955628480</v>
      </c>
      <c r="AF723" t="s">
        <v>1798</v>
      </c>
    </row>
    <row r="724" spans="18:32" x14ac:dyDescent="0.2">
      <c r="R724" s="1">
        <v>62138</v>
      </c>
      <c r="S724" s="1">
        <v>8.3061999999999993E-9</v>
      </c>
      <c r="T724" t="str">
        <f>VLOOKUP(R724,Nuclides!A:E,5,FALSE)</f>
        <v>Sm138</v>
      </c>
      <c r="U724">
        <f>VLOOKUP(Sheet2!R724,Nuclides!A:E,2,FALSE)</f>
        <v>76</v>
      </c>
      <c r="V724">
        <f>VLOOKUP(R724,Nuclides!A:E,3,FALSE)</f>
        <v>62</v>
      </c>
      <c r="W724" s="1">
        <f t="shared" si="36"/>
        <v>103661375.99999999</v>
      </c>
      <c r="X724" t="s">
        <v>1835</v>
      </c>
      <c r="Z724" s="1">
        <v>61136</v>
      </c>
      <c r="AA724" s="1">
        <v>3.7203400000000001E-8</v>
      </c>
      <c r="AB724" t="str">
        <f>VLOOKUP(Z724,Nuclides!A:E,5,FALSE)</f>
        <v>Pm136</v>
      </c>
      <c r="AC724">
        <f>VLOOKUP(Sheet2!Z724,Nuclides!A:E,2,FALSE)</f>
        <v>75</v>
      </c>
      <c r="AD724">
        <f>VLOOKUP(Z724,Nuclides!A:E,3,FALSE)</f>
        <v>61</v>
      </c>
      <c r="AE724" s="1">
        <f t="shared" si="37"/>
        <v>464298432</v>
      </c>
      <c r="AF724" t="s">
        <v>1799</v>
      </c>
    </row>
    <row r="725" spans="18:32" x14ac:dyDescent="0.2">
      <c r="R725" s="1">
        <v>62139</v>
      </c>
      <c r="S725" s="1">
        <v>1.7450000000000001E-9</v>
      </c>
      <c r="T725" t="str">
        <f>VLOOKUP(R725,Nuclides!A:E,5,FALSE)</f>
        <v>Sm139</v>
      </c>
      <c r="U725">
        <f>VLOOKUP(Sheet2!R725,Nuclides!A:E,2,FALSE)</f>
        <v>77</v>
      </c>
      <c r="V725">
        <f>VLOOKUP(R725,Nuclides!A:E,3,FALSE)</f>
        <v>62</v>
      </c>
      <c r="W725" s="1">
        <f t="shared" si="36"/>
        <v>21777600</v>
      </c>
      <c r="X725" t="s">
        <v>1836</v>
      </c>
      <c r="Z725" s="1">
        <v>61137</v>
      </c>
      <c r="AA725" s="1">
        <v>1.4588200000000001E-8</v>
      </c>
      <c r="AB725" t="str">
        <f>VLOOKUP(Z725,Nuclides!A:E,5,FALSE)</f>
        <v>Pm137</v>
      </c>
      <c r="AC725">
        <f>VLOOKUP(Sheet2!Z725,Nuclides!A:E,2,FALSE)</f>
        <v>76</v>
      </c>
      <c r="AD725">
        <f>VLOOKUP(Z725,Nuclides!A:E,3,FALSE)</f>
        <v>61</v>
      </c>
      <c r="AE725" s="1">
        <f t="shared" si="37"/>
        <v>182060736</v>
      </c>
      <c r="AF725" t="s">
        <v>1800</v>
      </c>
    </row>
    <row r="726" spans="18:32" x14ac:dyDescent="0.2">
      <c r="R726" s="1">
        <v>62140</v>
      </c>
      <c r="S726" s="1">
        <v>1.3959999999999999E-10</v>
      </c>
      <c r="T726" t="str">
        <f>VLOOKUP(R726,Nuclides!A:E,5,FALSE)</f>
        <v>Sm140</v>
      </c>
      <c r="U726">
        <f>VLOOKUP(Sheet2!R726,Nuclides!A:E,2,FALSE)</f>
        <v>78</v>
      </c>
      <c r="V726">
        <f>VLOOKUP(R726,Nuclides!A:E,3,FALSE)</f>
        <v>62</v>
      </c>
      <c r="W726" s="1">
        <f t="shared" si="36"/>
        <v>1742207.9999999998</v>
      </c>
      <c r="X726" t="s">
        <v>1837</v>
      </c>
      <c r="Z726" s="1">
        <v>61138</v>
      </c>
      <c r="AA726" s="1">
        <v>2.6524000000000001E-9</v>
      </c>
      <c r="AB726" t="str">
        <f>VLOOKUP(Z726,Nuclides!A:E,5,FALSE)</f>
        <v>Pm138</v>
      </c>
      <c r="AC726">
        <f>VLOOKUP(Sheet2!Z726,Nuclides!A:E,2,FALSE)</f>
        <v>77</v>
      </c>
      <c r="AD726">
        <f>VLOOKUP(Z726,Nuclides!A:E,3,FALSE)</f>
        <v>61</v>
      </c>
      <c r="AE726" s="1">
        <f t="shared" si="37"/>
        <v>33101952</v>
      </c>
      <c r="AF726" t="s">
        <v>1801</v>
      </c>
    </row>
    <row r="727" spans="18:32" x14ac:dyDescent="0.2">
      <c r="R727" s="1">
        <v>62150</v>
      </c>
      <c r="S727" s="1">
        <v>1.3959999999999999E-10</v>
      </c>
      <c r="T727" t="str">
        <f>VLOOKUP(R727,Nuclides!A:E,5,FALSE)</f>
        <v>Sm150</v>
      </c>
      <c r="U727">
        <f>VLOOKUP(Sheet2!R727,Nuclides!A:E,2,FALSE)</f>
        <v>88</v>
      </c>
      <c r="V727">
        <f>VLOOKUP(R727,Nuclides!A:E,3,FALSE)</f>
        <v>62</v>
      </c>
      <c r="W727" s="1">
        <f t="shared" si="36"/>
        <v>1742207.9999999998</v>
      </c>
      <c r="X727" t="s">
        <v>1847</v>
      </c>
      <c r="Z727" s="1">
        <v>61139</v>
      </c>
      <c r="AA727" s="1">
        <v>4.1879999999999999E-10</v>
      </c>
      <c r="AB727" t="str">
        <f>VLOOKUP(Z727,Nuclides!A:E,5,FALSE)</f>
        <v>Pm139</v>
      </c>
      <c r="AC727">
        <f>VLOOKUP(Sheet2!Z727,Nuclides!A:E,2,FALSE)</f>
        <v>78</v>
      </c>
      <c r="AD727">
        <f>VLOOKUP(Z727,Nuclides!A:E,3,FALSE)</f>
        <v>61</v>
      </c>
      <c r="AE727" s="1">
        <f t="shared" si="37"/>
        <v>5226624</v>
      </c>
      <c r="AF727" t="s">
        <v>1802</v>
      </c>
    </row>
    <row r="728" spans="18:32" x14ac:dyDescent="0.2">
      <c r="R728" s="1">
        <v>62151</v>
      </c>
      <c r="S728" s="1">
        <v>5.5839999999999995E-10</v>
      </c>
      <c r="T728" t="str">
        <f>VLOOKUP(R728,Nuclides!A:E,5,FALSE)</f>
        <v>Sm151</v>
      </c>
      <c r="U728">
        <f>VLOOKUP(Sheet2!R728,Nuclides!A:E,2,FALSE)</f>
        <v>89</v>
      </c>
      <c r="V728">
        <f>VLOOKUP(R728,Nuclides!A:E,3,FALSE)</f>
        <v>62</v>
      </c>
      <c r="W728" s="1">
        <f t="shared" si="36"/>
        <v>6968831.9999999991</v>
      </c>
      <c r="X728" t="s">
        <v>1848</v>
      </c>
      <c r="Z728" s="1">
        <v>61147</v>
      </c>
      <c r="AA728" s="1">
        <v>6.9799999999999994E-11</v>
      </c>
      <c r="AB728" t="str">
        <f>VLOOKUP(Z728,Nuclides!A:E,5,FALSE)</f>
        <v>Pm147</v>
      </c>
      <c r="AC728">
        <f>VLOOKUP(Sheet2!Z728,Nuclides!A:E,2,FALSE)</f>
        <v>86</v>
      </c>
      <c r="AD728">
        <f>VLOOKUP(Z728,Nuclides!A:E,3,FALSE)</f>
        <v>61</v>
      </c>
      <c r="AE728" s="1">
        <f t="shared" si="37"/>
        <v>871103.99999999988</v>
      </c>
      <c r="AF728" t="s">
        <v>1810</v>
      </c>
    </row>
    <row r="729" spans="18:32" x14ac:dyDescent="0.2">
      <c r="R729" s="1">
        <v>62152</v>
      </c>
      <c r="S729" s="1">
        <v>2.4429999999999999E-9</v>
      </c>
      <c r="T729" t="str">
        <f>VLOOKUP(R729,Nuclides!A:E,5,FALSE)</f>
        <v>Sm152</v>
      </c>
      <c r="U729">
        <f>VLOOKUP(Sheet2!R729,Nuclides!A:E,2,FALSE)</f>
        <v>90</v>
      </c>
      <c r="V729">
        <f>VLOOKUP(R729,Nuclides!A:E,3,FALSE)</f>
        <v>62</v>
      </c>
      <c r="W729" s="1">
        <f t="shared" si="36"/>
        <v>30488640</v>
      </c>
      <c r="X729" t="s">
        <v>1849</v>
      </c>
      <c r="Z729" s="1">
        <v>61148</v>
      </c>
      <c r="AA729" s="1">
        <v>4.8860000000000005E-10</v>
      </c>
      <c r="AB729" t="str">
        <f>VLOOKUP(Z729,Nuclides!A:E,5,FALSE)</f>
        <v>Pm148</v>
      </c>
      <c r="AC729">
        <f>VLOOKUP(Sheet2!Z729,Nuclides!A:E,2,FALSE)</f>
        <v>87</v>
      </c>
      <c r="AD729">
        <f>VLOOKUP(Z729,Nuclides!A:E,3,FALSE)</f>
        <v>61</v>
      </c>
      <c r="AE729" s="1">
        <f t="shared" si="37"/>
        <v>6097728.0000000009</v>
      </c>
      <c r="AF729" t="s">
        <v>1811</v>
      </c>
    </row>
    <row r="730" spans="18:32" x14ac:dyDescent="0.2">
      <c r="R730" s="1">
        <v>62153</v>
      </c>
      <c r="S730" s="1">
        <v>5.3048000000000001E-9</v>
      </c>
      <c r="T730" t="str">
        <f>VLOOKUP(R730,Nuclides!A:E,5,FALSE)</f>
        <v>Sm153</v>
      </c>
      <c r="U730">
        <f>VLOOKUP(Sheet2!R730,Nuclides!A:E,2,FALSE)</f>
        <v>91</v>
      </c>
      <c r="V730">
        <f>VLOOKUP(R730,Nuclides!A:E,3,FALSE)</f>
        <v>62</v>
      </c>
      <c r="W730" s="1">
        <f t="shared" si="36"/>
        <v>66203904</v>
      </c>
      <c r="X730" t="s">
        <v>1850</v>
      </c>
      <c r="Z730" s="1">
        <v>61149</v>
      </c>
      <c r="AA730" s="1">
        <v>4.4671999999999996E-9</v>
      </c>
      <c r="AB730" t="str">
        <f>VLOOKUP(Z730,Nuclides!A:E,5,FALSE)</f>
        <v>Pm149</v>
      </c>
      <c r="AC730">
        <f>VLOOKUP(Sheet2!Z730,Nuclides!A:E,2,FALSE)</f>
        <v>88</v>
      </c>
      <c r="AD730">
        <f>VLOOKUP(Z730,Nuclides!A:E,3,FALSE)</f>
        <v>61</v>
      </c>
      <c r="AE730" s="1">
        <f t="shared" si="37"/>
        <v>55750655.999999993</v>
      </c>
      <c r="AF730" t="s">
        <v>1812</v>
      </c>
    </row>
    <row r="731" spans="18:32" x14ac:dyDescent="0.2">
      <c r="R731" s="1">
        <v>62154</v>
      </c>
      <c r="S731" s="1">
        <v>1.94742E-8</v>
      </c>
      <c r="T731" t="str">
        <f>VLOOKUP(R731,Nuclides!A:E,5,FALSE)</f>
        <v>Sm154</v>
      </c>
      <c r="U731">
        <f>VLOOKUP(Sheet2!R731,Nuclides!A:E,2,FALSE)</f>
        <v>92</v>
      </c>
      <c r="V731">
        <f>VLOOKUP(R731,Nuclides!A:E,3,FALSE)</f>
        <v>62</v>
      </c>
      <c r="W731" s="1">
        <f t="shared" si="36"/>
        <v>243038016</v>
      </c>
      <c r="X731" t="s">
        <v>1851</v>
      </c>
      <c r="Z731" s="1">
        <v>61150</v>
      </c>
      <c r="AA731" s="1">
        <v>1.5216400000000001E-8</v>
      </c>
      <c r="AB731" t="str">
        <f>VLOOKUP(Z731,Nuclides!A:E,5,FALSE)</f>
        <v>Pm150</v>
      </c>
      <c r="AC731">
        <f>VLOOKUP(Sheet2!Z731,Nuclides!A:E,2,FALSE)</f>
        <v>89</v>
      </c>
      <c r="AD731">
        <f>VLOOKUP(Z731,Nuclides!A:E,3,FALSE)</f>
        <v>61</v>
      </c>
      <c r="AE731" s="1">
        <f t="shared" si="37"/>
        <v>189900672</v>
      </c>
      <c r="AF731" t="s">
        <v>1813</v>
      </c>
    </row>
    <row r="732" spans="18:32" x14ac:dyDescent="0.2">
      <c r="R732" s="1">
        <v>62155</v>
      </c>
      <c r="S732" s="1">
        <v>4.4113599999999999E-8</v>
      </c>
      <c r="T732" t="str">
        <f>VLOOKUP(R732,Nuclides!A:E,5,FALSE)</f>
        <v>Sm155</v>
      </c>
      <c r="U732">
        <f>VLOOKUP(Sheet2!R732,Nuclides!A:E,2,FALSE)</f>
        <v>93</v>
      </c>
      <c r="V732">
        <f>VLOOKUP(R732,Nuclides!A:E,3,FALSE)</f>
        <v>62</v>
      </c>
      <c r="W732" s="1">
        <f t="shared" si="36"/>
        <v>550537728</v>
      </c>
      <c r="X732" t="s">
        <v>1852</v>
      </c>
      <c r="Z732" s="1">
        <v>61151</v>
      </c>
      <c r="AA732" s="1">
        <v>7.5034999999999997E-8</v>
      </c>
      <c r="AB732" t="str">
        <f>VLOOKUP(Z732,Nuclides!A:E,5,FALSE)</f>
        <v>Pm151</v>
      </c>
      <c r="AC732">
        <f>VLOOKUP(Sheet2!Z732,Nuclides!A:E,2,FALSE)</f>
        <v>90</v>
      </c>
      <c r="AD732">
        <f>VLOOKUP(Z732,Nuclides!A:E,3,FALSE)</f>
        <v>61</v>
      </c>
      <c r="AE732" s="1">
        <f t="shared" si="37"/>
        <v>936436800</v>
      </c>
      <c r="AF732" t="s">
        <v>1814</v>
      </c>
    </row>
    <row r="733" spans="18:32" x14ac:dyDescent="0.2">
      <c r="R733" s="1">
        <v>62156</v>
      </c>
      <c r="S733" s="1">
        <v>9.0460799999999994E-8</v>
      </c>
      <c r="T733" t="str">
        <f>VLOOKUP(R733,Nuclides!A:E,5,FALSE)</f>
        <v>Sm156</v>
      </c>
      <c r="U733">
        <f>VLOOKUP(Sheet2!R733,Nuclides!A:E,2,FALSE)</f>
        <v>94</v>
      </c>
      <c r="V733">
        <f>VLOOKUP(R733,Nuclides!A:E,3,FALSE)</f>
        <v>62</v>
      </c>
      <c r="W733" s="1">
        <f t="shared" si="36"/>
        <v>1128950784</v>
      </c>
      <c r="X733" t="s">
        <v>1853</v>
      </c>
      <c r="Z733" s="1">
        <v>61152</v>
      </c>
      <c r="AA733" s="1">
        <v>1.7149899999999999E-7</v>
      </c>
      <c r="AB733" t="str">
        <f>VLOOKUP(Z733,Nuclides!A:E,5,FALSE)</f>
        <v>Pm152</v>
      </c>
      <c r="AC733">
        <f>VLOOKUP(Sheet2!Z733,Nuclides!A:E,2,FALSE)</f>
        <v>91</v>
      </c>
      <c r="AD733">
        <f>VLOOKUP(Z733,Nuclides!A:E,3,FALSE)</f>
        <v>61</v>
      </c>
      <c r="AE733" s="1">
        <f t="shared" si="37"/>
        <v>2140307520</v>
      </c>
      <c r="AF733" t="s">
        <v>1815</v>
      </c>
    </row>
    <row r="734" spans="18:32" x14ac:dyDescent="0.2">
      <c r="R734" s="1">
        <v>62157</v>
      </c>
      <c r="S734" s="1">
        <v>1.3206200000000001E-7</v>
      </c>
      <c r="T734" t="str">
        <f>VLOOKUP(R734,Nuclides!A:E,5,FALSE)</f>
        <v>Sm157</v>
      </c>
      <c r="U734">
        <f>VLOOKUP(Sheet2!R734,Nuclides!A:E,2,FALSE)</f>
        <v>95</v>
      </c>
      <c r="V734">
        <f>VLOOKUP(R734,Nuclides!A:E,3,FALSE)</f>
        <v>62</v>
      </c>
      <c r="W734" s="1">
        <f t="shared" si="36"/>
        <v>1648133760</v>
      </c>
      <c r="X734" t="s">
        <v>1854</v>
      </c>
      <c r="Z734" s="1">
        <v>61153</v>
      </c>
      <c r="AA734" s="1">
        <v>4.65008E-7</v>
      </c>
      <c r="AB734" t="str">
        <f>VLOOKUP(Z734,Nuclides!A:E,5,FALSE)</f>
        <v>Pm153</v>
      </c>
      <c r="AC734">
        <f>VLOOKUP(Sheet2!Z734,Nuclides!A:E,2,FALSE)</f>
        <v>92</v>
      </c>
      <c r="AD734">
        <f>VLOOKUP(Z734,Nuclides!A:E,3,FALSE)</f>
        <v>61</v>
      </c>
      <c r="AE734" s="1">
        <f t="shared" si="37"/>
        <v>5803299840</v>
      </c>
      <c r="AF734" t="s">
        <v>1816</v>
      </c>
    </row>
    <row r="735" spans="18:32" x14ac:dyDescent="0.2">
      <c r="R735" s="1">
        <v>62158</v>
      </c>
      <c r="S735" s="1">
        <v>1.7142899999999999E-7</v>
      </c>
      <c r="T735" t="str">
        <f>VLOOKUP(R735,Nuclides!A:E,5,FALSE)</f>
        <v>Sm158</v>
      </c>
      <c r="U735">
        <f>VLOOKUP(Sheet2!R735,Nuclides!A:E,2,FALSE)</f>
        <v>96</v>
      </c>
      <c r="V735">
        <f>VLOOKUP(R735,Nuclides!A:E,3,FALSE)</f>
        <v>62</v>
      </c>
      <c r="W735" s="1">
        <f t="shared" si="36"/>
        <v>2139433920</v>
      </c>
      <c r="X735" t="s">
        <v>1855</v>
      </c>
      <c r="Z735" s="1">
        <v>61154</v>
      </c>
      <c r="AA735" s="1">
        <v>6.4229999999999997E-7</v>
      </c>
      <c r="AB735" t="str">
        <f>VLOOKUP(Z735,Nuclides!A:E,5,FALSE)</f>
        <v>Pm154</v>
      </c>
      <c r="AC735">
        <f>VLOOKUP(Sheet2!Z735,Nuclides!A:E,2,FALSE)</f>
        <v>93</v>
      </c>
      <c r="AD735">
        <f>VLOOKUP(Z735,Nuclides!A:E,3,FALSE)</f>
        <v>61</v>
      </c>
      <c r="AE735" s="1">
        <f t="shared" si="37"/>
        <v>8015904000</v>
      </c>
      <c r="AF735" t="s">
        <v>1817</v>
      </c>
    </row>
    <row r="736" spans="18:32" x14ac:dyDescent="0.2">
      <c r="R736" s="1">
        <v>63138</v>
      </c>
      <c r="S736" s="1">
        <v>1.62215E-7</v>
      </c>
      <c r="T736" t="str">
        <f>VLOOKUP(R736,Nuclides!A:E,5,FALSE)</f>
        <v>Eu138</v>
      </c>
      <c r="U736">
        <f>VLOOKUP(Sheet2!R736,Nuclides!A:E,2,FALSE)</f>
        <v>75</v>
      </c>
      <c r="V736">
        <f>VLOOKUP(R736,Nuclides!A:E,3,FALSE)</f>
        <v>63</v>
      </c>
      <c r="W736" s="1">
        <f t="shared" si="36"/>
        <v>2024443200</v>
      </c>
      <c r="X736" t="s">
        <v>1869</v>
      </c>
      <c r="Z736" s="1">
        <v>61155</v>
      </c>
      <c r="AA736" s="1">
        <v>8.9148599999999999E-7</v>
      </c>
      <c r="AB736" t="str">
        <f>VLOOKUP(Z736,Nuclides!A:E,5,FALSE)</f>
        <v>Pm155</v>
      </c>
      <c r="AC736">
        <f>VLOOKUP(Sheet2!Z736,Nuclides!A:E,2,FALSE)</f>
        <v>94</v>
      </c>
      <c r="AD736">
        <f>VLOOKUP(Z736,Nuclides!A:E,3,FALSE)</f>
        <v>61</v>
      </c>
      <c r="AE736" s="1">
        <f t="shared" si="37"/>
        <v>11125745280</v>
      </c>
      <c r="AF736" t="s">
        <v>1818</v>
      </c>
    </row>
    <row r="737" spans="18:32" x14ac:dyDescent="0.2">
      <c r="R737" s="1">
        <v>63139</v>
      </c>
      <c r="S737" s="1">
        <v>1.2152199999999999E-7</v>
      </c>
      <c r="T737" t="str">
        <f>VLOOKUP(R737,Nuclides!A:E,5,FALSE)</f>
        <v>Eu139</v>
      </c>
      <c r="U737">
        <f>VLOOKUP(Sheet2!R737,Nuclides!A:E,2,FALSE)</f>
        <v>76</v>
      </c>
      <c r="V737">
        <f>VLOOKUP(R737,Nuclides!A:E,3,FALSE)</f>
        <v>63</v>
      </c>
      <c r="W737" s="1">
        <f t="shared" si="36"/>
        <v>1516594560</v>
      </c>
      <c r="X737" t="s">
        <v>1870</v>
      </c>
      <c r="Z737" s="1">
        <v>62133</v>
      </c>
      <c r="AA737" s="1">
        <v>7.1607800000000004E-7</v>
      </c>
      <c r="AB737" t="str">
        <f>VLOOKUP(Z737,Nuclides!A:E,5,FALSE)</f>
        <v>Sm133</v>
      </c>
      <c r="AC737">
        <f>VLOOKUP(Sheet2!Z737,Nuclides!A:E,2,FALSE)</f>
        <v>71</v>
      </c>
      <c r="AD737">
        <f>VLOOKUP(Z737,Nuclides!A:E,3,FALSE)</f>
        <v>62</v>
      </c>
      <c r="AE737" s="1">
        <f t="shared" si="37"/>
        <v>8936653440</v>
      </c>
      <c r="AF737" t="s">
        <v>1830</v>
      </c>
    </row>
    <row r="738" spans="18:32" x14ac:dyDescent="0.2">
      <c r="R738" s="1">
        <v>63140</v>
      </c>
      <c r="S738" s="1">
        <v>6.3029399999999997E-8</v>
      </c>
      <c r="T738" t="str">
        <f>VLOOKUP(R738,Nuclides!A:E,5,FALSE)</f>
        <v>Eu140</v>
      </c>
      <c r="U738">
        <f>VLOOKUP(Sheet2!R738,Nuclides!A:E,2,FALSE)</f>
        <v>77</v>
      </c>
      <c r="V738">
        <f>VLOOKUP(R738,Nuclides!A:E,3,FALSE)</f>
        <v>63</v>
      </c>
      <c r="W738" s="1">
        <f t="shared" si="36"/>
        <v>786606912</v>
      </c>
      <c r="X738" t="s">
        <v>1871</v>
      </c>
      <c r="Z738" s="1">
        <v>62134</v>
      </c>
      <c r="AA738" s="1">
        <v>7.1712500000000004E-7</v>
      </c>
      <c r="AB738" t="str">
        <f>VLOOKUP(Z738,Nuclides!A:E,5,FALSE)</f>
        <v>Sm134</v>
      </c>
      <c r="AC738">
        <f>VLOOKUP(Sheet2!Z738,Nuclides!A:E,2,FALSE)</f>
        <v>72</v>
      </c>
      <c r="AD738">
        <f>VLOOKUP(Z738,Nuclides!A:E,3,FALSE)</f>
        <v>62</v>
      </c>
      <c r="AE738" s="1">
        <f t="shared" si="37"/>
        <v>8949720000</v>
      </c>
      <c r="AF738" t="s">
        <v>1831</v>
      </c>
    </row>
    <row r="739" spans="18:32" x14ac:dyDescent="0.2">
      <c r="R739" s="1">
        <v>63141</v>
      </c>
      <c r="S739" s="1">
        <v>3.1340199999999999E-8</v>
      </c>
      <c r="T739" t="str">
        <f>VLOOKUP(R739,Nuclides!A:E,5,FALSE)</f>
        <v>Eu141</v>
      </c>
      <c r="U739">
        <f>VLOOKUP(Sheet2!R739,Nuclides!A:E,2,FALSE)</f>
        <v>78</v>
      </c>
      <c r="V739">
        <f>VLOOKUP(R739,Nuclides!A:E,3,FALSE)</f>
        <v>63</v>
      </c>
      <c r="W739" s="1">
        <f t="shared" si="36"/>
        <v>391125696</v>
      </c>
      <c r="X739" t="s">
        <v>1872</v>
      </c>
      <c r="Z739" s="1">
        <v>62135</v>
      </c>
      <c r="AA739" s="1">
        <v>3.5514199999999999E-7</v>
      </c>
      <c r="AB739" t="str">
        <f>VLOOKUP(Z739,Nuclides!A:E,5,FALSE)</f>
        <v>Sm135</v>
      </c>
      <c r="AC739">
        <f>VLOOKUP(Sheet2!Z739,Nuclides!A:E,2,FALSE)</f>
        <v>73</v>
      </c>
      <c r="AD739">
        <f>VLOOKUP(Z739,Nuclides!A:E,3,FALSE)</f>
        <v>62</v>
      </c>
      <c r="AE739" s="1">
        <f t="shared" si="37"/>
        <v>4432172160</v>
      </c>
      <c r="AF739" t="s">
        <v>1832</v>
      </c>
    </row>
    <row r="740" spans="18:32" x14ac:dyDescent="0.2">
      <c r="R740" s="1">
        <v>63142</v>
      </c>
      <c r="S740" s="1">
        <v>8.3061999999999993E-9</v>
      </c>
      <c r="T740" t="str">
        <f>VLOOKUP(R740,Nuclides!A:E,5,FALSE)</f>
        <v>Eu142</v>
      </c>
      <c r="U740">
        <f>VLOOKUP(Sheet2!R740,Nuclides!A:E,2,FALSE)</f>
        <v>79</v>
      </c>
      <c r="V740">
        <f>VLOOKUP(R740,Nuclides!A:E,3,FALSE)</f>
        <v>63</v>
      </c>
      <c r="W740" s="1">
        <f t="shared" si="36"/>
        <v>103661375.99999999</v>
      </c>
      <c r="X740" t="s">
        <v>1873</v>
      </c>
      <c r="Z740" s="1">
        <v>62136</v>
      </c>
      <c r="AA740" s="1">
        <v>2.3054900000000001E-7</v>
      </c>
      <c r="AB740" t="str">
        <f>VLOOKUP(Z740,Nuclides!A:E,5,FALSE)</f>
        <v>Sm136</v>
      </c>
      <c r="AC740">
        <f>VLOOKUP(Sheet2!Z740,Nuclides!A:E,2,FALSE)</f>
        <v>74</v>
      </c>
      <c r="AD740">
        <f>VLOOKUP(Z740,Nuclides!A:E,3,FALSE)</f>
        <v>62</v>
      </c>
      <c r="AE740" s="1">
        <f t="shared" si="37"/>
        <v>2877251520</v>
      </c>
      <c r="AF740" t="s">
        <v>1833</v>
      </c>
    </row>
    <row r="741" spans="18:32" x14ac:dyDescent="0.2">
      <c r="R741" s="1">
        <v>63143</v>
      </c>
      <c r="S741" s="1">
        <v>2.0242000000000001E-9</v>
      </c>
      <c r="T741" t="str">
        <f>VLOOKUP(R741,Nuclides!A:E,5,FALSE)</f>
        <v>Eu143</v>
      </c>
      <c r="U741">
        <f>VLOOKUP(Sheet2!R741,Nuclides!A:E,2,FALSE)</f>
        <v>80</v>
      </c>
      <c r="V741">
        <f>VLOOKUP(R741,Nuclides!A:E,3,FALSE)</f>
        <v>63</v>
      </c>
      <c r="W741" s="1">
        <f t="shared" si="36"/>
        <v>25262016</v>
      </c>
      <c r="X741" t="s">
        <v>1874</v>
      </c>
      <c r="Z741" s="1">
        <v>62137</v>
      </c>
      <c r="AA741" s="1">
        <v>8.1665999999999998E-8</v>
      </c>
      <c r="AB741" t="str">
        <f>VLOOKUP(Z741,Nuclides!A:E,5,FALSE)</f>
        <v>Sm137</v>
      </c>
      <c r="AC741">
        <f>VLOOKUP(Sheet2!Z741,Nuclides!A:E,2,FALSE)</f>
        <v>75</v>
      </c>
      <c r="AD741">
        <f>VLOOKUP(Z741,Nuclides!A:E,3,FALSE)</f>
        <v>62</v>
      </c>
      <c r="AE741" s="1">
        <f t="shared" si="37"/>
        <v>1019191680</v>
      </c>
      <c r="AF741" t="s">
        <v>1834</v>
      </c>
    </row>
    <row r="742" spans="18:32" x14ac:dyDescent="0.2">
      <c r="R742" s="1">
        <v>63144</v>
      </c>
      <c r="S742" s="1">
        <v>2.094E-10</v>
      </c>
      <c r="T742" t="str">
        <f>VLOOKUP(R742,Nuclides!A:E,5,FALSE)</f>
        <v>Eu144</v>
      </c>
      <c r="U742">
        <f>VLOOKUP(Sheet2!R742,Nuclides!A:E,2,FALSE)</f>
        <v>81</v>
      </c>
      <c r="V742">
        <f>VLOOKUP(R742,Nuclides!A:E,3,FALSE)</f>
        <v>63</v>
      </c>
      <c r="W742" s="1">
        <f t="shared" si="36"/>
        <v>2613312</v>
      </c>
      <c r="X742" t="s">
        <v>1875</v>
      </c>
      <c r="Z742" s="1">
        <v>62138</v>
      </c>
      <c r="AA742" s="1">
        <v>3.8041000000000003E-8</v>
      </c>
      <c r="AB742" t="str">
        <f>VLOOKUP(Z742,Nuclides!A:E,5,FALSE)</f>
        <v>Sm138</v>
      </c>
      <c r="AC742">
        <f>VLOOKUP(Sheet2!Z742,Nuclides!A:E,2,FALSE)</f>
        <v>76</v>
      </c>
      <c r="AD742">
        <f>VLOOKUP(Z742,Nuclides!A:E,3,FALSE)</f>
        <v>62</v>
      </c>
      <c r="AE742" s="1">
        <f t="shared" si="37"/>
        <v>474751680.00000006</v>
      </c>
      <c r="AF742" t="s">
        <v>1835</v>
      </c>
    </row>
    <row r="743" spans="18:32" x14ac:dyDescent="0.2">
      <c r="R743" s="1">
        <v>63154</v>
      </c>
      <c r="S743" s="1">
        <v>6.9799999999999994E-11</v>
      </c>
      <c r="T743" t="str">
        <f>VLOOKUP(R743,Nuclides!A:E,5,FALSE)</f>
        <v>Eu154</v>
      </c>
      <c r="U743">
        <f>VLOOKUP(Sheet2!R743,Nuclides!A:E,2,FALSE)</f>
        <v>91</v>
      </c>
      <c r="V743">
        <f>VLOOKUP(R743,Nuclides!A:E,3,FALSE)</f>
        <v>63</v>
      </c>
      <c r="W743" s="1">
        <f t="shared" si="36"/>
        <v>871103.99999999988</v>
      </c>
      <c r="X743" t="s">
        <v>1885</v>
      </c>
      <c r="Z743" s="1">
        <v>62139</v>
      </c>
      <c r="AA743" s="1">
        <v>9.3532000000000003E-9</v>
      </c>
      <c r="AB743" t="str">
        <f>VLOOKUP(Z743,Nuclides!A:E,5,FALSE)</f>
        <v>Sm139</v>
      </c>
      <c r="AC743">
        <f>VLOOKUP(Sheet2!Z743,Nuclides!A:E,2,FALSE)</f>
        <v>77</v>
      </c>
      <c r="AD743">
        <f>VLOOKUP(Z743,Nuclides!A:E,3,FALSE)</f>
        <v>62</v>
      </c>
      <c r="AE743" s="1">
        <f t="shared" si="37"/>
        <v>116727936</v>
      </c>
      <c r="AF743" t="s">
        <v>1836</v>
      </c>
    </row>
    <row r="744" spans="18:32" x14ac:dyDescent="0.2">
      <c r="R744" s="1">
        <v>63155</v>
      </c>
      <c r="S744" s="1">
        <v>6.9799999999999997E-10</v>
      </c>
      <c r="T744" t="str">
        <f>VLOOKUP(R744,Nuclides!A:E,5,FALSE)</f>
        <v>Eu155</v>
      </c>
      <c r="U744">
        <f>VLOOKUP(Sheet2!R744,Nuclides!A:E,2,FALSE)</f>
        <v>92</v>
      </c>
      <c r="V744">
        <f>VLOOKUP(R744,Nuclides!A:E,3,FALSE)</f>
        <v>63</v>
      </c>
      <c r="W744" s="1">
        <f t="shared" si="36"/>
        <v>8711040</v>
      </c>
      <c r="X744" t="s">
        <v>1886</v>
      </c>
      <c r="Z744" s="1">
        <v>62140</v>
      </c>
      <c r="AA744" s="1">
        <v>2.0242000000000001E-9</v>
      </c>
      <c r="AB744" t="str">
        <f>VLOOKUP(Z744,Nuclides!A:E,5,FALSE)</f>
        <v>Sm140</v>
      </c>
      <c r="AC744">
        <f>VLOOKUP(Sheet2!Z744,Nuclides!A:E,2,FALSE)</f>
        <v>78</v>
      </c>
      <c r="AD744">
        <f>VLOOKUP(Z744,Nuclides!A:E,3,FALSE)</f>
        <v>62</v>
      </c>
      <c r="AE744" s="1">
        <f t="shared" si="37"/>
        <v>25262016</v>
      </c>
      <c r="AF744" t="s">
        <v>1837</v>
      </c>
    </row>
    <row r="745" spans="18:32" x14ac:dyDescent="0.2">
      <c r="R745" s="1">
        <v>63156</v>
      </c>
      <c r="S745" s="1">
        <v>1.9544000000000002E-9</v>
      </c>
      <c r="T745" t="str">
        <f>VLOOKUP(R745,Nuclides!A:E,5,FALSE)</f>
        <v>Eu156</v>
      </c>
      <c r="U745">
        <f>VLOOKUP(Sheet2!R745,Nuclides!A:E,2,FALSE)</f>
        <v>93</v>
      </c>
      <c r="V745">
        <f>VLOOKUP(R745,Nuclides!A:E,3,FALSE)</f>
        <v>63</v>
      </c>
      <c r="W745" s="1">
        <f t="shared" si="36"/>
        <v>24390912.000000004</v>
      </c>
      <c r="X745" t="s">
        <v>1887</v>
      </c>
      <c r="Z745" s="1">
        <v>62141</v>
      </c>
      <c r="AA745" s="1">
        <v>2.7919999999999998E-10</v>
      </c>
      <c r="AB745" t="str">
        <f>VLOOKUP(Z745,Nuclides!A:E,5,FALSE)</f>
        <v>Sm141</v>
      </c>
      <c r="AC745">
        <f>VLOOKUP(Sheet2!Z745,Nuclides!A:E,2,FALSE)</f>
        <v>79</v>
      </c>
      <c r="AD745">
        <f>VLOOKUP(Z745,Nuclides!A:E,3,FALSE)</f>
        <v>62</v>
      </c>
      <c r="AE745" s="1">
        <f t="shared" si="37"/>
        <v>3484415.9999999995</v>
      </c>
      <c r="AF745" t="s">
        <v>1838</v>
      </c>
    </row>
    <row r="746" spans="18:32" x14ac:dyDescent="0.2">
      <c r="R746" s="1">
        <v>63157</v>
      </c>
      <c r="S746" s="1">
        <v>5.1652000000000003E-9</v>
      </c>
      <c r="T746" t="str">
        <f>VLOOKUP(R746,Nuclides!A:E,5,FALSE)</f>
        <v>Eu157</v>
      </c>
      <c r="U746">
        <f>VLOOKUP(Sheet2!R746,Nuclides!A:E,2,FALSE)</f>
        <v>94</v>
      </c>
      <c r="V746">
        <f>VLOOKUP(R746,Nuclides!A:E,3,FALSE)</f>
        <v>63</v>
      </c>
      <c r="W746" s="1">
        <f t="shared" si="36"/>
        <v>64461696.000000007</v>
      </c>
      <c r="X746" t="s">
        <v>1888</v>
      </c>
      <c r="Z746" s="1">
        <v>62150</v>
      </c>
      <c r="AA746" s="1">
        <v>6.9799999999999994E-11</v>
      </c>
      <c r="AB746" t="str">
        <f>VLOOKUP(Z746,Nuclides!A:E,5,FALSE)</f>
        <v>Sm150</v>
      </c>
      <c r="AC746">
        <f>VLOOKUP(Sheet2!Z746,Nuclides!A:E,2,FALSE)</f>
        <v>88</v>
      </c>
      <c r="AD746">
        <f>VLOOKUP(Z746,Nuclides!A:E,3,FALSE)</f>
        <v>62</v>
      </c>
      <c r="AE746" s="1">
        <f t="shared" si="37"/>
        <v>871103.99999999988</v>
      </c>
      <c r="AF746" t="s">
        <v>1847</v>
      </c>
    </row>
    <row r="747" spans="18:32" x14ac:dyDescent="0.2">
      <c r="R747" s="1">
        <v>63158</v>
      </c>
      <c r="S747" s="1">
        <v>8.7250000000000004E-9</v>
      </c>
      <c r="T747" t="str">
        <f>VLOOKUP(R747,Nuclides!A:E,5,FALSE)</f>
        <v>Eu158</v>
      </c>
      <c r="U747">
        <f>VLOOKUP(Sheet2!R747,Nuclides!A:E,2,FALSE)</f>
        <v>95</v>
      </c>
      <c r="V747">
        <f>VLOOKUP(R747,Nuclides!A:E,3,FALSE)</f>
        <v>63</v>
      </c>
      <c r="W747" s="1">
        <f t="shared" si="36"/>
        <v>108888000</v>
      </c>
      <c r="X747" t="s">
        <v>1889</v>
      </c>
      <c r="Z747" s="1">
        <v>62151</v>
      </c>
      <c r="AA747" s="1">
        <v>4.8860000000000005E-10</v>
      </c>
      <c r="AB747" t="str">
        <f>VLOOKUP(Z747,Nuclides!A:E,5,FALSE)</f>
        <v>Sm151</v>
      </c>
      <c r="AC747">
        <f>VLOOKUP(Sheet2!Z747,Nuclides!A:E,2,FALSE)</f>
        <v>89</v>
      </c>
      <c r="AD747">
        <f>VLOOKUP(Z747,Nuclides!A:E,3,FALSE)</f>
        <v>62</v>
      </c>
      <c r="AE747" s="1">
        <f t="shared" si="37"/>
        <v>6097728.0000000009</v>
      </c>
      <c r="AF747" t="s">
        <v>1848</v>
      </c>
    </row>
    <row r="748" spans="18:32" x14ac:dyDescent="0.2">
      <c r="R748" s="1">
        <v>63159</v>
      </c>
      <c r="S748" s="1">
        <v>1.89856E-8</v>
      </c>
      <c r="T748" t="str">
        <f>VLOOKUP(R748,Nuclides!A:E,5,FALSE)</f>
        <v>Eu159</v>
      </c>
      <c r="U748">
        <f>VLOOKUP(Sheet2!R748,Nuclides!A:E,2,FALSE)</f>
        <v>96</v>
      </c>
      <c r="V748">
        <f>VLOOKUP(R748,Nuclides!A:E,3,FALSE)</f>
        <v>63</v>
      </c>
      <c r="W748" s="1">
        <f t="shared" si="36"/>
        <v>236940288</v>
      </c>
      <c r="X748" t="s">
        <v>1890</v>
      </c>
      <c r="Z748" s="1">
        <v>62152</v>
      </c>
      <c r="AA748" s="1">
        <v>4.5370000000000004E-9</v>
      </c>
      <c r="AB748" t="str">
        <f>VLOOKUP(Z748,Nuclides!A:E,5,FALSE)</f>
        <v>Sm152</v>
      </c>
      <c r="AC748">
        <f>VLOOKUP(Sheet2!Z748,Nuclides!A:E,2,FALSE)</f>
        <v>90</v>
      </c>
      <c r="AD748">
        <f>VLOOKUP(Z748,Nuclides!A:E,3,FALSE)</f>
        <v>62</v>
      </c>
      <c r="AE748" s="1">
        <f t="shared" si="37"/>
        <v>56621760.000000007</v>
      </c>
      <c r="AF748" t="s">
        <v>1849</v>
      </c>
    </row>
    <row r="749" spans="18:32" x14ac:dyDescent="0.2">
      <c r="R749" s="1">
        <v>63160</v>
      </c>
      <c r="S749" s="1">
        <v>2.25454E-8</v>
      </c>
      <c r="T749" t="str">
        <f>VLOOKUP(R749,Nuclides!A:E,5,FALSE)</f>
        <v>Eu160</v>
      </c>
      <c r="U749">
        <f>VLOOKUP(Sheet2!R749,Nuclides!A:E,2,FALSE)</f>
        <v>97</v>
      </c>
      <c r="V749">
        <f>VLOOKUP(R749,Nuclides!A:E,3,FALSE)</f>
        <v>63</v>
      </c>
      <c r="W749" s="1">
        <f t="shared" si="36"/>
        <v>281366592</v>
      </c>
      <c r="X749" t="s">
        <v>1891</v>
      </c>
      <c r="Z749" s="1">
        <v>62153</v>
      </c>
      <c r="AA749" s="1">
        <v>1.1866E-8</v>
      </c>
      <c r="AB749" t="str">
        <f>VLOOKUP(Z749,Nuclides!A:E,5,FALSE)</f>
        <v>Sm153</v>
      </c>
      <c r="AC749">
        <f>VLOOKUP(Sheet2!Z749,Nuclides!A:E,2,FALSE)</f>
        <v>91</v>
      </c>
      <c r="AD749">
        <f>VLOOKUP(Z749,Nuclides!A:E,3,FALSE)</f>
        <v>62</v>
      </c>
      <c r="AE749" s="1">
        <f t="shared" si="37"/>
        <v>148087680</v>
      </c>
      <c r="AF749" t="s">
        <v>1850</v>
      </c>
    </row>
    <row r="750" spans="18:32" x14ac:dyDescent="0.2">
      <c r="R750" s="1">
        <v>64142</v>
      </c>
      <c r="S750" s="1">
        <v>2.84784E-8</v>
      </c>
      <c r="T750" t="str">
        <f>VLOOKUP(R750,Nuclides!A:E,5,FALSE)</f>
        <v>Gd142</v>
      </c>
      <c r="U750">
        <f>VLOOKUP(Sheet2!R750,Nuclides!A:E,2,FALSE)</f>
        <v>78</v>
      </c>
      <c r="V750">
        <f>VLOOKUP(R750,Nuclides!A:E,3,FALSE)</f>
        <v>64</v>
      </c>
      <c r="W750" s="1">
        <f t="shared" si="36"/>
        <v>355410432</v>
      </c>
      <c r="X750" t="s">
        <v>1907</v>
      </c>
      <c r="Z750" s="1">
        <v>62154</v>
      </c>
      <c r="AA750" s="1">
        <v>5.0395600000000002E-8</v>
      </c>
      <c r="AB750" t="str">
        <f>VLOOKUP(Z750,Nuclides!A:E,5,FALSE)</f>
        <v>Sm154</v>
      </c>
      <c r="AC750">
        <f>VLOOKUP(Sheet2!Z750,Nuclides!A:E,2,FALSE)</f>
        <v>92</v>
      </c>
      <c r="AD750">
        <f>VLOOKUP(Z750,Nuclides!A:E,3,FALSE)</f>
        <v>62</v>
      </c>
      <c r="AE750" s="1">
        <f t="shared" si="37"/>
        <v>628937088</v>
      </c>
      <c r="AF750" t="s">
        <v>1851</v>
      </c>
    </row>
    <row r="751" spans="18:32" x14ac:dyDescent="0.2">
      <c r="R751" s="1">
        <v>64143</v>
      </c>
      <c r="S751" s="1">
        <v>1.92648E-8</v>
      </c>
      <c r="T751" t="str">
        <f>VLOOKUP(R751,Nuclides!A:E,5,FALSE)</f>
        <v>Gd143</v>
      </c>
      <c r="U751">
        <f>VLOOKUP(Sheet2!R751,Nuclides!A:E,2,FALSE)</f>
        <v>79</v>
      </c>
      <c r="V751">
        <f>VLOOKUP(R751,Nuclides!A:E,3,FALSE)</f>
        <v>64</v>
      </c>
      <c r="W751" s="1">
        <f t="shared" si="36"/>
        <v>240424704</v>
      </c>
      <c r="X751" t="s">
        <v>1908</v>
      </c>
      <c r="Z751" s="1">
        <v>62155</v>
      </c>
      <c r="AA751" s="1">
        <v>9.0391000000000005E-8</v>
      </c>
      <c r="AB751" t="str">
        <f>VLOOKUP(Z751,Nuclides!A:E,5,FALSE)</f>
        <v>Sm155</v>
      </c>
      <c r="AC751">
        <f>VLOOKUP(Sheet2!Z751,Nuclides!A:E,2,FALSE)</f>
        <v>93</v>
      </c>
      <c r="AD751">
        <f>VLOOKUP(Z751,Nuclides!A:E,3,FALSE)</f>
        <v>62</v>
      </c>
      <c r="AE751" s="1">
        <f t="shared" si="37"/>
        <v>1128079680</v>
      </c>
      <c r="AF751" t="s">
        <v>1852</v>
      </c>
    </row>
    <row r="752" spans="18:32" x14ac:dyDescent="0.2">
      <c r="R752" s="1">
        <v>64144</v>
      </c>
      <c r="S752" s="1">
        <v>1.3331800000000001E-8</v>
      </c>
      <c r="T752" t="str">
        <f>VLOOKUP(R752,Nuclides!A:E,5,FALSE)</f>
        <v>Gd144</v>
      </c>
      <c r="U752">
        <f>VLOOKUP(Sheet2!R752,Nuclides!A:E,2,FALSE)</f>
        <v>80</v>
      </c>
      <c r="V752">
        <f>VLOOKUP(R752,Nuclides!A:E,3,FALSE)</f>
        <v>64</v>
      </c>
      <c r="W752" s="1">
        <f t="shared" si="36"/>
        <v>166380864</v>
      </c>
      <c r="X752" t="s">
        <v>1909</v>
      </c>
      <c r="Z752" s="1">
        <v>62156</v>
      </c>
      <c r="AA752" s="1">
        <v>2.11983E-7</v>
      </c>
      <c r="AB752" t="str">
        <f>VLOOKUP(Z752,Nuclides!A:E,5,FALSE)</f>
        <v>Sm156</v>
      </c>
      <c r="AC752">
        <f>VLOOKUP(Sheet2!Z752,Nuclides!A:E,2,FALSE)</f>
        <v>94</v>
      </c>
      <c r="AD752">
        <f>VLOOKUP(Z752,Nuclides!A:E,3,FALSE)</f>
        <v>62</v>
      </c>
      <c r="AE752" s="1">
        <f t="shared" si="37"/>
        <v>2645547840</v>
      </c>
      <c r="AF752" t="s">
        <v>1853</v>
      </c>
    </row>
    <row r="753" spans="18:32" x14ac:dyDescent="0.2">
      <c r="R753" s="1">
        <v>64145</v>
      </c>
      <c r="S753" s="1">
        <v>4.6766000000000002E-9</v>
      </c>
      <c r="T753" t="str">
        <f>VLOOKUP(R753,Nuclides!A:E,5,FALSE)</f>
        <v>Gd145</v>
      </c>
      <c r="U753">
        <f>VLOOKUP(Sheet2!R753,Nuclides!A:E,2,FALSE)</f>
        <v>81</v>
      </c>
      <c r="V753">
        <f>VLOOKUP(R753,Nuclides!A:E,3,FALSE)</f>
        <v>64</v>
      </c>
      <c r="W753" s="1">
        <f t="shared" si="36"/>
        <v>58363968</v>
      </c>
      <c r="X753" t="s">
        <v>1910</v>
      </c>
      <c r="Z753" s="1">
        <v>62157</v>
      </c>
      <c r="AA753" s="1">
        <v>2.26222E-7</v>
      </c>
      <c r="AB753" t="str">
        <f>VLOOKUP(Z753,Nuclides!A:E,5,FALSE)</f>
        <v>Sm157</v>
      </c>
      <c r="AC753">
        <f>VLOOKUP(Sheet2!Z753,Nuclides!A:E,2,FALSE)</f>
        <v>95</v>
      </c>
      <c r="AD753">
        <f>VLOOKUP(Z753,Nuclides!A:E,3,FALSE)</f>
        <v>62</v>
      </c>
      <c r="AE753" s="1">
        <f t="shared" si="37"/>
        <v>2823250560</v>
      </c>
      <c r="AF753" t="s">
        <v>1854</v>
      </c>
    </row>
    <row r="754" spans="18:32" x14ac:dyDescent="0.2">
      <c r="R754" s="1">
        <v>64146</v>
      </c>
      <c r="S754" s="1">
        <v>1.7450000000000001E-9</v>
      </c>
      <c r="T754" t="str">
        <f>VLOOKUP(R754,Nuclides!A:E,5,FALSE)</f>
        <v>Gd146</v>
      </c>
      <c r="U754">
        <f>VLOOKUP(Sheet2!R754,Nuclides!A:E,2,FALSE)</f>
        <v>82</v>
      </c>
      <c r="V754">
        <f>VLOOKUP(R754,Nuclides!A:E,3,FALSE)</f>
        <v>64</v>
      </c>
      <c r="W754" s="1">
        <f t="shared" si="36"/>
        <v>21777600</v>
      </c>
      <c r="X754" t="s">
        <v>1911</v>
      </c>
      <c r="Z754" s="1">
        <v>62158</v>
      </c>
      <c r="AA754" s="1">
        <v>2.90298E-7</v>
      </c>
      <c r="AB754" t="str">
        <f>VLOOKUP(Z754,Nuclides!A:E,5,FALSE)</f>
        <v>Sm158</v>
      </c>
      <c r="AC754">
        <f>VLOOKUP(Sheet2!Z754,Nuclides!A:E,2,FALSE)</f>
        <v>96</v>
      </c>
      <c r="AD754">
        <f>VLOOKUP(Z754,Nuclides!A:E,3,FALSE)</f>
        <v>62</v>
      </c>
      <c r="AE754" s="1">
        <f t="shared" si="37"/>
        <v>3622919040</v>
      </c>
      <c r="AF754" t="s">
        <v>1855</v>
      </c>
    </row>
    <row r="755" spans="18:32" x14ac:dyDescent="0.2">
      <c r="R755" s="1">
        <v>64147</v>
      </c>
      <c r="S755" s="1">
        <v>3.4899999999999998E-10</v>
      </c>
      <c r="T755" t="str">
        <f>VLOOKUP(R755,Nuclides!A:E,5,FALSE)</f>
        <v>Gd147</v>
      </c>
      <c r="U755">
        <f>VLOOKUP(Sheet2!R755,Nuclides!A:E,2,FALSE)</f>
        <v>83</v>
      </c>
      <c r="V755">
        <f>VLOOKUP(R755,Nuclides!A:E,3,FALSE)</f>
        <v>64</v>
      </c>
      <c r="W755" s="1">
        <f t="shared" si="36"/>
        <v>4355520</v>
      </c>
      <c r="X755" t="s">
        <v>1912</v>
      </c>
      <c r="Z755" s="1">
        <v>63138</v>
      </c>
      <c r="AA755" s="1">
        <v>2.3850700000000001E-7</v>
      </c>
      <c r="AB755" t="str">
        <f>VLOOKUP(Z755,Nuclides!A:E,5,FALSE)</f>
        <v>Eu138</v>
      </c>
      <c r="AC755">
        <f>VLOOKUP(Sheet2!Z755,Nuclides!A:E,2,FALSE)</f>
        <v>75</v>
      </c>
      <c r="AD755">
        <f>VLOOKUP(Z755,Nuclides!A:E,3,FALSE)</f>
        <v>63</v>
      </c>
      <c r="AE755" s="1">
        <f t="shared" si="37"/>
        <v>2976567360</v>
      </c>
      <c r="AF755" t="s">
        <v>1869</v>
      </c>
    </row>
    <row r="756" spans="18:32" x14ac:dyDescent="0.2">
      <c r="R756" s="1">
        <v>64150</v>
      </c>
      <c r="S756" s="1">
        <v>6.9799999999999994E-11</v>
      </c>
      <c r="T756" t="str">
        <f>VLOOKUP(R756,Nuclides!A:E,5,FALSE)</f>
        <v>Gd150</v>
      </c>
      <c r="U756">
        <f>VLOOKUP(Sheet2!R756,Nuclides!A:E,2,FALSE)</f>
        <v>86</v>
      </c>
      <c r="V756">
        <f>VLOOKUP(R756,Nuclides!A:E,3,FALSE)</f>
        <v>64</v>
      </c>
      <c r="W756" s="1">
        <f t="shared" si="36"/>
        <v>871103.99999999988</v>
      </c>
      <c r="X756" t="s">
        <v>1915</v>
      </c>
      <c r="Z756" s="1">
        <v>63139</v>
      </c>
      <c r="AA756" s="1">
        <v>1.89926E-7</v>
      </c>
      <c r="AB756" t="str">
        <f>VLOOKUP(Z756,Nuclides!A:E,5,FALSE)</f>
        <v>Eu139</v>
      </c>
      <c r="AC756">
        <f>VLOOKUP(Sheet2!Z756,Nuclides!A:E,2,FALSE)</f>
        <v>76</v>
      </c>
      <c r="AD756">
        <f>VLOOKUP(Z756,Nuclides!A:E,3,FALSE)</f>
        <v>63</v>
      </c>
      <c r="AE756" s="1">
        <f t="shared" si="37"/>
        <v>2370276480</v>
      </c>
      <c r="AF756" t="s">
        <v>1870</v>
      </c>
    </row>
    <row r="757" spans="18:32" x14ac:dyDescent="0.2">
      <c r="R757" s="1">
        <v>64156</v>
      </c>
      <c r="S757" s="1">
        <v>6.9799999999999994E-11</v>
      </c>
      <c r="T757" t="str">
        <f>VLOOKUP(R757,Nuclides!A:E,5,FALSE)</f>
        <v>Gd156</v>
      </c>
      <c r="U757">
        <f>VLOOKUP(Sheet2!R757,Nuclides!A:E,2,FALSE)</f>
        <v>92</v>
      </c>
      <c r="V757">
        <f>VLOOKUP(R757,Nuclides!A:E,3,FALSE)</f>
        <v>64</v>
      </c>
      <c r="W757" s="1">
        <f t="shared" si="36"/>
        <v>871103.99999999988</v>
      </c>
      <c r="X757" t="s">
        <v>1921</v>
      </c>
      <c r="Z757" s="1">
        <v>63140</v>
      </c>
      <c r="AA757" s="1">
        <v>8.4248599999999994E-8</v>
      </c>
      <c r="AB757" t="str">
        <f>VLOOKUP(Z757,Nuclides!A:E,5,FALSE)</f>
        <v>Eu140</v>
      </c>
      <c r="AC757">
        <f>VLOOKUP(Sheet2!Z757,Nuclides!A:E,2,FALSE)</f>
        <v>77</v>
      </c>
      <c r="AD757">
        <f>VLOOKUP(Z757,Nuclides!A:E,3,FALSE)</f>
        <v>63</v>
      </c>
      <c r="AE757" s="1">
        <f t="shared" si="37"/>
        <v>1051422527.9999999</v>
      </c>
      <c r="AF757" t="s">
        <v>1871</v>
      </c>
    </row>
    <row r="758" spans="18:32" x14ac:dyDescent="0.2">
      <c r="R758" s="1">
        <v>64158</v>
      </c>
      <c r="S758" s="1">
        <v>1.3959999999999999E-10</v>
      </c>
      <c r="T758" t="str">
        <f>VLOOKUP(R758,Nuclides!A:E,5,FALSE)</f>
        <v>Gd158</v>
      </c>
      <c r="U758">
        <f>VLOOKUP(Sheet2!R758,Nuclides!A:E,2,FALSE)</f>
        <v>94</v>
      </c>
      <c r="V758">
        <f>VLOOKUP(R758,Nuclides!A:E,3,FALSE)</f>
        <v>64</v>
      </c>
      <c r="W758" s="1">
        <f t="shared" si="36"/>
        <v>1742207.9999999998</v>
      </c>
      <c r="X758" t="s">
        <v>1923</v>
      </c>
      <c r="Z758" s="1">
        <v>63141</v>
      </c>
      <c r="AA758" s="1">
        <v>5.3606399999999999E-8</v>
      </c>
      <c r="AB758" t="str">
        <f>VLOOKUP(Z758,Nuclides!A:E,5,FALSE)</f>
        <v>Eu141</v>
      </c>
      <c r="AC758">
        <f>VLOOKUP(Sheet2!Z758,Nuclides!A:E,2,FALSE)</f>
        <v>78</v>
      </c>
      <c r="AD758">
        <f>VLOOKUP(Z758,Nuclides!A:E,3,FALSE)</f>
        <v>63</v>
      </c>
      <c r="AE758" s="1">
        <f t="shared" si="37"/>
        <v>669007872</v>
      </c>
      <c r="AF758" t="s">
        <v>1872</v>
      </c>
    </row>
    <row r="759" spans="18:32" x14ac:dyDescent="0.2">
      <c r="R759" s="1">
        <v>64159</v>
      </c>
      <c r="S759" s="1">
        <v>5.5839999999999995E-10</v>
      </c>
      <c r="T759" t="str">
        <f>VLOOKUP(R759,Nuclides!A:E,5,FALSE)</f>
        <v>Gd159</v>
      </c>
      <c r="U759">
        <f>VLOOKUP(Sheet2!R759,Nuclides!A:E,2,FALSE)</f>
        <v>95</v>
      </c>
      <c r="V759">
        <f>VLOOKUP(R759,Nuclides!A:E,3,FALSE)</f>
        <v>64</v>
      </c>
      <c r="W759" s="1">
        <f t="shared" si="36"/>
        <v>6968831.9999999991</v>
      </c>
      <c r="X759" t="s">
        <v>1924</v>
      </c>
      <c r="Z759" s="1">
        <v>63142</v>
      </c>
      <c r="AA759" s="1">
        <v>1.3960000000000001E-8</v>
      </c>
      <c r="AB759" t="str">
        <f>VLOOKUP(Z759,Nuclides!A:E,5,FALSE)</f>
        <v>Eu142</v>
      </c>
      <c r="AC759">
        <f>VLOOKUP(Sheet2!Z759,Nuclides!A:E,2,FALSE)</f>
        <v>79</v>
      </c>
      <c r="AD759">
        <f>VLOOKUP(Z759,Nuclides!A:E,3,FALSE)</f>
        <v>63</v>
      </c>
      <c r="AE759" s="1">
        <f t="shared" si="37"/>
        <v>174220800</v>
      </c>
      <c r="AF759" t="s">
        <v>1873</v>
      </c>
    </row>
    <row r="760" spans="18:32" x14ac:dyDescent="0.2">
      <c r="R760" s="1">
        <v>64160</v>
      </c>
      <c r="S760" s="1">
        <v>3.2806E-9</v>
      </c>
      <c r="T760" t="str">
        <f>VLOOKUP(R760,Nuclides!A:E,5,FALSE)</f>
        <v>Gd160</v>
      </c>
      <c r="U760">
        <f>VLOOKUP(Sheet2!R760,Nuclides!A:E,2,FALSE)</f>
        <v>96</v>
      </c>
      <c r="V760">
        <f>VLOOKUP(R760,Nuclides!A:E,3,FALSE)</f>
        <v>64</v>
      </c>
      <c r="W760" s="1">
        <f t="shared" si="36"/>
        <v>40941888</v>
      </c>
      <c r="X760" t="s">
        <v>1925</v>
      </c>
      <c r="Z760" s="1">
        <v>63143</v>
      </c>
      <c r="AA760" s="1">
        <v>7.0498000000000002E-9</v>
      </c>
      <c r="AB760" t="str">
        <f>VLOOKUP(Z760,Nuclides!A:E,5,FALSE)</f>
        <v>Eu143</v>
      </c>
      <c r="AC760">
        <f>VLOOKUP(Sheet2!Z760,Nuclides!A:E,2,FALSE)</f>
        <v>80</v>
      </c>
      <c r="AD760">
        <f>VLOOKUP(Z760,Nuclides!A:E,3,FALSE)</f>
        <v>63</v>
      </c>
      <c r="AE760" s="1">
        <f t="shared" si="37"/>
        <v>87981504</v>
      </c>
      <c r="AF760" t="s">
        <v>1874</v>
      </c>
    </row>
    <row r="761" spans="18:32" x14ac:dyDescent="0.2">
      <c r="R761" s="1">
        <v>64161</v>
      </c>
      <c r="S761" s="1">
        <v>4.8162E-9</v>
      </c>
      <c r="T761" t="str">
        <f>VLOOKUP(R761,Nuclides!A:E,5,FALSE)</f>
        <v>Gd161</v>
      </c>
      <c r="U761">
        <f>VLOOKUP(Sheet2!R761,Nuclides!A:E,2,FALSE)</f>
        <v>97</v>
      </c>
      <c r="V761">
        <f>VLOOKUP(R761,Nuclides!A:E,3,FALSE)</f>
        <v>64</v>
      </c>
      <c r="W761" s="1">
        <f t="shared" si="36"/>
        <v>60106176</v>
      </c>
      <c r="X761" t="s">
        <v>1926</v>
      </c>
      <c r="Z761" s="1">
        <v>63144</v>
      </c>
      <c r="AA761" s="1">
        <v>9.0739999999999999E-10</v>
      </c>
      <c r="AB761" t="str">
        <f>VLOOKUP(Z761,Nuclides!A:E,5,FALSE)</f>
        <v>Eu144</v>
      </c>
      <c r="AC761">
        <f>VLOOKUP(Sheet2!Z761,Nuclides!A:E,2,FALSE)</f>
        <v>81</v>
      </c>
      <c r="AD761">
        <f>VLOOKUP(Z761,Nuclides!A:E,3,FALSE)</f>
        <v>63</v>
      </c>
      <c r="AE761" s="1">
        <f t="shared" si="37"/>
        <v>11324352</v>
      </c>
      <c r="AF761" t="s">
        <v>1875</v>
      </c>
    </row>
    <row r="762" spans="18:32" x14ac:dyDescent="0.2">
      <c r="R762" s="1">
        <v>64162</v>
      </c>
      <c r="S762" s="1">
        <v>8.0968000000000004E-9</v>
      </c>
      <c r="T762" t="str">
        <f>VLOOKUP(R762,Nuclides!A:E,5,FALSE)</f>
        <v>Gd162</v>
      </c>
      <c r="U762">
        <f>VLOOKUP(Sheet2!R762,Nuclides!A:E,2,FALSE)</f>
        <v>98</v>
      </c>
      <c r="V762">
        <f>VLOOKUP(R762,Nuclides!A:E,3,FALSE)</f>
        <v>64</v>
      </c>
      <c r="W762" s="1">
        <f t="shared" si="36"/>
        <v>101048064</v>
      </c>
      <c r="X762" t="s">
        <v>1927</v>
      </c>
      <c r="Z762" s="1">
        <v>63145</v>
      </c>
      <c r="AA762" s="1">
        <v>4.1879999999999999E-10</v>
      </c>
      <c r="AB762" t="str">
        <f>VLOOKUP(Z762,Nuclides!A:E,5,FALSE)</f>
        <v>Eu145</v>
      </c>
      <c r="AC762">
        <f>VLOOKUP(Sheet2!Z762,Nuclides!A:E,2,FALSE)</f>
        <v>82</v>
      </c>
      <c r="AD762">
        <f>VLOOKUP(Z762,Nuclides!A:E,3,FALSE)</f>
        <v>63</v>
      </c>
      <c r="AE762" s="1">
        <f t="shared" si="37"/>
        <v>5226624</v>
      </c>
      <c r="AF762" t="s">
        <v>1876</v>
      </c>
    </row>
    <row r="763" spans="18:32" x14ac:dyDescent="0.2">
      <c r="R763" s="1">
        <v>64163</v>
      </c>
      <c r="S763" s="1">
        <v>1.29828E-8</v>
      </c>
      <c r="T763" t="str">
        <f>VLOOKUP(R763,Nuclides!A:E,5,FALSE)</f>
        <v>Gd163</v>
      </c>
      <c r="U763">
        <f>VLOOKUP(Sheet2!R763,Nuclides!A:E,2,FALSE)</f>
        <v>99</v>
      </c>
      <c r="V763">
        <f>VLOOKUP(R763,Nuclides!A:E,3,FALSE)</f>
        <v>64</v>
      </c>
      <c r="W763" s="1">
        <f t="shared" si="36"/>
        <v>162025344</v>
      </c>
      <c r="X763" t="s">
        <v>1928</v>
      </c>
      <c r="Z763" s="1">
        <v>63146</v>
      </c>
      <c r="AA763" s="1">
        <v>6.9799999999999994E-11</v>
      </c>
      <c r="AB763" t="str">
        <f>VLOOKUP(Z763,Nuclides!A:E,5,FALSE)</f>
        <v>Eu146</v>
      </c>
      <c r="AC763">
        <f>VLOOKUP(Sheet2!Z763,Nuclides!A:E,2,FALSE)</f>
        <v>83</v>
      </c>
      <c r="AD763">
        <f>VLOOKUP(Z763,Nuclides!A:E,3,FALSE)</f>
        <v>63</v>
      </c>
      <c r="AE763" s="1">
        <f t="shared" si="37"/>
        <v>871103.99999999988</v>
      </c>
      <c r="AF763" t="s">
        <v>1877</v>
      </c>
    </row>
    <row r="764" spans="18:32" x14ac:dyDescent="0.2">
      <c r="R764" s="1">
        <v>65144</v>
      </c>
      <c r="S764" s="1">
        <v>1.0679399999999999E-8</v>
      </c>
      <c r="T764" t="str">
        <f>VLOOKUP(R764,Nuclides!A:E,5,FALSE)</f>
        <v>Tb144</v>
      </c>
      <c r="U764">
        <f>VLOOKUP(Sheet2!R764,Nuclides!A:E,2,FALSE)</f>
        <v>79</v>
      </c>
      <c r="V764">
        <f>VLOOKUP(R764,Nuclides!A:E,3,FALSE)</f>
        <v>65</v>
      </c>
      <c r="W764" s="1">
        <f t="shared" si="36"/>
        <v>133278911.99999999</v>
      </c>
      <c r="X764" t="s">
        <v>1943</v>
      </c>
      <c r="Z764" s="1">
        <v>63147</v>
      </c>
      <c r="AA764" s="1">
        <v>6.9799999999999994E-11</v>
      </c>
      <c r="AB764" t="str">
        <f>VLOOKUP(Z764,Nuclides!A:E,5,FALSE)</f>
        <v>Eu147</v>
      </c>
      <c r="AC764">
        <f>VLOOKUP(Sheet2!Z764,Nuclides!A:E,2,FALSE)</f>
        <v>84</v>
      </c>
      <c r="AD764">
        <f>VLOOKUP(Z764,Nuclides!A:E,3,FALSE)</f>
        <v>63</v>
      </c>
      <c r="AE764" s="1">
        <f t="shared" si="37"/>
        <v>871103.99999999988</v>
      </c>
      <c r="AF764" t="s">
        <v>1878</v>
      </c>
    </row>
    <row r="765" spans="18:32" x14ac:dyDescent="0.2">
      <c r="R765" s="1">
        <v>65145</v>
      </c>
      <c r="S765" s="1">
        <v>7.0498000000000002E-9</v>
      </c>
      <c r="T765" t="str">
        <f>VLOOKUP(R765,Nuclides!A:E,5,FALSE)</f>
        <v>Tb145</v>
      </c>
      <c r="U765">
        <f>VLOOKUP(Sheet2!R765,Nuclides!A:E,2,FALSE)</f>
        <v>80</v>
      </c>
      <c r="V765">
        <f>VLOOKUP(R765,Nuclides!A:E,3,FALSE)</f>
        <v>65</v>
      </c>
      <c r="W765" s="1">
        <f t="shared" si="36"/>
        <v>87981504</v>
      </c>
      <c r="X765" t="s">
        <v>1944</v>
      </c>
      <c r="Z765" s="1">
        <v>63154</v>
      </c>
      <c r="AA765" s="1">
        <v>3.4899999999999998E-10</v>
      </c>
      <c r="AB765" t="str">
        <f>VLOOKUP(Z765,Nuclides!A:E,5,FALSE)</f>
        <v>Eu154</v>
      </c>
      <c r="AC765">
        <f>VLOOKUP(Sheet2!Z765,Nuclides!A:E,2,FALSE)</f>
        <v>91</v>
      </c>
      <c r="AD765">
        <f>VLOOKUP(Z765,Nuclides!A:E,3,FALSE)</f>
        <v>63</v>
      </c>
      <c r="AE765" s="1">
        <f t="shared" si="37"/>
        <v>4355520</v>
      </c>
      <c r="AF765" t="s">
        <v>1885</v>
      </c>
    </row>
    <row r="766" spans="18:32" x14ac:dyDescent="0.2">
      <c r="R766" s="1">
        <v>65146</v>
      </c>
      <c r="S766" s="1">
        <v>5.0953999999999996E-9</v>
      </c>
      <c r="T766" t="str">
        <f>VLOOKUP(R766,Nuclides!A:E,5,FALSE)</f>
        <v>Tb146</v>
      </c>
      <c r="U766">
        <f>VLOOKUP(Sheet2!R766,Nuclides!A:E,2,FALSE)</f>
        <v>81</v>
      </c>
      <c r="V766">
        <f>VLOOKUP(R766,Nuclides!A:E,3,FALSE)</f>
        <v>65</v>
      </c>
      <c r="W766" s="1">
        <f t="shared" si="36"/>
        <v>63590591.999999993</v>
      </c>
      <c r="X766" t="s">
        <v>1945</v>
      </c>
      <c r="Z766" s="1">
        <v>63155</v>
      </c>
      <c r="AA766" s="1">
        <v>1.7450000000000001E-9</v>
      </c>
      <c r="AB766" t="str">
        <f>VLOOKUP(Z766,Nuclides!A:E,5,FALSE)</f>
        <v>Eu155</v>
      </c>
      <c r="AC766">
        <f>VLOOKUP(Sheet2!Z766,Nuclides!A:E,2,FALSE)</f>
        <v>92</v>
      </c>
      <c r="AD766">
        <f>VLOOKUP(Z766,Nuclides!A:E,3,FALSE)</f>
        <v>63</v>
      </c>
      <c r="AE766" s="1">
        <f t="shared" si="37"/>
        <v>21777600</v>
      </c>
      <c r="AF766" t="s">
        <v>1886</v>
      </c>
    </row>
    <row r="767" spans="18:32" x14ac:dyDescent="0.2">
      <c r="R767" s="1">
        <v>65147</v>
      </c>
      <c r="S767" s="1">
        <v>9.0739999999999999E-10</v>
      </c>
      <c r="T767" t="str">
        <f>VLOOKUP(R767,Nuclides!A:E,5,FALSE)</f>
        <v>Tb147</v>
      </c>
      <c r="U767">
        <f>VLOOKUP(Sheet2!R767,Nuclides!A:E,2,FALSE)</f>
        <v>82</v>
      </c>
      <c r="V767">
        <f>VLOOKUP(R767,Nuclides!A:E,3,FALSE)</f>
        <v>65</v>
      </c>
      <c r="W767" s="1">
        <f t="shared" si="36"/>
        <v>11324352</v>
      </c>
      <c r="X767" t="s">
        <v>1946</v>
      </c>
      <c r="Z767" s="1">
        <v>63156</v>
      </c>
      <c r="AA767" s="1">
        <v>4.8859999999999999E-9</v>
      </c>
      <c r="AB767" t="str">
        <f>VLOOKUP(Z767,Nuclides!A:E,5,FALSE)</f>
        <v>Eu156</v>
      </c>
      <c r="AC767">
        <f>VLOOKUP(Sheet2!Z767,Nuclides!A:E,2,FALSE)</f>
        <v>93</v>
      </c>
      <c r="AD767">
        <f>VLOOKUP(Z767,Nuclides!A:E,3,FALSE)</f>
        <v>63</v>
      </c>
      <c r="AE767" s="1">
        <f t="shared" si="37"/>
        <v>60977280</v>
      </c>
      <c r="AF767" t="s">
        <v>1887</v>
      </c>
    </row>
    <row r="768" spans="18:32" x14ac:dyDescent="0.2">
      <c r="R768" s="1">
        <v>65148</v>
      </c>
      <c r="S768" s="1">
        <v>2.094E-10</v>
      </c>
      <c r="T768" t="str">
        <f>VLOOKUP(R768,Nuclides!A:E,5,FALSE)</f>
        <v>Tb148</v>
      </c>
      <c r="U768">
        <f>VLOOKUP(Sheet2!R768,Nuclides!A:E,2,FALSE)</f>
        <v>83</v>
      </c>
      <c r="V768">
        <f>VLOOKUP(R768,Nuclides!A:E,3,FALSE)</f>
        <v>65</v>
      </c>
      <c r="W768" s="1">
        <f t="shared" si="36"/>
        <v>2613312</v>
      </c>
      <c r="X768" t="s">
        <v>1947</v>
      </c>
      <c r="Z768" s="1">
        <v>63157</v>
      </c>
      <c r="AA768" s="1">
        <v>1.9683600000000001E-8</v>
      </c>
      <c r="AB768" t="str">
        <f>VLOOKUP(Z768,Nuclides!A:E,5,FALSE)</f>
        <v>Eu157</v>
      </c>
      <c r="AC768">
        <f>VLOOKUP(Sheet2!Z768,Nuclides!A:E,2,FALSE)</f>
        <v>94</v>
      </c>
      <c r="AD768">
        <f>VLOOKUP(Z768,Nuclides!A:E,3,FALSE)</f>
        <v>63</v>
      </c>
      <c r="AE768" s="1">
        <f t="shared" si="37"/>
        <v>245651328</v>
      </c>
      <c r="AF768" t="s">
        <v>1888</v>
      </c>
    </row>
    <row r="769" spans="18:32" x14ac:dyDescent="0.2">
      <c r="R769" s="1">
        <v>65149</v>
      </c>
      <c r="S769" s="1">
        <v>1.3959999999999999E-10</v>
      </c>
      <c r="T769" t="str">
        <f>VLOOKUP(R769,Nuclides!A:E,5,FALSE)</f>
        <v>Tb149</v>
      </c>
      <c r="U769">
        <f>VLOOKUP(Sheet2!R769,Nuclides!A:E,2,FALSE)</f>
        <v>84</v>
      </c>
      <c r="V769">
        <f>VLOOKUP(R769,Nuclides!A:E,3,FALSE)</f>
        <v>65</v>
      </c>
      <c r="W769" s="1">
        <f t="shared" si="36"/>
        <v>1742207.9999999998</v>
      </c>
      <c r="X769" t="s">
        <v>1948</v>
      </c>
      <c r="Z769" s="1">
        <v>63158</v>
      </c>
      <c r="AA769" s="1">
        <v>3.3364400000000002E-8</v>
      </c>
      <c r="AB769" t="str">
        <f>VLOOKUP(Z769,Nuclides!A:E,5,FALSE)</f>
        <v>Eu158</v>
      </c>
      <c r="AC769">
        <f>VLOOKUP(Sheet2!Z769,Nuclides!A:E,2,FALSE)</f>
        <v>95</v>
      </c>
      <c r="AD769">
        <f>VLOOKUP(Z769,Nuclides!A:E,3,FALSE)</f>
        <v>63</v>
      </c>
      <c r="AE769" s="1">
        <f t="shared" si="37"/>
        <v>416387712</v>
      </c>
      <c r="AF769" t="s">
        <v>1889</v>
      </c>
    </row>
    <row r="770" spans="18:32" x14ac:dyDescent="0.2">
      <c r="R770" s="1">
        <v>65161</v>
      </c>
      <c r="S770" s="1">
        <v>1.3959999999999999E-10</v>
      </c>
      <c r="T770" t="str">
        <f>VLOOKUP(R770,Nuclides!A:E,5,FALSE)</f>
        <v>Tb161</v>
      </c>
      <c r="U770">
        <f>VLOOKUP(Sheet2!R770,Nuclides!A:E,2,FALSE)</f>
        <v>96</v>
      </c>
      <c r="V770">
        <f>VLOOKUP(R770,Nuclides!A:E,3,FALSE)</f>
        <v>65</v>
      </c>
      <c r="W770" s="1">
        <f t="shared" si="36"/>
        <v>1742207.9999999998</v>
      </c>
      <c r="X770" t="s">
        <v>1960</v>
      </c>
      <c r="Z770" s="1">
        <v>63159</v>
      </c>
      <c r="AA770" s="1">
        <v>6.6938199999999998E-8</v>
      </c>
      <c r="AB770" t="str">
        <f>VLOOKUP(Z770,Nuclides!A:E,5,FALSE)</f>
        <v>Eu159</v>
      </c>
      <c r="AC770">
        <f>VLOOKUP(Sheet2!Z770,Nuclides!A:E,2,FALSE)</f>
        <v>96</v>
      </c>
      <c r="AD770">
        <f>VLOOKUP(Z770,Nuclides!A:E,3,FALSE)</f>
        <v>63</v>
      </c>
      <c r="AE770" s="1">
        <f t="shared" si="37"/>
        <v>835388736</v>
      </c>
      <c r="AF770" t="s">
        <v>1890</v>
      </c>
    </row>
    <row r="771" spans="18:32" x14ac:dyDescent="0.2">
      <c r="R771" s="1">
        <v>65162</v>
      </c>
      <c r="S771" s="1">
        <v>2.094E-10</v>
      </c>
      <c r="T771" t="str">
        <f>VLOOKUP(R771,Nuclides!A:E,5,FALSE)</f>
        <v>Tb162</v>
      </c>
      <c r="U771">
        <f>VLOOKUP(Sheet2!R771,Nuclides!A:E,2,FALSE)</f>
        <v>97</v>
      </c>
      <c r="V771">
        <f>VLOOKUP(R771,Nuclides!A:E,3,FALSE)</f>
        <v>65</v>
      </c>
      <c r="W771" s="1">
        <f t="shared" si="36"/>
        <v>2613312</v>
      </c>
      <c r="X771" t="s">
        <v>1961</v>
      </c>
      <c r="Z771" s="1">
        <v>63160</v>
      </c>
      <c r="AA771" s="1">
        <v>7.8385400000000005E-8</v>
      </c>
      <c r="AB771" t="str">
        <f>VLOOKUP(Z771,Nuclides!A:E,5,FALSE)</f>
        <v>Eu160</v>
      </c>
      <c r="AC771">
        <f>VLOOKUP(Sheet2!Z771,Nuclides!A:E,2,FALSE)</f>
        <v>97</v>
      </c>
      <c r="AD771">
        <f>VLOOKUP(Z771,Nuclides!A:E,3,FALSE)</f>
        <v>63</v>
      </c>
      <c r="AE771" s="1">
        <f t="shared" si="37"/>
        <v>978249792.00000012</v>
      </c>
      <c r="AF771" t="s">
        <v>1891</v>
      </c>
    </row>
    <row r="772" spans="18:32" x14ac:dyDescent="0.2">
      <c r="R772" s="1">
        <v>65163</v>
      </c>
      <c r="S772" s="1">
        <v>5.5839999999999995E-10</v>
      </c>
      <c r="T772" t="str">
        <f>VLOOKUP(R772,Nuclides!A:E,5,FALSE)</f>
        <v>Tb163</v>
      </c>
      <c r="U772">
        <f>VLOOKUP(Sheet2!R772,Nuclides!A:E,2,FALSE)</f>
        <v>98</v>
      </c>
      <c r="V772">
        <f>VLOOKUP(R772,Nuclides!A:E,3,FALSE)</f>
        <v>65</v>
      </c>
      <c r="W772" s="1">
        <f t="shared" ref="W772:W817" si="38">S772*12480000000000000</f>
        <v>6968831.9999999991</v>
      </c>
      <c r="X772" t="s">
        <v>1962</v>
      </c>
      <c r="Z772" s="1">
        <v>64142</v>
      </c>
      <c r="AA772" s="1">
        <v>8.7668800000000005E-8</v>
      </c>
      <c r="AB772" t="str">
        <f>VLOOKUP(Z772,Nuclides!A:E,5,FALSE)</f>
        <v>Gd142</v>
      </c>
      <c r="AC772">
        <f>VLOOKUP(Sheet2!Z772,Nuclides!A:E,2,FALSE)</f>
        <v>78</v>
      </c>
      <c r="AD772">
        <f>VLOOKUP(Z772,Nuclides!A:E,3,FALSE)</f>
        <v>64</v>
      </c>
      <c r="AE772" s="1">
        <f t="shared" ref="AE772:AE835" si="39">AA772*12480000000000000</f>
        <v>1094106624</v>
      </c>
      <c r="AF772" t="s">
        <v>1907</v>
      </c>
    </row>
    <row r="773" spans="18:32" x14ac:dyDescent="0.2">
      <c r="R773" s="1">
        <v>65164</v>
      </c>
      <c r="S773" s="1">
        <v>7.6779999999999997E-10</v>
      </c>
      <c r="T773" t="str">
        <f>VLOOKUP(R773,Nuclides!A:E,5,FALSE)</f>
        <v>Tb164</v>
      </c>
      <c r="U773">
        <f>VLOOKUP(Sheet2!R773,Nuclides!A:E,2,FALSE)</f>
        <v>99</v>
      </c>
      <c r="V773">
        <f>VLOOKUP(R773,Nuclides!A:E,3,FALSE)</f>
        <v>65</v>
      </c>
      <c r="W773" s="1">
        <f t="shared" si="38"/>
        <v>9582144</v>
      </c>
      <c r="X773" t="s">
        <v>1963</v>
      </c>
      <c r="Z773" s="1">
        <v>64143</v>
      </c>
      <c r="AA773" s="1">
        <v>6.0935400000000004E-8</v>
      </c>
      <c r="AB773" t="str">
        <f>VLOOKUP(Z773,Nuclides!A:E,5,FALSE)</f>
        <v>Gd143</v>
      </c>
      <c r="AC773">
        <f>VLOOKUP(Sheet2!Z773,Nuclides!A:E,2,FALSE)</f>
        <v>79</v>
      </c>
      <c r="AD773">
        <f>VLOOKUP(Z773,Nuclides!A:E,3,FALSE)</f>
        <v>64</v>
      </c>
      <c r="AE773" s="1">
        <f t="shared" si="39"/>
        <v>760473792</v>
      </c>
      <c r="AF773" t="s">
        <v>1908</v>
      </c>
    </row>
    <row r="774" spans="18:32" x14ac:dyDescent="0.2">
      <c r="R774" s="1">
        <v>65165</v>
      </c>
      <c r="S774" s="1">
        <v>1.1167999999999999E-9</v>
      </c>
      <c r="T774" t="str">
        <f>VLOOKUP(R774,Nuclides!A:E,5,FALSE)</f>
        <v>Tb165</v>
      </c>
      <c r="U774">
        <f>VLOOKUP(Sheet2!R774,Nuclides!A:E,2,FALSE)</f>
        <v>100</v>
      </c>
      <c r="V774">
        <f>VLOOKUP(R774,Nuclides!A:E,3,FALSE)</f>
        <v>65</v>
      </c>
      <c r="W774" s="1">
        <f t="shared" si="38"/>
        <v>13937663.999999998</v>
      </c>
      <c r="X774" t="s">
        <v>1964</v>
      </c>
      <c r="Z774" s="1">
        <v>64144</v>
      </c>
      <c r="AA774" s="1">
        <v>4.4951200000000001E-8</v>
      </c>
      <c r="AB774" t="str">
        <f>VLOOKUP(Z774,Nuclides!A:E,5,FALSE)</f>
        <v>Gd144</v>
      </c>
      <c r="AC774">
        <f>VLOOKUP(Sheet2!Z774,Nuclides!A:E,2,FALSE)</f>
        <v>80</v>
      </c>
      <c r="AD774">
        <f>VLOOKUP(Z774,Nuclides!A:E,3,FALSE)</f>
        <v>64</v>
      </c>
      <c r="AE774" s="1">
        <f t="shared" si="39"/>
        <v>560990976</v>
      </c>
      <c r="AF774" t="s">
        <v>1909</v>
      </c>
    </row>
    <row r="775" spans="18:32" x14ac:dyDescent="0.2">
      <c r="R775" s="1">
        <v>66145</v>
      </c>
      <c r="S775" s="1">
        <v>6.2819999999999996E-10</v>
      </c>
      <c r="T775" t="str">
        <f>VLOOKUP(R775,Nuclides!A:E,5,FALSE)</f>
        <v>Dy145</v>
      </c>
      <c r="U775">
        <f>VLOOKUP(Sheet2!R775,Nuclides!A:E,2,FALSE)</f>
        <v>79</v>
      </c>
      <c r="V775">
        <f>VLOOKUP(R775,Nuclides!A:E,3,FALSE)</f>
        <v>66</v>
      </c>
      <c r="W775" s="1">
        <f t="shared" si="38"/>
        <v>7839935.9999999991</v>
      </c>
      <c r="X775" t="s">
        <v>1977</v>
      </c>
      <c r="Z775" s="1">
        <v>64145</v>
      </c>
      <c r="AA775" s="1">
        <v>1.8845999999999999E-8</v>
      </c>
      <c r="AB775" t="str">
        <f>VLOOKUP(Z775,Nuclides!A:E,5,FALSE)</f>
        <v>Gd145</v>
      </c>
      <c r="AC775">
        <f>VLOOKUP(Sheet2!Z775,Nuclides!A:E,2,FALSE)</f>
        <v>81</v>
      </c>
      <c r="AD775">
        <f>VLOOKUP(Z775,Nuclides!A:E,3,FALSE)</f>
        <v>64</v>
      </c>
      <c r="AE775" s="1">
        <f t="shared" si="39"/>
        <v>235198080</v>
      </c>
      <c r="AF775" t="s">
        <v>1910</v>
      </c>
    </row>
    <row r="776" spans="18:32" x14ac:dyDescent="0.2">
      <c r="R776" s="1">
        <v>66146</v>
      </c>
      <c r="S776" s="1">
        <v>4.8860000000000005E-10</v>
      </c>
      <c r="T776" t="str">
        <f>VLOOKUP(R776,Nuclides!A:E,5,FALSE)</f>
        <v>Dy146</v>
      </c>
      <c r="U776">
        <f>VLOOKUP(Sheet2!R776,Nuclides!A:E,2,FALSE)</f>
        <v>80</v>
      </c>
      <c r="V776">
        <f>VLOOKUP(R776,Nuclides!A:E,3,FALSE)</f>
        <v>66</v>
      </c>
      <c r="W776" s="1">
        <f t="shared" si="38"/>
        <v>6097728.0000000009</v>
      </c>
      <c r="X776" t="s">
        <v>1978</v>
      </c>
      <c r="Z776" s="1">
        <v>64146</v>
      </c>
      <c r="AA776" s="1">
        <v>9.7719999999999998E-9</v>
      </c>
      <c r="AB776" t="str">
        <f>VLOOKUP(Z776,Nuclides!A:E,5,FALSE)</f>
        <v>Gd146</v>
      </c>
      <c r="AC776">
        <f>VLOOKUP(Sheet2!Z776,Nuclides!A:E,2,FALSE)</f>
        <v>82</v>
      </c>
      <c r="AD776">
        <f>VLOOKUP(Z776,Nuclides!A:E,3,FALSE)</f>
        <v>64</v>
      </c>
      <c r="AE776" s="1">
        <f t="shared" si="39"/>
        <v>121954560</v>
      </c>
      <c r="AF776" t="s">
        <v>1911</v>
      </c>
    </row>
    <row r="777" spans="18:32" x14ac:dyDescent="0.2">
      <c r="R777" s="1">
        <v>66147</v>
      </c>
      <c r="S777" s="1">
        <v>4.1879999999999999E-10</v>
      </c>
      <c r="T777" t="str">
        <f>VLOOKUP(R777,Nuclides!A:E,5,FALSE)</f>
        <v>Dy147</v>
      </c>
      <c r="U777">
        <f>VLOOKUP(Sheet2!R777,Nuclides!A:E,2,FALSE)</f>
        <v>81</v>
      </c>
      <c r="V777">
        <f>VLOOKUP(R777,Nuclides!A:E,3,FALSE)</f>
        <v>66</v>
      </c>
      <c r="W777" s="1">
        <f t="shared" si="38"/>
        <v>5226624</v>
      </c>
      <c r="X777" t="s">
        <v>1979</v>
      </c>
      <c r="Z777" s="1">
        <v>64147</v>
      </c>
      <c r="AA777" s="1">
        <v>2.8618000000000002E-9</v>
      </c>
      <c r="AB777" t="str">
        <f>VLOOKUP(Z777,Nuclides!A:E,5,FALSE)</f>
        <v>Gd147</v>
      </c>
      <c r="AC777">
        <f>VLOOKUP(Sheet2!Z777,Nuclides!A:E,2,FALSE)</f>
        <v>83</v>
      </c>
      <c r="AD777">
        <f>VLOOKUP(Z777,Nuclides!A:E,3,FALSE)</f>
        <v>64</v>
      </c>
      <c r="AE777" s="1">
        <f t="shared" si="39"/>
        <v>35715264</v>
      </c>
      <c r="AF777" t="s">
        <v>1912</v>
      </c>
    </row>
    <row r="778" spans="18:32" x14ac:dyDescent="0.2">
      <c r="R778" s="1">
        <v>66148</v>
      </c>
      <c r="S778" s="1">
        <v>2.7919999999999998E-10</v>
      </c>
      <c r="T778" t="str">
        <f>VLOOKUP(R778,Nuclides!A:E,5,FALSE)</f>
        <v>Dy148</v>
      </c>
      <c r="U778">
        <f>VLOOKUP(Sheet2!R778,Nuclides!A:E,2,FALSE)</f>
        <v>82</v>
      </c>
      <c r="V778">
        <f>VLOOKUP(R778,Nuclides!A:E,3,FALSE)</f>
        <v>66</v>
      </c>
      <c r="W778" s="1">
        <f t="shared" si="38"/>
        <v>3484415.9999999995</v>
      </c>
      <c r="X778" t="s">
        <v>1980</v>
      </c>
      <c r="Z778" s="1">
        <v>64148</v>
      </c>
      <c r="AA778" s="1">
        <v>1.1167999999999999E-9</v>
      </c>
      <c r="AB778" t="str">
        <f>VLOOKUP(Z778,Nuclides!A:E,5,FALSE)</f>
        <v>Gd148</v>
      </c>
      <c r="AC778">
        <f>VLOOKUP(Sheet2!Z778,Nuclides!A:E,2,FALSE)</f>
        <v>84</v>
      </c>
      <c r="AD778">
        <f>VLOOKUP(Z778,Nuclides!A:E,3,FALSE)</f>
        <v>64</v>
      </c>
      <c r="AE778" s="1">
        <f t="shared" si="39"/>
        <v>13937663.999999998</v>
      </c>
      <c r="AF778" t="s">
        <v>1913</v>
      </c>
    </row>
    <row r="779" spans="18:32" x14ac:dyDescent="0.2">
      <c r="R779" s="1">
        <v>66149</v>
      </c>
      <c r="S779" s="1">
        <v>6.9799999999999994E-11</v>
      </c>
      <c r="T779" t="str">
        <f>VLOOKUP(R779,Nuclides!A:E,5,FALSE)</f>
        <v>Dy149</v>
      </c>
      <c r="U779">
        <f>VLOOKUP(Sheet2!R779,Nuclides!A:E,2,FALSE)</f>
        <v>83</v>
      </c>
      <c r="V779">
        <f>VLOOKUP(R779,Nuclides!A:E,3,FALSE)</f>
        <v>66</v>
      </c>
      <c r="W779" s="1">
        <f t="shared" si="38"/>
        <v>871103.99999999988</v>
      </c>
      <c r="X779" t="s">
        <v>1981</v>
      </c>
      <c r="Z779" s="1">
        <v>64149</v>
      </c>
      <c r="AA779" s="1">
        <v>4.8860000000000005E-10</v>
      </c>
      <c r="AB779" t="str">
        <f>VLOOKUP(Z779,Nuclides!A:E,5,FALSE)</f>
        <v>Gd149</v>
      </c>
      <c r="AC779">
        <f>VLOOKUP(Sheet2!Z779,Nuclides!A:E,2,FALSE)</f>
        <v>85</v>
      </c>
      <c r="AD779">
        <f>VLOOKUP(Z779,Nuclides!A:E,3,FALSE)</f>
        <v>64</v>
      </c>
      <c r="AE779" s="1">
        <f t="shared" si="39"/>
        <v>6097728.0000000009</v>
      </c>
      <c r="AF779" t="s">
        <v>1914</v>
      </c>
    </row>
    <row r="780" spans="18:32" x14ac:dyDescent="0.2">
      <c r="R780" s="1">
        <v>66164</v>
      </c>
      <c r="S780" s="1">
        <v>6.9799999999999994E-11</v>
      </c>
      <c r="T780" t="str">
        <f>VLOOKUP(R780,Nuclides!A:E,5,FALSE)</f>
        <v>Dy164</v>
      </c>
      <c r="U780">
        <f>VLOOKUP(Sheet2!R780,Nuclides!A:E,2,FALSE)</f>
        <v>98</v>
      </c>
      <c r="V780">
        <f>VLOOKUP(R780,Nuclides!A:E,3,FALSE)</f>
        <v>66</v>
      </c>
      <c r="W780" s="1">
        <f t="shared" si="38"/>
        <v>871103.99999999988</v>
      </c>
      <c r="X780" t="s">
        <v>1996</v>
      </c>
      <c r="Z780" s="1">
        <v>64156</v>
      </c>
      <c r="AA780" s="1">
        <v>6.9799999999999994E-11</v>
      </c>
      <c r="AB780" t="str">
        <f>VLOOKUP(Z780,Nuclides!A:E,5,FALSE)</f>
        <v>Gd156</v>
      </c>
      <c r="AC780">
        <f>VLOOKUP(Sheet2!Z780,Nuclides!A:E,2,FALSE)</f>
        <v>92</v>
      </c>
      <c r="AD780">
        <f>VLOOKUP(Z780,Nuclides!A:E,3,FALSE)</f>
        <v>64</v>
      </c>
      <c r="AE780" s="1">
        <f t="shared" si="39"/>
        <v>871103.99999999988</v>
      </c>
      <c r="AF780" t="s">
        <v>1921</v>
      </c>
    </row>
    <row r="781" spans="18:32" x14ac:dyDescent="0.2">
      <c r="R781" s="1">
        <v>66166</v>
      </c>
      <c r="S781" s="1">
        <v>6.9799999999999994E-11</v>
      </c>
      <c r="T781" t="str">
        <f>VLOOKUP(R781,Nuclides!A:E,5,FALSE)</f>
        <v>Dy166</v>
      </c>
      <c r="U781">
        <f>VLOOKUP(Sheet2!R781,Nuclides!A:E,2,FALSE)</f>
        <v>100</v>
      </c>
      <c r="V781">
        <f>VLOOKUP(R781,Nuclides!A:E,3,FALSE)</f>
        <v>66</v>
      </c>
      <c r="W781" s="1">
        <f t="shared" si="38"/>
        <v>871103.99999999988</v>
      </c>
      <c r="X781" t="s">
        <v>1998</v>
      </c>
      <c r="Z781" s="1">
        <v>64157</v>
      </c>
      <c r="AA781" s="1">
        <v>3.4899999999999998E-10</v>
      </c>
      <c r="AB781" t="str">
        <f>VLOOKUP(Z781,Nuclides!A:E,5,FALSE)</f>
        <v>Gd157</v>
      </c>
      <c r="AC781">
        <f>VLOOKUP(Sheet2!Z781,Nuclides!A:E,2,FALSE)</f>
        <v>93</v>
      </c>
      <c r="AD781">
        <f>VLOOKUP(Z781,Nuclides!A:E,3,FALSE)</f>
        <v>64</v>
      </c>
      <c r="AE781" s="1">
        <f t="shared" si="39"/>
        <v>4355520</v>
      </c>
      <c r="AF781" t="s">
        <v>1922</v>
      </c>
    </row>
    <row r="782" spans="18:32" x14ac:dyDescent="0.2">
      <c r="R782" s="1">
        <v>66167</v>
      </c>
      <c r="S782" s="1">
        <v>2.7919999999999998E-10</v>
      </c>
      <c r="T782" t="str">
        <f>VLOOKUP(R782,Nuclides!A:E,5,FALSE)</f>
        <v>Dy167</v>
      </c>
      <c r="U782">
        <f>VLOOKUP(Sheet2!R782,Nuclides!A:E,2,FALSE)</f>
        <v>101</v>
      </c>
      <c r="V782">
        <f>VLOOKUP(R782,Nuclides!A:E,3,FALSE)</f>
        <v>66</v>
      </c>
      <c r="W782" s="1">
        <f t="shared" si="38"/>
        <v>3484415.9999999995</v>
      </c>
      <c r="X782" t="s">
        <v>1999</v>
      </c>
      <c r="Z782" s="1">
        <v>64158</v>
      </c>
      <c r="AA782" s="1">
        <v>1.3959999999999999E-9</v>
      </c>
      <c r="AB782" t="str">
        <f>VLOOKUP(Z782,Nuclides!A:E,5,FALSE)</f>
        <v>Gd158</v>
      </c>
      <c r="AC782">
        <f>VLOOKUP(Sheet2!Z782,Nuclides!A:E,2,FALSE)</f>
        <v>94</v>
      </c>
      <c r="AD782">
        <f>VLOOKUP(Z782,Nuclides!A:E,3,FALSE)</f>
        <v>64</v>
      </c>
      <c r="AE782" s="1">
        <f t="shared" si="39"/>
        <v>17422080</v>
      </c>
      <c r="AF782" t="s">
        <v>1923</v>
      </c>
    </row>
    <row r="783" spans="18:32" x14ac:dyDescent="0.2">
      <c r="R783" s="1">
        <v>66168</v>
      </c>
      <c r="S783" s="1">
        <v>2.7919999999999998E-10</v>
      </c>
      <c r="T783" t="str">
        <f>VLOOKUP(R783,Nuclides!A:E,5,FALSE)</f>
        <v>Dy168</v>
      </c>
      <c r="U783">
        <f>VLOOKUP(Sheet2!R783,Nuclides!A:E,2,FALSE)</f>
        <v>102</v>
      </c>
      <c r="V783">
        <f>VLOOKUP(R783,Nuclides!A:E,3,FALSE)</f>
        <v>66</v>
      </c>
      <c r="W783" s="1">
        <f t="shared" si="38"/>
        <v>3484415.9999999995</v>
      </c>
      <c r="X783" t="s">
        <v>2000</v>
      </c>
      <c r="Z783" s="1">
        <v>64159</v>
      </c>
      <c r="AA783" s="1">
        <v>1.6054000000000001E-9</v>
      </c>
      <c r="AB783" t="str">
        <f>VLOOKUP(Z783,Nuclides!A:E,5,FALSE)</f>
        <v>Gd159</v>
      </c>
      <c r="AC783">
        <f>VLOOKUP(Sheet2!Z783,Nuclides!A:E,2,FALSE)</f>
        <v>95</v>
      </c>
      <c r="AD783">
        <f>VLOOKUP(Z783,Nuclides!A:E,3,FALSE)</f>
        <v>64</v>
      </c>
      <c r="AE783" s="1">
        <f t="shared" si="39"/>
        <v>20035392</v>
      </c>
      <c r="AF783" t="s">
        <v>1924</v>
      </c>
    </row>
    <row r="784" spans="18:32" x14ac:dyDescent="0.2">
      <c r="R784" s="1">
        <v>67147</v>
      </c>
      <c r="S784" s="1">
        <v>6.9799999999999994E-11</v>
      </c>
      <c r="T784" t="str">
        <f>VLOOKUP(R784,Nuclides!A:E,5,FALSE)</f>
        <v>Ho147</v>
      </c>
      <c r="U784">
        <f>VLOOKUP(Sheet2!R784,Nuclides!A:E,2,FALSE)</f>
        <v>80</v>
      </c>
      <c r="V784">
        <f>VLOOKUP(R784,Nuclides!A:E,3,FALSE)</f>
        <v>67</v>
      </c>
      <c r="W784" s="1">
        <f t="shared" si="38"/>
        <v>871103.99999999988</v>
      </c>
      <c r="X784" t="s">
        <v>2011</v>
      </c>
      <c r="Z784" s="1">
        <v>64160</v>
      </c>
      <c r="AA784" s="1">
        <v>7.3289999999999998E-9</v>
      </c>
      <c r="AB784" t="str">
        <f>VLOOKUP(Z784,Nuclides!A:E,5,FALSE)</f>
        <v>Gd160</v>
      </c>
      <c r="AC784">
        <f>VLOOKUP(Sheet2!Z784,Nuclides!A:E,2,FALSE)</f>
        <v>96</v>
      </c>
      <c r="AD784">
        <f>VLOOKUP(Z784,Nuclides!A:E,3,FALSE)</f>
        <v>64</v>
      </c>
      <c r="AE784" s="1">
        <f t="shared" si="39"/>
        <v>91465920</v>
      </c>
      <c r="AF784" t="s">
        <v>1925</v>
      </c>
    </row>
    <row r="785" spans="18:32" x14ac:dyDescent="0.2">
      <c r="R785" s="1">
        <v>67148</v>
      </c>
      <c r="S785" s="1">
        <v>6.9799999999999994E-11</v>
      </c>
      <c r="T785" t="str">
        <f>VLOOKUP(R785,Nuclides!A:E,5,FALSE)</f>
        <v>Ho148</v>
      </c>
      <c r="U785">
        <f>VLOOKUP(Sheet2!R785,Nuclides!A:E,2,FALSE)</f>
        <v>81</v>
      </c>
      <c r="V785">
        <f>VLOOKUP(R785,Nuclides!A:E,3,FALSE)</f>
        <v>67</v>
      </c>
      <c r="W785" s="1">
        <f t="shared" si="38"/>
        <v>871103.99999999988</v>
      </c>
      <c r="X785" t="s">
        <v>2012</v>
      </c>
      <c r="Z785" s="1">
        <v>64161</v>
      </c>
      <c r="AA785" s="1">
        <v>1.1307599999999999E-8</v>
      </c>
      <c r="AB785" t="str">
        <f>VLOOKUP(Z785,Nuclides!A:E,5,FALSE)</f>
        <v>Gd161</v>
      </c>
      <c r="AC785">
        <f>VLOOKUP(Sheet2!Z785,Nuclides!A:E,2,FALSE)</f>
        <v>97</v>
      </c>
      <c r="AD785">
        <f>VLOOKUP(Z785,Nuclides!A:E,3,FALSE)</f>
        <v>64</v>
      </c>
      <c r="AE785" s="1">
        <f t="shared" si="39"/>
        <v>141118848</v>
      </c>
      <c r="AF785" t="s">
        <v>1926</v>
      </c>
    </row>
    <row r="786" spans="18:32" x14ac:dyDescent="0.2">
      <c r="R786" s="1">
        <v>67149</v>
      </c>
      <c r="S786" s="1">
        <v>6.9799999999999994E-11</v>
      </c>
      <c r="T786" t="str">
        <f>VLOOKUP(R786,Nuclides!A:E,5,FALSE)</f>
        <v>Ho149</v>
      </c>
      <c r="U786">
        <f>VLOOKUP(Sheet2!R786,Nuclides!A:E,2,FALSE)</f>
        <v>82</v>
      </c>
      <c r="V786">
        <f>VLOOKUP(R786,Nuclides!A:E,3,FALSE)</f>
        <v>67</v>
      </c>
      <c r="W786" s="1">
        <f t="shared" si="38"/>
        <v>871103.99999999988</v>
      </c>
      <c r="X786" t="s">
        <v>2013</v>
      </c>
      <c r="Z786" s="1">
        <v>64162</v>
      </c>
      <c r="AA786" s="1">
        <v>1.77292E-8</v>
      </c>
      <c r="AB786" t="str">
        <f>VLOOKUP(Z786,Nuclides!A:E,5,FALSE)</f>
        <v>Gd162</v>
      </c>
      <c r="AC786">
        <f>VLOOKUP(Sheet2!Z786,Nuclides!A:E,2,FALSE)</f>
        <v>98</v>
      </c>
      <c r="AD786">
        <f>VLOOKUP(Z786,Nuclides!A:E,3,FALSE)</f>
        <v>64</v>
      </c>
      <c r="AE786" s="1">
        <f t="shared" si="39"/>
        <v>221260416</v>
      </c>
      <c r="AF786" t="s">
        <v>1927</v>
      </c>
    </row>
    <row r="787" spans="18:32" x14ac:dyDescent="0.2">
      <c r="R787" s="1">
        <v>67150</v>
      </c>
      <c r="S787" s="1">
        <v>2.094E-10</v>
      </c>
      <c r="T787" t="str">
        <f>VLOOKUP(R787,Nuclides!A:E,5,FALSE)</f>
        <v>Ho150</v>
      </c>
      <c r="U787">
        <f>VLOOKUP(Sheet2!R787,Nuclides!A:E,2,FALSE)</f>
        <v>83</v>
      </c>
      <c r="V787">
        <f>VLOOKUP(R787,Nuclides!A:E,3,FALSE)</f>
        <v>67</v>
      </c>
      <c r="W787" s="1">
        <f t="shared" si="38"/>
        <v>2613312</v>
      </c>
      <c r="X787" t="s">
        <v>2014</v>
      </c>
      <c r="Z787" s="1">
        <v>64163</v>
      </c>
      <c r="AA787" s="1">
        <v>2.0660800000000001E-8</v>
      </c>
      <c r="AB787" t="str">
        <f>VLOOKUP(Z787,Nuclides!A:E,5,FALSE)</f>
        <v>Gd163</v>
      </c>
      <c r="AC787">
        <f>VLOOKUP(Sheet2!Z787,Nuclides!A:E,2,FALSE)</f>
        <v>99</v>
      </c>
      <c r="AD787">
        <f>VLOOKUP(Z787,Nuclides!A:E,3,FALSE)</f>
        <v>64</v>
      </c>
      <c r="AE787" s="1">
        <f t="shared" si="39"/>
        <v>257846784.00000003</v>
      </c>
      <c r="AF787" t="s">
        <v>1928</v>
      </c>
    </row>
    <row r="788" spans="18:32" x14ac:dyDescent="0.2">
      <c r="R788" s="1">
        <v>67151</v>
      </c>
      <c r="S788" s="1">
        <v>6.9799999999999994E-11</v>
      </c>
      <c r="T788" t="str">
        <f>VLOOKUP(R788,Nuclides!A:E,5,FALSE)</f>
        <v>Ho151</v>
      </c>
      <c r="U788">
        <f>VLOOKUP(Sheet2!R788,Nuclides!A:E,2,FALSE)</f>
        <v>84</v>
      </c>
      <c r="V788">
        <f>VLOOKUP(R788,Nuclides!A:E,3,FALSE)</f>
        <v>67</v>
      </c>
      <c r="W788" s="1">
        <f t="shared" si="38"/>
        <v>871103.99999999988</v>
      </c>
      <c r="X788" t="s">
        <v>2015</v>
      </c>
      <c r="Z788" s="1">
        <v>65144</v>
      </c>
      <c r="AA788" s="1">
        <v>1.8497E-8</v>
      </c>
      <c r="AB788" t="str">
        <f>VLOOKUP(Z788,Nuclides!A:E,5,FALSE)</f>
        <v>Tb144</v>
      </c>
      <c r="AC788">
        <f>VLOOKUP(Sheet2!Z788,Nuclides!A:E,2,FALSE)</f>
        <v>79</v>
      </c>
      <c r="AD788">
        <f>VLOOKUP(Z788,Nuclides!A:E,3,FALSE)</f>
        <v>65</v>
      </c>
      <c r="AE788" s="1">
        <f t="shared" si="39"/>
        <v>230842560</v>
      </c>
      <c r="AF788" t="s">
        <v>1943</v>
      </c>
    </row>
    <row r="789" spans="18:32" x14ac:dyDescent="0.2">
      <c r="R789" s="1">
        <v>67169</v>
      </c>
      <c r="S789" s="1">
        <v>6.9799999999999994E-11</v>
      </c>
      <c r="T789" t="str">
        <f>VLOOKUP(R789,Nuclides!A:E,5,FALSE)</f>
        <v>Ho169</v>
      </c>
      <c r="U789">
        <f>VLOOKUP(Sheet2!R789,Nuclides!A:E,2,FALSE)</f>
        <v>102</v>
      </c>
      <c r="V789">
        <f>VLOOKUP(R789,Nuclides!A:E,3,FALSE)</f>
        <v>67</v>
      </c>
      <c r="W789" s="1">
        <f t="shared" si="38"/>
        <v>871103.99999999988</v>
      </c>
      <c r="X789" t="s">
        <v>2033</v>
      </c>
      <c r="Z789" s="1">
        <v>65145</v>
      </c>
      <c r="AA789" s="1">
        <v>1.1447200000000001E-8</v>
      </c>
      <c r="AB789" t="str">
        <f>VLOOKUP(Z789,Nuclides!A:E,5,FALSE)</f>
        <v>Tb145</v>
      </c>
      <c r="AC789">
        <f>VLOOKUP(Sheet2!Z789,Nuclides!A:E,2,FALSE)</f>
        <v>80</v>
      </c>
      <c r="AD789">
        <f>VLOOKUP(Z789,Nuclides!A:E,3,FALSE)</f>
        <v>65</v>
      </c>
      <c r="AE789" s="1">
        <f t="shared" si="39"/>
        <v>142861056</v>
      </c>
      <c r="AF789" t="s">
        <v>1944</v>
      </c>
    </row>
    <row r="790" spans="18:32" x14ac:dyDescent="0.2">
      <c r="R790" s="1">
        <v>68147</v>
      </c>
      <c r="S790" s="1">
        <v>1.3959999999999999E-10</v>
      </c>
      <c r="T790" t="str">
        <f>VLOOKUP(R790,Nuclides!A:E,5,FALSE)</f>
        <v>Er147</v>
      </c>
      <c r="U790">
        <f>VLOOKUP(Sheet2!R790,Nuclides!A:E,2,FALSE)</f>
        <v>79</v>
      </c>
      <c r="V790">
        <f>VLOOKUP(R790,Nuclides!A:E,3,FALSE)</f>
        <v>68</v>
      </c>
      <c r="W790" s="1">
        <f t="shared" si="38"/>
        <v>1742207.9999999998</v>
      </c>
      <c r="X790" t="s">
        <v>2044</v>
      </c>
      <c r="Z790" s="1">
        <v>65146</v>
      </c>
      <c r="AA790" s="1">
        <v>8.376E-9</v>
      </c>
      <c r="AB790" t="str">
        <f>VLOOKUP(Z790,Nuclides!A:E,5,FALSE)</f>
        <v>Tb146</v>
      </c>
      <c r="AC790">
        <f>VLOOKUP(Sheet2!Z790,Nuclides!A:E,2,FALSE)</f>
        <v>81</v>
      </c>
      <c r="AD790">
        <f>VLOOKUP(Z790,Nuclides!A:E,3,FALSE)</f>
        <v>65</v>
      </c>
      <c r="AE790" s="1">
        <f t="shared" si="39"/>
        <v>104532480</v>
      </c>
      <c r="AF790" t="s">
        <v>1945</v>
      </c>
    </row>
    <row r="791" spans="18:32" x14ac:dyDescent="0.2">
      <c r="R791" s="1">
        <v>68148</v>
      </c>
      <c r="S791" s="1">
        <v>6.9799999999999994E-11</v>
      </c>
      <c r="T791" t="str">
        <f>VLOOKUP(R791,Nuclides!A:E,5,FALSE)</f>
        <v>Er148</v>
      </c>
      <c r="U791">
        <f>VLOOKUP(Sheet2!R791,Nuclides!A:E,2,FALSE)</f>
        <v>80</v>
      </c>
      <c r="V791">
        <f>VLOOKUP(R791,Nuclides!A:E,3,FALSE)</f>
        <v>68</v>
      </c>
      <c r="W791" s="1">
        <f t="shared" si="38"/>
        <v>871103.99999999988</v>
      </c>
      <c r="X791" t="s">
        <v>2045</v>
      </c>
      <c r="Z791" s="1">
        <v>65147</v>
      </c>
      <c r="AA791" s="1">
        <v>3.0014E-9</v>
      </c>
      <c r="AB791" t="str">
        <f>VLOOKUP(Z791,Nuclides!A:E,5,FALSE)</f>
        <v>Tb147</v>
      </c>
      <c r="AC791">
        <f>VLOOKUP(Sheet2!Z791,Nuclides!A:E,2,FALSE)</f>
        <v>82</v>
      </c>
      <c r="AD791">
        <f>VLOOKUP(Z791,Nuclides!A:E,3,FALSE)</f>
        <v>65</v>
      </c>
      <c r="AE791" s="1">
        <f t="shared" si="39"/>
        <v>37457472</v>
      </c>
      <c r="AF791" t="s">
        <v>1946</v>
      </c>
    </row>
    <row r="792" spans="18:32" x14ac:dyDescent="0.2">
      <c r="R792" s="1">
        <v>68173</v>
      </c>
      <c r="S792" s="1">
        <v>6.9799999999999994E-11</v>
      </c>
      <c r="T792" t="str">
        <f>VLOOKUP(R792,Nuclides!A:E,5,FALSE)</f>
        <v>Er173</v>
      </c>
      <c r="U792">
        <f>VLOOKUP(Sheet2!R792,Nuclides!A:E,2,FALSE)</f>
        <v>105</v>
      </c>
      <c r="V792">
        <f>VLOOKUP(R792,Nuclides!A:E,3,FALSE)</f>
        <v>68</v>
      </c>
      <c r="W792" s="1">
        <f t="shared" si="38"/>
        <v>871103.99999999988</v>
      </c>
      <c r="X792" t="s">
        <v>2070</v>
      </c>
      <c r="Z792" s="1">
        <v>65148</v>
      </c>
      <c r="AA792" s="1">
        <v>1.2563999999999999E-9</v>
      </c>
      <c r="AB792" t="str">
        <f>VLOOKUP(Z792,Nuclides!A:E,5,FALSE)</f>
        <v>Tb148</v>
      </c>
      <c r="AC792">
        <f>VLOOKUP(Sheet2!Z792,Nuclides!A:E,2,FALSE)</f>
        <v>83</v>
      </c>
      <c r="AD792">
        <f>VLOOKUP(Z792,Nuclides!A:E,3,FALSE)</f>
        <v>65</v>
      </c>
      <c r="AE792" s="1">
        <f t="shared" si="39"/>
        <v>15679871.999999998</v>
      </c>
      <c r="AF792" t="s">
        <v>1947</v>
      </c>
    </row>
    <row r="793" spans="18:32" x14ac:dyDescent="0.2">
      <c r="R793" s="1">
        <v>69151</v>
      </c>
      <c r="S793" s="1">
        <v>6.9799999999999994E-11</v>
      </c>
      <c r="T793" t="str">
        <f>VLOOKUP(R793,Nuclides!A:E,5,FALSE)</f>
        <v>Tm151</v>
      </c>
      <c r="U793">
        <f>VLOOKUP(Sheet2!R793,Nuclides!A:E,2,FALSE)</f>
        <v>82</v>
      </c>
      <c r="V793">
        <f>VLOOKUP(R793,Nuclides!A:E,3,FALSE)</f>
        <v>69</v>
      </c>
      <c r="W793" s="1">
        <f t="shared" si="38"/>
        <v>871103.99999999988</v>
      </c>
      <c r="X793" t="s">
        <v>2083</v>
      </c>
      <c r="Z793" s="1">
        <v>65149</v>
      </c>
      <c r="AA793" s="1">
        <v>3.4899999999999998E-10</v>
      </c>
      <c r="AB793" t="str">
        <f>VLOOKUP(Z793,Nuclides!A:E,5,FALSE)</f>
        <v>Tb149</v>
      </c>
      <c r="AC793">
        <f>VLOOKUP(Sheet2!Z793,Nuclides!A:E,2,FALSE)</f>
        <v>84</v>
      </c>
      <c r="AD793">
        <f>VLOOKUP(Z793,Nuclides!A:E,3,FALSE)</f>
        <v>65</v>
      </c>
      <c r="AE793" s="1">
        <f t="shared" si="39"/>
        <v>4355520</v>
      </c>
      <c r="AF793" t="s">
        <v>1948</v>
      </c>
    </row>
    <row r="794" spans="18:32" x14ac:dyDescent="0.2">
      <c r="R794" s="1">
        <v>69175</v>
      </c>
      <c r="S794" s="1">
        <v>6.9799999999999994E-11</v>
      </c>
      <c r="T794" t="str">
        <f>VLOOKUP(R794,Nuclides!A:E,5,FALSE)</f>
        <v>Tm175</v>
      </c>
      <c r="U794">
        <f>VLOOKUP(Sheet2!R794,Nuclides!A:E,2,FALSE)</f>
        <v>106</v>
      </c>
      <c r="V794">
        <f>VLOOKUP(R794,Nuclides!A:E,3,FALSE)</f>
        <v>69</v>
      </c>
      <c r="W794" s="1">
        <f t="shared" si="38"/>
        <v>871103.99999999988</v>
      </c>
      <c r="X794" t="s">
        <v>2107</v>
      </c>
      <c r="Z794" s="1">
        <v>65150</v>
      </c>
      <c r="AA794" s="1">
        <v>6.9799999999999994E-11</v>
      </c>
      <c r="AB794" t="str">
        <f>VLOOKUP(Z794,Nuclides!A:E,5,FALSE)</f>
        <v>Tb150</v>
      </c>
      <c r="AC794">
        <f>VLOOKUP(Sheet2!Z794,Nuclides!A:E,2,FALSE)</f>
        <v>85</v>
      </c>
      <c r="AD794">
        <f>VLOOKUP(Z794,Nuclides!A:E,3,FALSE)</f>
        <v>65</v>
      </c>
      <c r="AE794" s="1">
        <f t="shared" si="39"/>
        <v>871103.99999999988</v>
      </c>
      <c r="AF794" t="s">
        <v>1949</v>
      </c>
    </row>
    <row r="795" spans="18:32" x14ac:dyDescent="0.2">
      <c r="R795" s="1">
        <v>90228</v>
      </c>
      <c r="S795" s="1">
        <v>6.9799999999999994E-11</v>
      </c>
      <c r="T795" t="str">
        <f>VLOOKUP(R795,Nuclides!A:E,5,FALSE)</f>
        <v>Th228</v>
      </c>
      <c r="U795">
        <f>VLOOKUP(Sheet2!R795,Nuclides!A:E,2,FALSE)</f>
        <v>138</v>
      </c>
      <c r="V795">
        <f>VLOOKUP(R795,Nuclides!A:E,3,FALSE)</f>
        <v>90</v>
      </c>
      <c r="W795" s="1">
        <f t="shared" si="38"/>
        <v>871103.99999999988</v>
      </c>
      <c r="X795" t="s">
        <v>2925</v>
      </c>
      <c r="Z795" s="1">
        <v>65160</v>
      </c>
      <c r="AA795" s="1">
        <v>6.9799999999999994E-11</v>
      </c>
      <c r="AB795" t="str">
        <f>VLOOKUP(Z795,Nuclides!A:E,5,FALSE)</f>
        <v>Tb160</v>
      </c>
      <c r="AC795">
        <f>VLOOKUP(Sheet2!Z795,Nuclides!A:E,2,FALSE)</f>
        <v>95</v>
      </c>
      <c r="AD795">
        <f>VLOOKUP(Z795,Nuclides!A:E,3,FALSE)</f>
        <v>65</v>
      </c>
      <c r="AE795" s="1">
        <f t="shared" si="39"/>
        <v>871103.99999999988</v>
      </c>
      <c r="AF795" t="s">
        <v>1959</v>
      </c>
    </row>
    <row r="796" spans="18:32" x14ac:dyDescent="0.2">
      <c r="R796" s="1">
        <v>90229</v>
      </c>
      <c r="S796" s="1">
        <v>1.3959999999999999E-10</v>
      </c>
      <c r="T796" t="str">
        <f>VLOOKUP(R796,Nuclides!A:E,5,FALSE)</f>
        <v>Th229</v>
      </c>
      <c r="U796">
        <f>VLOOKUP(Sheet2!R796,Nuclides!A:E,2,FALSE)</f>
        <v>139</v>
      </c>
      <c r="V796">
        <f>VLOOKUP(R796,Nuclides!A:E,3,FALSE)</f>
        <v>90</v>
      </c>
      <c r="W796" s="1">
        <f t="shared" si="38"/>
        <v>1742207.9999999998</v>
      </c>
      <c r="X796" t="s">
        <v>2926</v>
      </c>
      <c r="Z796" s="1">
        <v>65161</v>
      </c>
      <c r="AA796" s="1">
        <v>2.094E-10</v>
      </c>
      <c r="AB796" t="str">
        <f>VLOOKUP(Z796,Nuclides!A:E,5,FALSE)</f>
        <v>Tb161</v>
      </c>
      <c r="AC796">
        <f>VLOOKUP(Sheet2!Z796,Nuclides!A:E,2,FALSE)</f>
        <v>96</v>
      </c>
      <c r="AD796">
        <f>VLOOKUP(Z796,Nuclides!A:E,3,FALSE)</f>
        <v>65</v>
      </c>
      <c r="AE796" s="1">
        <f t="shared" si="39"/>
        <v>2613312</v>
      </c>
      <c r="AF796" t="s">
        <v>1960</v>
      </c>
    </row>
    <row r="797" spans="18:32" x14ac:dyDescent="0.2">
      <c r="R797" s="1">
        <v>90231</v>
      </c>
      <c r="S797" s="1">
        <v>4.1879999999999999E-10</v>
      </c>
      <c r="T797" t="str">
        <f>VLOOKUP(R797,Nuclides!A:E,5,FALSE)</f>
        <v>Th231</v>
      </c>
      <c r="U797">
        <f>VLOOKUP(Sheet2!R797,Nuclides!A:E,2,FALSE)</f>
        <v>141</v>
      </c>
      <c r="V797">
        <f>VLOOKUP(R797,Nuclides!A:E,3,FALSE)</f>
        <v>90</v>
      </c>
      <c r="W797" s="1">
        <f t="shared" si="38"/>
        <v>5226624</v>
      </c>
      <c r="X797" t="s">
        <v>2928</v>
      </c>
      <c r="Z797" s="1">
        <v>65162</v>
      </c>
      <c r="AA797" s="1">
        <v>8.3759999999999998E-10</v>
      </c>
      <c r="AB797" t="str">
        <f>VLOOKUP(Z797,Nuclides!A:E,5,FALSE)</f>
        <v>Tb162</v>
      </c>
      <c r="AC797">
        <f>VLOOKUP(Sheet2!Z797,Nuclides!A:E,2,FALSE)</f>
        <v>97</v>
      </c>
      <c r="AD797">
        <f>VLOOKUP(Z797,Nuclides!A:E,3,FALSE)</f>
        <v>65</v>
      </c>
      <c r="AE797" s="1">
        <f t="shared" si="39"/>
        <v>10453248</v>
      </c>
      <c r="AF797" t="s">
        <v>1961</v>
      </c>
    </row>
    <row r="798" spans="18:32" x14ac:dyDescent="0.2">
      <c r="R798" s="1">
        <v>90232</v>
      </c>
      <c r="S798" s="1">
        <v>4.8860000000000005E-10</v>
      </c>
      <c r="T798" t="str">
        <f>VLOOKUP(R798,Nuclides!A:E,5,FALSE)</f>
        <v>Th232</v>
      </c>
      <c r="U798">
        <f>VLOOKUP(Sheet2!R798,Nuclides!A:E,2,FALSE)</f>
        <v>142</v>
      </c>
      <c r="V798">
        <f>VLOOKUP(R798,Nuclides!A:E,3,FALSE)</f>
        <v>90</v>
      </c>
      <c r="W798" s="1">
        <f t="shared" si="38"/>
        <v>6097728.0000000009</v>
      </c>
      <c r="X798" t="s">
        <v>2929</v>
      </c>
      <c r="Z798" s="1">
        <v>65163</v>
      </c>
      <c r="AA798" s="1">
        <v>1.6054000000000001E-9</v>
      </c>
      <c r="AB798" t="str">
        <f>VLOOKUP(Z798,Nuclides!A:E,5,FALSE)</f>
        <v>Tb163</v>
      </c>
      <c r="AC798">
        <f>VLOOKUP(Sheet2!Z798,Nuclides!A:E,2,FALSE)</f>
        <v>98</v>
      </c>
      <c r="AD798">
        <f>VLOOKUP(Z798,Nuclides!A:E,3,FALSE)</f>
        <v>65</v>
      </c>
      <c r="AE798" s="1">
        <f t="shared" si="39"/>
        <v>20035392</v>
      </c>
      <c r="AF798" t="s">
        <v>1962</v>
      </c>
    </row>
    <row r="799" spans="18:32" x14ac:dyDescent="0.2">
      <c r="R799" s="1">
        <v>90233</v>
      </c>
      <c r="S799" s="1">
        <v>2.7919999999999998E-10</v>
      </c>
      <c r="T799" t="str">
        <f>VLOOKUP(R799,Nuclides!A:E,5,FALSE)</f>
        <v>Th233</v>
      </c>
      <c r="U799">
        <f>VLOOKUP(Sheet2!R799,Nuclides!A:E,2,FALSE)</f>
        <v>143</v>
      </c>
      <c r="V799">
        <f>VLOOKUP(R799,Nuclides!A:E,3,FALSE)</f>
        <v>90</v>
      </c>
      <c r="W799" s="1">
        <f t="shared" si="38"/>
        <v>3484415.9999999995</v>
      </c>
      <c r="X799" t="s">
        <v>2930</v>
      </c>
      <c r="Z799" s="1">
        <v>65164</v>
      </c>
      <c r="AA799" s="1">
        <v>2.5127999999999998E-9</v>
      </c>
      <c r="AB799" t="str">
        <f>VLOOKUP(Z799,Nuclides!A:E,5,FALSE)</f>
        <v>Tb164</v>
      </c>
      <c r="AC799">
        <f>VLOOKUP(Sheet2!Z799,Nuclides!A:E,2,FALSE)</f>
        <v>99</v>
      </c>
      <c r="AD799">
        <f>VLOOKUP(Z799,Nuclides!A:E,3,FALSE)</f>
        <v>65</v>
      </c>
      <c r="AE799" s="1">
        <f t="shared" si="39"/>
        <v>31359743.999999996</v>
      </c>
      <c r="AF799" t="s">
        <v>1963</v>
      </c>
    </row>
    <row r="800" spans="18:32" x14ac:dyDescent="0.2">
      <c r="R800" s="1">
        <v>90234</v>
      </c>
      <c r="S800" s="1">
        <v>1.3959999999999999E-10</v>
      </c>
      <c r="T800" t="str">
        <f>VLOOKUP(R800,Nuclides!A:E,5,FALSE)</f>
        <v>Th234</v>
      </c>
      <c r="U800">
        <f>VLOOKUP(Sheet2!R800,Nuclides!A:E,2,FALSE)</f>
        <v>144</v>
      </c>
      <c r="V800">
        <f>VLOOKUP(R800,Nuclides!A:E,3,FALSE)</f>
        <v>90</v>
      </c>
      <c r="W800" s="1">
        <f t="shared" si="38"/>
        <v>1742207.9999999998</v>
      </c>
      <c r="X800" t="s">
        <v>2931</v>
      </c>
      <c r="Z800" s="1">
        <v>65165</v>
      </c>
      <c r="AA800" s="1">
        <v>5.0953999999999996E-9</v>
      </c>
      <c r="AB800" t="str">
        <f>VLOOKUP(Z800,Nuclides!A:E,5,FALSE)</f>
        <v>Tb165</v>
      </c>
      <c r="AC800">
        <f>VLOOKUP(Sheet2!Z800,Nuclides!A:E,2,FALSE)</f>
        <v>100</v>
      </c>
      <c r="AD800">
        <f>VLOOKUP(Z800,Nuclides!A:E,3,FALSE)</f>
        <v>65</v>
      </c>
      <c r="AE800" s="1">
        <f t="shared" si="39"/>
        <v>63590591.999999993</v>
      </c>
      <c r="AF800" t="s">
        <v>1964</v>
      </c>
    </row>
    <row r="801" spans="18:32" x14ac:dyDescent="0.2">
      <c r="R801" s="1">
        <v>90236</v>
      </c>
      <c r="S801" s="1">
        <v>1.3959999999999999E-10</v>
      </c>
      <c r="T801" t="str">
        <f>VLOOKUP(R801,Nuclides!A:E,5,FALSE)</f>
        <v>Th236</v>
      </c>
      <c r="U801">
        <f>VLOOKUP(Sheet2!R801,Nuclides!A:E,2,FALSE)</f>
        <v>146</v>
      </c>
      <c r="V801">
        <f>VLOOKUP(R801,Nuclides!A:E,3,FALSE)</f>
        <v>90</v>
      </c>
      <c r="W801" s="1">
        <f t="shared" si="38"/>
        <v>1742207.9999999998</v>
      </c>
      <c r="X801" t="s">
        <v>2933</v>
      </c>
      <c r="Z801" s="1">
        <v>66145</v>
      </c>
      <c r="AA801" s="1">
        <v>4.4671999999999996E-9</v>
      </c>
      <c r="AB801" t="str">
        <f>VLOOKUP(Z801,Nuclides!A:E,5,FALSE)</f>
        <v>Dy145</v>
      </c>
      <c r="AC801">
        <f>VLOOKUP(Sheet2!Z801,Nuclides!A:E,2,FALSE)</f>
        <v>79</v>
      </c>
      <c r="AD801">
        <f>VLOOKUP(Z801,Nuclides!A:E,3,FALSE)</f>
        <v>66</v>
      </c>
      <c r="AE801" s="1">
        <f t="shared" si="39"/>
        <v>55750655.999999993</v>
      </c>
      <c r="AF801" t="s">
        <v>1977</v>
      </c>
    </row>
    <row r="802" spans="18:32" x14ac:dyDescent="0.2">
      <c r="R802" s="1">
        <v>91230</v>
      </c>
      <c r="S802" s="1">
        <v>2.094E-10</v>
      </c>
      <c r="T802" t="str">
        <f>VLOOKUP(R802,Nuclides!A:E,5,FALSE)</f>
        <v>Pa230</v>
      </c>
      <c r="U802">
        <f>VLOOKUP(Sheet2!R802,Nuclides!A:E,2,FALSE)</f>
        <v>139</v>
      </c>
      <c r="V802">
        <f>VLOOKUP(R802,Nuclides!A:E,3,FALSE)</f>
        <v>91</v>
      </c>
      <c r="W802" s="1">
        <f t="shared" si="38"/>
        <v>2613312</v>
      </c>
      <c r="X802" t="s">
        <v>2955</v>
      </c>
      <c r="Z802" s="1">
        <v>66146</v>
      </c>
      <c r="AA802" s="1">
        <v>3.4201999999999998E-9</v>
      </c>
      <c r="AB802" t="str">
        <f>VLOOKUP(Z802,Nuclides!A:E,5,FALSE)</f>
        <v>Dy146</v>
      </c>
      <c r="AC802">
        <f>VLOOKUP(Sheet2!Z802,Nuclides!A:E,2,FALSE)</f>
        <v>80</v>
      </c>
      <c r="AD802">
        <f>VLOOKUP(Z802,Nuclides!A:E,3,FALSE)</f>
        <v>66</v>
      </c>
      <c r="AE802" s="1">
        <f t="shared" si="39"/>
        <v>42684096</v>
      </c>
      <c r="AF802" t="s">
        <v>1978</v>
      </c>
    </row>
    <row r="803" spans="18:32" x14ac:dyDescent="0.2">
      <c r="R803" s="1">
        <v>91231</v>
      </c>
      <c r="S803" s="1">
        <v>3.5598000000000001E-9</v>
      </c>
      <c r="T803" t="str">
        <f>VLOOKUP(R803,Nuclides!A:E,5,FALSE)</f>
        <v>Pa231</v>
      </c>
      <c r="U803">
        <f>VLOOKUP(Sheet2!R803,Nuclides!A:E,2,FALSE)</f>
        <v>140</v>
      </c>
      <c r="V803">
        <f>VLOOKUP(R803,Nuclides!A:E,3,FALSE)</f>
        <v>91</v>
      </c>
      <c r="W803" s="1">
        <f t="shared" si="38"/>
        <v>44426304</v>
      </c>
      <c r="X803" t="s">
        <v>2956</v>
      </c>
      <c r="Z803" s="1">
        <v>66147</v>
      </c>
      <c r="AA803" s="1">
        <v>2.3732E-9</v>
      </c>
      <c r="AB803" t="str">
        <f>VLOOKUP(Z803,Nuclides!A:E,5,FALSE)</f>
        <v>Dy147</v>
      </c>
      <c r="AC803">
        <f>VLOOKUP(Sheet2!Z803,Nuclides!A:E,2,FALSE)</f>
        <v>81</v>
      </c>
      <c r="AD803">
        <f>VLOOKUP(Z803,Nuclides!A:E,3,FALSE)</f>
        <v>66</v>
      </c>
      <c r="AE803" s="1">
        <f t="shared" si="39"/>
        <v>29617536</v>
      </c>
      <c r="AF803" t="s">
        <v>1979</v>
      </c>
    </row>
    <row r="804" spans="18:32" x14ac:dyDescent="0.2">
      <c r="R804" s="1">
        <v>91232</v>
      </c>
      <c r="S804" s="1">
        <v>9.9115999999999996E-9</v>
      </c>
      <c r="T804" t="str">
        <f>VLOOKUP(R804,Nuclides!A:E,5,FALSE)</f>
        <v>Pa232</v>
      </c>
      <c r="U804">
        <f>VLOOKUP(Sheet2!R804,Nuclides!A:E,2,FALSE)</f>
        <v>141</v>
      </c>
      <c r="V804">
        <f>VLOOKUP(R804,Nuclides!A:E,3,FALSE)</f>
        <v>91</v>
      </c>
      <c r="W804" s="1">
        <f t="shared" si="38"/>
        <v>123696768</v>
      </c>
      <c r="X804" t="s">
        <v>2957</v>
      </c>
      <c r="Z804" s="1">
        <v>66148</v>
      </c>
      <c r="AA804" s="1">
        <v>1.7450000000000001E-9</v>
      </c>
      <c r="AB804" t="str">
        <f>VLOOKUP(Z804,Nuclides!A:E,5,FALSE)</f>
        <v>Dy148</v>
      </c>
      <c r="AC804">
        <f>VLOOKUP(Sheet2!Z804,Nuclides!A:E,2,FALSE)</f>
        <v>82</v>
      </c>
      <c r="AD804">
        <f>VLOOKUP(Z804,Nuclides!A:E,3,FALSE)</f>
        <v>66</v>
      </c>
      <c r="AE804" s="1">
        <f t="shared" si="39"/>
        <v>21777600</v>
      </c>
      <c r="AF804" t="s">
        <v>1980</v>
      </c>
    </row>
    <row r="805" spans="18:32" x14ac:dyDescent="0.2">
      <c r="R805" s="1">
        <v>91233</v>
      </c>
      <c r="S805" s="1">
        <v>4.8650600000000002E-8</v>
      </c>
      <c r="T805" t="str">
        <f>VLOOKUP(R805,Nuclides!A:E,5,FALSE)</f>
        <v>Pa233</v>
      </c>
      <c r="U805">
        <f>VLOOKUP(Sheet2!R805,Nuclides!A:E,2,FALSE)</f>
        <v>142</v>
      </c>
      <c r="V805">
        <f>VLOOKUP(R805,Nuclides!A:E,3,FALSE)</f>
        <v>91</v>
      </c>
      <c r="W805" s="1">
        <f t="shared" si="38"/>
        <v>607159488</v>
      </c>
      <c r="X805" t="s">
        <v>2958</v>
      </c>
      <c r="Z805" s="1">
        <v>66149</v>
      </c>
      <c r="AA805" s="1">
        <v>4.8860000000000005E-10</v>
      </c>
      <c r="AB805" t="str">
        <f>VLOOKUP(Z805,Nuclides!A:E,5,FALSE)</f>
        <v>Dy149</v>
      </c>
      <c r="AC805">
        <f>VLOOKUP(Sheet2!Z805,Nuclides!A:E,2,FALSE)</f>
        <v>83</v>
      </c>
      <c r="AD805">
        <f>VLOOKUP(Z805,Nuclides!A:E,3,FALSE)</f>
        <v>66</v>
      </c>
      <c r="AE805" s="1">
        <f t="shared" si="39"/>
        <v>6097728.0000000009</v>
      </c>
      <c r="AF805" t="s">
        <v>1981</v>
      </c>
    </row>
    <row r="806" spans="18:32" x14ac:dyDescent="0.2">
      <c r="R806" s="1">
        <v>91234</v>
      </c>
      <c r="S806" s="1">
        <v>1.2326699999999999E-7</v>
      </c>
      <c r="T806" t="str">
        <f>VLOOKUP(R806,Nuclides!A:E,5,FALSE)</f>
        <v>Pa234</v>
      </c>
      <c r="U806">
        <f>VLOOKUP(Sheet2!R806,Nuclides!A:E,2,FALSE)</f>
        <v>143</v>
      </c>
      <c r="V806">
        <f>VLOOKUP(R806,Nuclides!A:E,3,FALSE)</f>
        <v>91</v>
      </c>
      <c r="W806" s="1">
        <f t="shared" si="38"/>
        <v>1538372159.9999998</v>
      </c>
      <c r="X806" t="s">
        <v>2959</v>
      </c>
      <c r="Z806" s="1">
        <v>66150</v>
      </c>
      <c r="AA806" s="1">
        <v>2.7919999999999998E-10</v>
      </c>
      <c r="AB806" t="str">
        <f>VLOOKUP(Z806,Nuclides!A:E,5,FALSE)</f>
        <v>Dy150</v>
      </c>
      <c r="AC806">
        <f>VLOOKUP(Sheet2!Z806,Nuclides!A:E,2,FALSE)</f>
        <v>84</v>
      </c>
      <c r="AD806">
        <f>VLOOKUP(Z806,Nuclides!A:E,3,FALSE)</f>
        <v>66</v>
      </c>
      <c r="AE806" s="1">
        <f t="shared" si="39"/>
        <v>3484415.9999999995</v>
      </c>
      <c r="AF806" t="s">
        <v>1982</v>
      </c>
    </row>
    <row r="807" spans="18:32" x14ac:dyDescent="0.2">
      <c r="R807" s="1">
        <v>91235</v>
      </c>
      <c r="S807" s="1">
        <v>3.51932E-7</v>
      </c>
      <c r="T807" t="str">
        <f>VLOOKUP(R807,Nuclides!A:E,5,FALSE)</f>
        <v>Pa235</v>
      </c>
      <c r="U807">
        <f>VLOOKUP(Sheet2!R807,Nuclides!A:E,2,FALSE)</f>
        <v>144</v>
      </c>
      <c r="V807">
        <f>VLOOKUP(R807,Nuclides!A:E,3,FALSE)</f>
        <v>91</v>
      </c>
      <c r="W807" s="1">
        <f t="shared" si="38"/>
        <v>4392111360</v>
      </c>
      <c r="X807" t="s">
        <v>2960</v>
      </c>
      <c r="Z807" s="1">
        <v>66153</v>
      </c>
      <c r="AA807" s="1">
        <v>6.9799999999999994E-11</v>
      </c>
      <c r="AB807" t="str">
        <f>VLOOKUP(Z807,Nuclides!A:E,5,FALSE)</f>
        <v>Dy153</v>
      </c>
      <c r="AC807">
        <f>VLOOKUP(Sheet2!Z807,Nuclides!A:E,2,FALSE)</f>
        <v>87</v>
      </c>
      <c r="AD807">
        <f>VLOOKUP(Z807,Nuclides!A:E,3,FALSE)</f>
        <v>66</v>
      </c>
      <c r="AE807" s="1">
        <f t="shared" si="39"/>
        <v>871103.99999999988</v>
      </c>
      <c r="AF807" t="s">
        <v>1985</v>
      </c>
    </row>
    <row r="808" spans="18:32" x14ac:dyDescent="0.2">
      <c r="R808" s="1">
        <v>91236</v>
      </c>
      <c r="S808" s="1">
        <v>6.3064299999999996E-7</v>
      </c>
      <c r="T808" t="str">
        <f>VLOOKUP(R808,Nuclides!A:E,5,FALSE)</f>
        <v>Pa236</v>
      </c>
      <c r="U808">
        <f>VLOOKUP(Sheet2!R808,Nuclides!A:E,2,FALSE)</f>
        <v>145</v>
      </c>
      <c r="V808">
        <f>VLOOKUP(R808,Nuclides!A:E,3,FALSE)</f>
        <v>91</v>
      </c>
      <c r="W808" s="1">
        <f t="shared" si="38"/>
        <v>7870424640</v>
      </c>
      <c r="X808" t="s">
        <v>2961</v>
      </c>
      <c r="Z808" s="1">
        <v>66162</v>
      </c>
      <c r="AA808" s="1">
        <v>6.9799999999999994E-11</v>
      </c>
      <c r="AB808" t="str">
        <f>VLOOKUP(Z808,Nuclides!A:E,5,FALSE)</f>
        <v>Dy162</v>
      </c>
      <c r="AC808">
        <f>VLOOKUP(Sheet2!Z808,Nuclides!A:E,2,FALSE)</f>
        <v>96</v>
      </c>
      <c r="AD808">
        <f>VLOOKUP(Z808,Nuclides!A:E,3,FALSE)</f>
        <v>66</v>
      </c>
      <c r="AE808" s="1">
        <f t="shared" si="39"/>
        <v>871103.99999999988</v>
      </c>
      <c r="AF808" t="s">
        <v>1994</v>
      </c>
    </row>
    <row r="809" spans="18:32" x14ac:dyDescent="0.2">
      <c r="R809" s="1">
        <v>91237</v>
      </c>
      <c r="S809" s="1">
        <v>4.2710600000000001E-7</v>
      </c>
      <c r="T809" t="str">
        <f>VLOOKUP(R809,Nuclides!A:E,5,FALSE)</f>
        <v>Pa237</v>
      </c>
      <c r="U809">
        <f>VLOOKUP(Sheet2!R809,Nuclides!A:E,2,FALSE)</f>
        <v>146</v>
      </c>
      <c r="V809">
        <f>VLOOKUP(R809,Nuclides!A:E,3,FALSE)</f>
        <v>91</v>
      </c>
      <c r="W809" s="1">
        <f t="shared" si="38"/>
        <v>5330282880</v>
      </c>
      <c r="X809" t="s">
        <v>2962</v>
      </c>
      <c r="Z809" s="1">
        <v>66164</v>
      </c>
      <c r="AA809" s="1">
        <v>6.9799999999999994E-11</v>
      </c>
      <c r="AB809" t="str">
        <f>VLOOKUP(Z809,Nuclides!A:E,5,FALSE)</f>
        <v>Dy164</v>
      </c>
      <c r="AC809">
        <f>VLOOKUP(Sheet2!Z809,Nuclides!A:E,2,FALSE)</f>
        <v>98</v>
      </c>
      <c r="AD809">
        <f>VLOOKUP(Z809,Nuclides!A:E,3,FALSE)</f>
        <v>66</v>
      </c>
      <c r="AE809" s="1">
        <f t="shared" si="39"/>
        <v>871103.99999999988</v>
      </c>
      <c r="AF809" t="s">
        <v>1996</v>
      </c>
    </row>
    <row r="810" spans="18:32" x14ac:dyDescent="0.2">
      <c r="R810" s="1">
        <v>92230</v>
      </c>
      <c r="S810" s="1">
        <v>1.7450000000000001E-9</v>
      </c>
      <c r="T810" t="str">
        <f>VLOOKUP(R810,Nuclides!A:E,5,FALSE)</f>
        <v>U230</v>
      </c>
      <c r="U810">
        <f>VLOOKUP(Sheet2!R810,Nuclides!A:E,2,FALSE)</f>
        <v>138</v>
      </c>
      <c r="V810">
        <f>VLOOKUP(R810,Nuclides!A:E,3,FALSE)</f>
        <v>92</v>
      </c>
      <c r="W810" s="1">
        <f t="shared" si="38"/>
        <v>21777600</v>
      </c>
      <c r="X810" t="s">
        <v>2978</v>
      </c>
      <c r="Z810" s="1">
        <v>66166</v>
      </c>
      <c r="AA810" s="1">
        <v>2.7919999999999998E-10</v>
      </c>
      <c r="AB810" t="str">
        <f>VLOOKUP(Z810,Nuclides!A:E,5,FALSE)</f>
        <v>Dy166</v>
      </c>
      <c r="AC810">
        <f>VLOOKUP(Sheet2!Z810,Nuclides!A:E,2,FALSE)</f>
        <v>100</v>
      </c>
      <c r="AD810">
        <f>VLOOKUP(Z810,Nuclides!A:E,3,FALSE)</f>
        <v>66</v>
      </c>
      <c r="AE810" s="1">
        <f t="shared" si="39"/>
        <v>3484415.9999999995</v>
      </c>
      <c r="AF810" t="s">
        <v>1998</v>
      </c>
    </row>
    <row r="811" spans="18:32" x14ac:dyDescent="0.2">
      <c r="R811" s="1">
        <v>92231</v>
      </c>
      <c r="S811" s="1">
        <v>3.02234E-8</v>
      </c>
      <c r="T811" t="str">
        <f>VLOOKUP(R811,Nuclides!A:E,5,FALSE)</f>
        <v>U231</v>
      </c>
      <c r="U811">
        <f>VLOOKUP(Sheet2!R811,Nuclides!A:E,2,FALSE)</f>
        <v>139</v>
      </c>
      <c r="V811">
        <f>VLOOKUP(R811,Nuclides!A:E,3,FALSE)</f>
        <v>92</v>
      </c>
      <c r="W811" s="1">
        <f t="shared" si="38"/>
        <v>377188032</v>
      </c>
      <c r="X811" t="s">
        <v>2979</v>
      </c>
      <c r="Z811" s="1">
        <v>66167</v>
      </c>
      <c r="AA811" s="1">
        <v>1.047E-9</v>
      </c>
      <c r="AB811" t="str">
        <f>VLOOKUP(Z811,Nuclides!A:E,5,FALSE)</f>
        <v>Dy167</v>
      </c>
      <c r="AC811">
        <f>VLOOKUP(Sheet2!Z811,Nuclides!A:E,2,FALSE)</f>
        <v>101</v>
      </c>
      <c r="AD811">
        <f>VLOOKUP(Z811,Nuclides!A:E,3,FALSE)</f>
        <v>66</v>
      </c>
      <c r="AE811" s="1">
        <f t="shared" si="39"/>
        <v>13066560</v>
      </c>
      <c r="AF811" t="s">
        <v>1999</v>
      </c>
    </row>
    <row r="812" spans="18:32" x14ac:dyDescent="0.2">
      <c r="R812" s="1">
        <v>92232</v>
      </c>
      <c r="S812" s="1">
        <v>8.3955399999999998E-7</v>
      </c>
      <c r="T812" t="str">
        <f>VLOOKUP(R812,Nuclides!A:E,5,FALSE)</f>
        <v>U232</v>
      </c>
      <c r="U812">
        <f>VLOOKUP(Sheet2!R812,Nuclides!A:E,2,FALSE)</f>
        <v>140</v>
      </c>
      <c r="V812">
        <f>VLOOKUP(R812,Nuclides!A:E,3,FALSE)</f>
        <v>92</v>
      </c>
      <c r="W812" s="1">
        <f t="shared" si="38"/>
        <v>10477633920</v>
      </c>
      <c r="X812" t="s">
        <v>2980</v>
      </c>
      <c r="Z812" s="1">
        <v>66168</v>
      </c>
      <c r="AA812" s="1">
        <v>1.4658E-9</v>
      </c>
      <c r="AB812" t="str">
        <f>VLOOKUP(Z812,Nuclides!A:E,5,FALSE)</f>
        <v>Dy168</v>
      </c>
      <c r="AC812">
        <f>VLOOKUP(Sheet2!Z812,Nuclides!A:E,2,FALSE)</f>
        <v>102</v>
      </c>
      <c r="AD812">
        <f>VLOOKUP(Z812,Nuclides!A:E,3,FALSE)</f>
        <v>66</v>
      </c>
      <c r="AE812" s="1">
        <f t="shared" si="39"/>
        <v>18293184</v>
      </c>
      <c r="AF812" t="s">
        <v>2000</v>
      </c>
    </row>
    <row r="813" spans="18:32" x14ac:dyDescent="0.2">
      <c r="R813" s="1">
        <v>92233</v>
      </c>
      <c r="S813" s="1">
        <v>9.0700900000000008E-6</v>
      </c>
      <c r="T813" t="str">
        <f>VLOOKUP(R813,Nuclides!A:E,5,FALSE)</f>
        <v>U233</v>
      </c>
      <c r="U813">
        <f>VLOOKUP(Sheet2!R813,Nuclides!A:E,2,FALSE)</f>
        <v>141</v>
      </c>
      <c r="V813">
        <f>VLOOKUP(R813,Nuclides!A:E,3,FALSE)</f>
        <v>92</v>
      </c>
      <c r="W813" s="1">
        <f t="shared" si="38"/>
        <v>113194723200.00002</v>
      </c>
      <c r="X813" t="s">
        <v>2981</v>
      </c>
      <c r="Z813" s="1">
        <v>67147</v>
      </c>
      <c r="AA813" s="1">
        <v>4.8860000000000005E-10</v>
      </c>
      <c r="AB813" t="str">
        <f>VLOOKUP(Z813,Nuclides!A:E,5,FALSE)</f>
        <v>Ho147</v>
      </c>
      <c r="AC813">
        <f>VLOOKUP(Sheet2!Z813,Nuclides!A:E,2,FALSE)</f>
        <v>80</v>
      </c>
      <c r="AD813">
        <f>VLOOKUP(Z813,Nuclides!A:E,3,FALSE)</f>
        <v>67</v>
      </c>
      <c r="AE813" s="1">
        <f t="shared" si="39"/>
        <v>6097728.0000000009</v>
      </c>
      <c r="AF813" t="s">
        <v>2011</v>
      </c>
    </row>
    <row r="814" spans="18:32" x14ac:dyDescent="0.2">
      <c r="R814" s="1">
        <v>92234</v>
      </c>
      <c r="S814" s="1">
        <v>7.2731599999999998E-6</v>
      </c>
      <c r="T814" t="str">
        <f>VLOOKUP(R814,Nuclides!A:E,5,FALSE)</f>
        <v>U234</v>
      </c>
      <c r="U814">
        <f>VLOOKUP(Sheet2!R814,Nuclides!A:E,2,FALSE)</f>
        <v>142</v>
      </c>
      <c r="V814">
        <f>VLOOKUP(R814,Nuclides!A:E,3,FALSE)</f>
        <v>92</v>
      </c>
      <c r="W814" s="1">
        <f t="shared" si="38"/>
        <v>90769036800</v>
      </c>
      <c r="X814" t="s">
        <v>2982</v>
      </c>
      <c r="Z814" s="1">
        <v>67148</v>
      </c>
      <c r="AA814" s="1">
        <v>1.047E-9</v>
      </c>
      <c r="AB814" t="str">
        <f>VLOOKUP(Z814,Nuclides!A:E,5,FALSE)</f>
        <v>Ho148</v>
      </c>
      <c r="AC814">
        <f>VLOOKUP(Sheet2!Z814,Nuclides!A:E,2,FALSE)</f>
        <v>81</v>
      </c>
      <c r="AD814">
        <f>VLOOKUP(Z814,Nuclides!A:E,3,FALSE)</f>
        <v>67</v>
      </c>
      <c r="AE814" s="1">
        <f t="shared" si="39"/>
        <v>13066560</v>
      </c>
      <c r="AF814" t="s">
        <v>2012</v>
      </c>
    </row>
    <row r="815" spans="18:32" x14ac:dyDescent="0.2">
      <c r="R815" s="1">
        <v>92235</v>
      </c>
      <c r="S815" s="1">
        <v>3.9106800000000003E-5</v>
      </c>
      <c r="T815" t="str">
        <f>VLOOKUP(R815,Nuclides!A:E,5,FALSE)</f>
        <v>U235</v>
      </c>
      <c r="U815">
        <f>VLOOKUP(Sheet2!R815,Nuclides!A:E,2,FALSE)</f>
        <v>143</v>
      </c>
      <c r="V815">
        <f>VLOOKUP(R815,Nuclides!A:E,3,FALSE)</f>
        <v>92</v>
      </c>
      <c r="W815" s="1">
        <f t="shared" si="38"/>
        <v>488052864000.00006</v>
      </c>
      <c r="X815" t="s">
        <v>2983</v>
      </c>
      <c r="Z815" s="1">
        <v>67149</v>
      </c>
      <c r="AA815" s="1">
        <v>4.8860000000000005E-10</v>
      </c>
      <c r="AB815" t="str">
        <f>VLOOKUP(Z815,Nuclides!A:E,5,FALSE)</f>
        <v>Ho149</v>
      </c>
      <c r="AC815">
        <f>VLOOKUP(Sheet2!Z815,Nuclides!A:E,2,FALSE)</f>
        <v>82</v>
      </c>
      <c r="AD815">
        <f>VLOOKUP(Z815,Nuclides!A:E,3,FALSE)</f>
        <v>67</v>
      </c>
      <c r="AE815" s="1">
        <f t="shared" si="39"/>
        <v>6097728.0000000009</v>
      </c>
      <c r="AF815" t="s">
        <v>2013</v>
      </c>
    </row>
    <row r="816" spans="18:32" x14ac:dyDescent="0.2">
      <c r="R816" s="1">
        <v>92236</v>
      </c>
      <c r="S816" s="1">
        <v>1.4918500000000001E-3</v>
      </c>
      <c r="T816" t="str">
        <f>VLOOKUP(R816,Nuclides!A:E,5,FALSE)</f>
        <v>U236</v>
      </c>
      <c r="U816">
        <f>VLOOKUP(Sheet2!R816,Nuclides!A:E,2,FALSE)</f>
        <v>144</v>
      </c>
      <c r="V816">
        <f>VLOOKUP(R816,Nuclides!A:E,3,FALSE)</f>
        <v>92</v>
      </c>
      <c r="W816" s="1">
        <f t="shared" si="38"/>
        <v>18618288000000</v>
      </c>
      <c r="X816" t="s">
        <v>2984</v>
      </c>
      <c r="Z816" s="1">
        <v>67150</v>
      </c>
      <c r="AA816" s="1">
        <v>2.7919999999999998E-10</v>
      </c>
      <c r="AB816" t="str">
        <f>VLOOKUP(Z816,Nuclides!A:E,5,FALSE)</f>
        <v>Ho150</v>
      </c>
      <c r="AC816">
        <f>VLOOKUP(Sheet2!Z816,Nuclides!A:E,2,FALSE)</f>
        <v>83</v>
      </c>
      <c r="AD816">
        <f>VLOOKUP(Z816,Nuclides!A:E,3,FALSE)</f>
        <v>67</v>
      </c>
      <c r="AE816" s="1">
        <f t="shared" si="39"/>
        <v>3484415.9999999995</v>
      </c>
      <c r="AF816" t="s">
        <v>2014</v>
      </c>
    </row>
    <row r="817" spans="18:32" x14ac:dyDescent="0.2">
      <c r="R817" s="1">
        <v>92237</v>
      </c>
      <c r="S817" s="1">
        <v>7.2702999999999997E-6</v>
      </c>
      <c r="T817" t="str">
        <f>VLOOKUP(R817,Nuclides!A:E,5,FALSE)</f>
        <v>U237</v>
      </c>
      <c r="U817">
        <f>VLOOKUP(Sheet2!R817,Nuclides!A:E,2,FALSE)</f>
        <v>145</v>
      </c>
      <c r="V817">
        <f>VLOOKUP(R817,Nuclides!A:E,3,FALSE)</f>
        <v>92</v>
      </c>
      <c r="W817" s="1">
        <f t="shared" si="38"/>
        <v>90733344000</v>
      </c>
      <c r="X817" t="s">
        <v>2985</v>
      </c>
      <c r="Z817" s="1">
        <v>67153</v>
      </c>
      <c r="AA817" s="1">
        <v>6.9799999999999994E-11</v>
      </c>
      <c r="AB817" t="str">
        <f>VLOOKUP(Z817,Nuclides!A:E,5,FALSE)</f>
        <v>Ho153</v>
      </c>
      <c r="AC817">
        <f>VLOOKUP(Sheet2!Z817,Nuclides!A:E,2,FALSE)</f>
        <v>86</v>
      </c>
      <c r="AD817">
        <f>VLOOKUP(Z817,Nuclides!A:E,3,FALSE)</f>
        <v>67</v>
      </c>
      <c r="AE817" s="1">
        <f t="shared" si="39"/>
        <v>871103.99999999988</v>
      </c>
      <c r="AF817" t="s">
        <v>2017</v>
      </c>
    </row>
    <row r="818" spans="18:32" x14ac:dyDescent="0.2">
      <c r="R818" s="1">
        <v>20100</v>
      </c>
      <c r="S818" s="1">
        <v>0</v>
      </c>
      <c r="Z818" s="1">
        <v>67168</v>
      </c>
      <c r="AA818" s="1">
        <v>1.3959999999999999E-10</v>
      </c>
      <c r="AB818" t="str">
        <f>VLOOKUP(Z818,Nuclides!A:E,5,FALSE)</f>
        <v>Ho168</v>
      </c>
      <c r="AC818">
        <f>VLOOKUP(Sheet2!Z818,Nuclides!A:E,2,FALSE)</f>
        <v>101</v>
      </c>
      <c r="AD818">
        <f>VLOOKUP(Z818,Nuclides!A:E,3,FALSE)</f>
        <v>67</v>
      </c>
      <c r="AE818" s="1">
        <f t="shared" si="39"/>
        <v>1742207.9999999998</v>
      </c>
      <c r="AF818" t="s">
        <v>2032</v>
      </c>
    </row>
    <row r="819" spans="18:32" x14ac:dyDescent="0.2">
      <c r="R819" s="1">
        <v>30100</v>
      </c>
      <c r="S819" s="1">
        <v>1.3E-7</v>
      </c>
      <c r="Z819" s="1">
        <v>67169</v>
      </c>
      <c r="AA819" s="1">
        <v>2.094E-10</v>
      </c>
      <c r="AB819" t="str">
        <f>VLOOKUP(Z819,Nuclides!A:E,5,FALSE)</f>
        <v>Ho169</v>
      </c>
      <c r="AC819">
        <f>VLOOKUP(Sheet2!Z819,Nuclides!A:E,2,FALSE)</f>
        <v>102</v>
      </c>
      <c r="AD819">
        <f>VLOOKUP(Z819,Nuclides!A:E,3,FALSE)</f>
        <v>67</v>
      </c>
      <c r="AE819" s="1">
        <f t="shared" si="39"/>
        <v>2613312</v>
      </c>
      <c r="AF819" t="s">
        <v>2033</v>
      </c>
    </row>
    <row r="820" spans="18:32" x14ac:dyDescent="0.2">
      <c r="R820" s="1">
        <v>36100</v>
      </c>
      <c r="S820" s="1">
        <v>9.7699999999999996E-6</v>
      </c>
      <c r="Z820" s="1">
        <v>67170</v>
      </c>
      <c r="AA820" s="1">
        <v>6.9799999999999994E-11</v>
      </c>
      <c r="AB820" t="str">
        <f>VLOOKUP(Z820,Nuclides!A:E,5,FALSE)</f>
        <v>Ho170</v>
      </c>
      <c r="AC820">
        <f>VLOOKUP(Sheet2!Z820,Nuclides!A:E,2,FALSE)</f>
        <v>103</v>
      </c>
      <c r="AD820">
        <f>VLOOKUP(Z820,Nuclides!A:E,3,FALSE)</f>
        <v>67</v>
      </c>
      <c r="AE820" s="1">
        <f t="shared" si="39"/>
        <v>871103.99999999988</v>
      </c>
      <c r="AF820" t="s">
        <v>2034</v>
      </c>
    </row>
    <row r="821" spans="18:32" x14ac:dyDescent="0.2">
      <c r="R821" s="1">
        <v>50100</v>
      </c>
      <c r="S821" s="1">
        <v>2.5700000000000001E-5</v>
      </c>
      <c r="Z821" s="1">
        <v>68147</v>
      </c>
      <c r="AA821" s="1">
        <v>6.9799999999999994E-11</v>
      </c>
      <c r="AB821" t="str">
        <f>VLOOKUP(Z821,Nuclides!A:E,5,FALSE)</f>
        <v>Er147</v>
      </c>
      <c r="AC821">
        <f>VLOOKUP(Sheet2!Z821,Nuclides!A:E,2,FALSE)</f>
        <v>79</v>
      </c>
      <c r="AD821">
        <f>VLOOKUP(Z821,Nuclides!A:E,3,FALSE)</f>
        <v>68</v>
      </c>
      <c r="AE821" s="1">
        <f t="shared" si="39"/>
        <v>871103.99999999988</v>
      </c>
      <c r="AF821" t="s">
        <v>2044</v>
      </c>
    </row>
    <row r="822" spans="18:32" x14ac:dyDescent="0.2">
      <c r="R822" s="1">
        <v>50100</v>
      </c>
      <c r="S822" s="1">
        <v>1.75E-9</v>
      </c>
      <c r="Z822" s="1">
        <v>68148</v>
      </c>
      <c r="AA822" s="1">
        <v>6.9799999999999994E-11</v>
      </c>
      <c r="AB822" t="str">
        <f>VLOOKUP(Z822,Nuclides!A:E,5,FALSE)</f>
        <v>Er148</v>
      </c>
      <c r="AC822">
        <f>VLOOKUP(Sheet2!Z822,Nuclides!A:E,2,FALSE)</f>
        <v>80</v>
      </c>
      <c r="AD822">
        <f>VLOOKUP(Z822,Nuclides!A:E,3,FALSE)</f>
        <v>68</v>
      </c>
      <c r="AE822" s="1">
        <f t="shared" si="39"/>
        <v>871103.99999999988</v>
      </c>
      <c r="AF822" t="s">
        <v>2045</v>
      </c>
    </row>
    <row r="823" spans="18:32" x14ac:dyDescent="0.2">
      <c r="R823" s="1">
        <v>54100</v>
      </c>
      <c r="S823" s="1">
        <v>3.2199999999999997E-5</v>
      </c>
      <c r="Z823" s="1">
        <v>68149</v>
      </c>
      <c r="AA823" s="1">
        <v>1.3959999999999999E-10</v>
      </c>
      <c r="AB823" t="str">
        <f>VLOOKUP(Z823,Nuclides!A:E,5,FALSE)</f>
        <v>Er149</v>
      </c>
      <c r="AC823">
        <f>VLOOKUP(Sheet2!Z823,Nuclides!A:E,2,FALSE)</f>
        <v>81</v>
      </c>
      <c r="AD823">
        <f>VLOOKUP(Z823,Nuclides!A:E,3,FALSE)</f>
        <v>68</v>
      </c>
      <c r="AE823" s="1">
        <f t="shared" si="39"/>
        <v>1742207.9999999998</v>
      </c>
      <c r="AF823" t="s">
        <v>2046</v>
      </c>
    </row>
    <row r="824" spans="18:32" x14ac:dyDescent="0.2">
      <c r="R824" s="1">
        <v>55100</v>
      </c>
      <c r="S824" s="1">
        <v>3.9299999999999996E-6</v>
      </c>
      <c r="Z824" s="1">
        <v>68150</v>
      </c>
      <c r="AA824" s="1">
        <v>6.9799999999999994E-11</v>
      </c>
      <c r="AB824" t="str">
        <f>VLOOKUP(Z824,Nuclides!A:E,5,FALSE)</f>
        <v>Er150</v>
      </c>
      <c r="AC824">
        <f>VLOOKUP(Sheet2!Z824,Nuclides!A:E,2,FALSE)</f>
        <v>82</v>
      </c>
      <c r="AD824">
        <f>VLOOKUP(Z824,Nuclides!A:E,3,FALSE)</f>
        <v>68</v>
      </c>
      <c r="AE824" s="1">
        <f t="shared" si="39"/>
        <v>871103.99999999988</v>
      </c>
      <c r="AF824" t="s">
        <v>2047</v>
      </c>
    </row>
    <row r="825" spans="18:32" x14ac:dyDescent="0.2">
      <c r="Z825" s="1">
        <v>68173</v>
      </c>
      <c r="AA825" s="1">
        <v>6.9799999999999994E-11</v>
      </c>
      <c r="AB825" t="str">
        <f>VLOOKUP(Z825,Nuclides!A:E,5,FALSE)</f>
        <v>Er173</v>
      </c>
      <c r="AC825">
        <f>VLOOKUP(Sheet2!Z825,Nuclides!A:E,2,FALSE)</f>
        <v>105</v>
      </c>
      <c r="AD825">
        <f>VLOOKUP(Z825,Nuclides!A:E,3,FALSE)</f>
        <v>68</v>
      </c>
      <c r="AE825" s="1">
        <f t="shared" si="39"/>
        <v>871103.99999999988</v>
      </c>
      <c r="AF825" t="s">
        <v>2070</v>
      </c>
    </row>
    <row r="826" spans="18:32" x14ac:dyDescent="0.2">
      <c r="Z826" s="1">
        <v>69151</v>
      </c>
      <c r="AA826" s="1">
        <v>1.3959999999999999E-10</v>
      </c>
      <c r="AB826" t="str">
        <f>VLOOKUP(Z826,Nuclides!A:E,5,FALSE)</f>
        <v>Tm151</v>
      </c>
      <c r="AC826">
        <f>VLOOKUP(Sheet2!Z826,Nuclides!A:E,2,FALSE)</f>
        <v>82</v>
      </c>
      <c r="AD826">
        <f>VLOOKUP(Z826,Nuclides!A:E,3,FALSE)</f>
        <v>69</v>
      </c>
      <c r="AE826" s="1">
        <f t="shared" si="39"/>
        <v>1742207.9999999998</v>
      </c>
      <c r="AF826" t="s">
        <v>2083</v>
      </c>
    </row>
    <row r="827" spans="18:32" x14ac:dyDescent="0.2">
      <c r="Z827" s="1">
        <v>69175</v>
      </c>
      <c r="AA827" s="1">
        <v>1.3959999999999999E-10</v>
      </c>
      <c r="AB827" t="str">
        <f>VLOOKUP(Z827,Nuclides!A:E,5,FALSE)</f>
        <v>Tm175</v>
      </c>
      <c r="AC827">
        <f>VLOOKUP(Sheet2!Z827,Nuclides!A:E,2,FALSE)</f>
        <v>106</v>
      </c>
      <c r="AD827">
        <f>VLOOKUP(Z827,Nuclides!A:E,3,FALSE)</f>
        <v>69</v>
      </c>
      <c r="AE827" s="1">
        <f t="shared" si="39"/>
        <v>1742207.9999999998</v>
      </c>
      <c r="AF827" t="s">
        <v>2107</v>
      </c>
    </row>
    <row r="828" spans="18:32" x14ac:dyDescent="0.2">
      <c r="Z828" s="1">
        <v>90230</v>
      </c>
      <c r="AA828" s="1">
        <v>2.094E-10</v>
      </c>
      <c r="AB828" t="str">
        <f>VLOOKUP(Z828,Nuclides!A:E,5,FALSE)</f>
        <v>Th230</v>
      </c>
      <c r="AC828">
        <f>VLOOKUP(Sheet2!Z828,Nuclides!A:E,2,FALSE)</f>
        <v>140</v>
      </c>
      <c r="AD828">
        <f>VLOOKUP(Z828,Nuclides!A:E,3,FALSE)</f>
        <v>90</v>
      </c>
      <c r="AE828" s="1">
        <f t="shared" si="39"/>
        <v>2613312</v>
      </c>
      <c r="AF828" t="s">
        <v>2927</v>
      </c>
    </row>
    <row r="829" spans="18:32" x14ac:dyDescent="0.2">
      <c r="Z829" s="1">
        <v>90231</v>
      </c>
      <c r="AA829" s="1">
        <v>4.1879999999999999E-10</v>
      </c>
      <c r="AB829" t="str">
        <f>VLOOKUP(Z829,Nuclides!A:E,5,FALSE)</f>
        <v>Th231</v>
      </c>
      <c r="AC829">
        <f>VLOOKUP(Sheet2!Z829,Nuclides!A:E,2,FALSE)</f>
        <v>141</v>
      </c>
      <c r="AD829">
        <f>VLOOKUP(Z829,Nuclides!A:E,3,FALSE)</f>
        <v>90</v>
      </c>
      <c r="AE829" s="1">
        <f t="shared" si="39"/>
        <v>5226624</v>
      </c>
      <c r="AF829" t="s">
        <v>2928</v>
      </c>
    </row>
    <row r="830" spans="18:32" x14ac:dyDescent="0.2">
      <c r="Z830" s="1">
        <v>90232</v>
      </c>
      <c r="AA830" s="1">
        <v>7.6779999999999997E-10</v>
      </c>
      <c r="AB830" t="str">
        <f>VLOOKUP(Z830,Nuclides!A:E,5,FALSE)</f>
        <v>Th232</v>
      </c>
      <c r="AC830">
        <f>VLOOKUP(Sheet2!Z830,Nuclides!A:E,2,FALSE)</f>
        <v>142</v>
      </c>
      <c r="AD830">
        <f>VLOOKUP(Z830,Nuclides!A:E,3,FALSE)</f>
        <v>90</v>
      </c>
      <c r="AE830" s="1">
        <f t="shared" si="39"/>
        <v>9582144</v>
      </c>
      <c r="AF830" t="s">
        <v>2929</v>
      </c>
    </row>
    <row r="831" spans="18:32" x14ac:dyDescent="0.2">
      <c r="Z831" s="1">
        <v>90233</v>
      </c>
      <c r="AA831" s="1">
        <v>3.4899999999999998E-10</v>
      </c>
      <c r="AB831" t="str">
        <f>VLOOKUP(Z831,Nuclides!A:E,5,FALSE)</f>
        <v>Th233</v>
      </c>
      <c r="AC831">
        <f>VLOOKUP(Sheet2!Z831,Nuclides!A:E,2,FALSE)</f>
        <v>143</v>
      </c>
      <c r="AD831">
        <f>VLOOKUP(Z831,Nuclides!A:E,3,FALSE)</f>
        <v>90</v>
      </c>
      <c r="AE831" s="1">
        <f t="shared" si="39"/>
        <v>4355520</v>
      </c>
      <c r="AF831" t="s">
        <v>2930</v>
      </c>
    </row>
    <row r="832" spans="18:32" x14ac:dyDescent="0.2">
      <c r="Z832" s="1">
        <v>90234</v>
      </c>
      <c r="AA832" s="1">
        <v>2.094E-10</v>
      </c>
      <c r="AB832" t="str">
        <f>VLOOKUP(Z832,Nuclides!A:E,5,FALSE)</f>
        <v>Th234</v>
      </c>
      <c r="AC832">
        <f>VLOOKUP(Sheet2!Z832,Nuclides!A:E,2,FALSE)</f>
        <v>144</v>
      </c>
      <c r="AD832">
        <f>VLOOKUP(Z832,Nuclides!A:E,3,FALSE)</f>
        <v>90</v>
      </c>
      <c r="AE832" s="1">
        <f t="shared" si="39"/>
        <v>2613312</v>
      </c>
      <c r="AF832" t="s">
        <v>2931</v>
      </c>
    </row>
    <row r="833" spans="26:32" x14ac:dyDescent="0.2">
      <c r="Z833" s="1">
        <v>90236</v>
      </c>
      <c r="AA833" s="1">
        <v>1.3959999999999999E-10</v>
      </c>
      <c r="AB833" t="str">
        <f>VLOOKUP(Z833,Nuclides!A:E,5,FALSE)</f>
        <v>Th236</v>
      </c>
      <c r="AC833">
        <f>VLOOKUP(Sheet2!Z833,Nuclides!A:E,2,FALSE)</f>
        <v>146</v>
      </c>
      <c r="AD833">
        <f>VLOOKUP(Z833,Nuclides!A:E,3,FALSE)</f>
        <v>90</v>
      </c>
      <c r="AE833" s="1">
        <f t="shared" si="39"/>
        <v>1742207.9999999998</v>
      </c>
      <c r="AF833" t="s">
        <v>2933</v>
      </c>
    </row>
    <row r="834" spans="26:32" x14ac:dyDescent="0.2">
      <c r="Z834" s="1">
        <v>91230</v>
      </c>
      <c r="AA834" s="1">
        <v>2.094E-10</v>
      </c>
      <c r="AB834" t="str">
        <f>VLOOKUP(Z834,Nuclides!A:E,5,FALSE)</f>
        <v>Pa230</v>
      </c>
      <c r="AC834">
        <f>VLOOKUP(Sheet2!Z834,Nuclides!A:E,2,FALSE)</f>
        <v>139</v>
      </c>
      <c r="AD834">
        <f>VLOOKUP(Z834,Nuclides!A:E,3,FALSE)</f>
        <v>91</v>
      </c>
      <c r="AE834" s="1">
        <f t="shared" si="39"/>
        <v>2613312</v>
      </c>
      <c r="AF834" t="s">
        <v>2955</v>
      </c>
    </row>
    <row r="835" spans="26:32" x14ac:dyDescent="0.2">
      <c r="Z835" s="1">
        <v>91231</v>
      </c>
      <c r="AA835" s="1">
        <v>3.4201999999999998E-9</v>
      </c>
      <c r="AB835" t="str">
        <f>VLOOKUP(Z835,Nuclides!A:E,5,FALSE)</f>
        <v>Pa231</v>
      </c>
      <c r="AC835">
        <f>VLOOKUP(Sheet2!Z835,Nuclides!A:E,2,FALSE)</f>
        <v>140</v>
      </c>
      <c r="AD835">
        <f>VLOOKUP(Z835,Nuclides!A:E,3,FALSE)</f>
        <v>91</v>
      </c>
      <c r="AE835" s="1">
        <f t="shared" si="39"/>
        <v>42684096</v>
      </c>
      <c r="AF835" t="s">
        <v>2956</v>
      </c>
    </row>
    <row r="836" spans="26:32" x14ac:dyDescent="0.2">
      <c r="Z836" s="1">
        <v>91232</v>
      </c>
      <c r="AA836" s="1">
        <v>1.1447200000000001E-8</v>
      </c>
      <c r="AB836" t="str">
        <f>VLOOKUP(Z836,Nuclides!A:E,5,FALSE)</f>
        <v>Pa232</v>
      </c>
      <c r="AC836">
        <f>VLOOKUP(Sheet2!Z836,Nuclides!A:E,2,FALSE)</f>
        <v>141</v>
      </c>
      <c r="AD836">
        <f>VLOOKUP(Z836,Nuclides!A:E,3,FALSE)</f>
        <v>91</v>
      </c>
      <c r="AE836" s="1">
        <f t="shared" ref="AE836:AE850" si="40">AA836*12480000000000000</f>
        <v>142861056</v>
      </c>
      <c r="AF836" t="s">
        <v>2957</v>
      </c>
    </row>
    <row r="837" spans="26:32" x14ac:dyDescent="0.2">
      <c r="Z837" s="1">
        <v>91233</v>
      </c>
      <c r="AA837" s="1">
        <v>6.0935400000000004E-8</v>
      </c>
      <c r="AB837" t="str">
        <f>VLOOKUP(Z837,Nuclides!A:E,5,FALSE)</f>
        <v>Pa233</v>
      </c>
      <c r="AC837">
        <f>VLOOKUP(Sheet2!Z837,Nuclides!A:E,2,FALSE)</f>
        <v>142</v>
      </c>
      <c r="AD837">
        <f>VLOOKUP(Z837,Nuclides!A:E,3,FALSE)</f>
        <v>91</v>
      </c>
      <c r="AE837" s="1">
        <f t="shared" si="40"/>
        <v>760473792</v>
      </c>
      <c r="AF837" t="s">
        <v>2958</v>
      </c>
    </row>
    <row r="838" spans="26:32" x14ac:dyDescent="0.2">
      <c r="Z838" s="1">
        <v>91234</v>
      </c>
      <c r="AA838" s="1">
        <v>1.47557E-7</v>
      </c>
      <c r="AB838" t="str">
        <f>VLOOKUP(Z838,Nuclides!A:E,5,FALSE)</f>
        <v>Pa234</v>
      </c>
      <c r="AC838">
        <f>VLOOKUP(Sheet2!Z838,Nuclides!A:E,2,FALSE)</f>
        <v>143</v>
      </c>
      <c r="AD838">
        <f>VLOOKUP(Z838,Nuclides!A:E,3,FALSE)</f>
        <v>91</v>
      </c>
      <c r="AE838" s="1">
        <f t="shared" si="40"/>
        <v>1841511360</v>
      </c>
      <c r="AF838" t="s">
        <v>2959</v>
      </c>
    </row>
    <row r="839" spans="26:32" x14ac:dyDescent="0.2">
      <c r="Z839" s="1">
        <v>91235</v>
      </c>
      <c r="AA839" s="1">
        <v>4.2061499999999998E-7</v>
      </c>
      <c r="AB839" t="str">
        <f>VLOOKUP(Z839,Nuclides!A:E,5,FALSE)</f>
        <v>Pa235</v>
      </c>
      <c r="AC839">
        <f>VLOOKUP(Sheet2!Z839,Nuclides!A:E,2,FALSE)</f>
        <v>144</v>
      </c>
      <c r="AD839">
        <f>VLOOKUP(Z839,Nuclides!A:E,3,FALSE)</f>
        <v>91</v>
      </c>
      <c r="AE839" s="1">
        <f t="shared" si="40"/>
        <v>5249275200</v>
      </c>
      <c r="AF839" t="s">
        <v>2960</v>
      </c>
    </row>
    <row r="840" spans="26:32" x14ac:dyDescent="0.2">
      <c r="Z840" s="1">
        <v>91236</v>
      </c>
      <c r="AA840" s="1">
        <v>7.5998199999999996E-7</v>
      </c>
      <c r="AB840" t="str">
        <f>VLOOKUP(Z840,Nuclides!A:E,5,FALSE)</f>
        <v>Pa236</v>
      </c>
      <c r="AC840">
        <f>VLOOKUP(Sheet2!Z840,Nuclides!A:E,2,FALSE)</f>
        <v>145</v>
      </c>
      <c r="AD840">
        <f>VLOOKUP(Z840,Nuclides!A:E,3,FALSE)</f>
        <v>91</v>
      </c>
      <c r="AE840" s="1">
        <f t="shared" si="40"/>
        <v>9484575360</v>
      </c>
      <c r="AF840" t="s">
        <v>2961</v>
      </c>
    </row>
    <row r="841" spans="26:32" x14ac:dyDescent="0.2">
      <c r="Z841" s="1">
        <v>91237</v>
      </c>
      <c r="AA841" s="1">
        <v>5.42765E-7</v>
      </c>
      <c r="AB841" t="str">
        <f>VLOOKUP(Z841,Nuclides!A:E,5,FALSE)</f>
        <v>Pa237</v>
      </c>
      <c r="AC841">
        <f>VLOOKUP(Sheet2!Z841,Nuclides!A:E,2,FALSE)</f>
        <v>146</v>
      </c>
      <c r="AD841">
        <f>VLOOKUP(Z841,Nuclides!A:E,3,FALSE)</f>
        <v>91</v>
      </c>
      <c r="AE841" s="1">
        <f t="shared" si="40"/>
        <v>6773707200</v>
      </c>
      <c r="AF841" t="s">
        <v>2962</v>
      </c>
    </row>
    <row r="842" spans="26:32" x14ac:dyDescent="0.2">
      <c r="Z842" s="1">
        <v>92230</v>
      </c>
      <c r="AA842" s="1">
        <v>2.6524000000000001E-9</v>
      </c>
      <c r="AB842" t="str">
        <f>VLOOKUP(Z842,Nuclides!A:E,5,FALSE)</f>
        <v>U230</v>
      </c>
      <c r="AC842">
        <f>VLOOKUP(Sheet2!Z842,Nuclides!A:E,2,FALSE)</f>
        <v>138</v>
      </c>
      <c r="AD842">
        <f>VLOOKUP(Z842,Nuclides!A:E,3,FALSE)</f>
        <v>92</v>
      </c>
      <c r="AE842" s="1">
        <f t="shared" si="40"/>
        <v>33101952</v>
      </c>
      <c r="AF842" t="s">
        <v>2978</v>
      </c>
    </row>
    <row r="843" spans="26:32" x14ac:dyDescent="0.2">
      <c r="Z843" s="1">
        <v>92231</v>
      </c>
      <c r="AA843" s="1">
        <v>3.4201999999999997E-8</v>
      </c>
      <c r="AB843" t="str">
        <f>VLOOKUP(Z843,Nuclides!A:E,5,FALSE)</f>
        <v>U231</v>
      </c>
      <c r="AC843">
        <f>VLOOKUP(Sheet2!Z843,Nuclides!A:E,2,FALSE)</f>
        <v>139</v>
      </c>
      <c r="AD843">
        <f>VLOOKUP(Z843,Nuclides!A:E,3,FALSE)</f>
        <v>92</v>
      </c>
      <c r="AE843" s="1">
        <f t="shared" si="40"/>
        <v>426840959.99999994</v>
      </c>
      <c r="AF843" t="s">
        <v>2979</v>
      </c>
    </row>
    <row r="844" spans="26:32" x14ac:dyDescent="0.2">
      <c r="Z844" s="1">
        <v>92232</v>
      </c>
      <c r="AA844" s="1">
        <v>1.1668500000000001E-6</v>
      </c>
      <c r="AB844" t="str">
        <f>VLOOKUP(Z844,Nuclides!A:E,5,FALSE)</f>
        <v>U232</v>
      </c>
      <c r="AC844">
        <f>VLOOKUP(Sheet2!Z844,Nuclides!A:E,2,FALSE)</f>
        <v>140</v>
      </c>
      <c r="AD844">
        <f>VLOOKUP(Z844,Nuclides!A:E,3,FALSE)</f>
        <v>92</v>
      </c>
      <c r="AE844" s="1">
        <f t="shared" si="40"/>
        <v>14562288000.000002</v>
      </c>
      <c r="AF844" t="s">
        <v>2980</v>
      </c>
    </row>
    <row r="845" spans="26:32" x14ac:dyDescent="0.2">
      <c r="Z845" s="1">
        <v>92233</v>
      </c>
      <c r="AA845" s="1">
        <v>2.3815399999999999E-5</v>
      </c>
      <c r="AB845" t="str">
        <f>VLOOKUP(Z845,Nuclides!A:E,5,FALSE)</f>
        <v>U233</v>
      </c>
      <c r="AC845">
        <f>VLOOKUP(Sheet2!Z845,Nuclides!A:E,2,FALSE)</f>
        <v>141</v>
      </c>
      <c r="AD845">
        <f>VLOOKUP(Z845,Nuclides!A:E,3,FALSE)</f>
        <v>92</v>
      </c>
      <c r="AE845" s="1">
        <f t="shared" si="40"/>
        <v>297216192000</v>
      </c>
      <c r="AF845" t="s">
        <v>2981</v>
      </c>
    </row>
    <row r="846" spans="26:32" x14ac:dyDescent="0.2">
      <c r="Z846" s="1">
        <v>92234</v>
      </c>
      <c r="AA846" s="1">
        <v>1.3395599999999999E-4</v>
      </c>
      <c r="AB846" t="str">
        <f>VLOOKUP(Z846,Nuclides!A:E,5,FALSE)</f>
        <v>U234</v>
      </c>
      <c r="AC846">
        <f>VLOOKUP(Sheet2!Z846,Nuclides!A:E,2,FALSE)</f>
        <v>142</v>
      </c>
      <c r="AD846">
        <f>VLOOKUP(Z846,Nuclides!A:E,3,FALSE)</f>
        <v>92</v>
      </c>
      <c r="AE846" s="1">
        <f t="shared" si="40"/>
        <v>1671770879999.9998</v>
      </c>
      <c r="AF846" t="s">
        <v>2982</v>
      </c>
    </row>
    <row r="847" spans="26:32" x14ac:dyDescent="0.2">
      <c r="Z847" s="1">
        <v>92235</v>
      </c>
      <c r="AA847" s="1">
        <v>4.66799E-5</v>
      </c>
      <c r="AB847" t="str">
        <f>VLOOKUP(Z847,Nuclides!A:E,5,FALSE)</f>
        <v>U235</v>
      </c>
      <c r="AC847">
        <f>VLOOKUP(Sheet2!Z847,Nuclides!A:E,2,FALSE)</f>
        <v>143</v>
      </c>
      <c r="AD847">
        <f>VLOOKUP(Z847,Nuclides!A:E,3,FALSE)</f>
        <v>92</v>
      </c>
      <c r="AE847" s="1">
        <f t="shared" si="40"/>
        <v>582565152000</v>
      </c>
      <c r="AF847" t="s">
        <v>2983</v>
      </c>
    </row>
    <row r="848" spans="26:32" x14ac:dyDescent="0.2">
      <c r="Z848" s="1">
        <v>92236</v>
      </c>
      <c r="AA848" s="1">
        <v>1.3475200000000001E-3</v>
      </c>
      <c r="AB848" t="str">
        <f>VLOOKUP(Z848,Nuclides!A:E,5,FALSE)</f>
        <v>U236</v>
      </c>
      <c r="AC848">
        <f>VLOOKUP(Sheet2!Z848,Nuclides!A:E,2,FALSE)</f>
        <v>144</v>
      </c>
      <c r="AD848">
        <f>VLOOKUP(Z848,Nuclides!A:E,3,FALSE)</f>
        <v>92</v>
      </c>
      <c r="AE848" s="1">
        <f t="shared" si="40"/>
        <v>16817049600000</v>
      </c>
      <c r="AF848" t="s">
        <v>2984</v>
      </c>
    </row>
    <row r="849" spans="26:32" x14ac:dyDescent="0.2">
      <c r="Z849" s="1">
        <v>92237</v>
      </c>
      <c r="AA849" s="1">
        <v>4.0387699999999997E-3</v>
      </c>
      <c r="AB849" t="str">
        <f>VLOOKUP(Z849,Nuclides!A:E,5,FALSE)</f>
        <v>U237</v>
      </c>
      <c r="AC849">
        <f>VLOOKUP(Sheet2!Z849,Nuclides!A:E,2,FALSE)</f>
        <v>145</v>
      </c>
      <c r="AD849">
        <f>VLOOKUP(Z849,Nuclides!A:E,3,FALSE)</f>
        <v>92</v>
      </c>
      <c r="AE849" s="1">
        <f t="shared" si="40"/>
        <v>50403849599999.992</v>
      </c>
      <c r="AF849" t="s">
        <v>2985</v>
      </c>
    </row>
    <row r="850" spans="26:32" x14ac:dyDescent="0.2">
      <c r="Z850" s="1">
        <v>92238</v>
      </c>
      <c r="AA850" s="1">
        <v>1.95415E-4</v>
      </c>
      <c r="AB850" t="str">
        <f>VLOOKUP(Z850,Nuclides!A:E,5,FALSE)</f>
        <v>U238</v>
      </c>
      <c r="AC850">
        <f>VLOOKUP(Sheet2!Z850,Nuclides!A:E,2,FALSE)</f>
        <v>146</v>
      </c>
      <c r="AD850">
        <f>VLOOKUP(Z850,Nuclides!A:E,3,FALSE)</f>
        <v>92</v>
      </c>
      <c r="AE850" s="1">
        <f t="shared" si="40"/>
        <v>2438779200000</v>
      </c>
      <c r="AF850" t="s">
        <v>2986</v>
      </c>
    </row>
  </sheetData>
  <mergeCells count="1">
    <mergeCell ref="R2:W2"/>
  </mergeCells>
  <phoneticPr fontId="1" type="noConversion"/>
  <conditionalFormatting sqref="G3:G40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4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:W8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:AE85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S26"/>
  <sheetViews>
    <sheetView workbookViewId="0">
      <selection activeCell="O13" sqref="O13:O14"/>
    </sheetView>
  </sheetViews>
  <sheetFormatPr defaultRowHeight="14.25" x14ac:dyDescent="0.2"/>
  <cols>
    <col min="7" max="7" width="10.125" bestFit="1" customWidth="1"/>
    <col min="8" max="8" width="9.875" bestFit="1" customWidth="1"/>
    <col min="9" max="12" width="9.125" bestFit="1" customWidth="1"/>
  </cols>
  <sheetData>
    <row r="5" spans="3:19" x14ac:dyDescent="0.2">
      <c r="C5">
        <v>180</v>
      </c>
      <c r="D5">
        <f>COS(RADIANS(C5))</f>
        <v>-1</v>
      </c>
      <c r="G5" s="1">
        <f>D5</f>
        <v>-1</v>
      </c>
      <c r="H5" s="1">
        <f>D6</f>
        <v>-0.98480775301220802</v>
      </c>
      <c r="I5" s="1">
        <f>D7</f>
        <v>6.1257422745431001E-17</v>
      </c>
      <c r="J5" s="1">
        <f>D8</f>
        <v>0.64278760968653936</v>
      </c>
      <c r="K5" s="1">
        <f>D9</f>
        <v>0.70710678118654757</v>
      </c>
      <c r="L5" s="1">
        <f>D10</f>
        <v>0.76604444311897801</v>
      </c>
    </row>
    <row r="6" spans="3:19" x14ac:dyDescent="0.2">
      <c r="C6">
        <v>170</v>
      </c>
      <c r="D6">
        <f>COS(RADIANS(C6))</f>
        <v>-0.98480775301220802</v>
      </c>
      <c r="E6" s="1">
        <v>1.23751E-2</v>
      </c>
      <c r="G6" s="1">
        <f>D11</f>
        <v>0.8191520442889918</v>
      </c>
      <c r="H6" s="1">
        <f>D12</f>
        <v>0.86602540378443871</v>
      </c>
      <c r="I6" s="1">
        <f>D13</f>
        <v>0.90630778703664994</v>
      </c>
      <c r="J6" s="1">
        <f>D14</f>
        <v>0.93969262078590843</v>
      </c>
      <c r="K6" s="1">
        <f>D15</f>
        <v>0.96592582628906831</v>
      </c>
      <c r="L6" s="1">
        <f>D16</f>
        <v>0.98480775301220802</v>
      </c>
    </row>
    <row r="7" spans="3:19" x14ac:dyDescent="0.2">
      <c r="C7">
        <v>90</v>
      </c>
      <c r="D7">
        <f t="shared" ref="D7:D18" si="0">COS(RADIANS(C7))</f>
        <v>6.1257422745431001E-17</v>
      </c>
      <c r="E7" s="1">
        <v>1.1127400000000001</v>
      </c>
      <c r="G7" s="1">
        <f>D17</f>
        <v>0.99619469809174555</v>
      </c>
      <c r="H7" s="1">
        <f>D18</f>
        <v>1</v>
      </c>
      <c r="I7" s="1"/>
      <c r="J7" s="1"/>
      <c r="K7" s="1"/>
      <c r="L7" s="1"/>
    </row>
    <row r="8" spans="3:19" x14ac:dyDescent="0.2">
      <c r="C8">
        <v>50</v>
      </c>
      <c r="D8">
        <f t="shared" si="0"/>
        <v>0.64278760968653936</v>
      </c>
      <c r="E8" s="1">
        <v>1.6001799999999999</v>
      </c>
    </row>
    <row r="9" spans="3:19" x14ac:dyDescent="0.2">
      <c r="C9">
        <v>45</v>
      </c>
      <c r="D9">
        <f t="shared" si="0"/>
        <v>0.70710678118654757</v>
      </c>
      <c r="E9" s="1">
        <v>0.28533599999999998</v>
      </c>
    </row>
    <row r="10" spans="3:19" x14ac:dyDescent="0.2">
      <c r="C10">
        <f>C9-5</f>
        <v>40</v>
      </c>
      <c r="D10">
        <f t="shared" si="0"/>
        <v>0.76604444311897801</v>
      </c>
      <c r="E10" s="1">
        <v>0.31093199999999999</v>
      </c>
      <c r="G10" s="1">
        <f>E6</f>
        <v>1.23751E-2</v>
      </c>
      <c r="H10" s="1">
        <f>E7</f>
        <v>1.1127400000000001</v>
      </c>
      <c r="I10" s="1">
        <f>E8</f>
        <v>1.6001799999999999</v>
      </c>
      <c r="J10" s="1">
        <f>E9</f>
        <v>0.28533599999999998</v>
      </c>
      <c r="K10" s="1">
        <f>E10</f>
        <v>0.31093199999999999</v>
      </c>
      <c r="L10" s="1">
        <f>E11</f>
        <v>0.33856700000000001</v>
      </c>
    </row>
    <row r="11" spans="3:19" x14ac:dyDescent="0.2">
      <c r="C11">
        <f t="shared" ref="C11:C18" si="1">C10-5</f>
        <v>35</v>
      </c>
      <c r="D11">
        <f t="shared" si="0"/>
        <v>0.8191520442889918</v>
      </c>
      <c r="E11" s="1">
        <v>0.33856700000000001</v>
      </c>
      <c r="G11" s="1">
        <f>E12</f>
        <v>0.37160700000000002</v>
      </c>
      <c r="H11" s="1">
        <f>E13</f>
        <v>0.41447099999999998</v>
      </c>
      <c r="I11" s="1">
        <f>E14</f>
        <v>0.46716600000000003</v>
      </c>
      <c r="J11" s="1">
        <f>E15</f>
        <v>0.52362200000000003</v>
      </c>
      <c r="K11" s="1">
        <f>E16</f>
        <v>0.57397500000000001</v>
      </c>
      <c r="L11" s="1">
        <f>E17</f>
        <v>0.58250999999999997</v>
      </c>
    </row>
    <row r="12" spans="3:19" x14ac:dyDescent="0.2">
      <c r="C12">
        <f t="shared" si="1"/>
        <v>30</v>
      </c>
      <c r="D12">
        <f t="shared" si="0"/>
        <v>0.86602540378443871</v>
      </c>
      <c r="E12" s="1">
        <v>0.37160700000000002</v>
      </c>
      <c r="G12" s="1">
        <f>E18</f>
        <v>0.38812400000000002</v>
      </c>
    </row>
    <row r="13" spans="3:19" x14ac:dyDescent="0.2">
      <c r="C13">
        <f t="shared" si="1"/>
        <v>25</v>
      </c>
      <c r="D13">
        <f t="shared" si="0"/>
        <v>0.90630778703664994</v>
      </c>
      <c r="E13" s="1">
        <v>0.41447099999999998</v>
      </c>
      <c r="R13" t="s">
        <v>3285</v>
      </c>
      <c r="S13" t="s">
        <v>3287</v>
      </c>
    </row>
    <row r="14" spans="3:19" ht="16.5" x14ac:dyDescent="0.2">
      <c r="C14">
        <f t="shared" si="1"/>
        <v>20</v>
      </c>
      <c r="D14">
        <f t="shared" si="0"/>
        <v>0.93969262078590843</v>
      </c>
      <c r="E14" s="1">
        <v>0.46716600000000003</v>
      </c>
      <c r="P14" s="6" t="s">
        <v>3288</v>
      </c>
      <c r="Q14" s="1">
        <v>3.8100000000000002E-2</v>
      </c>
    </row>
    <row r="15" spans="3:19" ht="16.5" x14ac:dyDescent="0.2">
      <c r="C15">
        <f t="shared" si="1"/>
        <v>15</v>
      </c>
      <c r="D15">
        <f t="shared" si="0"/>
        <v>0.96592582628906831</v>
      </c>
      <c r="E15" s="1">
        <v>0.52362200000000003</v>
      </c>
      <c r="P15" s="6" t="s">
        <v>3289</v>
      </c>
      <c r="Q15" s="1">
        <v>2080000000</v>
      </c>
      <c r="R15" s="8">
        <v>1703881920</v>
      </c>
      <c r="S15" s="8">
        <v>4069802880</v>
      </c>
    </row>
    <row r="16" spans="3:19" ht="16.5" x14ac:dyDescent="0.2">
      <c r="C16">
        <f t="shared" si="1"/>
        <v>10</v>
      </c>
      <c r="D16">
        <f t="shared" si="0"/>
        <v>0.98480775301220802</v>
      </c>
      <c r="E16" s="1">
        <v>0.57397500000000001</v>
      </c>
      <c r="P16" s="6" t="s">
        <v>3290</v>
      </c>
      <c r="Q16" s="1">
        <v>72800000000</v>
      </c>
      <c r="R16" s="9">
        <v>96230908800</v>
      </c>
      <c r="S16" s="9">
        <v>142046112000</v>
      </c>
    </row>
    <row r="17" spans="3:19" ht="16.5" x14ac:dyDescent="0.2">
      <c r="C17">
        <f t="shared" si="1"/>
        <v>5</v>
      </c>
      <c r="D17">
        <f t="shared" si="0"/>
        <v>0.99619469809174555</v>
      </c>
      <c r="E17" s="1">
        <v>0.58250999999999997</v>
      </c>
      <c r="P17" s="6" t="s">
        <v>3291</v>
      </c>
      <c r="Q17" s="1">
        <v>46600000000</v>
      </c>
      <c r="R17" s="9">
        <v>250205280000</v>
      </c>
      <c r="S17" s="9">
        <v>14061340800</v>
      </c>
    </row>
    <row r="18" spans="3:19" ht="16.5" x14ac:dyDescent="0.2">
      <c r="C18">
        <f t="shared" si="1"/>
        <v>0</v>
      </c>
      <c r="D18">
        <f t="shared" si="0"/>
        <v>1</v>
      </c>
      <c r="E18" s="1">
        <v>0.38812400000000002</v>
      </c>
      <c r="P18" s="6" t="s">
        <v>3292</v>
      </c>
      <c r="Q18" s="1">
        <v>1410000</v>
      </c>
      <c r="R18" s="8"/>
      <c r="S18" s="8"/>
    </row>
    <row r="19" spans="3:19" ht="16.5" x14ac:dyDescent="0.2">
      <c r="P19" s="6" t="s">
        <v>3293</v>
      </c>
      <c r="Q19" s="1">
        <v>161000000000</v>
      </c>
      <c r="R19" s="9">
        <v>319549152000</v>
      </c>
      <c r="S19" s="9">
        <v>52758451200</v>
      </c>
    </row>
    <row r="20" spans="3:19" ht="16.5" x14ac:dyDescent="0.2">
      <c r="P20" s="6" t="s">
        <v>3294</v>
      </c>
      <c r="Q20" s="1">
        <v>29800000000</v>
      </c>
      <c r="R20" s="9">
        <v>40022860800</v>
      </c>
      <c r="S20" s="8">
        <v>13002038399.999998</v>
      </c>
    </row>
    <row r="21" spans="3:19" x14ac:dyDescent="0.2">
      <c r="H21" s="1"/>
      <c r="I21" s="1"/>
      <c r="J21" s="1"/>
      <c r="K21" s="1"/>
      <c r="L21" s="1"/>
      <c r="M21" s="1"/>
    </row>
    <row r="22" spans="3:19" x14ac:dyDescent="0.2">
      <c r="H22" s="1"/>
      <c r="I22" s="1"/>
      <c r="J22" s="1"/>
      <c r="K22" s="1"/>
      <c r="L22" s="1"/>
      <c r="M22" s="1"/>
    </row>
    <row r="23" spans="3:19" x14ac:dyDescent="0.2">
      <c r="H23" s="1"/>
      <c r="I23" s="1"/>
      <c r="J23" s="1"/>
      <c r="K23" s="1"/>
      <c r="L23" s="1"/>
      <c r="M23" s="1"/>
    </row>
    <row r="25" spans="3:19" x14ac:dyDescent="0.2">
      <c r="H25">
        <f>3.9/2.3548</f>
        <v>1.6561916086291828</v>
      </c>
    </row>
    <row r="26" spans="3:19" x14ac:dyDescent="0.2">
      <c r="H26">
        <f>H25*6</f>
        <v>9.9371496517750977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C2:E817"/>
  <sheetViews>
    <sheetView topLeftCell="A782" workbookViewId="0">
      <selection activeCell="E811" sqref="E811"/>
    </sheetView>
  </sheetViews>
  <sheetFormatPr defaultRowHeight="14.25" x14ac:dyDescent="0.2"/>
  <cols>
    <col min="3" max="3" width="9" style="8"/>
  </cols>
  <sheetData>
    <row r="2" spans="3:5" x14ac:dyDescent="0.2">
      <c r="C2" s="8" t="s">
        <v>3296</v>
      </c>
      <c r="D2" t="s">
        <v>3297</v>
      </c>
      <c r="E2" t="s">
        <v>3299</v>
      </c>
    </row>
    <row r="3" spans="3:5" x14ac:dyDescent="0.2">
      <c r="C3" s="8" t="s">
        <v>525</v>
      </c>
      <c r="D3" s="1">
        <v>871103.99999999988</v>
      </c>
      <c r="E3" s="1">
        <f>VLOOKUP(C3,Nuclides!E:F,2,FALSE)</f>
        <v>2393496</v>
      </c>
    </row>
    <row r="4" spans="3:5" x14ac:dyDescent="0.2">
      <c r="C4" s="8" t="s">
        <v>546</v>
      </c>
      <c r="D4" s="1">
        <v>871103.99999999988</v>
      </c>
      <c r="E4" s="1">
        <f>VLOOKUP(C4,Nuclides!E:F,2,FALSE)</f>
        <v>0.28319</v>
      </c>
    </row>
    <row r="5" spans="3:5" x14ac:dyDescent="0.2">
      <c r="C5" s="8" t="s">
        <v>549</v>
      </c>
      <c r="D5" s="1">
        <v>871103.99999999988</v>
      </c>
      <c r="E5" s="1">
        <f>VLOOKUP(C5,Nuclides!E:F,2,FALSE)</f>
        <v>118025424000000</v>
      </c>
    </row>
    <row r="6" spans="3:5" x14ac:dyDescent="0.2">
      <c r="C6" s="8" t="s">
        <v>556</v>
      </c>
      <c r="D6" s="1">
        <v>871103.99999999988</v>
      </c>
      <c r="E6" s="1">
        <f>VLOOKUP(C6,Nuclides!E:F,2,FALSE)</f>
        <v>0.28000000000000003</v>
      </c>
    </row>
    <row r="7" spans="3:5" x14ac:dyDescent="0.2">
      <c r="C7" s="8" t="s">
        <v>575</v>
      </c>
      <c r="D7" s="1">
        <v>871103.99999999988</v>
      </c>
      <c r="E7" s="1">
        <f>VLOOKUP(C7,Nuclides!E:F,2,FALSE)</f>
        <v>29790</v>
      </c>
    </row>
    <row r="8" spans="3:5" x14ac:dyDescent="0.2">
      <c r="C8" s="8" t="s">
        <v>576</v>
      </c>
      <c r="D8" s="1">
        <v>1742207.9999999998</v>
      </c>
      <c r="E8" s="1">
        <f>VLOOKUP(C8,Nuclides!E:F,2,FALSE)</f>
        <v>510.599999999999</v>
      </c>
    </row>
    <row r="9" spans="3:5" x14ac:dyDescent="0.2">
      <c r="C9" s="8" t="s">
        <v>584</v>
      </c>
      <c r="D9" s="1">
        <v>871103.99999999988</v>
      </c>
      <c r="E9" s="1">
        <f>VLOOKUP(C9,Nuclides!E:F,2,FALSE)</f>
        <v>358.8</v>
      </c>
    </row>
    <row r="10" spans="3:5" x14ac:dyDescent="0.2">
      <c r="C10" s="8" t="s">
        <v>587</v>
      </c>
      <c r="D10" s="1">
        <v>871103.99999999988</v>
      </c>
      <c r="E10" s="1">
        <f>VLOOKUP(C10,Nuclides!E:F,2,FALSE)</f>
        <v>2</v>
      </c>
    </row>
    <row r="11" spans="3:5" x14ac:dyDescent="0.2">
      <c r="C11" s="8" t="s">
        <v>601</v>
      </c>
      <c r="D11" s="1">
        <v>1742207.9999999998</v>
      </c>
      <c r="E11" s="1">
        <f>VLOOKUP(C11,Nuclides!E:F,2,FALSE)</f>
        <v>0.24</v>
      </c>
    </row>
    <row r="12" spans="3:5" x14ac:dyDescent="0.2">
      <c r="C12" s="8" t="s">
        <v>602</v>
      </c>
      <c r="D12" s="1">
        <v>3484415.9999999995</v>
      </c>
      <c r="E12" s="1">
        <f>VLOOKUP(C12,Nuclides!E:F,2,FALSE)</f>
        <v>0.193</v>
      </c>
    </row>
    <row r="13" spans="3:5" x14ac:dyDescent="0.2">
      <c r="C13" s="8" t="s">
        <v>603</v>
      </c>
      <c r="D13" s="1">
        <v>871103.99999999988</v>
      </c>
      <c r="E13" s="1">
        <f>VLOOKUP(C13,Nuclides!E:F,2,FALSE)</f>
        <v>63108</v>
      </c>
    </row>
    <row r="14" spans="3:5" x14ac:dyDescent="0.2">
      <c r="C14" s="8" t="s">
        <v>604</v>
      </c>
      <c r="D14" s="1">
        <v>3484415.9999999995</v>
      </c>
      <c r="E14" s="1">
        <f>VLOOKUP(C14,Nuclides!E:F,2,FALSE)</f>
        <v>6673190.4000000004</v>
      </c>
    </row>
    <row r="15" spans="3:5" x14ac:dyDescent="0.2">
      <c r="C15" s="8" t="s">
        <v>605</v>
      </c>
      <c r="D15" s="1">
        <v>1742207.9999999998</v>
      </c>
      <c r="E15" s="1">
        <f>VLOOKUP(C15,Nuclides!E:F,2,FALSE)</f>
        <v>23478336</v>
      </c>
    </row>
    <row r="16" spans="3:5" x14ac:dyDescent="0.2">
      <c r="C16" s="8" t="s">
        <v>606</v>
      </c>
      <c r="D16" s="1">
        <v>871103.99999999988</v>
      </c>
      <c r="E16" s="1">
        <f>VLOOKUP(C16,Nuclides!E:F,2,FALSE)</f>
        <v>6122304</v>
      </c>
    </row>
    <row r="17" spans="3:5" hidden="1" x14ac:dyDescent="0.2">
      <c r="C17" s="8" t="s">
        <v>607</v>
      </c>
      <c r="D17" s="1">
        <v>871103.99999999988</v>
      </c>
      <c r="E17" s="1" t="str">
        <f>VLOOKUP(C17,Nuclides!E:F,2,FALSE)</f>
        <v>STABLE</v>
      </c>
    </row>
    <row r="18" spans="3:5" x14ac:dyDescent="0.2">
      <c r="C18" s="8" t="s">
        <v>631</v>
      </c>
      <c r="D18" s="1">
        <v>871103.99999999988</v>
      </c>
      <c r="E18" s="1">
        <f>VLOOKUP(C18,Nuclides!E:F,2,FALSE)</f>
        <v>5.5199999999999999E-2</v>
      </c>
    </row>
    <row r="19" spans="3:5" x14ac:dyDescent="0.2">
      <c r="C19" s="8" t="s">
        <v>632</v>
      </c>
      <c r="D19" s="1">
        <v>1742207.9999999998</v>
      </c>
      <c r="E19" s="1">
        <f>VLOOKUP(C19,Nuclides!E:F,2,FALSE)</f>
        <v>0.1142</v>
      </c>
    </row>
    <row r="20" spans="3:5" x14ac:dyDescent="0.2">
      <c r="C20" s="8" t="s">
        <v>633</v>
      </c>
      <c r="D20" s="1">
        <v>5226624</v>
      </c>
      <c r="E20" s="1">
        <f>VLOOKUP(C20,Nuclides!E:F,2,FALSE)</f>
        <v>0.20469999999999999</v>
      </c>
    </row>
    <row r="21" spans="3:5" x14ac:dyDescent="0.2">
      <c r="C21" s="8" t="s">
        <v>634</v>
      </c>
      <c r="D21" s="1">
        <v>4355520</v>
      </c>
      <c r="E21" s="1">
        <f>VLOOKUP(C21,Nuclides!E:F,2,FALSE)</f>
        <v>524880</v>
      </c>
    </row>
    <row r="22" spans="3:5" x14ac:dyDescent="0.2">
      <c r="C22" s="8" t="s">
        <v>635</v>
      </c>
      <c r="D22" s="1">
        <v>13066560</v>
      </c>
      <c r="E22" s="1">
        <f>VLOOKUP(C22,Nuclides!E:F,2,FALSE)</f>
        <v>128160</v>
      </c>
    </row>
    <row r="23" spans="3:5" hidden="1" x14ac:dyDescent="0.2">
      <c r="C23" s="8" t="s">
        <v>636</v>
      </c>
      <c r="D23" s="1">
        <v>10453248</v>
      </c>
      <c r="E23" s="1" t="str">
        <f>VLOOKUP(C23,Nuclides!E:F,2,FALSE)</f>
        <v>STABLE</v>
      </c>
    </row>
    <row r="24" spans="3:5" x14ac:dyDescent="0.2">
      <c r="C24" s="8" t="s">
        <v>637</v>
      </c>
      <c r="D24" s="1">
        <v>13066560</v>
      </c>
      <c r="E24" s="1">
        <f>VLOOKUP(C24,Nuclides!E:F,2,FALSE)</f>
        <v>2398377600000</v>
      </c>
    </row>
    <row r="25" spans="3:5" hidden="1" x14ac:dyDescent="0.2">
      <c r="C25" s="8" t="s">
        <v>638</v>
      </c>
      <c r="D25" s="1">
        <v>3484415.9999999995</v>
      </c>
      <c r="E25" s="1" t="str">
        <f>VLOOKUP(C25,Nuclides!E:F,2,FALSE)</f>
        <v>STABLE</v>
      </c>
    </row>
    <row r="26" spans="3:5" hidden="1" x14ac:dyDescent="0.2">
      <c r="C26" s="8" t="s">
        <v>639</v>
      </c>
      <c r="D26" s="1">
        <v>2613312</v>
      </c>
      <c r="E26" s="1" t="str">
        <f>VLOOKUP(C26,Nuclides!E:F,2,FALSE)</f>
        <v>STABLE</v>
      </c>
    </row>
    <row r="27" spans="3:5" hidden="1" x14ac:dyDescent="0.2">
      <c r="C27" s="8" t="s">
        <v>640</v>
      </c>
      <c r="D27" s="1">
        <v>1742207.9999999998</v>
      </c>
      <c r="E27" s="1" t="str">
        <f>VLOOKUP(C27,Nuclides!E:F,2,FALSE)</f>
        <v>STABLE</v>
      </c>
    </row>
    <row r="28" spans="3:5" x14ac:dyDescent="0.2">
      <c r="C28" s="8" t="s">
        <v>641</v>
      </c>
      <c r="D28" s="1">
        <v>1742207.9999999998</v>
      </c>
      <c r="E28" s="1">
        <f>VLOOKUP(C28,Nuclides!E:F,2,FALSE)</f>
        <v>3193629120</v>
      </c>
    </row>
    <row r="29" spans="3:5" x14ac:dyDescent="0.2">
      <c r="C29" s="8" t="s">
        <v>643</v>
      </c>
      <c r="D29" s="1">
        <v>1742207.9999999998</v>
      </c>
      <c r="E29" s="1">
        <f>VLOOKUP(C29,Nuclides!E:F,2,FALSE)</f>
        <v>9063</v>
      </c>
    </row>
    <row r="30" spans="3:5" x14ac:dyDescent="0.2">
      <c r="C30" s="8" t="s">
        <v>644</v>
      </c>
      <c r="D30" s="1">
        <v>3484415.9999999995</v>
      </c>
      <c r="E30" s="1">
        <f>VLOOKUP(C30,Nuclides!E:F,2,FALSE)</f>
        <v>196560</v>
      </c>
    </row>
    <row r="31" spans="3:5" x14ac:dyDescent="0.2">
      <c r="C31" s="8" t="s">
        <v>645</v>
      </c>
      <c r="D31" s="1">
        <v>10453248</v>
      </c>
      <c r="E31" s="1">
        <f>VLOOKUP(C31,Nuclides!E:F,2,FALSE)</f>
        <v>21</v>
      </c>
    </row>
    <row r="32" spans="3:5" x14ac:dyDescent="0.2">
      <c r="C32" s="8" t="s">
        <v>646</v>
      </c>
      <c r="D32" s="1">
        <v>24390912.000000004</v>
      </c>
      <c r="E32" s="1">
        <f>VLOOKUP(C32,Nuclides!E:F,2,FALSE)</f>
        <v>29</v>
      </c>
    </row>
    <row r="33" spans="3:5" x14ac:dyDescent="0.2">
      <c r="C33" s="8" t="s">
        <v>661</v>
      </c>
      <c r="D33" s="1">
        <v>41812992</v>
      </c>
      <c r="E33" s="1">
        <f>VLOOKUP(C33,Nuclides!E:F,2,FALSE)</f>
        <v>0.1963</v>
      </c>
    </row>
    <row r="34" spans="3:5" x14ac:dyDescent="0.2">
      <c r="C34" s="8" t="s">
        <v>662</v>
      </c>
      <c r="D34" s="1">
        <v>129794496</v>
      </c>
      <c r="E34" s="1">
        <f>VLOOKUP(C34,Nuclides!E:F,2,FALSE)</f>
        <v>3.2040000000000002</v>
      </c>
    </row>
    <row r="35" spans="3:5" x14ac:dyDescent="0.2">
      <c r="C35" s="8" t="s">
        <v>663</v>
      </c>
      <c r="D35" s="1">
        <v>118470144</v>
      </c>
      <c r="E35" s="1">
        <f>VLOOKUP(C35,Nuclides!E:F,2,FALSE)</f>
        <v>81.5</v>
      </c>
    </row>
    <row r="36" spans="3:5" x14ac:dyDescent="0.2">
      <c r="C36" s="8" t="s">
        <v>664</v>
      </c>
      <c r="D36" s="1">
        <v>157669824</v>
      </c>
      <c r="E36" s="1">
        <f>VLOOKUP(C36,Nuclides!E:F,2,FALSE)</f>
        <v>1422</v>
      </c>
    </row>
    <row r="37" spans="3:5" x14ac:dyDescent="0.2">
      <c r="C37" s="8" t="s">
        <v>665</v>
      </c>
      <c r="D37" s="1">
        <v>80141568</v>
      </c>
      <c r="E37" s="1">
        <f>VLOOKUP(C37,Nuclides!E:F,2,FALSE)</f>
        <v>12020.4</v>
      </c>
    </row>
    <row r="38" spans="3:5" x14ac:dyDescent="0.2">
      <c r="C38" s="8" t="s">
        <v>666</v>
      </c>
      <c r="D38" s="1">
        <v>67946112</v>
      </c>
      <c r="E38" s="1">
        <f>VLOOKUP(C38,Nuclides!E:F,2,FALSE)</f>
        <v>580.38</v>
      </c>
    </row>
    <row r="39" spans="3:5" hidden="1" x14ac:dyDescent="0.2">
      <c r="C39" s="8" t="s">
        <v>667</v>
      </c>
      <c r="D39" s="1">
        <v>19164288</v>
      </c>
      <c r="E39" s="1" t="str">
        <f>VLOOKUP(C39,Nuclides!E:F,2,FALSE)</f>
        <v>STABLE</v>
      </c>
    </row>
    <row r="40" spans="3:5" x14ac:dyDescent="0.2">
      <c r="C40" s="8" t="s">
        <v>668</v>
      </c>
      <c r="D40" s="1">
        <v>15679871.999999998</v>
      </c>
      <c r="E40" s="1">
        <f>VLOOKUP(C40,Nuclides!E:F,2,FALSE)</f>
        <v>45723.6</v>
      </c>
    </row>
    <row r="41" spans="3:5" hidden="1" x14ac:dyDescent="0.2">
      <c r="C41" s="8" t="s">
        <v>669</v>
      </c>
      <c r="D41" s="1">
        <v>3484415.9999999995</v>
      </c>
      <c r="E41" s="1" t="str">
        <f>VLOOKUP(C41,Nuclides!E:F,2,FALSE)</f>
        <v>STABLE</v>
      </c>
    </row>
    <row r="42" spans="3:5" x14ac:dyDescent="0.2">
      <c r="C42" s="8" t="s">
        <v>670</v>
      </c>
      <c r="D42" s="1">
        <v>1742207.9999999998</v>
      </c>
      <c r="E42" s="1">
        <f>VLOOKUP(C42,Nuclides!E:F,2,FALSE)</f>
        <v>307.2</v>
      </c>
    </row>
    <row r="43" spans="3:5" x14ac:dyDescent="0.2">
      <c r="C43" s="8" t="s">
        <v>671</v>
      </c>
      <c r="D43" s="1">
        <v>871103.99999999988</v>
      </c>
      <c r="E43" s="1">
        <f>VLOOKUP(C43,Nuclides!E:F,2,FALSE)</f>
        <v>222588</v>
      </c>
    </row>
    <row r="44" spans="3:5" x14ac:dyDescent="0.2">
      <c r="C44" s="8" t="s">
        <v>672</v>
      </c>
      <c r="D44" s="1">
        <v>2613312</v>
      </c>
      <c r="E44" s="1">
        <f>VLOOKUP(C44,Nuclides!E:F,2,FALSE)</f>
        <v>30.9</v>
      </c>
    </row>
    <row r="45" spans="3:5" x14ac:dyDescent="0.2">
      <c r="C45" s="8" t="s">
        <v>673</v>
      </c>
      <c r="D45" s="1">
        <v>6968831.9999999991</v>
      </c>
      <c r="E45" s="1">
        <f>VLOOKUP(C45,Nuclides!E:F,2,FALSE)</f>
        <v>171</v>
      </c>
    </row>
    <row r="46" spans="3:5" x14ac:dyDescent="0.2">
      <c r="C46" s="8" t="s">
        <v>674</v>
      </c>
      <c r="D46" s="1">
        <v>26133120</v>
      </c>
      <c r="E46" s="1">
        <f>VLOOKUP(C46,Nuclides!E:F,2,FALSE)</f>
        <v>44.5</v>
      </c>
    </row>
    <row r="47" spans="3:5" x14ac:dyDescent="0.2">
      <c r="C47" s="8" t="s">
        <v>675</v>
      </c>
      <c r="D47" s="1">
        <v>86239296</v>
      </c>
      <c r="E47" s="1">
        <f>VLOOKUP(C47,Nuclides!E:F,2,FALSE)</f>
        <v>19.399999999999999</v>
      </c>
    </row>
    <row r="48" spans="3:5" x14ac:dyDescent="0.2">
      <c r="C48" s="8" t="s">
        <v>676</v>
      </c>
      <c r="D48" s="1">
        <v>137634432</v>
      </c>
      <c r="E48" s="1">
        <f>VLOOKUP(C48,Nuclides!E:F,2,FALSE)</f>
        <v>6.63</v>
      </c>
    </row>
    <row r="49" spans="3:5" x14ac:dyDescent="0.2">
      <c r="C49" s="8" t="s">
        <v>677</v>
      </c>
      <c r="D49" s="1">
        <v>360637056</v>
      </c>
      <c r="E49" s="1">
        <f>VLOOKUP(C49,Nuclides!E:F,2,FALSE)</f>
        <v>4.2</v>
      </c>
    </row>
    <row r="50" spans="3:5" x14ac:dyDescent="0.2">
      <c r="C50" s="8" t="s">
        <v>690</v>
      </c>
      <c r="D50" s="1">
        <v>290948736</v>
      </c>
      <c r="E50" s="1">
        <f>VLOOKUP(C50,Nuclides!E:F,2,FALSE)</f>
        <v>3.7999999999999999E-2</v>
      </c>
    </row>
    <row r="51" spans="3:5" x14ac:dyDescent="0.2">
      <c r="C51" s="8" t="s">
        <v>691</v>
      </c>
      <c r="D51" s="1">
        <v>337988352</v>
      </c>
      <c r="E51" s="1">
        <f>VLOOKUP(C51,Nuclides!E:F,2,FALSE)</f>
        <v>8.5999999999999993E-2</v>
      </c>
    </row>
    <row r="52" spans="3:5" x14ac:dyDescent="0.2">
      <c r="C52" s="8" t="s">
        <v>692</v>
      </c>
      <c r="D52" s="1">
        <v>139376640</v>
      </c>
      <c r="E52" s="1">
        <f>VLOOKUP(C52,Nuclides!E:F,2,FALSE)</f>
        <v>0.182</v>
      </c>
    </row>
    <row r="53" spans="3:5" x14ac:dyDescent="0.2">
      <c r="C53" s="8" t="s">
        <v>693</v>
      </c>
      <c r="D53" s="1">
        <v>106274688</v>
      </c>
      <c r="E53" s="1">
        <f>VLOOKUP(C53,Nuclides!E:F,2,FALSE)</f>
        <v>142.79999999999899</v>
      </c>
    </row>
    <row r="54" spans="3:5" x14ac:dyDescent="0.2">
      <c r="C54" s="8" t="s">
        <v>694</v>
      </c>
      <c r="D54" s="1">
        <v>39199680</v>
      </c>
      <c r="E54" s="1">
        <f>VLOOKUP(C54,Nuclides!E:F,2,FALSE)</f>
        <v>89.1</v>
      </c>
    </row>
    <row r="55" spans="3:5" x14ac:dyDescent="0.2">
      <c r="C55" s="8" t="s">
        <v>695</v>
      </c>
      <c r="D55" s="1">
        <v>28746432</v>
      </c>
      <c r="E55" s="1">
        <f>VLOOKUP(C55,Nuclides!E:F,2,FALSE)</f>
        <v>33069.599999999999</v>
      </c>
    </row>
    <row r="56" spans="3:5" x14ac:dyDescent="0.2">
      <c r="C56" s="8" t="s">
        <v>696</v>
      </c>
      <c r="D56" s="1">
        <v>4355520</v>
      </c>
      <c r="E56" s="1">
        <f>VLOOKUP(C56,Nuclides!E:F,2,FALSE)</f>
        <v>2308.1999999999998</v>
      </c>
    </row>
    <row r="57" spans="3:5" x14ac:dyDescent="0.2">
      <c r="C57" s="8" t="s">
        <v>697</v>
      </c>
      <c r="D57" s="1">
        <v>4355520</v>
      </c>
      <c r="E57" s="1">
        <f>VLOOKUP(C57,Nuclides!E:F,2,FALSE)</f>
        <v>2.209032E+28</v>
      </c>
    </row>
    <row r="58" spans="3:5" x14ac:dyDescent="0.2">
      <c r="C58" s="8" t="s">
        <v>698</v>
      </c>
      <c r="D58" s="1">
        <v>871103.99999999988</v>
      </c>
      <c r="E58" s="1">
        <f>VLOOKUP(C58,Nuclides!E:F,2,FALSE)</f>
        <v>21075552</v>
      </c>
    </row>
    <row r="59" spans="3:5" x14ac:dyDescent="0.2">
      <c r="C59" s="8" t="s">
        <v>702</v>
      </c>
      <c r="D59" s="1">
        <v>4355520</v>
      </c>
      <c r="E59" s="1">
        <f>VLOOKUP(C59,Nuclides!E:F,2,FALSE)</f>
        <v>3384</v>
      </c>
    </row>
    <row r="60" spans="3:5" x14ac:dyDescent="0.2">
      <c r="C60" s="8" t="s">
        <v>703</v>
      </c>
      <c r="D60" s="1">
        <v>25262016</v>
      </c>
      <c r="E60" s="1">
        <f>VLOOKUP(C60,Nuclides!E:F,2,FALSE)</f>
        <v>7.2582480000000003E+24</v>
      </c>
    </row>
    <row r="61" spans="3:5" x14ac:dyDescent="0.2">
      <c r="C61" s="8" t="s">
        <v>704</v>
      </c>
      <c r="D61" s="1">
        <v>93208128</v>
      </c>
      <c r="E61" s="1">
        <f>VLOOKUP(C61,Nuclides!E:F,2,FALSE)</f>
        <v>147</v>
      </c>
    </row>
    <row r="62" spans="3:5" x14ac:dyDescent="0.2">
      <c r="C62" s="8" t="s">
        <v>705</v>
      </c>
      <c r="D62" s="1">
        <v>237811392</v>
      </c>
      <c r="E62" s="1">
        <f>VLOOKUP(C62,Nuclides!E:F,2,FALSE)</f>
        <v>167400</v>
      </c>
    </row>
    <row r="63" spans="3:5" x14ac:dyDescent="0.2">
      <c r="C63" s="8" t="s">
        <v>706</v>
      </c>
      <c r="D63" s="1">
        <v>463427328</v>
      </c>
      <c r="E63" s="1">
        <f>VLOOKUP(C63,Nuclides!E:F,2,FALSE)</f>
        <v>23.5</v>
      </c>
    </row>
    <row r="64" spans="3:5" x14ac:dyDescent="0.2">
      <c r="C64" s="8" t="s">
        <v>707</v>
      </c>
      <c r="D64" s="1">
        <v>1146372864</v>
      </c>
      <c r="E64" s="1">
        <f>VLOOKUP(C64,Nuclides!E:F,2,FALSE)</f>
        <v>95.6</v>
      </c>
    </row>
    <row r="65" spans="3:5" x14ac:dyDescent="0.2">
      <c r="C65" s="8" t="s">
        <v>708</v>
      </c>
      <c r="D65" s="1">
        <v>1458225600</v>
      </c>
      <c r="E65" s="1">
        <f>VLOOKUP(C65,Nuclides!E:F,2,FALSE)</f>
        <v>10.199999999999999</v>
      </c>
    </row>
    <row r="66" spans="3:5" x14ac:dyDescent="0.2">
      <c r="C66" s="8" t="s">
        <v>709</v>
      </c>
      <c r="D66" s="1">
        <v>2637697920</v>
      </c>
      <c r="E66" s="1">
        <f>VLOOKUP(C66,Nuclides!E:F,2,FALSE)</f>
        <v>5.7</v>
      </c>
    </row>
    <row r="67" spans="3:5" x14ac:dyDescent="0.2">
      <c r="C67" s="8" t="s">
        <v>710</v>
      </c>
      <c r="D67" s="1">
        <v>1749171840</v>
      </c>
      <c r="E67" s="1">
        <f>VLOOKUP(C67,Nuclides!E:F,2,FALSE)</f>
        <v>2.08</v>
      </c>
    </row>
    <row r="68" spans="3:5" x14ac:dyDescent="0.2">
      <c r="C68" s="8" t="s">
        <v>711</v>
      </c>
      <c r="D68" s="1">
        <v>1703881920</v>
      </c>
      <c r="E68" s="1">
        <f>VLOOKUP(C68,Nuclides!E:F,2,FALSE)</f>
        <v>1.47</v>
      </c>
    </row>
    <row r="69" spans="3:5" x14ac:dyDescent="0.2">
      <c r="C69" s="8" t="s">
        <v>721</v>
      </c>
      <c r="D69" s="1">
        <v>667265664</v>
      </c>
      <c r="E69" s="1">
        <f>VLOOKUP(C69,Nuclides!E:F,2,FALSE)</f>
        <v>0.116121</v>
      </c>
    </row>
    <row r="70" spans="3:5" x14ac:dyDescent="0.2">
      <c r="C70" s="8" t="s">
        <v>722</v>
      </c>
      <c r="D70" s="1">
        <v>384156864</v>
      </c>
      <c r="E70" s="1">
        <f>VLOOKUP(C70,Nuclides!E:F,2,FALSE)</f>
        <v>32.4</v>
      </c>
    </row>
    <row r="71" spans="3:5" x14ac:dyDescent="0.2">
      <c r="C71" s="8" t="s">
        <v>723</v>
      </c>
      <c r="D71" s="1">
        <v>45297408</v>
      </c>
      <c r="E71" s="1">
        <f>VLOOKUP(C71,Nuclides!E:F,2,FALSE)</f>
        <v>157.61999999999901</v>
      </c>
    </row>
    <row r="72" spans="3:5" x14ac:dyDescent="0.2">
      <c r="C72" s="8" t="s">
        <v>724</v>
      </c>
      <c r="D72" s="1">
        <v>47039616</v>
      </c>
      <c r="E72" s="1">
        <f>VLOOKUP(C72,Nuclides!E:F,2,FALSE)</f>
        <v>912</v>
      </c>
    </row>
    <row r="73" spans="3:5" x14ac:dyDescent="0.2">
      <c r="C73" s="8" t="s">
        <v>725</v>
      </c>
      <c r="D73" s="1">
        <v>8711040</v>
      </c>
      <c r="E73" s="1">
        <f>VLOOKUP(C73,Nuclides!E:F,2,FALSE)</f>
        <v>34164</v>
      </c>
    </row>
    <row r="74" spans="3:5" x14ac:dyDescent="0.2">
      <c r="C74" s="8" t="s">
        <v>726</v>
      </c>
      <c r="D74" s="1">
        <v>2613312</v>
      </c>
      <c r="E74" s="1">
        <f>VLOOKUP(C74,Nuclides!E:F,2,FALSE)</f>
        <v>281810.88</v>
      </c>
    </row>
    <row r="75" spans="3:5" hidden="1" x14ac:dyDescent="0.2">
      <c r="C75" s="8" t="s">
        <v>730</v>
      </c>
      <c r="D75" s="1">
        <v>1742207.9999999998</v>
      </c>
      <c r="E75" s="1" t="str">
        <f>VLOOKUP(C75,Nuclides!E:F,2,FALSE)</f>
        <v>STABLE</v>
      </c>
    </row>
    <row r="76" spans="3:5" x14ac:dyDescent="0.2">
      <c r="C76" s="8" t="s">
        <v>731</v>
      </c>
      <c r="D76" s="1">
        <v>20035392</v>
      </c>
      <c r="E76" s="1">
        <f>VLOOKUP(C76,Nuclides!E:F,2,FALSE)</f>
        <v>50760</v>
      </c>
    </row>
    <row r="77" spans="3:5" x14ac:dyDescent="0.2">
      <c r="C77" s="8" t="s">
        <v>732</v>
      </c>
      <c r="D77" s="1">
        <v>78399360</v>
      </c>
      <c r="E77" s="1">
        <f>VLOOKUP(C77,Nuclides!E:F,2,FALSE)</f>
        <v>17496</v>
      </c>
    </row>
    <row r="78" spans="3:5" x14ac:dyDescent="0.2">
      <c r="C78" s="8" t="s">
        <v>733</v>
      </c>
      <c r="D78" s="1">
        <v>216033792</v>
      </c>
      <c r="E78" s="1">
        <f>VLOOKUP(C78,Nuclides!E:F,2,FALSE)</f>
        <v>487.19999999999902</v>
      </c>
    </row>
    <row r="79" spans="3:5" x14ac:dyDescent="0.2">
      <c r="C79" s="8" t="s">
        <v>734</v>
      </c>
      <c r="D79" s="1">
        <v>659425728</v>
      </c>
      <c r="E79" s="1">
        <f>VLOOKUP(C79,Nuclides!E:F,2,FALSE)</f>
        <v>126</v>
      </c>
    </row>
    <row r="80" spans="3:5" x14ac:dyDescent="0.2">
      <c r="C80" s="8" t="s">
        <v>735</v>
      </c>
      <c r="D80" s="1">
        <v>1377217920</v>
      </c>
      <c r="E80" s="1">
        <f>VLOOKUP(C80,Nuclides!E:F,2,FALSE)</f>
        <v>32.6</v>
      </c>
    </row>
    <row r="81" spans="3:5" x14ac:dyDescent="0.2">
      <c r="C81" s="8" t="s">
        <v>736</v>
      </c>
      <c r="D81" s="1">
        <v>3559333440</v>
      </c>
      <c r="E81" s="1">
        <f>VLOOKUP(C81,Nuclides!E:F,2,FALSE)</f>
        <v>13.2</v>
      </c>
    </row>
    <row r="82" spans="3:5" x14ac:dyDescent="0.2">
      <c r="C82" s="8" t="s">
        <v>737</v>
      </c>
      <c r="D82" s="1">
        <v>3973981440.0000005</v>
      </c>
      <c r="E82" s="1">
        <f>VLOOKUP(C82,Nuclides!E:F,2,FALSE)</f>
        <v>5.09</v>
      </c>
    </row>
    <row r="83" spans="3:5" x14ac:dyDescent="0.2">
      <c r="C83" s="8" t="s">
        <v>738</v>
      </c>
      <c r="D83" s="1">
        <v>6277177920.000001</v>
      </c>
      <c r="E83" s="1">
        <f>VLOOKUP(C83,Nuclides!E:F,2,FALSE)</f>
        <v>2.847</v>
      </c>
    </row>
    <row r="84" spans="3:5" x14ac:dyDescent="0.2">
      <c r="C84" s="8" t="s">
        <v>739</v>
      </c>
      <c r="D84" s="1">
        <v>3589822080</v>
      </c>
      <c r="E84" s="1">
        <f>VLOOKUP(C84,Nuclides!E:F,2,FALSE)</f>
        <v>1.9</v>
      </c>
    </row>
    <row r="85" spans="3:5" x14ac:dyDescent="0.2">
      <c r="C85" s="8" t="s">
        <v>740</v>
      </c>
      <c r="D85" s="1">
        <v>3092419200.0000005</v>
      </c>
      <c r="E85" s="1">
        <f>VLOOKUP(C85,Nuclides!E:F,2,FALSE)</f>
        <v>1.2170000000000001</v>
      </c>
    </row>
    <row r="86" spans="3:5" x14ac:dyDescent="0.2">
      <c r="C86" s="8" t="s">
        <v>741</v>
      </c>
      <c r="D86" s="1">
        <v>962569920</v>
      </c>
      <c r="E86" s="1">
        <f>VLOOKUP(C86,Nuclides!E:F,2,FALSE)</f>
        <v>0.59899999999999998</v>
      </c>
    </row>
    <row r="87" spans="3:5" x14ac:dyDescent="0.2">
      <c r="C87" s="8" t="s">
        <v>742</v>
      </c>
      <c r="D87" s="1">
        <v>489560447.99999994</v>
      </c>
      <c r="E87" s="1">
        <f>VLOOKUP(C87,Nuclides!E:F,2,FALSE)</f>
        <v>0.30809999999999998</v>
      </c>
    </row>
    <row r="88" spans="3:5" x14ac:dyDescent="0.2">
      <c r="C88" s="8" t="s">
        <v>749</v>
      </c>
      <c r="D88" s="1">
        <v>154185408</v>
      </c>
      <c r="E88" s="1">
        <f>VLOOKUP(C88,Nuclides!E:F,2,FALSE)</f>
        <v>4.3999999999999997E-2</v>
      </c>
    </row>
    <row r="89" spans="3:5" x14ac:dyDescent="0.2">
      <c r="C89" s="8" t="s">
        <v>750</v>
      </c>
      <c r="D89" s="1">
        <v>57492864</v>
      </c>
      <c r="E89" s="1">
        <f>VLOOKUP(C89,Nuclides!E:F,2,FALSE)</f>
        <v>0.129</v>
      </c>
    </row>
    <row r="90" spans="3:5" x14ac:dyDescent="0.2">
      <c r="C90" s="8" t="s">
        <v>751</v>
      </c>
      <c r="D90" s="1">
        <v>8711040</v>
      </c>
      <c r="E90" s="1">
        <f>VLOOKUP(C90,Nuclides!E:F,2,FALSE)</f>
        <v>0.15</v>
      </c>
    </row>
    <row r="91" spans="3:5" x14ac:dyDescent="0.2">
      <c r="C91" s="8" t="s">
        <v>752</v>
      </c>
      <c r="D91" s="1">
        <v>2613312</v>
      </c>
      <c r="E91" s="1">
        <f>VLOOKUP(C91,Nuclides!E:F,2,FALSE)</f>
        <v>63.7</v>
      </c>
    </row>
    <row r="92" spans="3:5" hidden="1" x14ac:dyDescent="0.2">
      <c r="C92" s="8" t="s">
        <v>760</v>
      </c>
      <c r="D92" s="1">
        <v>7839935.9999999991</v>
      </c>
      <c r="E92" s="1" t="str">
        <f>VLOOKUP(C92,Nuclides!E:F,2,FALSE)</f>
        <v>STABLE</v>
      </c>
    </row>
    <row r="93" spans="3:5" hidden="1" x14ac:dyDescent="0.2">
      <c r="C93" s="8" t="s">
        <v>761</v>
      </c>
      <c r="D93" s="1">
        <v>20906496</v>
      </c>
      <c r="E93" s="1" t="str">
        <f>VLOOKUP(C93,Nuclides!E:F,2,FALSE)</f>
        <v>STABLE</v>
      </c>
    </row>
    <row r="94" spans="3:5" hidden="1" x14ac:dyDescent="0.2">
      <c r="C94" s="8" t="s">
        <v>762</v>
      </c>
      <c r="D94" s="1">
        <v>114114624</v>
      </c>
      <c r="E94" s="1" t="str">
        <f>VLOOKUP(C94,Nuclides!E:F,2,FALSE)</f>
        <v>STABLE</v>
      </c>
    </row>
    <row r="95" spans="3:5" x14ac:dyDescent="0.2">
      <c r="C95" s="8" t="s">
        <v>763</v>
      </c>
      <c r="D95" s="1">
        <v>360637056</v>
      </c>
      <c r="E95" s="1">
        <f>VLOOKUP(C95,Nuclides!E:F,2,FALSE)</f>
        <v>4966.8</v>
      </c>
    </row>
    <row r="96" spans="3:5" hidden="1" x14ac:dyDescent="0.2">
      <c r="C96" s="8" t="s">
        <v>764</v>
      </c>
      <c r="D96" s="1">
        <v>1052293632</v>
      </c>
      <c r="E96" s="1" t="str">
        <f>VLOOKUP(C96,Nuclides!E:F,2,FALSE)</f>
        <v>STABLE</v>
      </c>
    </row>
    <row r="97" spans="3:5" x14ac:dyDescent="0.2">
      <c r="C97" s="8" t="s">
        <v>765</v>
      </c>
      <c r="D97" s="1">
        <v>2820629760</v>
      </c>
      <c r="E97" s="1">
        <f>VLOOKUP(C97,Nuclides!E:F,2,FALSE)</f>
        <v>40680</v>
      </c>
    </row>
    <row r="98" spans="3:5" x14ac:dyDescent="0.2">
      <c r="C98" s="8" t="s">
        <v>766</v>
      </c>
      <c r="D98" s="1">
        <v>6887824320</v>
      </c>
      <c r="E98" s="1">
        <f>VLOOKUP(C98,Nuclides!E:F,2,FALSE)</f>
        <v>5280</v>
      </c>
    </row>
    <row r="99" spans="3:5" x14ac:dyDescent="0.2">
      <c r="C99" s="8" t="s">
        <v>767</v>
      </c>
      <c r="D99" s="1">
        <v>11759904000</v>
      </c>
      <c r="E99" s="1">
        <f>VLOOKUP(C99,Nuclides!E:F,2,FALSE)</f>
        <v>18.98</v>
      </c>
    </row>
    <row r="100" spans="3:5" x14ac:dyDescent="0.2">
      <c r="C100" s="8" t="s">
        <v>768</v>
      </c>
      <c r="D100" s="1">
        <v>23248867200</v>
      </c>
      <c r="E100" s="1">
        <f>VLOOKUP(C100,Nuclides!E:F,2,FALSE)</f>
        <v>29.5</v>
      </c>
    </row>
    <row r="101" spans="3:5" x14ac:dyDescent="0.2">
      <c r="C101" s="8" t="s">
        <v>769</v>
      </c>
      <c r="D101" s="1">
        <v>22701868800</v>
      </c>
      <c r="E101" s="1">
        <f>VLOOKUP(C101,Nuclides!E:F,2,FALSE)</f>
        <v>7.6</v>
      </c>
    </row>
    <row r="102" spans="3:5" x14ac:dyDescent="0.2">
      <c r="C102" s="8" t="s">
        <v>770</v>
      </c>
      <c r="D102" s="1">
        <v>26772470400.000004</v>
      </c>
      <c r="E102" s="1">
        <f>VLOOKUP(C102,Nuclides!E:F,2,FALSE)</f>
        <v>4.5599999999999996</v>
      </c>
    </row>
    <row r="103" spans="3:5" x14ac:dyDescent="0.2">
      <c r="C103" s="8" t="s">
        <v>771</v>
      </c>
      <c r="D103" s="1">
        <v>12437617920</v>
      </c>
      <c r="E103" s="1">
        <f>VLOOKUP(C103,Nuclides!E:F,2,FALSE)</f>
        <v>1.85</v>
      </c>
    </row>
    <row r="104" spans="3:5" x14ac:dyDescent="0.2">
      <c r="C104" s="8" t="s">
        <v>772</v>
      </c>
      <c r="D104" s="1">
        <v>7093394880.000001</v>
      </c>
      <c r="E104" s="1">
        <f>VLOOKUP(C104,Nuclides!E:F,2,FALSE)</f>
        <v>0.95399999999999996</v>
      </c>
    </row>
    <row r="105" spans="3:5" x14ac:dyDescent="0.2">
      <c r="C105" s="8" t="s">
        <v>781</v>
      </c>
      <c r="D105" s="1">
        <v>1932977280</v>
      </c>
      <c r="E105" s="1">
        <f>VLOOKUP(C105,Nuclides!E:F,2,FALSE)</f>
        <v>9.5769999999999994E-2</v>
      </c>
    </row>
    <row r="106" spans="3:5" x14ac:dyDescent="0.2">
      <c r="C106" s="8" t="s">
        <v>782</v>
      </c>
      <c r="D106" s="1">
        <v>840615360</v>
      </c>
      <c r="E106" s="1">
        <f>VLOOKUP(C106,Nuclides!E:F,2,FALSE)</f>
        <v>42.5</v>
      </c>
    </row>
    <row r="107" spans="3:5" x14ac:dyDescent="0.2">
      <c r="C107" s="8" t="s">
        <v>783</v>
      </c>
      <c r="D107" s="1">
        <v>141989952</v>
      </c>
      <c r="E107" s="1">
        <f>VLOOKUP(C107,Nuclides!E:F,2,FALSE)</f>
        <v>151.6</v>
      </c>
    </row>
    <row r="108" spans="3:5" x14ac:dyDescent="0.2">
      <c r="C108" s="8" t="s">
        <v>784</v>
      </c>
      <c r="D108" s="1">
        <v>66203904</v>
      </c>
      <c r="E108" s="1">
        <f>VLOOKUP(C108,Nuclides!E:F,2,FALSE)</f>
        <v>912</v>
      </c>
    </row>
    <row r="109" spans="3:5" x14ac:dyDescent="0.2">
      <c r="C109" s="8" t="s">
        <v>785</v>
      </c>
      <c r="D109" s="1">
        <v>4355520</v>
      </c>
      <c r="E109" s="1">
        <f>VLOOKUP(C109,Nuclides!E:F,2,FALSE)</f>
        <v>3156</v>
      </c>
    </row>
    <row r="110" spans="3:5" x14ac:dyDescent="0.2">
      <c r="C110" s="8" t="s">
        <v>786</v>
      </c>
      <c r="D110" s="1">
        <v>2613312</v>
      </c>
      <c r="E110" s="1">
        <f>VLOOKUP(C110,Nuclides!E:F,2,FALSE)</f>
        <v>235080</v>
      </c>
    </row>
    <row r="111" spans="3:5" x14ac:dyDescent="0.2">
      <c r="C111" s="8" t="s">
        <v>787</v>
      </c>
      <c r="D111" s="1">
        <v>871103.99999999988</v>
      </c>
      <c r="E111" s="1">
        <f>VLOOKUP(C111,Nuclides!E:F,2,FALSE)</f>
        <v>93600</v>
      </c>
    </row>
    <row r="112" spans="3:5" x14ac:dyDescent="0.2">
      <c r="C112" s="8" t="s">
        <v>788</v>
      </c>
      <c r="D112" s="1">
        <v>871103.99999999988</v>
      </c>
      <c r="E112" s="1">
        <f>VLOOKUP(C112,Nuclides!E:F,2,FALSE)</f>
        <v>6937920</v>
      </c>
    </row>
    <row r="113" spans="3:5" x14ac:dyDescent="0.2">
      <c r="C113" s="8" t="s">
        <v>789</v>
      </c>
      <c r="D113" s="1">
        <v>3484415.9999999995</v>
      </c>
      <c r="E113" s="1">
        <f>VLOOKUP(C113,Nuclides!E:F,2,FALSE)</f>
        <v>1535328</v>
      </c>
    </row>
    <row r="114" spans="3:5" hidden="1" x14ac:dyDescent="0.2">
      <c r="C114" s="8" t="s">
        <v>790</v>
      </c>
      <c r="D114" s="1">
        <v>21777600</v>
      </c>
      <c r="E114" s="1" t="str">
        <f>VLOOKUP(C114,Nuclides!E:F,2,FALSE)</f>
        <v>STABLE</v>
      </c>
    </row>
    <row r="115" spans="3:5" x14ac:dyDescent="0.2">
      <c r="C115" s="8" t="s">
        <v>791</v>
      </c>
      <c r="D115" s="1">
        <v>80141568</v>
      </c>
      <c r="E115" s="1">
        <f>VLOOKUP(C115,Nuclides!E:F,2,FALSE)</f>
        <v>94538.880000000005</v>
      </c>
    </row>
    <row r="116" spans="3:5" x14ac:dyDescent="0.2">
      <c r="C116" s="8" t="s">
        <v>792</v>
      </c>
      <c r="D116" s="1">
        <v>358023744</v>
      </c>
      <c r="E116" s="1">
        <f>VLOOKUP(C116,Nuclides!E:F,2,FALSE)</f>
        <v>139788</v>
      </c>
    </row>
    <row r="117" spans="3:5" x14ac:dyDescent="0.2">
      <c r="C117" s="8" t="s">
        <v>793</v>
      </c>
      <c r="D117" s="1">
        <v>1081040064</v>
      </c>
      <c r="E117" s="1">
        <f>VLOOKUP(C117,Nuclides!E:F,2,FALSE)</f>
        <v>5442</v>
      </c>
    </row>
    <row r="118" spans="3:5" x14ac:dyDescent="0.2">
      <c r="C118" s="8" t="s">
        <v>794</v>
      </c>
      <c r="D118" s="1">
        <v>3388594560</v>
      </c>
      <c r="E118" s="1">
        <f>VLOOKUP(C118,Nuclides!E:F,2,FALSE)</f>
        <v>540.6</v>
      </c>
    </row>
    <row r="119" spans="3:5" x14ac:dyDescent="0.2">
      <c r="C119" s="8" t="s">
        <v>795</v>
      </c>
      <c r="D119" s="1">
        <v>8278969920</v>
      </c>
      <c r="E119" s="1">
        <f>VLOOKUP(C119,Nuclides!E:F,2,FALSE)</f>
        <v>15.2</v>
      </c>
    </row>
    <row r="120" spans="3:5" x14ac:dyDescent="0.2">
      <c r="C120" s="8" t="s">
        <v>796</v>
      </c>
      <c r="D120" s="1">
        <v>22152998400</v>
      </c>
      <c r="E120" s="1">
        <f>VLOOKUP(C120,Nuclides!E:F,2,FALSE)</f>
        <v>33.299999999999997</v>
      </c>
    </row>
    <row r="121" spans="3:5" x14ac:dyDescent="0.2">
      <c r="C121" s="8" t="s">
        <v>797</v>
      </c>
      <c r="D121" s="1">
        <v>34521801600</v>
      </c>
      <c r="E121" s="1">
        <f>VLOOKUP(C121,Nuclides!E:F,2,FALSE)</f>
        <v>19.100000000000001</v>
      </c>
    </row>
    <row r="122" spans="3:5" x14ac:dyDescent="0.2">
      <c r="C122" s="8" t="s">
        <v>798</v>
      </c>
      <c r="D122" s="1">
        <v>64776192000.000008</v>
      </c>
      <c r="E122" s="1">
        <f>VLOOKUP(C122,Nuclides!E:F,2,FALSE)</f>
        <v>13.4</v>
      </c>
    </row>
    <row r="123" spans="3:5" x14ac:dyDescent="0.2">
      <c r="C123" s="8" t="s">
        <v>799</v>
      </c>
      <c r="D123" s="1">
        <v>45146649600</v>
      </c>
      <c r="E123" s="1">
        <f>VLOOKUP(C123,Nuclides!E:F,2,FALSE)</f>
        <v>4.0199999999999996</v>
      </c>
    </row>
    <row r="124" spans="3:5" x14ac:dyDescent="0.2">
      <c r="C124" s="8" t="s">
        <v>800</v>
      </c>
      <c r="D124" s="1">
        <v>42573523200</v>
      </c>
      <c r="E124" s="1">
        <f>VLOOKUP(C124,Nuclides!E:F,2,FALSE)</f>
        <v>2.0209999999999999</v>
      </c>
    </row>
    <row r="125" spans="3:5" x14ac:dyDescent="0.2">
      <c r="C125" s="8" t="s">
        <v>801</v>
      </c>
      <c r="D125" s="1">
        <v>16234732800</v>
      </c>
      <c r="E125" s="1">
        <f>VLOOKUP(C125,Nuclides!E:F,2,FALSE)</f>
        <v>0.94499999999999995</v>
      </c>
    </row>
    <row r="126" spans="3:5" x14ac:dyDescent="0.2">
      <c r="C126" s="8" t="s">
        <v>802</v>
      </c>
      <c r="D126" s="1">
        <v>9665772480</v>
      </c>
      <c r="E126" s="1">
        <f>VLOOKUP(C126,Nuclides!E:F,2,FALSE)</f>
        <v>0.48399999999999999</v>
      </c>
    </row>
    <row r="127" spans="3:5" x14ac:dyDescent="0.2">
      <c r="C127" s="8" t="s">
        <v>811</v>
      </c>
      <c r="D127" s="1">
        <v>2599371840</v>
      </c>
      <c r="E127" s="1">
        <f>VLOOKUP(C127,Nuclides!E:F,2,FALSE)</f>
        <v>35.5</v>
      </c>
    </row>
    <row r="128" spans="3:5" x14ac:dyDescent="0.2">
      <c r="C128" s="8" t="s">
        <v>812</v>
      </c>
      <c r="D128" s="1">
        <v>1000027392</v>
      </c>
      <c r="E128" s="1">
        <f>VLOOKUP(C128,Nuclides!E:F,2,FALSE)</f>
        <v>27.4</v>
      </c>
    </row>
    <row r="129" spans="3:5" x14ac:dyDescent="0.2">
      <c r="C129" s="8" t="s">
        <v>813</v>
      </c>
      <c r="D129" s="1">
        <v>222131520</v>
      </c>
      <c r="E129" s="1">
        <f>VLOOKUP(C129,Nuclides!E:F,2,FALSE)</f>
        <v>2466</v>
      </c>
    </row>
    <row r="130" spans="3:5" x14ac:dyDescent="0.2">
      <c r="C130" s="8" t="s">
        <v>814</v>
      </c>
      <c r="D130" s="1">
        <v>57492864</v>
      </c>
      <c r="E130" s="1">
        <f>VLOOKUP(C130,Nuclides!E:F,2,FALSE)</f>
        <v>284.39999999999998</v>
      </c>
    </row>
    <row r="131" spans="3:5" x14ac:dyDescent="0.2">
      <c r="C131" s="8" t="s">
        <v>815</v>
      </c>
      <c r="D131" s="1">
        <v>5226624</v>
      </c>
      <c r="E131" s="1">
        <f>VLOOKUP(C131,Nuclides!E:F,2,FALSE)</f>
        <v>725760</v>
      </c>
    </row>
    <row r="132" spans="3:5" x14ac:dyDescent="0.2">
      <c r="C132" s="8" t="s">
        <v>816</v>
      </c>
      <c r="D132" s="1">
        <v>871103.99999999988</v>
      </c>
      <c r="E132" s="1">
        <f>VLOOKUP(C132,Nuclides!E:F,2,FALSE)</f>
        <v>25740</v>
      </c>
    </row>
    <row r="133" spans="3:5" hidden="1" x14ac:dyDescent="0.2">
      <c r="C133" s="8" t="s">
        <v>817</v>
      </c>
      <c r="D133" s="1">
        <v>871103.99999999988</v>
      </c>
      <c r="E133" s="1" t="str">
        <f>VLOOKUP(C133,Nuclides!E:F,2,FALSE)</f>
        <v>STABLE</v>
      </c>
    </row>
    <row r="134" spans="3:5" x14ac:dyDescent="0.2">
      <c r="C134" s="8" t="s">
        <v>818</v>
      </c>
      <c r="D134" s="1">
        <v>871103.99999999988</v>
      </c>
      <c r="E134" s="1">
        <f>VLOOKUP(C134,Nuclides!E:F,2,FALSE)</f>
        <v>10348992</v>
      </c>
    </row>
    <row r="135" spans="3:5" hidden="1" x14ac:dyDescent="0.2">
      <c r="C135" s="8" t="s">
        <v>819</v>
      </c>
      <c r="D135" s="1">
        <v>5226624</v>
      </c>
      <c r="E135" s="1" t="str">
        <f>VLOOKUP(C135,Nuclides!E:F,2,FALSE)</f>
        <v>STABLE</v>
      </c>
    </row>
    <row r="136" spans="3:5" hidden="1" x14ac:dyDescent="0.2">
      <c r="C136" s="8" t="s">
        <v>820</v>
      </c>
      <c r="D136" s="1">
        <v>53137344</v>
      </c>
      <c r="E136" s="1" t="str">
        <f>VLOOKUP(C136,Nuclides!E:F,2,FALSE)</f>
        <v>STABLE</v>
      </c>
    </row>
    <row r="137" spans="3:5" hidden="1" x14ac:dyDescent="0.2">
      <c r="C137" s="8" t="s">
        <v>821</v>
      </c>
      <c r="D137" s="1">
        <v>259588992</v>
      </c>
      <c r="E137" s="1" t="str">
        <f>VLOOKUP(C137,Nuclides!E:F,2,FALSE)</f>
        <v>STABLE</v>
      </c>
    </row>
    <row r="138" spans="3:5" x14ac:dyDescent="0.2">
      <c r="C138" s="8" t="s">
        <v>822</v>
      </c>
      <c r="D138" s="1">
        <v>969538751.99999988</v>
      </c>
      <c r="E138" s="1">
        <f>VLOOKUP(C138,Nuclides!E:F,2,FALSE)</f>
        <v>10287777600000</v>
      </c>
    </row>
    <row r="139" spans="3:5" hidden="1" x14ac:dyDescent="0.2">
      <c r="C139" s="8" t="s">
        <v>823</v>
      </c>
      <c r="D139" s="1">
        <v>3460891200</v>
      </c>
      <c r="E139" s="1" t="str">
        <f>VLOOKUP(C139,Nuclides!E:F,2,FALSE)</f>
        <v>STABLE</v>
      </c>
    </row>
    <row r="140" spans="3:5" x14ac:dyDescent="0.2">
      <c r="C140" s="8" t="s">
        <v>824</v>
      </c>
      <c r="D140" s="1">
        <v>9805149120</v>
      </c>
      <c r="E140" s="1">
        <f>VLOOKUP(C140,Nuclides!E:F,2,FALSE)</f>
        <v>1107</v>
      </c>
    </row>
    <row r="141" spans="3:5" hidden="1" x14ac:dyDescent="0.2">
      <c r="C141" s="8" t="s">
        <v>825</v>
      </c>
      <c r="D141" s="1">
        <v>25277740800</v>
      </c>
      <c r="E141" s="1" t="str">
        <f>VLOOKUP(C141,Nuclides!E:F,2,FALSE)</f>
        <v>STABLE</v>
      </c>
    </row>
    <row r="142" spans="3:5" x14ac:dyDescent="0.2">
      <c r="C142" s="8" t="s">
        <v>826</v>
      </c>
      <c r="D142" s="1">
        <v>52348982400</v>
      </c>
      <c r="E142" s="1">
        <f>VLOOKUP(C142,Nuclides!E:F,2,FALSE)</f>
        <v>1335</v>
      </c>
    </row>
    <row r="143" spans="3:5" x14ac:dyDescent="0.2">
      <c r="C143" s="8" t="s">
        <v>827</v>
      </c>
      <c r="D143" s="1">
        <v>111823670400</v>
      </c>
      <c r="E143" s="1">
        <f>VLOOKUP(C143,Nuclides!E:F,2,FALSE)</f>
        <v>195.6</v>
      </c>
    </row>
    <row r="144" spans="3:5" x14ac:dyDescent="0.2">
      <c r="C144" s="8" t="s">
        <v>828</v>
      </c>
      <c r="D144" s="1">
        <v>143160576000</v>
      </c>
      <c r="E144" s="1">
        <f>VLOOKUP(C144,Nuclides!E:F,2,FALSE)</f>
        <v>32.9</v>
      </c>
    </row>
    <row r="145" spans="3:5" x14ac:dyDescent="0.2">
      <c r="C145" s="8" t="s">
        <v>829</v>
      </c>
      <c r="D145" s="1">
        <v>187784064000</v>
      </c>
      <c r="E145" s="1">
        <f>VLOOKUP(C145,Nuclides!E:F,2,FALSE)</f>
        <v>14.3</v>
      </c>
    </row>
    <row r="146" spans="3:5" x14ac:dyDescent="0.2">
      <c r="C146" s="8" t="s">
        <v>830</v>
      </c>
      <c r="D146" s="1">
        <v>120604348800</v>
      </c>
      <c r="E146" s="1">
        <f>VLOOKUP(C146,Nuclides!E:F,2,FALSE)</f>
        <v>5.5</v>
      </c>
    </row>
    <row r="147" spans="3:5" x14ac:dyDescent="0.2">
      <c r="C147" s="8" t="s">
        <v>831</v>
      </c>
      <c r="D147" s="1">
        <v>86653881600</v>
      </c>
      <c r="E147" s="1">
        <f>VLOOKUP(C147,Nuclides!E:F,2,FALSE)</f>
        <v>1.53</v>
      </c>
    </row>
    <row r="148" spans="3:5" x14ac:dyDescent="0.2">
      <c r="C148" s="8" t="s">
        <v>832</v>
      </c>
      <c r="D148" s="1">
        <v>30264748800</v>
      </c>
      <c r="E148" s="1">
        <f>VLOOKUP(C148,Nuclides!E:F,2,FALSE)</f>
        <v>0.43</v>
      </c>
    </row>
    <row r="149" spans="3:5" x14ac:dyDescent="0.2">
      <c r="C149" s="8" t="s">
        <v>833</v>
      </c>
      <c r="D149" s="1">
        <v>11949799680</v>
      </c>
      <c r="E149" s="1">
        <f>VLOOKUP(C149,Nuclides!E:F,2,FALSE)</f>
        <v>0.19500000000000001</v>
      </c>
    </row>
    <row r="150" spans="3:5" x14ac:dyDescent="0.2">
      <c r="C150" s="8" t="s">
        <v>834</v>
      </c>
      <c r="D150" s="1">
        <v>2478290880</v>
      </c>
      <c r="E150" s="1">
        <f>VLOOKUP(C150,Nuclides!E:F,2,FALSE)</f>
        <v>0.27</v>
      </c>
    </row>
    <row r="151" spans="3:5" x14ac:dyDescent="0.2">
      <c r="C151" s="8" t="s">
        <v>837</v>
      </c>
      <c r="D151" s="1">
        <v>803157888</v>
      </c>
      <c r="E151" s="1">
        <f>VLOOKUP(C151,Nuclides!E:F,2,FALSE)</f>
        <v>7.9099999999999906E-2</v>
      </c>
    </row>
    <row r="152" spans="3:5" x14ac:dyDescent="0.2">
      <c r="C152" s="8" t="s">
        <v>838</v>
      </c>
      <c r="D152" s="1">
        <v>138505536</v>
      </c>
      <c r="E152" s="1">
        <f>VLOOKUP(C152,Nuclides!E:F,2,FALSE)</f>
        <v>21.4</v>
      </c>
    </row>
    <row r="153" spans="3:5" x14ac:dyDescent="0.2">
      <c r="C153" s="8" t="s">
        <v>839</v>
      </c>
      <c r="D153" s="1">
        <v>41812992</v>
      </c>
      <c r="E153" s="1">
        <f>VLOOKUP(C153,Nuclides!E:F,2,FALSE)</f>
        <v>78.599999999999994</v>
      </c>
    </row>
    <row r="154" spans="3:5" x14ac:dyDescent="0.2">
      <c r="C154" s="8" t="s">
        <v>840</v>
      </c>
      <c r="D154" s="1">
        <v>2613312</v>
      </c>
      <c r="E154" s="1">
        <f>VLOOKUP(C154,Nuclides!E:F,2,FALSE)</f>
        <v>204</v>
      </c>
    </row>
    <row r="155" spans="3:5" x14ac:dyDescent="0.2">
      <c r="C155" s="8" t="s">
        <v>845</v>
      </c>
      <c r="D155" s="1">
        <v>6968831.9999999991</v>
      </c>
      <c r="E155" s="1">
        <f>VLOOKUP(C155,Nuclides!E:F,2,FALSE)</f>
        <v>387</v>
      </c>
    </row>
    <row r="156" spans="3:5" hidden="1" x14ac:dyDescent="0.2">
      <c r="C156" s="8" t="s">
        <v>846</v>
      </c>
      <c r="D156" s="1">
        <v>16550976</v>
      </c>
      <c r="E156" s="1" t="str">
        <f>VLOOKUP(C156,Nuclides!E:F,2,FALSE)</f>
        <v>STABLE</v>
      </c>
    </row>
    <row r="157" spans="3:5" x14ac:dyDescent="0.2">
      <c r="C157" s="8" t="s">
        <v>847</v>
      </c>
      <c r="D157" s="1">
        <v>152443200</v>
      </c>
      <c r="E157" s="1">
        <f>VLOOKUP(C157,Nuclides!E:F,2,FALSE)</f>
        <v>1060.8</v>
      </c>
    </row>
    <row r="158" spans="3:5" hidden="1" x14ac:dyDescent="0.2">
      <c r="C158" s="8" t="s">
        <v>848</v>
      </c>
      <c r="D158" s="1">
        <v>611515008</v>
      </c>
      <c r="E158" s="1" t="str">
        <f>VLOOKUP(C158,Nuclides!E:F,2,FALSE)</f>
        <v>STABLE</v>
      </c>
    </row>
    <row r="159" spans="3:5" x14ac:dyDescent="0.2">
      <c r="C159" s="8" t="s">
        <v>849</v>
      </c>
      <c r="D159" s="1">
        <v>2385951360</v>
      </c>
      <c r="E159" s="1">
        <f>VLOOKUP(C159,Nuclides!E:F,2,FALSE)</f>
        <v>127015.19999999899</v>
      </c>
    </row>
    <row r="160" spans="3:5" x14ac:dyDescent="0.2">
      <c r="C160" s="8" t="s">
        <v>850</v>
      </c>
      <c r="D160" s="1">
        <v>8420093760</v>
      </c>
      <c r="E160" s="1">
        <f>VLOOKUP(C160,Nuclides!E:F,2,FALSE)</f>
        <v>8546.4</v>
      </c>
    </row>
    <row r="161" spans="3:5" x14ac:dyDescent="0.2">
      <c r="C161" s="8" t="s">
        <v>851</v>
      </c>
      <c r="D161" s="1">
        <v>24682694399.999996</v>
      </c>
      <c r="E161" s="1">
        <f>VLOOKUP(C161,Nuclides!E:F,2,FALSE)</f>
        <v>1905.6</v>
      </c>
    </row>
    <row r="162" spans="3:5" x14ac:dyDescent="0.2">
      <c r="C162" s="8" t="s">
        <v>852</v>
      </c>
      <c r="D162" s="1">
        <v>73661452800</v>
      </c>
      <c r="E162" s="1">
        <f>VLOOKUP(C162,Nuclides!E:F,2,FALSE)</f>
        <v>174</v>
      </c>
    </row>
    <row r="163" spans="3:5" x14ac:dyDescent="0.2">
      <c r="C163" s="8" t="s">
        <v>853</v>
      </c>
      <c r="D163" s="1">
        <v>138720192000</v>
      </c>
      <c r="E163" s="1">
        <f>VLOOKUP(C163,Nuclides!E:F,2,FALSE)</f>
        <v>55.1</v>
      </c>
    </row>
    <row r="164" spans="3:5" x14ac:dyDescent="0.2">
      <c r="C164" s="8" t="s">
        <v>854</v>
      </c>
      <c r="D164" s="1">
        <v>263259360000</v>
      </c>
      <c r="E164" s="1">
        <f>VLOOKUP(C164,Nuclides!E:F,2,FALSE)</f>
        <v>55.65</v>
      </c>
    </row>
    <row r="165" spans="3:5" x14ac:dyDescent="0.2">
      <c r="C165" s="8" t="s">
        <v>855</v>
      </c>
      <c r="D165" s="1">
        <v>259751232000</v>
      </c>
      <c r="E165" s="1">
        <f>VLOOKUP(C165,Nuclides!E:F,2,FALSE)</f>
        <v>16.34</v>
      </c>
    </row>
    <row r="166" spans="3:5" x14ac:dyDescent="0.2">
      <c r="C166" s="8" t="s">
        <v>856</v>
      </c>
      <c r="D166" s="1">
        <v>283977408000</v>
      </c>
      <c r="E166" s="1">
        <f>VLOOKUP(C166,Nuclides!E:F,2,FALSE)</f>
        <v>4.3570000000000002</v>
      </c>
    </row>
    <row r="167" spans="3:5" x14ac:dyDescent="0.2">
      <c r="C167" s="8" t="s">
        <v>857</v>
      </c>
      <c r="D167" s="1">
        <v>148274880000</v>
      </c>
      <c r="E167" s="1">
        <f>VLOOKUP(C167,Nuclides!E:F,2,FALSE)</f>
        <v>1.92</v>
      </c>
    </row>
    <row r="168" spans="3:5" x14ac:dyDescent="0.2">
      <c r="C168" s="8" t="s">
        <v>858</v>
      </c>
      <c r="D168" s="1">
        <v>96517449600</v>
      </c>
      <c r="E168" s="1">
        <f>VLOOKUP(C168,Nuclides!E:F,2,FALSE)</f>
        <v>0.54300000000000004</v>
      </c>
    </row>
    <row r="169" spans="3:5" x14ac:dyDescent="0.2">
      <c r="C169" s="8" t="s">
        <v>859</v>
      </c>
      <c r="D169" s="1">
        <v>29497353600</v>
      </c>
      <c r="E169" s="1">
        <f>VLOOKUP(C169,Nuclides!E:F,2,FALSE)</f>
        <v>0.314</v>
      </c>
    </row>
    <row r="170" spans="3:5" x14ac:dyDescent="0.2">
      <c r="C170" s="8" t="s">
        <v>868</v>
      </c>
      <c r="D170" s="1">
        <v>11419299840</v>
      </c>
      <c r="E170" s="1">
        <f>VLOOKUP(C170,Nuclides!E:F,2,FALSE)</f>
        <v>0.1</v>
      </c>
    </row>
    <row r="171" spans="3:5" x14ac:dyDescent="0.2">
      <c r="C171" s="8" t="s">
        <v>869</v>
      </c>
      <c r="D171" s="1">
        <v>3594177600</v>
      </c>
      <c r="E171" s="1">
        <f>VLOOKUP(C171,Nuclides!E:F,2,FALSE)</f>
        <v>17.100000000000001</v>
      </c>
    </row>
    <row r="172" spans="3:5" x14ac:dyDescent="0.2">
      <c r="C172" s="8" t="s">
        <v>870</v>
      </c>
      <c r="D172" s="1">
        <v>740438400</v>
      </c>
      <c r="E172" s="1">
        <f>VLOOKUP(C172,Nuclides!E:F,2,FALSE)</f>
        <v>27.3</v>
      </c>
    </row>
    <row r="173" spans="3:5" x14ac:dyDescent="0.2">
      <c r="C173" s="8" t="s">
        <v>871</v>
      </c>
      <c r="D173" s="1">
        <v>129794496</v>
      </c>
      <c r="E173" s="1">
        <f>VLOOKUP(C173,Nuclides!E:F,2,FALSE)</f>
        <v>690</v>
      </c>
    </row>
    <row r="174" spans="3:5" x14ac:dyDescent="0.2">
      <c r="C174" s="8" t="s">
        <v>872</v>
      </c>
      <c r="D174" s="1">
        <v>29617536</v>
      </c>
      <c r="E174" s="1">
        <f>VLOOKUP(C174,Nuclides!E:F,2,FALSE)</f>
        <v>276</v>
      </c>
    </row>
    <row r="175" spans="3:5" x14ac:dyDescent="0.2">
      <c r="C175" s="8" t="s">
        <v>873</v>
      </c>
      <c r="D175" s="1">
        <v>3484415.9999999995</v>
      </c>
      <c r="E175" s="1">
        <f>VLOOKUP(C175,Nuclides!E:F,2,FALSE)</f>
        <v>53280</v>
      </c>
    </row>
    <row r="176" spans="3:5" x14ac:dyDescent="0.2">
      <c r="C176" s="8" t="s">
        <v>874</v>
      </c>
      <c r="D176" s="1">
        <v>871103.99999999988</v>
      </c>
      <c r="E176" s="1">
        <f>VLOOKUP(C176,Nuclides!E:F,2,FALSE)</f>
        <v>4464</v>
      </c>
    </row>
    <row r="177" spans="3:5" x14ac:dyDescent="0.2">
      <c r="C177" s="8" t="s">
        <v>876</v>
      </c>
      <c r="D177" s="1">
        <v>871103.99999999988</v>
      </c>
      <c r="E177" s="1">
        <f>VLOOKUP(C177,Nuclides!E:F,2,FALSE)</f>
        <v>126144</v>
      </c>
    </row>
    <row r="178" spans="3:5" hidden="1" x14ac:dyDescent="0.2">
      <c r="C178" s="8" t="s">
        <v>877</v>
      </c>
      <c r="D178" s="1">
        <v>7839935.9999999991</v>
      </c>
      <c r="E178" s="1" t="str">
        <f>VLOOKUP(C178,Nuclides!E:F,2,FALSE)</f>
        <v>STABLE</v>
      </c>
    </row>
    <row r="179" spans="3:5" x14ac:dyDescent="0.2">
      <c r="C179" s="8" t="s">
        <v>878</v>
      </c>
      <c r="D179" s="1">
        <v>45297408</v>
      </c>
      <c r="E179" s="1">
        <f>VLOOKUP(C179,Nuclides!E:F,2,FALSE)</f>
        <v>7226690400000</v>
      </c>
    </row>
    <row r="180" spans="3:5" hidden="1" x14ac:dyDescent="0.2">
      <c r="C180" s="8" t="s">
        <v>879</v>
      </c>
      <c r="D180" s="1">
        <v>219518208</v>
      </c>
      <c r="E180" s="1" t="str">
        <f>VLOOKUP(C180,Nuclides!E:F,2,FALSE)</f>
        <v>STABLE</v>
      </c>
    </row>
    <row r="181" spans="3:5" hidden="1" x14ac:dyDescent="0.2">
      <c r="C181" s="8" t="s">
        <v>880</v>
      </c>
      <c r="D181" s="1">
        <v>1087137792</v>
      </c>
      <c r="E181" s="1" t="str">
        <f>VLOOKUP(C181,Nuclides!E:F,2,FALSE)</f>
        <v>STABLE</v>
      </c>
    </row>
    <row r="182" spans="3:5" hidden="1" x14ac:dyDescent="0.2">
      <c r="C182" s="8" t="s">
        <v>881</v>
      </c>
      <c r="D182" s="1">
        <v>4589844480</v>
      </c>
      <c r="E182" s="1" t="str">
        <f>VLOOKUP(C182,Nuclides!E:F,2,FALSE)</f>
        <v>STABLE</v>
      </c>
    </row>
    <row r="183" spans="3:5" x14ac:dyDescent="0.2">
      <c r="C183" s="8" t="s">
        <v>882</v>
      </c>
      <c r="D183" s="1">
        <v>15581404800</v>
      </c>
      <c r="E183" s="1">
        <f>VLOOKUP(C183,Nuclides!E:F,2,FALSE)</f>
        <v>338897066.39999998</v>
      </c>
    </row>
    <row r="184" spans="3:5" hidden="1" x14ac:dyDescent="0.2">
      <c r="C184" s="8" t="s">
        <v>883</v>
      </c>
      <c r="D184" s="1">
        <v>44913273600</v>
      </c>
      <c r="E184" s="1" t="str">
        <f>VLOOKUP(C184,Nuclides!E:F,2,FALSE)</f>
        <v>STABLE</v>
      </c>
    </row>
    <row r="185" spans="3:5" x14ac:dyDescent="0.2">
      <c r="C185" s="8" t="s">
        <v>884</v>
      </c>
      <c r="D185" s="1">
        <v>108025632000</v>
      </c>
      <c r="E185" s="1">
        <f>VLOOKUP(C185,Nuclides!E:F,2,FALSE)</f>
        <v>4578</v>
      </c>
    </row>
    <row r="186" spans="3:5" x14ac:dyDescent="0.2">
      <c r="C186" s="8" t="s">
        <v>885</v>
      </c>
      <c r="D186" s="1">
        <v>233700480000</v>
      </c>
      <c r="E186" s="1">
        <f>VLOOKUP(C186,Nuclides!E:F,2,FALSE)</f>
        <v>10170</v>
      </c>
    </row>
    <row r="187" spans="3:5" x14ac:dyDescent="0.2">
      <c r="C187" s="8" t="s">
        <v>886</v>
      </c>
      <c r="D187" s="1">
        <v>384008352000</v>
      </c>
      <c r="E187" s="1">
        <f>VLOOKUP(C187,Nuclides!E:F,2,FALSE)</f>
        <v>189</v>
      </c>
    </row>
    <row r="188" spans="3:5" x14ac:dyDescent="0.2">
      <c r="C188" s="8" t="s">
        <v>887</v>
      </c>
      <c r="D188" s="1">
        <v>561305472000</v>
      </c>
      <c r="E188" s="1">
        <f>VLOOKUP(C188,Nuclides!E:F,2,FALSE)</f>
        <v>32.32</v>
      </c>
    </row>
    <row r="189" spans="3:5" x14ac:dyDescent="0.2">
      <c r="C189" s="8" t="s">
        <v>888</v>
      </c>
      <c r="D189" s="1">
        <v>515745984000.00006</v>
      </c>
      <c r="E189" s="1">
        <f>VLOOKUP(C189,Nuclides!E:F,2,FALSE)</f>
        <v>8.57</v>
      </c>
    </row>
    <row r="190" spans="3:5" x14ac:dyDescent="0.2">
      <c r="C190" s="8" t="s">
        <v>889</v>
      </c>
      <c r="D190" s="1">
        <v>453736608000</v>
      </c>
      <c r="E190" s="1">
        <f>VLOOKUP(C190,Nuclides!E:F,2,FALSE)</f>
        <v>1.84</v>
      </c>
    </row>
    <row r="191" spans="3:5" x14ac:dyDescent="0.2">
      <c r="C191" s="8" t="s">
        <v>890</v>
      </c>
      <c r="D191" s="1">
        <v>200011968000</v>
      </c>
      <c r="E191" s="1">
        <f>VLOOKUP(C191,Nuclides!E:F,2,FALSE)</f>
        <v>1.286</v>
      </c>
    </row>
    <row r="192" spans="3:5" x14ac:dyDescent="0.2">
      <c r="C192" s="8" t="s">
        <v>891</v>
      </c>
      <c r="D192" s="1">
        <v>96230908800</v>
      </c>
      <c r="E192" s="1">
        <f>VLOOKUP(C192,Nuclides!E:F,2,FALSE)</f>
        <v>0.21199999999999999</v>
      </c>
    </row>
    <row r="193" spans="3:5" x14ac:dyDescent="0.2">
      <c r="C193" s="8" t="s">
        <v>892</v>
      </c>
      <c r="D193" s="1">
        <v>24850800000.000004</v>
      </c>
      <c r="E193" s="1">
        <f>VLOOKUP(C193,Nuclides!E:F,2,FALSE)</f>
        <v>0.114</v>
      </c>
    </row>
    <row r="194" spans="3:5" x14ac:dyDescent="0.2">
      <c r="C194" s="8" t="s">
        <v>893</v>
      </c>
      <c r="D194" s="1">
        <v>8176184640</v>
      </c>
      <c r="E194" s="1">
        <f>VLOOKUP(C194,Nuclides!E:F,2,FALSE)</f>
        <v>0.08</v>
      </c>
    </row>
    <row r="195" spans="3:5" x14ac:dyDescent="0.2">
      <c r="C195" s="8" t="s">
        <v>894</v>
      </c>
      <c r="D195" s="1">
        <v>1308403200</v>
      </c>
      <c r="E195" s="1">
        <f>VLOOKUP(C195,Nuclides!E:F,2,FALSE)</f>
        <v>6.3E-2</v>
      </c>
    </row>
    <row r="196" spans="3:5" x14ac:dyDescent="0.2">
      <c r="C196" s="8" t="s">
        <v>899</v>
      </c>
      <c r="D196" s="1">
        <v>278753280</v>
      </c>
      <c r="E196" s="1">
        <f>VLOOKUP(C196,Nuclides!E:F,2,FALSE)</f>
        <v>6.4899999999999999E-2</v>
      </c>
    </row>
    <row r="197" spans="3:5" x14ac:dyDescent="0.2">
      <c r="C197" s="8" t="s">
        <v>900</v>
      </c>
      <c r="D197" s="1">
        <v>33101952</v>
      </c>
      <c r="E197" s="1">
        <f>VLOOKUP(C197,Nuclides!E:F,2,FALSE)</f>
        <v>19</v>
      </c>
    </row>
    <row r="198" spans="3:5" x14ac:dyDescent="0.2">
      <c r="C198" s="8" t="s">
        <v>901</v>
      </c>
      <c r="D198" s="1">
        <v>7839935.9999999991</v>
      </c>
      <c r="E198" s="1">
        <f>VLOOKUP(C198,Nuclides!E:F,2,FALSE)</f>
        <v>36.5</v>
      </c>
    </row>
    <row r="199" spans="3:5" x14ac:dyDescent="0.2">
      <c r="C199" s="8" t="s">
        <v>907</v>
      </c>
      <c r="D199" s="1">
        <v>1742207.9999999998</v>
      </c>
      <c r="E199" s="1">
        <f>VLOOKUP(C199,Nuclides!E:F,2,FALSE)</f>
        <v>75.45</v>
      </c>
    </row>
    <row r="200" spans="3:5" x14ac:dyDescent="0.2">
      <c r="C200" s="8" t="s">
        <v>908</v>
      </c>
      <c r="D200" s="1">
        <v>12195456.000000002</v>
      </c>
      <c r="E200" s="1">
        <f>VLOOKUP(C200,Nuclides!E:F,2,FALSE)</f>
        <v>7447680</v>
      </c>
    </row>
    <row r="201" spans="3:5" x14ac:dyDescent="0.2">
      <c r="C201" s="8" t="s">
        <v>909</v>
      </c>
      <c r="D201" s="1">
        <v>100176960</v>
      </c>
      <c r="E201" s="1">
        <f>VLOOKUP(C201,Nuclides!E:F,2,FALSE)</f>
        <v>2835648</v>
      </c>
    </row>
    <row r="202" spans="3:5" hidden="1" x14ac:dyDescent="0.2">
      <c r="C202" s="8" t="s">
        <v>910</v>
      </c>
      <c r="D202" s="1">
        <v>485204928</v>
      </c>
      <c r="E202" s="1" t="str">
        <f>VLOOKUP(C202,Nuclides!E:F,2,FALSE)</f>
        <v>STABLE</v>
      </c>
    </row>
    <row r="203" spans="3:5" x14ac:dyDescent="0.2">
      <c r="C203" s="8" t="s">
        <v>911</v>
      </c>
      <c r="D203" s="1">
        <v>2140307520</v>
      </c>
      <c r="E203" s="1">
        <f>VLOOKUP(C203,Nuclides!E:F,2,FALSE)</f>
        <v>1610668.8</v>
      </c>
    </row>
    <row r="204" spans="3:5" x14ac:dyDescent="0.2">
      <c r="C204" s="8" t="s">
        <v>912</v>
      </c>
      <c r="D204" s="1">
        <v>8395695360</v>
      </c>
      <c r="E204" s="1">
        <f>VLOOKUP(C204,Nuclides!E:F,2,FALSE)</f>
        <v>1.56841272E+18</v>
      </c>
    </row>
    <row r="205" spans="3:5" x14ac:dyDescent="0.2">
      <c r="C205" s="8" t="s">
        <v>913</v>
      </c>
      <c r="D205" s="1">
        <v>27747283199.999996</v>
      </c>
      <c r="E205" s="1">
        <f>VLOOKUP(C205,Nuclides!E:F,2,FALSE)</f>
        <v>1066.3799999999901</v>
      </c>
    </row>
    <row r="206" spans="3:5" x14ac:dyDescent="0.2">
      <c r="C206" s="8" t="s">
        <v>914</v>
      </c>
      <c r="D206" s="1">
        <v>88923120000</v>
      </c>
      <c r="E206" s="1">
        <f>VLOOKUP(C206,Nuclides!E:F,2,FALSE)</f>
        <v>919.2</v>
      </c>
    </row>
    <row r="207" spans="3:5" x14ac:dyDescent="0.2">
      <c r="C207" s="8" t="s">
        <v>915</v>
      </c>
      <c r="D207" s="1">
        <v>199290623999.99997</v>
      </c>
      <c r="E207" s="1">
        <f>VLOOKUP(C207,Nuclides!E:F,2,FALSE)</f>
        <v>158</v>
      </c>
    </row>
    <row r="208" spans="3:5" x14ac:dyDescent="0.2">
      <c r="C208" s="8" t="s">
        <v>916</v>
      </c>
      <c r="D208" s="1">
        <v>427942944000</v>
      </c>
      <c r="E208" s="1">
        <f>VLOOKUP(C208,Nuclides!E:F,2,FALSE)</f>
        <v>58.2</v>
      </c>
    </row>
    <row r="209" spans="3:5" x14ac:dyDescent="0.2">
      <c r="C209" s="8" t="s">
        <v>917</v>
      </c>
      <c r="D209" s="1">
        <v>583474944000</v>
      </c>
      <c r="E209" s="1">
        <f>VLOOKUP(C209,Nuclides!E:F,2,FALSE)</f>
        <v>4.492</v>
      </c>
    </row>
    <row r="210" spans="3:5" x14ac:dyDescent="0.2">
      <c r="C210" s="8" t="s">
        <v>918</v>
      </c>
      <c r="D210" s="1">
        <v>737584224000</v>
      </c>
      <c r="E210" s="1">
        <f>VLOOKUP(C210,Nuclides!E:F,2,FALSE)</f>
        <v>5.84</v>
      </c>
    </row>
    <row r="211" spans="3:5" x14ac:dyDescent="0.2">
      <c r="C211" s="8" t="s">
        <v>919</v>
      </c>
      <c r="D211" s="1">
        <v>499749120000</v>
      </c>
      <c r="E211" s="1">
        <f>VLOOKUP(C211,Nuclides!E:F,2,FALSE)</f>
        <v>2.702</v>
      </c>
    </row>
    <row r="212" spans="3:5" x14ac:dyDescent="0.2">
      <c r="C212" s="8" t="s">
        <v>920</v>
      </c>
      <c r="D212" s="1">
        <v>382644288000.00006</v>
      </c>
      <c r="E212" s="1">
        <f>VLOOKUP(C212,Nuclides!E:F,2,FALSE)</f>
        <v>0.37769999999999998</v>
      </c>
    </row>
    <row r="213" spans="3:5" x14ac:dyDescent="0.2">
      <c r="C213" s="8" t="s">
        <v>921</v>
      </c>
      <c r="D213" s="1">
        <v>149557824000</v>
      </c>
      <c r="E213" s="1">
        <f>VLOOKUP(C213,Nuclides!E:F,2,FALSE)</f>
        <v>0.20300000000000001</v>
      </c>
    </row>
    <row r="214" spans="3:5" x14ac:dyDescent="0.2">
      <c r="C214" s="8" t="s">
        <v>922</v>
      </c>
      <c r="D214" s="1">
        <v>70038508800</v>
      </c>
      <c r="E214" s="1">
        <f>VLOOKUP(C214,Nuclides!E:F,2,FALSE)</f>
        <v>0.1691</v>
      </c>
    </row>
    <row r="215" spans="3:5" x14ac:dyDescent="0.2">
      <c r="C215" s="8" t="s">
        <v>923</v>
      </c>
      <c r="D215" s="1">
        <v>20821132800</v>
      </c>
      <c r="E215" s="1">
        <f>VLOOKUP(C215,Nuclides!E:F,2,FALSE)</f>
        <v>0.10199999999999999</v>
      </c>
    </row>
    <row r="216" spans="3:5" x14ac:dyDescent="0.2">
      <c r="C216" s="8" t="s">
        <v>924</v>
      </c>
      <c r="D216" s="1">
        <v>5980128960</v>
      </c>
      <c r="E216" s="1">
        <f>VLOOKUP(C216,Nuclides!E:F,2,FALSE)</f>
        <v>5.3999999999999999E-2</v>
      </c>
    </row>
    <row r="217" spans="3:5" x14ac:dyDescent="0.2">
      <c r="C217" s="8" t="s">
        <v>925</v>
      </c>
      <c r="D217" s="1">
        <v>1355440320</v>
      </c>
      <c r="E217" s="1">
        <f>VLOOKUP(C217,Nuclides!E:F,2,FALSE)</f>
        <v>5.0999999999999997E-2</v>
      </c>
    </row>
    <row r="218" spans="3:5" x14ac:dyDescent="0.2">
      <c r="C218" s="8" t="s">
        <v>933</v>
      </c>
      <c r="D218" s="1">
        <v>175963008</v>
      </c>
      <c r="E218" s="1">
        <f>VLOOKUP(C218,Nuclides!E:F,2,FALSE)</f>
        <v>9</v>
      </c>
    </row>
    <row r="219" spans="3:5" x14ac:dyDescent="0.2">
      <c r="C219" s="8" t="s">
        <v>934</v>
      </c>
      <c r="D219" s="1">
        <v>14808768</v>
      </c>
      <c r="E219" s="1">
        <f>VLOOKUP(C219,Nuclides!E:F,2,FALSE)</f>
        <v>160</v>
      </c>
    </row>
    <row r="220" spans="3:5" x14ac:dyDescent="0.2">
      <c r="C220" s="8" t="s">
        <v>935</v>
      </c>
      <c r="D220" s="1">
        <v>871103.99999999988</v>
      </c>
      <c r="E220" s="1">
        <f>VLOOKUP(C220,Nuclides!E:F,2,FALSE)</f>
        <v>135</v>
      </c>
    </row>
    <row r="221" spans="3:5" hidden="1" x14ac:dyDescent="0.2">
      <c r="C221" s="8" t="s">
        <v>940</v>
      </c>
      <c r="D221" s="1">
        <v>2613312</v>
      </c>
      <c r="E221" s="1" t="str">
        <f>VLOOKUP(C221,Nuclides!E:F,2,FALSE)</f>
        <v>STABLE</v>
      </c>
    </row>
    <row r="222" spans="3:5" x14ac:dyDescent="0.2">
      <c r="C222" s="8" t="s">
        <v>941</v>
      </c>
      <c r="D222" s="1">
        <v>11324352</v>
      </c>
      <c r="E222" s="1">
        <f>VLOOKUP(C222,Nuclides!E:F,2,FALSE)</f>
        <v>5602953.5999999996</v>
      </c>
    </row>
    <row r="223" spans="3:5" hidden="1" x14ac:dyDescent="0.2">
      <c r="C223" s="8" t="s">
        <v>942</v>
      </c>
      <c r="D223" s="1">
        <v>94950336</v>
      </c>
      <c r="E223" s="1" t="str">
        <f>VLOOKUP(C223,Nuclides!E:F,2,FALSE)</f>
        <v>STABLE</v>
      </c>
    </row>
    <row r="224" spans="3:5" hidden="1" x14ac:dyDescent="0.2">
      <c r="C224" s="8" t="s">
        <v>943</v>
      </c>
      <c r="D224" s="1">
        <v>496529280.00000006</v>
      </c>
      <c r="E224" s="1" t="str">
        <f>VLOOKUP(C224,Nuclides!E:F,2,FALSE)</f>
        <v>STABLE</v>
      </c>
    </row>
    <row r="225" spans="3:5" hidden="1" x14ac:dyDescent="0.2">
      <c r="C225" s="8" t="s">
        <v>944</v>
      </c>
      <c r="D225" s="1">
        <v>2177760000</v>
      </c>
      <c r="E225" s="1" t="str">
        <f>VLOOKUP(C225,Nuclides!E:F,2,FALSE)</f>
        <v>STABLE</v>
      </c>
    </row>
    <row r="226" spans="3:5" x14ac:dyDescent="0.2">
      <c r="C226" s="8" t="s">
        <v>945</v>
      </c>
      <c r="D226" s="1">
        <v>9139628160</v>
      </c>
      <c r="E226" s="1">
        <f>VLOOKUP(C226,Nuclides!E:F,2,FALSE)</f>
        <v>4368643.2</v>
      </c>
    </row>
    <row r="227" spans="3:5" x14ac:dyDescent="0.2">
      <c r="C227" s="8" t="s">
        <v>946</v>
      </c>
      <c r="D227" s="1">
        <v>30996451200.000004</v>
      </c>
      <c r="E227" s="1">
        <f>VLOOKUP(C227,Nuclides!E:F,2,FALSE)</f>
        <v>912014640</v>
      </c>
    </row>
    <row r="228" spans="3:5" x14ac:dyDescent="0.2">
      <c r="C228" s="8" t="s">
        <v>947</v>
      </c>
      <c r="D228" s="1">
        <v>87994608000</v>
      </c>
      <c r="E228" s="1">
        <f>VLOOKUP(C228,Nuclides!E:F,2,FALSE)</f>
        <v>34740</v>
      </c>
    </row>
    <row r="229" spans="3:5" x14ac:dyDescent="0.2">
      <c r="C229" s="8" t="s">
        <v>948</v>
      </c>
      <c r="D229" s="1">
        <v>207871871999.99997</v>
      </c>
      <c r="E229" s="1">
        <f>VLOOKUP(C229,Nuclides!E:F,2,FALSE)</f>
        <v>9399.6</v>
      </c>
    </row>
    <row r="230" spans="3:5" x14ac:dyDescent="0.2">
      <c r="C230" s="8" t="s">
        <v>949</v>
      </c>
      <c r="D230" s="1">
        <v>417171455999.99994</v>
      </c>
      <c r="E230" s="1">
        <f>VLOOKUP(C230,Nuclides!E:F,2,FALSE)</f>
        <v>445.79999999999899</v>
      </c>
    </row>
    <row r="231" spans="3:5" x14ac:dyDescent="0.2">
      <c r="C231" s="8" t="s">
        <v>950</v>
      </c>
      <c r="D231" s="1">
        <v>720076032000</v>
      </c>
      <c r="E231" s="1">
        <f>VLOOKUP(C231,Nuclides!E:F,2,FALSE)</f>
        <v>75.3</v>
      </c>
    </row>
    <row r="232" spans="3:5" x14ac:dyDescent="0.2">
      <c r="C232" s="8" t="s">
        <v>951</v>
      </c>
      <c r="D232" s="1">
        <v>874487327999.99988</v>
      </c>
      <c r="E232" s="1">
        <f>VLOOKUP(C232,Nuclides!E:F,2,FALSE)</f>
        <v>23.9</v>
      </c>
    </row>
    <row r="233" spans="3:5" x14ac:dyDescent="0.2">
      <c r="C233" s="8" t="s">
        <v>952</v>
      </c>
      <c r="D233" s="1">
        <v>887098367999.99988</v>
      </c>
      <c r="E233" s="1">
        <f>VLOOKUP(C233,Nuclides!E:F,2,FALSE)</f>
        <v>1.07</v>
      </c>
    </row>
    <row r="234" spans="3:5" x14ac:dyDescent="0.2">
      <c r="C234" s="8" t="s">
        <v>953</v>
      </c>
      <c r="D234" s="1">
        <v>571544064000</v>
      </c>
      <c r="E234" s="1">
        <f>VLOOKUP(C234,Nuclides!E:F,2,FALSE)</f>
        <v>0.42899999999999999</v>
      </c>
    </row>
    <row r="235" spans="3:5" x14ac:dyDescent="0.2">
      <c r="C235" s="8" t="s">
        <v>954</v>
      </c>
      <c r="D235" s="1">
        <v>325318656000</v>
      </c>
      <c r="E235" s="1">
        <f>VLOOKUP(C235,Nuclides!E:F,2,FALSE)</f>
        <v>0.65300000000000002</v>
      </c>
    </row>
    <row r="236" spans="3:5" x14ac:dyDescent="0.2">
      <c r="C236" s="8" t="s">
        <v>955</v>
      </c>
      <c r="D236" s="1">
        <v>105456748800</v>
      </c>
      <c r="E236" s="1">
        <f>VLOOKUP(C236,Nuclides!E:F,2,FALSE)</f>
        <v>0.26900000000000002</v>
      </c>
    </row>
    <row r="237" spans="3:5" x14ac:dyDescent="0.2">
      <c r="C237" s="8" t="s">
        <v>956</v>
      </c>
      <c r="D237" s="1">
        <v>33084480000</v>
      </c>
      <c r="E237" s="1">
        <f>VLOOKUP(C237,Nuclides!E:F,2,FALSE)</f>
        <v>0.20200000000000001</v>
      </c>
    </row>
    <row r="238" spans="3:5" x14ac:dyDescent="0.2">
      <c r="C238" s="8" t="s">
        <v>968</v>
      </c>
      <c r="D238" s="1">
        <v>6208363200</v>
      </c>
      <c r="E238" s="1">
        <f>VLOOKUP(C238,Nuclides!E:F,2,FALSE)</f>
        <v>30.1</v>
      </c>
    </row>
    <row r="239" spans="3:5" x14ac:dyDescent="0.2">
      <c r="C239" s="8" t="s">
        <v>969</v>
      </c>
      <c r="D239" s="1">
        <v>988703039.99999988</v>
      </c>
      <c r="E239" s="1">
        <f>VLOOKUP(C239,Nuclides!E:F,2,FALSE)</f>
        <v>70.400000000000006</v>
      </c>
    </row>
    <row r="240" spans="3:5" x14ac:dyDescent="0.2">
      <c r="C240" s="8" t="s">
        <v>970</v>
      </c>
      <c r="D240" s="1">
        <v>80141568</v>
      </c>
      <c r="E240" s="1">
        <f>VLOOKUP(C240,Nuclides!E:F,2,FALSE)</f>
        <v>8.3000000000000007</v>
      </c>
    </row>
    <row r="241" spans="3:5" x14ac:dyDescent="0.2">
      <c r="C241" s="8" t="s">
        <v>971</v>
      </c>
      <c r="D241" s="1">
        <v>16550976</v>
      </c>
      <c r="E241" s="1">
        <f>VLOOKUP(C241,Nuclides!E:F,2,FALSE)</f>
        <v>424.8</v>
      </c>
    </row>
    <row r="242" spans="3:5" x14ac:dyDescent="0.2">
      <c r="C242" s="8" t="s">
        <v>975</v>
      </c>
      <c r="D242" s="1">
        <v>2613312</v>
      </c>
      <c r="E242" s="1">
        <f>VLOOKUP(C242,Nuclides!E:F,2,FALSE)</f>
        <v>287280</v>
      </c>
    </row>
    <row r="243" spans="3:5" x14ac:dyDescent="0.2">
      <c r="C243" s="8" t="s">
        <v>976</v>
      </c>
      <c r="D243" s="1">
        <v>17422080</v>
      </c>
      <c r="E243" s="1">
        <f>VLOOKUP(C243,Nuclides!E:F,2,FALSE)</f>
        <v>9212486.4000000004</v>
      </c>
    </row>
    <row r="244" spans="3:5" hidden="1" x14ac:dyDescent="0.2">
      <c r="C244" s="8" t="s">
        <v>977</v>
      </c>
      <c r="D244" s="1">
        <v>128052288</v>
      </c>
      <c r="E244" s="1" t="str">
        <f>VLOOKUP(C244,Nuclides!E:F,2,FALSE)</f>
        <v>STABLE</v>
      </c>
    </row>
    <row r="245" spans="3:5" x14ac:dyDescent="0.2">
      <c r="C245" s="8" t="s">
        <v>978</v>
      </c>
      <c r="D245" s="1">
        <v>704723136</v>
      </c>
      <c r="E245" s="1">
        <f>VLOOKUP(C245,Nuclides!E:F,2,FALSE)</f>
        <v>230590.8</v>
      </c>
    </row>
    <row r="246" spans="3:5" x14ac:dyDescent="0.2">
      <c r="C246" s="8" t="s">
        <v>979</v>
      </c>
      <c r="D246" s="1">
        <v>3160360320</v>
      </c>
      <c r="E246" s="1">
        <f>VLOOKUP(C246,Nuclides!E:F,2,FALSE)</f>
        <v>5055264</v>
      </c>
    </row>
    <row r="247" spans="3:5" x14ac:dyDescent="0.2">
      <c r="C247" s="8" t="s">
        <v>980</v>
      </c>
      <c r="D247" s="1">
        <v>12340935360</v>
      </c>
      <c r="E247" s="1">
        <f>VLOOKUP(C247,Nuclides!E:F,2,FALSE)</f>
        <v>12744</v>
      </c>
    </row>
    <row r="248" spans="3:5" x14ac:dyDescent="0.2">
      <c r="C248" s="8" t="s">
        <v>981</v>
      </c>
      <c r="D248" s="1">
        <v>44120544000</v>
      </c>
      <c r="E248" s="1">
        <f>VLOOKUP(C248,Nuclides!E:F,2,FALSE)</f>
        <v>36648</v>
      </c>
    </row>
    <row r="249" spans="3:5" x14ac:dyDescent="0.2">
      <c r="C249" s="8" t="s">
        <v>982</v>
      </c>
      <c r="D249" s="1">
        <v>117057158400</v>
      </c>
      <c r="E249" s="1">
        <f>VLOOKUP(C249,Nuclides!E:F,2,FALSE)</f>
        <v>1122</v>
      </c>
    </row>
    <row r="250" spans="3:5" x14ac:dyDescent="0.2">
      <c r="C250" s="8" t="s">
        <v>983</v>
      </c>
      <c r="D250" s="1">
        <v>315173664000</v>
      </c>
      <c r="E250" s="1">
        <f>VLOOKUP(C250,Nuclides!E:F,2,FALSE)</f>
        <v>618</v>
      </c>
    </row>
    <row r="251" spans="3:5" x14ac:dyDescent="0.2">
      <c r="C251" s="8" t="s">
        <v>984</v>
      </c>
      <c r="D251" s="1">
        <v>529575072000</v>
      </c>
      <c r="E251" s="1">
        <f>VLOOKUP(C251,Nuclides!E:F,2,FALSE)</f>
        <v>5.34</v>
      </c>
    </row>
    <row r="252" spans="3:5" x14ac:dyDescent="0.2">
      <c r="C252" s="8" t="s">
        <v>985</v>
      </c>
      <c r="D252" s="1">
        <v>861518112000.00012</v>
      </c>
      <c r="E252" s="1">
        <f>VLOOKUP(C252,Nuclides!E:F,2,FALSE)</f>
        <v>3.75</v>
      </c>
    </row>
    <row r="253" spans="3:5" x14ac:dyDescent="0.2">
      <c r="C253" s="8" t="s">
        <v>986</v>
      </c>
      <c r="D253" s="1">
        <v>796634592000</v>
      </c>
      <c r="E253" s="1">
        <f>VLOOKUP(C253,Nuclides!E:F,2,FALSE)</f>
        <v>0.54800000000000004</v>
      </c>
    </row>
    <row r="254" spans="3:5" x14ac:dyDescent="0.2">
      <c r="C254" s="8" t="s">
        <v>987</v>
      </c>
      <c r="D254" s="1">
        <v>682352736000</v>
      </c>
      <c r="E254" s="1">
        <f>VLOOKUP(C254,Nuclides!E:F,2,FALSE)</f>
        <v>1.484</v>
      </c>
    </row>
    <row r="255" spans="3:5" x14ac:dyDescent="0.2">
      <c r="C255" s="8" t="s">
        <v>988</v>
      </c>
      <c r="D255" s="1">
        <v>334049664000</v>
      </c>
      <c r="E255" s="1">
        <f>VLOOKUP(C255,Nuclides!E:F,2,FALSE)</f>
        <v>0.73499999999999999</v>
      </c>
    </row>
    <row r="256" spans="3:5" x14ac:dyDescent="0.2">
      <c r="C256" s="8" t="s">
        <v>989</v>
      </c>
      <c r="D256" s="1">
        <v>151533408000</v>
      </c>
      <c r="E256" s="1">
        <f>VLOOKUP(C256,Nuclides!E:F,2,FALSE)</f>
        <v>0.45</v>
      </c>
    </row>
    <row r="257" spans="3:5" x14ac:dyDescent="0.2">
      <c r="C257" s="8" t="s">
        <v>990</v>
      </c>
      <c r="D257" s="1">
        <v>39494083200</v>
      </c>
      <c r="E257" s="1">
        <f>VLOOKUP(C257,Nuclides!E:F,2,FALSE)</f>
        <v>0.36</v>
      </c>
    </row>
    <row r="258" spans="3:5" x14ac:dyDescent="0.2">
      <c r="C258" s="8" t="s">
        <v>1001</v>
      </c>
      <c r="D258" s="1">
        <v>10402728960</v>
      </c>
      <c r="E258" s="1">
        <f>VLOOKUP(C258,Nuclides!E:F,2,FALSE)</f>
        <v>5.5</v>
      </c>
    </row>
    <row r="259" spans="3:5" x14ac:dyDescent="0.2">
      <c r="C259" s="8" t="s">
        <v>1002</v>
      </c>
      <c r="D259" s="1">
        <v>1371115200</v>
      </c>
      <c r="E259" s="1">
        <f>VLOOKUP(C259,Nuclides!E:F,2,FALSE)</f>
        <v>32</v>
      </c>
    </row>
    <row r="260" spans="3:5" x14ac:dyDescent="0.2">
      <c r="C260" s="8" t="s">
        <v>1003</v>
      </c>
      <c r="D260" s="1">
        <v>235198080</v>
      </c>
      <c r="E260" s="1">
        <f>VLOOKUP(C260,Nuclides!E:F,2,FALSE)</f>
        <v>42</v>
      </c>
    </row>
    <row r="261" spans="3:5" x14ac:dyDescent="0.2">
      <c r="C261" s="8" t="s">
        <v>1004</v>
      </c>
      <c r="D261" s="1">
        <v>22648704</v>
      </c>
      <c r="E261" s="1">
        <f>VLOOKUP(C261,Nuclides!E:F,2,FALSE)</f>
        <v>1548</v>
      </c>
    </row>
    <row r="262" spans="3:5" x14ac:dyDescent="0.2">
      <c r="C262" s="8" t="s">
        <v>1005</v>
      </c>
      <c r="D262" s="1">
        <v>6097728.0000000009</v>
      </c>
      <c r="E262" s="1">
        <f>VLOOKUP(C262,Nuclides!E:F,2,FALSE)</f>
        <v>471.6</v>
      </c>
    </row>
    <row r="263" spans="3:5" x14ac:dyDescent="0.2">
      <c r="C263" s="8" t="s">
        <v>1006</v>
      </c>
      <c r="D263" s="1">
        <v>1742207.9999999998</v>
      </c>
      <c r="E263" s="1">
        <f>VLOOKUP(C263,Nuclides!E:F,2,FALSE)</f>
        <v>59400</v>
      </c>
    </row>
    <row r="264" spans="3:5" x14ac:dyDescent="0.2">
      <c r="C264" s="8" t="s">
        <v>1009</v>
      </c>
      <c r="D264" s="1">
        <v>1742207.9999999998</v>
      </c>
      <c r="E264" s="1">
        <f>VLOOKUP(C264,Nuclides!E:F,2,FALSE)</f>
        <v>282276</v>
      </c>
    </row>
    <row r="265" spans="3:5" hidden="1" x14ac:dyDescent="0.2">
      <c r="C265" s="8" t="s">
        <v>1010</v>
      </c>
      <c r="D265" s="1">
        <v>12195456.000000002</v>
      </c>
      <c r="E265" s="1" t="str">
        <f>VLOOKUP(C265,Nuclides!E:F,2,FALSE)</f>
        <v>STABLE</v>
      </c>
    </row>
    <row r="266" spans="3:5" hidden="1" x14ac:dyDescent="0.2">
      <c r="C266" s="8" t="s">
        <v>1011</v>
      </c>
      <c r="D266" s="1">
        <v>92337024</v>
      </c>
      <c r="E266" s="1" t="str">
        <f>VLOOKUP(C266,Nuclides!E:F,2,FALSE)</f>
        <v>STABLE</v>
      </c>
    </row>
    <row r="267" spans="3:5" hidden="1" x14ac:dyDescent="0.2">
      <c r="C267" s="8" t="s">
        <v>1012</v>
      </c>
      <c r="D267" s="1">
        <v>474751680.00000006</v>
      </c>
      <c r="E267" s="1" t="str">
        <f>VLOOKUP(C267,Nuclides!E:F,2,FALSE)</f>
        <v>STABLE</v>
      </c>
    </row>
    <row r="268" spans="3:5" x14ac:dyDescent="0.2">
      <c r="C268" s="8" t="s">
        <v>1013</v>
      </c>
      <c r="D268" s="1">
        <v>2391180480</v>
      </c>
      <c r="E268" s="1">
        <f>VLOOKUP(C268,Nuclides!E:F,2,FALSE)</f>
        <v>50807736000000</v>
      </c>
    </row>
    <row r="269" spans="3:5" hidden="1" x14ac:dyDescent="0.2">
      <c r="C269" s="8" t="s">
        <v>1014</v>
      </c>
      <c r="D269" s="1">
        <v>10018569600</v>
      </c>
      <c r="E269" s="1" t="str">
        <f>VLOOKUP(C269,Nuclides!E:F,2,FALSE)</f>
        <v>STABLE</v>
      </c>
    </row>
    <row r="270" spans="3:5" x14ac:dyDescent="0.2">
      <c r="C270" s="8" t="s">
        <v>1015</v>
      </c>
      <c r="D270" s="1">
        <v>35508844800</v>
      </c>
      <c r="E270" s="1">
        <f>VLOOKUP(C270,Nuclides!E:F,2,FALSE)</f>
        <v>5532364.7999999998</v>
      </c>
    </row>
    <row r="271" spans="3:5" x14ac:dyDescent="0.2">
      <c r="C271" s="8" t="s">
        <v>1016</v>
      </c>
      <c r="D271" s="1">
        <v>104465462400</v>
      </c>
      <c r="E271" s="1">
        <f>VLOOKUP(C271,Nuclides!E:F,2,FALSE)</f>
        <v>7.4160360000000004E+26</v>
      </c>
    </row>
    <row r="272" spans="3:5" x14ac:dyDescent="0.2">
      <c r="C272" s="8" t="s">
        <v>1017</v>
      </c>
      <c r="D272" s="1">
        <v>250145376000</v>
      </c>
      <c r="E272" s="1">
        <f>VLOOKUP(C272,Nuclides!E:F,2,FALSE)</f>
        <v>60296.3999999999</v>
      </c>
    </row>
    <row r="273" spans="3:5" x14ac:dyDescent="0.2">
      <c r="C273" s="8" t="s">
        <v>1018</v>
      </c>
      <c r="D273" s="1">
        <v>514361951999.99994</v>
      </c>
      <c r="E273" s="1">
        <f>VLOOKUP(C273,Nuclides!E:F,2,FALSE)</f>
        <v>30.7</v>
      </c>
    </row>
    <row r="274" spans="3:5" x14ac:dyDescent="0.2">
      <c r="C274" s="8" t="s">
        <v>1019</v>
      </c>
      <c r="D274" s="1">
        <v>793223807999.99988</v>
      </c>
      <c r="E274" s="1">
        <f>VLOOKUP(C274,Nuclides!E:F,2,FALSE)</f>
        <v>2.1</v>
      </c>
    </row>
    <row r="275" spans="3:5" x14ac:dyDescent="0.2">
      <c r="C275" s="8" t="s">
        <v>1020</v>
      </c>
      <c r="D275" s="1">
        <v>948240384000</v>
      </c>
      <c r="E275" s="1">
        <f>VLOOKUP(C275,Nuclides!E:F,2,FALSE)</f>
        <v>7.1</v>
      </c>
    </row>
    <row r="276" spans="3:5" x14ac:dyDescent="0.2">
      <c r="C276" s="8" t="s">
        <v>1021</v>
      </c>
      <c r="D276" s="1">
        <v>751359648000</v>
      </c>
      <c r="E276" s="1">
        <f>VLOOKUP(C276,Nuclides!E:F,2,FALSE)</f>
        <v>2.2999999999999998</v>
      </c>
    </row>
    <row r="277" spans="3:5" x14ac:dyDescent="0.2">
      <c r="C277" s="8" t="s">
        <v>1022</v>
      </c>
      <c r="D277" s="1">
        <v>427043135999.99994</v>
      </c>
      <c r="E277" s="1">
        <f>VLOOKUP(C277,Nuclides!E:F,2,FALSE)</f>
        <v>2.9</v>
      </c>
    </row>
    <row r="278" spans="3:5" x14ac:dyDescent="0.2">
      <c r="C278" s="8" t="s">
        <v>1035</v>
      </c>
      <c r="D278" s="1">
        <v>154528608000</v>
      </c>
      <c r="E278" s="1">
        <f>VLOOKUP(C278,Nuclides!E:F,2,FALSE)</f>
        <v>9.8000000000000007</v>
      </c>
    </row>
    <row r="279" spans="3:5" x14ac:dyDescent="0.2">
      <c r="C279" s="8" t="s">
        <v>1036</v>
      </c>
      <c r="D279" s="1">
        <v>45278188800</v>
      </c>
      <c r="E279" s="1">
        <f>VLOOKUP(C279,Nuclides!E:F,2,FALSE)</f>
        <v>20.5</v>
      </c>
    </row>
    <row r="280" spans="3:5" x14ac:dyDescent="0.2">
      <c r="C280" s="8" t="s">
        <v>1037</v>
      </c>
      <c r="D280" s="1">
        <v>8927068800</v>
      </c>
      <c r="E280" s="1">
        <f>VLOOKUP(C280,Nuclides!E:F,2,FALSE)</f>
        <v>88</v>
      </c>
    </row>
    <row r="281" spans="3:5" x14ac:dyDescent="0.2">
      <c r="C281" s="8" t="s">
        <v>1038</v>
      </c>
      <c r="D281" s="1">
        <v>1775304960</v>
      </c>
      <c r="E281" s="1">
        <f>VLOOKUP(C281,Nuclides!E:F,2,FALSE)</f>
        <v>222</v>
      </c>
    </row>
    <row r="282" spans="3:5" x14ac:dyDescent="0.2">
      <c r="C282" s="8" t="s">
        <v>1039</v>
      </c>
      <c r="D282" s="1">
        <v>383285759.99999994</v>
      </c>
      <c r="E282" s="1">
        <f>VLOOKUP(C282,Nuclides!E:F,2,FALSE)</f>
        <v>873</v>
      </c>
    </row>
    <row r="283" spans="3:5" x14ac:dyDescent="0.2">
      <c r="C283" s="8" t="s">
        <v>1040</v>
      </c>
      <c r="D283" s="1">
        <v>137634432</v>
      </c>
      <c r="E283" s="1">
        <f>VLOOKUP(C283,Nuclides!E:F,2,FALSE)</f>
        <v>7307.99999999999</v>
      </c>
    </row>
    <row r="284" spans="3:5" x14ac:dyDescent="0.2">
      <c r="C284" s="8" t="s">
        <v>1041</v>
      </c>
      <c r="D284" s="1">
        <v>36586368</v>
      </c>
      <c r="E284" s="1">
        <f>VLOOKUP(C284,Nuclides!E:F,2,FALSE)</f>
        <v>52560</v>
      </c>
    </row>
    <row r="285" spans="3:5" x14ac:dyDescent="0.2">
      <c r="C285" s="8" t="s">
        <v>1042</v>
      </c>
      <c r="D285" s="1">
        <v>13066560</v>
      </c>
      <c r="E285" s="1">
        <f>VLOOKUP(C285,Nuclides!E:F,2,FALSE)</f>
        <v>21459168000</v>
      </c>
    </row>
    <row r="286" spans="3:5" x14ac:dyDescent="0.2">
      <c r="C286" s="8" t="s">
        <v>1043</v>
      </c>
      <c r="D286" s="1">
        <v>6968831.9999999991</v>
      </c>
      <c r="E286" s="1">
        <f>VLOOKUP(C286,Nuclides!E:F,2,FALSE)</f>
        <v>1095048720000000</v>
      </c>
    </row>
    <row r="287" spans="3:5" hidden="1" x14ac:dyDescent="0.2">
      <c r="C287" s="8" t="s">
        <v>1044</v>
      </c>
      <c r="D287" s="1">
        <v>13066560</v>
      </c>
      <c r="E287" s="1" t="str">
        <f>VLOOKUP(C287,Nuclides!E:F,2,FALSE)</f>
        <v>STABLE</v>
      </c>
    </row>
    <row r="288" spans="3:5" x14ac:dyDescent="0.2">
      <c r="C288" s="8" t="s">
        <v>1045</v>
      </c>
      <c r="D288" s="1">
        <v>118470144</v>
      </c>
      <c r="E288" s="1">
        <f>VLOOKUP(C288,Nuclides!E:F,2,FALSE)</f>
        <v>640619280000</v>
      </c>
    </row>
    <row r="289" spans="3:5" x14ac:dyDescent="0.2">
      <c r="C289" s="8" t="s">
        <v>1046</v>
      </c>
      <c r="D289" s="1">
        <v>679461120</v>
      </c>
      <c r="E289" s="1">
        <f>VLOOKUP(C289,Nuclides!E:F,2,FALSE)</f>
        <v>3023222.4</v>
      </c>
    </row>
    <row r="290" spans="3:5" x14ac:dyDescent="0.2">
      <c r="C290" s="8" t="s">
        <v>1047</v>
      </c>
      <c r="D290" s="1">
        <v>3155143680</v>
      </c>
      <c r="E290" s="1">
        <f>VLOOKUP(C290,Nuclides!E:F,2,FALSE)</f>
        <v>84060</v>
      </c>
    </row>
    <row r="291" spans="3:5" x14ac:dyDescent="0.2">
      <c r="C291" s="8" t="s">
        <v>1048</v>
      </c>
      <c r="D291" s="1">
        <v>13523952000</v>
      </c>
      <c r="E291" s="1">
        <f>VLOOKUP(C291,Nuclides!E:F,2,FALSE)</f>
        <v>4326</v>
      </c>
    </row>
    <row r="292" spans="3:5" x14ac:dyDescent="0.2">
      <c r="C292" s="8" t="s">
        <v>1049</v>
      </c>
      <c r="D292" s="1">
        <v>44759894400</v>
      </c>
      <c r="E292" s="1">
        <f>VLOOKUP(C292,Nuclides!E:F,2,FALSE)</f>
        <v>2.86</v>
      </c>
    </row>
    <row r="293" spans="3:5" x14ac:dyDescent="0.2">
      <c r="C293" s="8" t="s">
        <v>1050</v>
      </c>
      <c r="D293" s="1">
        <v>147477408000</v>
      </c>
      <c r="E293" s="1">
        <f>VLOOKUP(C293,Nuclides!E:F,2,FALSE)</f>
        <v>15</v>
      </c>
    </row>
    <row r="294" spans="3:5" x14ac:dyDescent="0.2">
      <c r="C294" s="8" t="s">
        <v>1051</v>
      </c>
      <c r="D294" s="1">
        <v>292151808000</v>
      </c>
      <c r="E294" s="1">
        <f>VLOOKUP(C294,Nuclides!E:F,2,FALSE)</f>
        <v>1.5</v>
      </c>
    </row>
    <row r="295" spans="3:5" x14ac:dyDescent="0.2">
      <c r="C295" s="8" t="s">
        <v>1052</v>
      </c>
      <c r="D295" s="1">
        <v>574424448000</v>
      </c>
      <c r="E295" s="1">
        <f>VLOOKUP(C295,Nuclides!E:F,2,FALSE)</f>
        <v>7.1</v>
      </c>
    </row>
    <row r="296" spans="3:5" x14ac:dyDescent="0.2">
      <c r="C296" s="8" t="s">
        <v>1053</v>
      </c>
      <c r="D296" s="1">
        <v>553138560000</v>
      </c>
      <c r="E296" s="1">
        <f>VLOOKUP(C296,Nuclides!E:F,2,FALSE)</f>
        <v>4.3</v>
      </c>
    </row>
    <row r="297" spans="3:5" x14ac:dyDescent="0.2">
      <c r="C297" s="8" t="s">
        <v>1054</v>
      </c>
      <c r="D297" s="1">
        <v>495743040000</v>
      </c>
      <c r="E297" s="1">
        <f>VLOOKUP(C297,Nuclides!E:F,2,FALSE)</f>
        <v>1.5</v>
      </c>
    </row>
    <row r="298" spans="3:5" x14ac:dyDescent="0.2">
      <c r="C298" s="8" t="s">
        <v>1055</v>
      </c>
      <c r="D298" s="1">
        <v>234223392000</v>
      </c>
      <c r="E298" s="1">
        <f>VLOOKUP(C298,Nuclides!E:F,2,FALSE)</f>
        <v>4.9000000000000004</v>
      </c>
    </row>
    <row r="299" spans="3:5" x14ac:dyDescent="0.2">
      <c r="C299" s="8" t="s">
        <v>1056</v>
      </c>
      <c r="D299" s="1">
        <v>111665049600</v>
      </c>
      <c r="E299" s="1">
        <f>VLOOKUP(C299,Nuclides!E:F,2,FALSE)</f>
        <v>2.95</v>
      </c>
    </row>
    <row r="300" spans="3:5" x14ac:dyDescent="0.2">
      <c r="C300" s="8" t="s">
        <v>1057</v>
      </c>
      <c r="D300" s="1">
        <v>37069843200</v>
      </c>
      <c r="E300" s="1">
        <f>VLOOKUP(C300,Nuclides!E:F,2,FALSE)</f>
        <v>1.02</v>
      </c>
    </row>
    <row r="301" spans="3:5" x14ac:dyDescent="0.2">
      <c r="C301" s="8" t="s">
        <v>1073</v>
      </c>
      <c r="D301" s="1">
        <v>17034451200.000002</v>
      </c>
      <c r="E301" s="1">
        <f>VLOOKUP(C301,Nuclides!E:F,2,FALSE)</f>
        <v>14.02</v>
      </c>
    </row>
    <row r="302" spans="3:5" x14ac:dyDescent="0.2">
      <c r="C302" s="8" t="s">
        <v>1074</v>
      </c>
      <c r="D302" s="1">
        <v>6169163520</v>
      </c>
      <c r="E302" s="1">
        <f>VLOOKUP(C302,Nuclides!E:F,2,FALSE)</f>
        <v>480</v>
      </c>
    </row>
    <row r="303" spans="3:5" x14ac:dyDescent="0.2">
      <c r="C303" s="8" t="s">
        <v>1075</v>
      </c>
      <c r="D303" s="1">
        <v>2568009600</v>
      </c>
      <c r="E303" s="1">
        <f>VLOOKUP(C303,Nuclides!E:F,2,FALSE)</f>
        <v>126.6</v>
      </c>
    </row>
    <row r="304" spans="3:5" x14ac:dyDescent="0.2">
      <c r="C304" s="8" t="s">
        <v>1076</v>
      </c>
      <c r="D304" s="1">
        <v>808384512</v>
      </c>
      <c r="E304" s="1">
        <f>VLOOKUP(C304,Nuclides!E:F,2,FALSE)</f>
        <v>20016</v>
      </c>
    </row>
    <row r="305" spans="3:5" x14ac:dyDescent="0.2">
      <c r="C305" s="8" t="s">
        <v>1077</v>
      </c>
      <c r="D305" s="1">
        <v>287464320</v>
      </c>
      <c r="E305" s="1">
        <f>VLOOKUP(C305,Nuclides!E:F,2,FALSE)</f>
        <v>929.4</v>
      </c>
    </row>
    <row r="306" spans="3:5" hidden="1" x14ac:dyDescent="0.2">
      <c r="C306" s="8" t="s">
        <v>1078</v>
      </c>
      <c r="D306" s="1">
        <v>86239296</v>
      </c>
      <c r="E306" s="1" t="str">
        <f>VLOOKUP(C306,Nuclides!E:F,2,FALSE)</f>
        <v>STABLE</v>
      </c>
    </row>
    <row r="307" spans="3:5" x14ac:dyDescent="0.2">
      <c r="C307" s="8" t="s">
        <v>1079</v>
      </c>
      <c r="D307" s="1">
        <v>27875327.999999996</v>
      </c>
      <c r="E307" s="1">
        <f>VLOOKUP(C307,Nuclides!E:F,2,FALSE)</f>
        <v>126230400000</v>
      </c>
    </row>
    <row r="308" spans="3:5" hidden="1" x14ac:dyDescent="0.2">
      <c r="C308" s="8" t="s">
        <v>1080</v>
      </c>
      <c r="D308" s="1">
        <v>8711040</v>
      </c>
      <c r="E308" s="1" t="str">
        <f>VLOOKUP(C308,Nuclides!E:F,2,FALSE)</f>
        <v>STABLE</v>
      </c>
    </row>
    <row r="309" spans="3:5" hidden="1" x14ac:dyDescent="0.2">
      <c r="C309" s="8" t="s">
        <v>1081</v>
      </c>
      <c r="D309" s="1">
        <v>13937663.999999998</v>
      </c>
      <c r="E309" s="1" t="str">
        <f>VLOOKUP(C309,Nuclides!E:F,2,FALSE)</f>
        <v>STABLE</v>
      </c>
    </row>
    <row r="310" spans="3:5" hidden="1" x14ac:dyDescent="0.2">
      <c r="C310" s="8" t="s">
        <v>1082</v>
      </c>
      <c r="D310" s="1">
        <v>66203904</v>
      </c>
      <c r="E310" s="1" t="str">
        <f>VLOOKUP(C310,Nuclides!E:F,2,FALSE)</f>
        <v>STABLE</v>
      </c>
    </row>
    <row r="311" spans="3:5" hidden="1" x14ac:dyDescent="0.2">
      <c r="C311" s="8" t="s">
        <v>1083</v>
      </c>
      <c r="D311" s="1">
        <v>332761728</v>
      </c>
      <c r="E311" s="1" t="str">
        <f>VLOOKUP(C311,Nuclides!E:F,2,FALSE)</f>
        <v>STABLE</v>
      </c>
    </row>
    <row r="312" spans="3:5" hidden="1" x14ac:dyDescent="0.2">
      <c r="C312" s="8" t="s">
        <v>1084</v>
      </c>
      <c r="D312" s="1">
        <v>1719556800.0000002</v>
      </c>
      <c r="E312" s="1" t="str">
        <f>VLOOKUP(C312,Nuclides!E:F,2,FALSE)</f>
        <v>STABLE</v>
      </c>
    </row>
    <row r="313" spans="3:5" x14ac:dyDescent="0.2">
      <c r="C313" s="8" t="s">
        <v>1085</v>
      </c>
      <c r="D313" s="1">
        <v>7049839680.000001</v>
      </c>
      <c r="E313" s="1">
        <f>VLOOKUP(C313,Nuclides!E:F,2,FALSE)</f>
        <v>237513.60000000001</v>
      </c>
    </row>
    <row r="314" spans="3:5" x14ac:dyDescent="0.2">
      <c r="C314" s="8" t="s">
        <v>1086</v>
      </c>
      <c r="D314" s="1">
        <v>24640886400</v>
      </c>
      <c r="E314" s="1">
        <f>VLOOKUP(C314,Nuclides!E:F,2,FALSE)</f>
        <v>2.3037048000000002E+26</v>
      </c>
    </row>
    <row r="315" spans="3:5" x14ac:dyDescent="0.2">
      <c r="C315" s="8" t="s">
        <v>1087</v>
      </c>
      <c r="D315" s="1">
        <v>67548873600</v>
      </c>
      <c r="E315" s="1">
        <f>VLOOKUP(C315,Nuclides!E:F,2,FALSE)</f>
        <v>876.599999999999</v>
      </c>
    </row>
    <row r="316" spans="3:5" x14ac:dyDescent="0.2">
      <c r="C316" s="8" t="s">
        <v>1088</v>
      </c>
      <c r="D316" s="1">
        <v>160434144000</v>
      </c>
      <c r="E316" s="1">
        <f>VLOOKUP(C316,Nuclides!E:F,2,FALSE)</f>
        <v>678</v>
      </c>
    </row>
    <row r="317" spans="3:5" x14ac:dyDescent="0.2">
      <c r="C317" s="8" t="s">
        <v>1089</v>
      </c>
      <c r="D317" s="1">
        <v>254251296000</v>
      </c>
      <c r="E317" s="1">
        <f>VLOOKUP(C317,Nuclides!E:F,2,FALSE)</f>
        <v>67.5</v>
      </c>
    </row>
    <row r="318" spans="3:5" x14ac:dyDescent="0.2">
      <c r="C318" s="8" t="s">
        <v>1090</v>
      </c>
      <c r="D318" s="1">
        <v>321629568000</v>
      </c>
      <c r="E318" s="1">
        <f>VLOOKUP(C318,Nuclides!E:F,2,FALSE)</f>
        <v>60</v>
      </c>
    </row>
    <row r="319" spans="3:5" x14ac:dyDescent="0.2">
      <c r="C319" s="8" t="s">
        <v>1091</v>
      </c>
      <c r="D319" s="1">
        <v>260874432000</v>
      </c>
      <c r="E319" s="1">
        <f>VLOOKUP(C319,Nuclides!E:F,2,FALSE)</f>
        <v>35.6</v>
      </c>
    </row>
    <row r="320" spans="3:5" x14ac:dyDescent="0.2">
      <c r="C320" s="8" t="s">
        <v>1092</v>
      </c>
      <c r="D320" s="1">
        <v>171085824000</v>
      </c>
      <c r="E320" s="1">
        <f>VLOOKUP(C320,Nuclides!E:F,2,FALSE)</f>
        <v>8.73</v>
      </c>
    </row>
    <row r="321" spans="3:5" x14ac:dyDescent="0.2">
      <c r="C321" s="8" t="s">
        <v>1093</v>
      </c>
      <c r="D321" s="1">
        <v>83787100800</v>
      </c>
      <c r="E321" s="1">
        <f>VLOOKUP(C321,Nuclides!E:F,2,FALSE)</f>
        <v>3.5</v>
      </c>
    </row>
    <row r="322" spans="3:5" x14ac:dyDescent="0.2">
      <c r="C322" s="8" t="s">
        <v>1094</v>
      </c>
      <c r="D322" s="1">
        <v>41048217600</v>
      </c>
      <c r="E322" s="1">
        <f>VLOOKUP(C322,Nuclides!E:F,2,FALSE)</f>
        <v>1.0900000000000001</v>
      </c>
    </row>
    <row r="323" spans="3:5" x14ac:dyDescent="0.2">
      <c r="C323" s="8" t="s">
        <v>1110</v>
      </c>
      <c r="D323" s="1">
        <v>17522294400</v>
      </c>
      <c r="E323" s="1">
        <f>VLOOKUP(C323,Nuclides!E:F,2,FALSE)</f>
        <v>8.6999999999999993</v>
      </c>
    </row>
    <row r="324" spans="3:5" x14ac:dyDescent="0.2">
      <c r="C324" s="8" t="s">
        <v>1111</v>
      </c>
      <c r="D324" s="1">
        <v>7680528960</v>
      </c>
      <c r="E324" s="1">
        <f>VLOOKUP(C324,Nuclides!E:F,2,FALSE)</f>
        <v>188.4</v>
      </c>
    </row>
    <row r="325" spans="3:5" x14ac:dyDescent="0.2">
      <c r="C325" s="8" t="s">
        <v>1112</v>
      </c>
      <c r="D325" s="1">
        <v>2562792960</v>
      </c>
      <c r="E325" s="1">
        <f>VLOOKUP(C325,Nuclides!E:F,2,FALSE)</f>
        <v>255</v>
      </c>
    </row>
    <row r="326" spans="3:5" x14ac:dyDescent="0.2">
      <c r="C326" s="8" t="s">
        <v>1113</v>
      </c>
      <c r="D326" s="1">
        <v>797060160</v>
      </c>
      <c r="E326" s="1">
        <f>VLOOKUP(C326,Nuclides!E:F,2,FALSE)</f>
        <v>9900</v>
      </c>
    </row>
    <row r="327" spans="3:5" x14ac:dyDescent="0.2">
      <c r="C327" s="8" t="s">
        <v>1114</v>
      </c>
      <c r="D327" s="1">
        <v>191642879.99999997</v>
      </c>
      <c r="E327" s="1">
        <f>VLOOKUP(C327,Nuclides!E:F,2,FALSE)</f>
        <v>17580</v>
      </c>
    </row>
    <row r="328" spans="3:5" x14ac:dyDescent="0.2">
      <c r="C328" s="8" t="s">
        <v>1115</v>
      </c>
      <c r="D328" s="1">
        <v>64461696.000000007</v>
      </c>
      <c r="E328" s="1">
        <f>VLOOKUP(C328,Nuclides!E:F,2,FALSE)</f>
        <v>72000</v>
      </c>
    </row>
    <row r="329" spans="3:5" x14ac:dyDescent="0.2">
      <c r="C329" s="8" t="s">
        <v>1116</v>
      </c>
      <c r="D329" s="1">
        <v>12195456.000000002</v>
      </c>
      <c r="E329" s="1">
        <f>VLOOKUP(C329,Nuclides!E:F,2,FALSE)</f>
        <v>369792</v>
      </c>
    </row>
    <row r="330" spans="3:5" x14ac:dyDescent="0.2">
      <c r="C330" s="8" t="s">
        <v>1117</v>
      </c>
      <c r="D330" s="1">
        <v>4355520</v>
      </c>
      <c r="E330" s="1">
        <f>VLOOKUP(C330,Nuclides!E:F,2,FALSE)</f>
        <v>132857496000000</v>
      </c>
    </row>
    <row r="331" spans="3:5" x14ac:dyDescent="0.2">
      <c r="C331" s="8" t="s">
        <v>1118</v>
      </c>
      <c r="D331" s="1">
        <v>5226624</v>
      </c>
      <c r="E331" s="1">
        <f>VLOOKUP(C331,Nuclides!E:F,2,FALSE)</f>
        <v>132541920000000</v>
      </c>
    </row>
    <row r="332" spans="3:5" x14ac:dyDescent="0.2">
      <c r="C332" s="8" t="s">
        <v>1119</v>
      </c>
      <c r="D332" s="1">
        <v>47910719.999999993</v>
      </c>
      <c r="E332" s="1">
        <f>VLOOKUP(C332,Nuclides!E:F,2,FALSE)</f>
        <v>6661809360000</v>
      </c>
    </row>
    <row r="333" spans="3:5" x14ac:dyDescent="0.2">
      <c r="C333" s="8" t="s">
        <v>1120</v>
      </c>
      <c r="D333" s="1">
        <v>218647104</v>
      </c>
      <c r="E333" s="1">
        <f>VLOOKUP(C333,Nuclides!E:F,2,FALSE)</f>
        <v>15.46</v>
      </c>
    </row>
    <row r="334" spans="3:5" x14ac:dyDescent="0.2">
      <c r="C334" s="8" t="s">
        <v>1121</v>
      </c>
      <c r="D334" s="1">
        <v>1113270912</v>
      </c>
      <c r="E334" s="1">
        <f>VLOOKUP(C334,Nuclides!E:F,2,FALSE)</f>
        <v>841.19999999999902</v>
      </c>
    </row>
    <row r="335" spans="3:5" x14ac:dyDescent="0.2">
      <c r="C335" s="8" t="s">
        <v>1122</v>
      </c>
      <c r="D335" s="1">
        <v>4423461120</v>
      </c>
      <c r="E335" s="1">
        <f>VLOOKUP(C335,Nuclides!E:F,2,FALSE)</f>
        <v>5.28</v>
      </c>
    </row>
    <row r="336" spans="3:5" x14ac:dyDescent="0.2">
      <c r="C336" s="8" t="s">
        <v>1123</v>
      </c>
      <c r="D336" s="1">
        <v>14982115199.999998</v>
      </c>
      <c r="E336" s="1">
        <f>VLOOKUP(C336,Nuclides!E:F,2,FALSE)</f>
        <v>54.2</v>
      </c>
    </row>
    <row r="337" spans="3:5" x14ac:dyDescent="0.2">
      <c r="C337" s="8" t="s">
        <v>1124</v>
      </c>
      <c r="D337" s="1">
        <v>28852761600</v>
      </c>
      <c r="E337" s="1">
        <f>VLOOKUP(C337,Nuclides!E:F,2,FALSE)</f>
        <v>1098</v>
      </c>
    </row>
    <row r="338" spans="3:5" x14ac:dyDescent="0.2">
      <c r="C338" s="8" t="s">
        <v>1125</v>
      </c>
      <c r="D338" s="1">
        <v>53034508799.999992</v>
      </c>
      <c r="E338" s="1">
        <f>VLOOKUP(C338,Nuclides!E:F,2,FALSE)</f>
        <v>456</v>
      </c>
    </row>
    <row r="339" spans="3:5" x14ac:dyDescent="0.2">
      <c r="C339" s="8" t="s">
        <v>1126</v>
      </c>
      <c r="D339" s="1">
        <v>46364572800</v>
      </c>
      <c r="E339" s="1">
        <f>VLOOKUP(C339,Nuclides!E:F,2,FALSE)</f>
        <v>35.6</v>
      </c>
    </row>
    <row r="340" spans="3:5" x14ac:dyDescent="0.2">
      <c r="C340" s="8" t="s">
        <v>1127</v>
      </c>
      <c r="D340" s="1">
        <v>44423683200</v>
      </c>
      <c r="E340" s="1">
        <f>VLOOKUP(C340,Nuclides!E:F,2,FALSE)</f>
        <v>21.2</v>
      </c>
    </row>
    <row r="341" spans="3:5" x14ac:dyDescent="0.2">
      <c r="C341" s="8" t="s">
        <v>1128</v>
      </c>
      <c r="D341" s="1">
        <v>24952761600</v>
      </c>
      <c r="E341" s="1">
        <f>VLOOKUP(C341,Nuclides!E:F,2,FALSE)</f>
        <v>5.17</v>
      </c>
    </row>
    <row r="342" spans="3:5" x14ac:dyDescent="0.2">
      <c r="C342" s="8" t="s">
        <v>1129</v>
      </c>
      <c r="D342" s="1">
        <v>18267974400</v>
      </c>
      <c r="E342" s="1">
        <f>VLOOKUP(C342,Nuclides!E:F,2,FALSE)</f>
        <v>0.86</v>
      </c>
    </row>
    <row r="343" spans="3:5" x14ac:dyDescent="0.2">
      <c r="C343" s="8" t="s">
        <v>1130</v>
      </c>
      <c r="D343" s="1">
        <v>11121389760</v>
      </c>
      <c r="E343" s="1">
        <f>VLOOKUP(C343,Nuclides!E:F,2,FALSE)</f>
        <v>0.92</v>
      </c>
    </row>
    <row r="344" spans="3:5" x14ac:dyDescent="0.2">
      <c r="C344" s="8" t="s">
        <v>1149</v>
      </c>
      <c r="D344" s="1">
        <v>8284199040.000001</v>
      </c>
      <c r="E344" s="1">
        <f>VLOOKUP(C344,Nuclides!E:F,2,FALSE)</f>
        <v>219</v>
      </c>
    </row>
    <row r="345" spans="3:5" x14ac:dyDescent="0.2">
      <c r="C345" s="8" t="s">
        <v>1150</v>
      </c>
      <c r="D345" s="1">
        <v>3838086720</v>
      </c>
      <c r="E345" s="1">
        <f>VLOOKUP(C345,Nuclides!E:F,2,FALSE)</f>
        <v>59.7</v>
      </c>
    </row>
    <row r="346" spans="3:5" x14ac:dyDescent="0.2">
      <c r="C346" s="8" t="s">
        <v>1151</v>
      </c>
      <c r="D346" s="1">
        <v>2324974080</v>
      </c>
      <c r="E346" s="1">
        <f>VLOOKUP(C346,Nuclides!E:F,2,FALSE)</f>
        <v>3108</v>
      </c>
    </row>
    <row r="347" spans="3:5" x14ac:dyDescent="0.2">
      <c r="C347" s="8" t="s">
        <v>1152</v>
      </c>
      <c r="D347" s="1">
        <v>655070208</v>
      </c>
      <c r="E347" s="1">
        <f>VLOOKUP(C347,Nuclides!E:F,2,FALSE)</f>
        <v>5914.8</v>
      </c>
    </row>
    <row r="348" spans="3:5" hidden="1" x14ac:dyDescent="0.2">
      <c r="C348" s="8" t="s">
        <v>1153</v>
      </c>
      <c r="D348" s="1">
        <v>260460095.99999997</v>
      </c>
      <c r="E348" s="1" t="str">
        <f>VLOOKUP(C348,Nuclides!E:F,2,FALSE)</f>
        <v>STABLE</v>
      </c>
    </row>
    <row r="349" spans="3:5" x14ac:dyDescent="0.2">
      <c r="C349" s="8" t="s">
        <v>1154</v>
      </c>
      <c r="D349" s="1">
        <v>65332800</v>
      </c>
      <c r="E349" s="1">
        <f>VLOOKUP(C349,Nuclides!E:F,2,FALSE)</f>
        <v>244512</v>
      </c>
    </row>
    <row r="350" spans="3:5" hidden="1" x14ac:dyDescent="0.2">
      <c r="C350" s="8" t="s">
        <v>1155</v>
      </c>
      <c r="D350" s="1">
        <v>19164288</v>
      </c>
      <c r="E350" s="1" t="str">
        <f>VLOOKUP(C350,Nuclides!E:F,2,FALSE)</f>
        <v>STABLE</v>
      </c>
    </row>
    <row r="351" spans="3:5" hidden="1" x14ac:dyDescent="0.2">
      <c r="C351" s="8" t="s">
        <v>1156</v>
      </c>
      <c r="D351" s="1">
        <v>871103.99999999988</v>
      </c>
      <c r="E351" s="1" t="str">
        <f>VLOOKUP(C351,Nuclides!E:F,2,FALSE)</f>
        <v>STABLE</v>
      </c>
    </row>
    <row r="352" spans="3:5" hidden="1" x14ac:dyDescent="0.2">
      <c r="C352" s="8" t="s">
        <v>1158</v>
      </c>
      <c r="D352" s="1">
        <v>8711040</v>
      </c>
      <c r="E352" s="1" t="str">
        <f>VLOOKUP(C352,Nuclides!E:F,2,FALSE)</f>
        <v>STABLE</v>
      </c>
    </row>
    <row r="353" spans="3:5" hidden="1" x14ac:dyDescent="0.2">
      <c r="C353" s="8" t="s">
        <v>1159</v>
      </c>
      <c r="D353" s="1">
        <v>33973056</v>
      </c>
      <c r="E353" s="1" t="str">
        <f>VLOOKUP(C353,Nuclides!E:F,2,FALSE)</f>
        <v>STABLE</v>
      </c>
    </row>
    <row r="354" spans="3:5" x14ac:dyDescent="0.2">
      <c r="C354" s="8" t="s">
        <v>1160</v>
      </c>
      <c r="D354" s="1">
        <v>127181183.99999999</v>
      </c>
      <c r="E354" s="1">
        <f>VLOOKUP(C354,Nuclides!E:F,2,FALSE)</f>
        <v>3390940.8</v>
      </c>
    </row>
    <row r="355" spans="3:5" hidden="1" x14ac:dyDescent="0.2">
      <c r="C355" s="8" t="s">
        <v>1161</v>
      </c>
      <c r="D355" s="1">
        <v>477364991.99999994</v>
      </c>
      <c r="E355" s="1" t="str">
        <f>VLOOKUP(C355,Nuclides!E:F,2,FALSE)</f>
        <v>STABLE</v>
      </c>
    </row>
    <row r="356" spans="3:5" x14ac:dyDescent="0.2">
      <c r="C356" s="8" t="s">
        <v>1162</v>
      </c>
      <c r="D356" s="1">
        <v>1281396480</v>
      </c>
      <c r="E356" s="1">
        <f>VLOOKUP(C356,Nuclides!E:F,2,FALSE)</f>
        <v>15984</v>
      </c>
    </row>
    <row r="357" spans="3:5" x14ac:dyDescent="0.2">
      <c r="C357" s="8" t="s">
        <v>1163</v>
      </c>
      <c r="D357" s="1">
        <v>3404269440</v>
      </c>
      <c r="E357" s="1">
        <f>VLOOKUP(C357,Nuclides!E:F,2,FALSE)</f>
        <v>32123520</v>
      </c>
    </row>
    <row r="358" spans="3:5" x14ac:dyDescent="0.2">
      <c r="C358" s="8" t="s">
        <v>1164</v>
      </c>
      <c r="D358" s="1">
        <v>5814619200</v>
      </c>
      <c r="E358" s="1">
        <f>VLOOKUP(C358,Nuclides!E:F,2,FALSE)</f>
        <v>225</v>
      </c>
    </row>
    <row r="359" spans="3:5" x14ac:dyDescent="0.2">
      <c r="C359" s="8" t="s">
        <v>1165</v>
      </c>
      <c r="D359" s="1">
        <v>10735483200</v>
      </c>
      <c r="E359" s="1">
        <f>VLOOKUP(C359,Nuclides!E:F,2,FALSE)</f>
        <v>273</v>
      </c>
    </row>
    <row r="360" spans="3:5" x14ac:dyDescent="0.2">
      <c r="C360" s="8" t="s">
        <v>1166</v>
      </c>
      <c r="D360" s="1">
        <v>11469831360</v>
      </c>
      <c r="E360" s="1">
        <f>VLOOKUP(C360,Nuclides!E:F,2,FALSE)</f>
        <v>34.5</v>
      </c>
    </row>
    <row r="361" spans="3:5" x14ac:dyDescent="0.2">
      <c r="C361" s="8" t="s">
        <v>1167</v>
      </c>
      <c r="D361" s="1">
        <v>15326188800.000002</v>
      </c>
      <c r="E361" s="1">
        <f>VLOOKUP(C361,Nuclides!E:F,2,FALSE)</f>
        <v>11.6</v>
      </c>
    </row>
    <row r="362" spans="3:5" x14ac:dyDescent="0.2">
      <c r="C362" s="8" t="s">
        <v>1168</v>
      </c>
      <c r="D362" s="1">
        <v>13447200000</v>
      </c>
      <c r="E362" s="1">
        <f>VLOOKUP(C362,Nuclides!E:F,2,FALSE)</f>
        <v>2.12</v>
      </c>
    </row>
    <row r="363" spans="3:5" x14ac:dyDescent="0.2">
      <c r="C363" s="8" t="s">
        <v>1169</v>
      </c>
      <c r="D363" s="1">
        <v>14473430400</v>
      </c>
      <c r="E363" s="1">
        <f>VLOOKUP(C363,Nuclides!E:F,2,FALSE)</f>
        <v>1.75</v>
      </c>
    </row>
    <row r="364" spans="3:5" x14ac:dyDescent="0.2">
      <c r="C364" s="8" t="s">
        <v>1170</v>
      </c>
      <c r="D364" s="1">
        <v>10459350720</v>
      </c>
      <c r="E364" s="1">
        <f>VLOOKUP(C364,Nuclides!E:F,2,FALSE)</f>
        <v>0.8</v>
      </c>
    </row>
    <row r="365" spans="3:5" x14ac:dyDescent="0.2">
      <c r="C365" s="8" t="s">
        <v>1187</v>
      </c>
      <c r="D365" s="1">
        <v>7659612480</v>
      </c>
      <c r="E365" s="1">
        <f>VLOOKUP(C365,Nuclides!E:F,2,FALSE)</f>
        <v>66</v>
      </c>
    </row>
    <row r="366" spans="3:5" x14ac:dyDescent="0.2">
      <c r="C366" s="8" t="s">
        <v>1188</v>
      </c>
      <c r="D366" s="1">
        <v>4025374080</v>
      </c>
      <c r="E366" s="1">
        <f>VLOOKUP(C366,Nuclides!E:F,2,FALSE)</f>
        <v>301.2</v>
      </c>
    </row>
    <row r="367" spans="3:5" x14ac:dyDescent="0.2">
      <c r="C367" s="8" t="s">
        <v>1189</v>
      </c>
      <c r="D367" s="1">
        <v>1640283840.0000002</v>
      </c>
      <c r="E367" s="1">
        <f>VLOOKUP(C367,Nuclides!E:F,2,FALSE)</f>
        <v>594</v>
      </c>
    </row>
    <row r="368" spans="3:5" x14ac:dyDescent="0.2">
      <c r="C368" s="8" t="s">
        <v>1190</v>
      </c>
      <c r="D368" s="1">
        <v>542697792</v>
      </c>
      <c r="E368" s="1">
        <f>VLOOKUP(C368,Nuclides!E:F,2,FALSE)</f>
        <v>1842</v>
      </c>
    </row>
    <row r="369" spans="3:5" x14ac:dyDescent="0.2">
      <c r="C369" s="8" t="s">
        <v>1191</v>
      </c>
      <c r="D369" s="1">
        <v>175963008</v>
      </c>
      <c r="E369" s="1">
        <f>VLOOKUP(C369,Nuclides!E:F,2,FALSE)</f>
        <v>523.20000000000005</v>
      </c>
    </row>
    <row r="370" spans="3:5" x14ac:dyDescent="0.2">
      <c r="C370" s="8" t="s">
        <v>1192</v>
      </c>
      <c r="D370" s="1">
        <v>32230848.000000004</v>
      </c>
      <c r="E370" s="1">
        <f>VLOOKUP(C370,Nuclides!E:F,2,FALSE)</f>
        <v>1391040</v>
      </c>
    </row>
    <row r="371" spans="3:5" x14ac:dyDescent="0.2">
      <c r="C371" s="8" t="s">
        <v>1193</v>
      </c>
      <c r="D371" s="1">
        <v>6968831.9999999991</v>
      </c>
      <c r="E371" s="1">
        <f>VLOOKUP(C371,Nuclides!E:F,2,FALSE)</f>
        <v>74880</v>
      </c>
    </row>
    <row r="372" spans="3:5" x14ac:dyDescent="0.2">
      <c r="C372" s="8" t="s">
        <v>1194</v>
      </c>
      <c r="D372" s="1">
        <v>871103.99999999988</v>
      </c>
      <c r="E372" s="1">
        <f>VLOOKUP(C372,Nuclides!E:F,2,FALSE)</f>
        <v>104140080</v>
      </c>
    </row>
    <row r="373" spans="3:5" x14ac:dyDescent="0.2">
      <c r="C373" s="8" t="s">
        <v>1197</v>
      </c>
      <c r="D373" s="1">
        <v>871103.99999999988</v>
      </c>
      <c r="E373" s="1">
        <f>VLOOKUP(C373,Nuclides!E:F,2,FALSE)</f>
        <v>42.3</v>
      </c>
    </row>
    <row r="374" spans="3:5" x14ac:dyDescent="0.2">
      <c r="C374" s="8" t="s">
        <v>1198</v>
      </c>
      <c r="D374" s="1">
        <v>7839935.9999999991</v>
      </c>
      <c r="E374" s="1">
        <f>VLOOKUP(C374,Nuclides!E:F,2,FALSE)</f>
        <v>127296</v>
      </c>
    </row>
    <row r="375" spans="3:5" x14ac:dyDescent="0.2">
      <c r="C375" s="8" t="s">
        <v>1199</v>
      </c>
      <c r="D375" s="1">
        <v>25262016</v>
      </c>
      <c r="E375" s="1">
        <f>VLOOKUP(C375,Nuclides!E:F,2,FALSE)</f>
        <v>30.07</v>
      </c>
    </row>
    <row r="376" spans="3:5" x14ac:dyDescent="0.2">
      <c r="C376" s="8" t="s">
        <v>1200</v>
      </c>
      <c r="D376" s="1">
        <v>141118848</v>
      </c>
      <c r="E376" s="1">
        <f>VLOOKUP(C376,Nuclides!E:F,2,FALSE)</f>
        <v>1302</v>
      </c>
    </row>
    <row r="377" spans="3:5" x14ac:dyDescent="0.2">
      <c r="C377" s="8" t="s">
        <v>1201</v>
      </c>
      <c r="D377" s="1">
        <v>442520832</v>
      </c>
      <c r="E377" s="1">
        <f>VLOOKUP(C377,Nuclides!E:F,2,FALSE)</f>
        <v>16.8</v>
      </c>
    </row>
    <row r="378" spans="3:5" x14ac:dyDescent="0.2">
      <c r="C378" s="8" t="s">
        <v>1202</v>
      </c>
      <c r="D378" s="1">
        <v>1478268480</v>
      </c>
      <c r="E378" s="1">
        <f>VLOOKUP(C378,Nuclides!E:F,2,FALSE)</f>
        <v>80</v>
      </c>
    </row>
    <row r="379" spans="3:5" x14ac:dyDescent="0.2">
      <c r="C379" s="8" t="s">
        <v>1203</v>
      </c>
      <c r="D379" s="1">
        <v>2879872320</v>
      </c>
      <c r="E379" s="1">
        <f>VLOOKUP(C379,Nuclides!E:F,2,FALSE)</f>
        <v>28.5</v>
      </c>
    </row>
    <row r="380" spans="3:5" x14ac:dyDescent="0.2">
      <c r="C380" s="8" t="s">
        <v>1204</v>
      </c>
      <c r="D380" s="1">
        <v>6546346560.000001</v>
      </c>
      <c r="E380" s="1">
        <f>VLOOKUP(C380,Nuclides!E:F,2,FALSE)</f>
        <v>11</v>
      </c>
    </row>
    <row r="381" spans="3:5" x14ac:dyDescent="0.2">
      <c r="C381" s="8" t="s">
        <v>1205</v>
      </c>
      <c r="D381" s="1">
        <v>8757203520</v>
      </c>
      <c r="E381" s="1">
        <f>VLOOKUP(C381,Nuclides!E:F,2,FALSE)</f>
        <v>3.6</v>
      </c>
    </row>
    <row r="382" spans="3:5" x14ac:dyDescent="0.2">
      <c r="C382" s="8" t="s">
        <v>1206</v>
      </c>
      <c r="D382" s="1">
        <v>14045740800</v>
      </c>
      <c r="E382" s="1">
        <f>VLOOKUP(C382,Nuclides!E:F,2,FALSE)</f>
        <v>2.8</v>
      </c>
    </row>
    <row r="383" spans="3:5" x14ac:dyDescent="0.2">
      <c r="C383" s="8" t="s">
        <v>1207</v>
      </c>
      <c r="D383" s="1">
        <v>11922805440</v>
      </c>
      <c r="E383" s="1">
        <f>VLOOKUP(C383,Nuclides!E:F,2,FALSE)</f>
        <v>1.85</v>
      </c>
    </row>
    <row r="384" spans="3:5" x14ac:dyDescent="0.2">
      <c r="C384" s="8" t="s">
        <v>1226</v>
      </c>
      <c r="D384" s="1">
        <v>12689414400</v>
      </c>
      <c r="E384" s="1">
        <f>VLOOKUP(C384,Nuclides!E:F,2,FALSE)</f>
        <v>122</v>
      </c>
    </row>
    <row r="385" spans="3:5" x14ac:dyDescent="0.2">
      <c r="C385" s="8" t="s">
        <v>1227</v>
      </c>
      <c r="D385" s="1">
        <v>7922690879.999999</v>
      </c>
      <c r="E385" s="1">
        <f>VLOOKUP(C385,Nuclides!E:F,2,FALSE)</f>
        <v>186</v>
      </c>
    </row>
    <row r="386" spans="3:5" x14ac:dyDescent="0.2">
      <c r="C386" s="8" t="s">
        <v>1228</v>
      </c>
      <c r="D386" s="1">
        <v>5897374080</v>
      </c>
      <c r="E386" s="1">
        <f>VLOOKUP(C386,Nuclides!E:F,2,FALSE)</f>
        <v>1062</v>
      </c>
    </row>
    <row r="387" spans="3:5" x14ac:dyDescent="0.2">
      <c r="C387" s="8" t="s">
        <v>1229</v>
      </c>
      <c r="D387" s="1">
        <v>2871161280</v>
      </c>
      <c r="E387" s="1">
        <f>VLOOKUP(C387,Nuclides!E:F,2,FALSE)</f>
        <v>1284</v>
      </c>
    </row>
    <row r="388" spans="3:5" x14ac:dyDescent="0.2">
      <c r="C388" s="8" t="s">
        <v>1230</v>
      </c>
      <c r="D388" s="1">
        <v>1304047680</v>
      </c>
      <c r="E388" s="1">
        <f>VLOOKUP(C388,Nuclides!E:F,2,FALSE)</f>
        <v>313632</v>
      </c>
    </row>
    <row r="389" spans="3:5" x14ac:dyDescent="0.2">
      <c r="C389" s="8" t="s">
        <v>1231</v>
      </c>
      <c r="D389" s="1">
        <v>398094528</v>
      </c>
      <c r="E389" s="1">
        <f>VLOOKUP(C389,Nuclides!E:F,2,FALSE)</f>
        <v>30492</v>
      </c>
    </row>
    <row r="390" spans="3:5" hidden="1" x14ac:dyDescent="0.2">
      <c r="C390" s="8" t="s">
        <v>1232</v>
      </c>
      <c r="D390" s="1">
        <v>122825664</v>
      </c>
      <c r="E390" s="1" t="str">
        <f>VLOOKUP(C390,Nuclides!E:F,2,FALSE)</f>
        <v>STABLE</v>
      </c>
    </row>
    <row r="391" spans="3:5" x14ac:dyDescent="0.2">
      <c r="C391" s="8" t="s">
        <v>1233</v>
      </c>
      <c r="D391" s="1">
        <v>26133120</v>
      </c>
      <c r="E391" s="1">
        <f>VLOOKUP(C391,Nuclides!E:F,2,FALSE)</f>
        <v>1468022.4</v>
      </c>
    </row>
    <row r="392" spans="3:5" hidden="1" x14ac:dyDescent="0.2">
      <c r="C392" s="8" t="s">
        <v>1234</v>
      </c>
      <c r="D392" s="1">
        <v>9582144</v>
      </c>
      <c r="E392" s="1" t="str">
        <f>VLOOKUP(C392,Nuclides!E:F,2,FALSE)</f>
        <v>STABLE</v>
      </c>
    </row>
    <row r="393" spans="3:5" hidden="1" x14ac:dyDescent="0.2">
      <c r="C393" s="8" t="s">
        <v>1235</v>
      </c>
      <c r="D393" s="1">
        <v>2613312</v>
      </c>
      <c r="E393" s="1" t="str">
        <f>VLOOKUP(C393,Nuclides!E:F,2,FALSE)</f>
        <v>STABLE</v>
      </c>
    </row>
    <row r="394" spans="3:5" x14ac:dyDescent="0.2">
      <c r="C394" s="8" t="s">
        <v>1237</v>
      </c>
      <c r="D394" s="1">
        <v>871103.99999999988</v>
      </c>
      <c r="E394" s="1">
        <f>VLOOKUP(C394,Nuclides!E:F,2,FALSE)</f>
        <v>205124400000000</v>
      </c>
    </row>
    <row r="395" spans="3:5" hidden="1" x14ac:dyDescent="0.2">
      <c r="C395" s="8" t="s">
        <v>1238</v>
      </c>
      <c r="D395" s="1">
        <v>5226624</v>
      </c>
      <c r="E395" s="1" t="str">
        <f>VLOOKUP(C395,Nuclides!E:F,2,FALSE)</f>
        <v>STABLE</v>
      </c>
    </row>
    <row r="396" spans="3:5" x14ac:dyDescent="0.2">
      <c r="C396" s="8" t="s">
        <v>1239</v>
      </c>
      <c r="D396" s="1">
        <v>26133120</v>
      </c>
      <c r="E396" s="1">
        <f>VLOOKUP(C396,Nuclides!E:F,2,FALSE)</f>
        <v>49324.32</v>
      </c>
    </row>
    <row r="397" spans="3:5" hidden="1" x14ac:dyDescent="0.2">
      <c r="C397" s="8" t="s">
        <v>1240</v>
      </c>
      <c r="D397" s="1">
        <v>204709440.00000003</v>
      </c>
      <c r="E397" s="1" t="str">
        <f>VLOOKUP(C397,Nuclides!E:F,2,FALSE)</f>
        <v>STABLE</v>
      </c>
    </row>
    <row r="398" spans="3:5" x14ac:dyDescent="0.2">
      <c r="C398" s="8" t="s">
        <v>1241</v>
      </c>
      <c r="D398" s="1">
        <v>577541952</v>
      </c>
      <c r="E398" s="1">
        <f>VLOOKUP(C398,Nuclides!E:F,2,FALSE)</f>
        <v>1404</v>
      </c>
    </row>
    <row r="399" spans="3:5" x14ac:dyDescent="0.2">
      <c r="C399" s="8" t="s">
        <v>1242</v>
      </c>
      <c r="D399" s="1">
        <v>2136813120</v>
      </c>
      <c r="E399" s="1">
        <f>VLOOKUP(C399,Nuclides!E:F,2,FALSE)</f>
        <v>75744</v>
      </c>
    </row>
    <row r="400" spans="3:5" x14ac:dyDescent="0.2">
      <c r="C400" s="8" t="s">
        <v>1243</v>
      </c>
      <c r="D400" s="1">
        <v>3754458240</v>
      </c>
      <c r="E400" s="1">
        <f>VLOOKUP(C400,Nuclides!E:F,2,FALSE)</f>
        <v>93</v>
      </c>
    </row>
    <row r="401" spans="3:5" x14ac:dyDescent="0.2">
      <c r="C401" s="8" t="s">
        <v>1244</v>
      </c>
      <c r="D401" s="1">
        <v>8696226240</v>
      </c>
      <c r="E401" s="1">
        <f>VLOOKUP(C401,Nuclides!E:F,2,FALSE)</f>
        <v>145.19999999999999</v>
      </c>
    </row>
    <row r="402" spans="3:5" x14ac:dyDescent="0.2">
      <c r="C402" s="8" t="s">
        <v>1245</v>
      </c>
      <c r="D402" s="1">
        <v>10806045120</v>
      </c>
      <c r="E402" s="1">
        <f>VLOOKUP(C402,Nuclides!E:F,2,FALSE)</f>
        <v>25</v>
      </c>
    </row>
    <row r="403" spans="3:5" x14ac:dyDescent="0.2">
      <c r="C403" s="8" t="s">
        <v>1246</v>
      </c>
      <c r="D403" s="1">
        <v>15799180800</v>
      </c>
      <c r="E403" s="1">
        <f>VLOOKUP(C403,Nuclides!E:F,2,FALSE)</f>
        <v>11.8</v>
      </c>
    </row>
    <row r="404" spans="3:5" x14ac:dyDescent="0.2">
      <c r="C404" s="8" t="s">
        <v>1247</v>
      </c>
      <c r="D404" s="1">
        <v>13463798400</v>
      </c>
      <c r="E404" s="1">
        <f>VLOOKUP(C404,Nuclides!E:F,2,FALSE)</f>
        <v>4.3</v>
      </c>
    </row>
    <row r="405" spans="3:5" x14ac:dyDescent="0.2">
      <c r="C405" s="8" t="s">
        <v>1248</v>
      </c>
      <c r="D405" s="1">
        <v>13416748800</v>
      </c>
      <c r="E405" s="1">
        <f>VLOOKUP(C405,Nuclides!E:F,2,FALSE)</f>
        <v>1.9</v>
      </c>
    </row>
    <row r="406" spans="3:5" x14ac:dyDescent="0.2">
      <c r="C406" s="8" t="s">
        <v>1261</v>
      </c>
      <c r="D406" s="1">
        <v>8662255680</v>
      </c>
      <c r="E406" s="1">
        <f>VLOOKUP(C406,Nuclides!E:F,2,FALSE)</f>
        <v>4.4000000000000004</v>
      </c>
    </row>
    <row r="407" spans="3:5" x14ac:dyDescent="0.2">
      <c r="C407" s="8" t="s">
        <v>1262</v>
      </c>
      <c r="D407" s="1">
        <v>5656073280</v>
      </c>
      <c r="E407" s="1">
        <f>VLOOKUP(C407,Nuclides!E:F,2,FALSE)</f>
        <v>25.5</v>
      </c>
    </row>
    <row r="408" spans="3:5" x14ac:dyDescent="0.2">
      <c r="C408" s="8" t="s">
        <v>1263</v>
      </c>
      <c r="D408" s="1">
        <v>2434735680</v>
      </c>
      <c r="E408" s="1">
        <f>VLOOKUP(C408,Nuclides!E:F,2,FALSE)</f>
        <v>47.5</v>
      </c>
    </row>
    <row r="409" spans="3:5" x14ac:dyDescent="0.2">
      <c r="C409" s="8" t="s">
        <v>1264</v>
      </c>
      <c r="D409" s="1">
        <v>924241344</v>
      </c>
      <c r="E409" s="1">
        <f>VLOOKUP(C409,Nuclides!E:F,2,FALSE)</f>
        <v>124</v>
      </c>
    </row>
    <row r="410" spans="3:5" x14ac:dyDescent="0.2">
      <c r="C410" s="8" t="s">
        <v>1265</v>
      </c>
      <c r="D410" s="1">
        <v>261331200</v>
      </c>
      <c r="E410" s="1">
        <f>VLOOKUP(C410,Nuclides!E:F,2,FALSE)</f>
        <v>120.6</v>
      </c>
    </row>
    <row r="411" spans="3:5" x14ac:dyDescent="0.2">
      <c r="C411" s="8" t="s">
        <v>1266</v>
      </c>
      <c r="D411" s="1">
        <v>72301632</v>
      </c>
      <c r="E411" s="1">
        <f>VLOOKUP(C411,Nuclides!E:F,2,FALSE)</f>
        <v>666</v>
      </c>
    </row>
    <row r="412" spans="3:5" x14ac:dyDescent="0.2">
      <c r="C412" s="8" t="s">
        <v>1267</v>
      </c>
      <c r="D412" s="1">
        <v>14808768</v>
      </c>
      <c r="E412" s="1">
        <f>VLOOKUP(C412,Nuclides!E:F,2,FALSE)</f>
        <v>774</v>
      </c>
    </row>
    <row r="413" spans="3:5" x14ac:dyDescent="0.2">
      <c r="C413" s="8" t="s">
        <v>1268</v>
      </c>
      <c r="D413" s="1">
        <v>3484415.9999999995</v>
      </c>
      <c r="E413" s="1">
        <f>VLOOKUP(C413,Nuclides!E:F,2,FALSE)</f>
        <v>3942</v>
      </c>
    </row>
    <row r="414" spans="3:5" x14ac:dyDescent="0.2">
      <c r="C414" s="8" t="s">
        <v>1276</v>
      </c>
      <c r="D414" s="1">
        <v>6097728.0000000009</v>
      </c>
      <c r="E414" s="1">
        <f>VLOOKUP(C414,Nuclides!E:F,2,FALSE)</f>
        <v>643680</v>
      </c>
    </row>
    <row r="415" spans="3:5" x14ac:dyDescent="0.2">
      <c r="C415" s="8" t="s">
        <v>1277</v>
      </c>
      <c r="D415" s="1">
        <v>41812992</v>
      </c>
      <c r="E415" s="1">
        <f>VLOOKUP(C415,Nuclides!E:F,2,FALSE)</f>
        <v>11268</v>
      </c>
    </row>
    <row r="416" spans="3:5" x14ac:dyDescent="0.2">
      <c r="C416" s="8" t="s">
        <v>1278</v>
      </c>
      <c r="D416" s="1">
        <v>297046464</v>
      </c>
      <c r="E416" s="1">
        <f>VLOOKUP(C416,Nuclides!E:F,2,FALSE)</f>
        <v>19332</v>
      </c>
    </row>
    <row r="417" spans="3:5" x14ac:dyDescent="0.2">
      <c r="C417" s="8" t="s">
        <v>1279</v>
      </c>
      <c r="D417" s="1">
        <v>730856256</v>
      </c>
      <c r="E417" s="1">
        <f>VLOOKUP(C417,Nuclides!E:F,2,FALSE)</f>
        <v>4.5999999999999996</v>
      </c>
    </row>
    <row r="418" spans="3:5" x14ac:dyDescent="0.2">
      <c r="C418" s="8" t="s">
        <v>1280</v>
      </c>
      <c r="D418" s="1">
        <v>2563654080</v>
      </c>
      <c r="E418" s="1">
        <f>VLOOKUP(C418,Nuclides!E:F,2,FALSE)</f>
        <v>1200</v>
      </c>
    </row>
    <row r="419" spans="3:5" x14ac:dyDescent="0.2">
      <c r="C419" s="8" t="s">
        <v>1281</v>
      </c>
      <c r="D419" s="1">
        <v>4223980799.9999995</v>
      </c>
      <c r="E419" s="1">
        <f>VLOOKUP(C419,Nuclides!E:F,2,FALSE)</f>
        <v>237</v>
      </c>
    </row>
    <row r="420" spans="3:5" x14ac:dyDescent="0.2">
      <c r="C420" s="8" t="s">
        <v>1282</v>
      </c>
      <c r="D420" s="1">
        <v>9371331840</v>
      </c>
      <c r="E420" s="1">
        <f>VLOOKUP(C420,Nuclides!E:F,2,FALSE)</f>
        <v>72.8</v>
      </c>
    </row>
    <row r="421" spans="3:5" x14ac:dyDescent="0.2">
      <c r="C421" s="8" t="s">
        <v>1283</v>
      </c>
      <c r="D421" s="1">
        <v>10176241920</v>
      </c>
      <c r="E421" s="1">
        <f>VLOOKUP(C421,Nuclides!E:F,2,FALSE)</f>
        <v>3.76</v>
      </c>
    </row>
    <row r="422" spans="3:5" x14ac:dyDescent="0.2">
      <c r="C422" s="8" t="s">
        <v>1284</v>
      </c>
      <c r="D422" s="1">
        <v>14526470400.000002</v>
      </c>
      <c r="E422" s="1">
        <f>VLOOKUP(C422,Nuclides!E:F,2,FALSE)</f>
        <v>6</v>
      </c>
    </row>
    <row r="423" spans="3:5" x14ac:dyDescent="0.2">
      <c r="C423" s="8" t="s">
        <v>1285</v>
      </c>
      <c r="D423" s="1">
        <v>11231138880</v>
      </c>
      <c r="E423" s="1">
        <f>VLOOKUP(C423,Nuclides!E:F,2,FALSE)</f>
        <v>1.23</v>
      </c>
    </row>
    <row r="424" spans="3:5" x14ac:dyDescent="0.2">
      <c r="C424" s="8" t="s">
        <v>1286</v>
      </c>
      <c r="D424" s="1">
        <v>10924517760</v>
      </c>
      <c r="E424" s="1">
        <f>VLOOKUP(C424,Nuclides!E:F,2,FALSE)</f>
        <v>0.78</v>
      </c>
    </row>
    <row r="425" spans="3:5" x14ac:dyDescent="0.2">
      <c r="C425" s="8" t="s">
        <v>1287</v>
      </c>
      <c r="D425" s="1">
        <v>6116897280</v>
      </c>
      <c r="E425" s="1">
        <f>VLOOKUP(C425,Nuclides!E:F,2,FALSE)</f>
        <v>0.52900000000000003</v>
      </c>
    </row>
    <row r="426" spans="3:5" x14ac:dyDescent="0.2">
      <c r="C426" s="8" t="s">
        <v>1288</v>
      </c>
      <c r="D426" s="1">
        <v>3918220800</v>
      </c>
      <c r="E426" s="1">
        <f>VLOOKUP(C426,Nuclides!E:F,2,FALSE)</f>
        <v>0.3</v>
      </c>
    </row>
    <row r="427" spans="3:5" x14ac:dyDescent="0.2">
      <c r="C427" s="8" t="s">
        <v>1299</v>
      </c>
      <c r="D427" s="1">
        <v>1842384960</v>
      </c>
      <c r="E427" s="1">
        <f>VLOOKUP(C427,Nuclides!E:F,2,FALSE)</f>
        <v>1.1000000000000001</v>
      </c>
    </row>
    <row r="428" spans="3:5" x14ac:dyDescent="0.2">
      <c r="C428" s="8" t="s">
        <v>1300</v>
      </c>
      <c r="D428" s="1">
        <v>1042711488</v>
      </c>
      <c r="E428" s="1">
        <f>VLOOKUP(C428,Nuclides!E:F,2,FALSE)</f>
        <v>9.1999999999999993</v>
      </c>
    </row>
    <row r="429" spans="3:5" x14ac:dyDescent="0.2">
      <c r="C429" s="8" t="s">
        <v>1301</v>
      </c>
      <c r="D429" s="1">
        <v>302273088</v>
      </c>
      <c r="E429" s="1">
        <f>VLOOKUP(C429,Nuclides!E:F,2,FALSE)</f>
        <v>16</v>
      </c>
    </row>
    <row r="430" spans="3:5" x14ac:dyDescent="0.2">
      <c r="C430" s="8" t="s">
        <v>1302</v>
      </c>
      <c r="D430" s="1">
        <v>138505536</v>
      </c>
      <c r="E430" s="1">
        <f>VLOOKUP(C430,Nuclides!E:F,2,FALSE)</f>
        <v>49.1</v>
      </c>
    </row>
    <row r="431" spans="3:5" x14ac:dyDescent="0.2">
      <c r="C431" s="8" t="s">
        <v>1303</v>
      </c>
      <c r="D431" s="1">
        <v>35715264</v>
      </c>
      <c r="E431" s="1">
        <f>VLOOKUP(C431,Nuclides!E:F,2,FALSE)</f>
        <v>81.599999999999994</v>
      </c>
    </row>
    <row r="432" spans="3:5" x14ac:dyDescent="0.2">
      <c r="C432" s="8" t="s">
        <v>1304</v>
      </c>
      <c r="D432" s="1">
        <v>10453248</v>
      </c>
      <c r="E432" s="1">
        <f>VLOOKUP(C432,Nuclides!E:F,2,FALSE)</f>
        <v>330</v>
      </c>
    </row>
    <row r="433" spans="3:5" x14ac:dyDescent="0.2">
      <c r="C433" s="8" t="s">
        <v>1305</v>
      </c>
      <c r="D433" s="1">
        <v>2613312</v>
      </c>
      <c r="E433" s="1">
        <f>VLOOKUP(C433,Nuclides!E:F,2,FALSE)</f>
        <v>438</v>
      </c>
    </row>
    <row r="434" spans="3:5" x14ac:dyDescent="0.2">
      <c r="C434" s="8" t="s">
        <v>1306</v>
      </c>
      <c r="D434" s="1">
        <v>871103.99999999988</v>
      </c>
      <c r="E434" s="1">
        <f>VLOOKUP(C434,Nuclides!E:F,2,FALSE)</f>
        <v>3462</v>
      </c>
    </row>
    <row r="435" spans="3:5" hidden="1" x14ac:dyDescent="0.2">
      <c r="C435" s="8" t="s">
        <v>1314</v>
      </c>
      <c r="D435" s="1">
        <v>871103.99999999988</v>
      </c>
      <c r="E435" s="1" t="str">
        <f>VLOOKUP(C435,Nuclides!E:F,2,FALSE)</f>
        <v>STABLE</v>
      </c>
    </row>
    <row r="436" spans="3:5" x14ac:dyDescent="0.2">
      <c r="C436" s="8" t="s">
        <v>1315</v>
      </c>
      <c r="D436" s="1">
        <v>1742207.9999999998</v>
      </c>
      <c r="E436" s="1">
        <f>VLOOKUP(C436,Nuclides!E:F,2,FALSE)</f>
        <v>2.5246080000000001E+23</v>
      </c>
    </row>
    <row r="437" spans="3:5" x14ac:dyDescent="0.2">
      <c r="C437" s="8" t="s">
        <v>1316</v>
      </c>
      <c r="D437" s="1">
        <v>29617536</v>
      </c>
      <c r="E437" s="1">
        <f>VLOOKUP(C437,Nuclides!E:F,2,FALSE)</f>
        <v>6.627096E+25</v>
      </c>
    </row>
    <row r="438" spans="3:5" x14ac:dyDescent="0.2">
      <c r="C438" s="8" t="s">
        <v>1317</v>
      </c>
      <c r="D438" s="1">
        <v>103661375.99999999</v>
      </c>
      <c r="E438" s="1">
        <f>VLOOKUP(C438,Nuclides!E:F,2,FALSE)</f>
        <v>192456</v>
      </c>
    </row>
    <row r="439" spans="3:5" x14ac:dyDescent="0.2">
      <c r="C439" s="8" t="s">
        <v>1318</v>
      </c>
      <c r="D439" s="1">
        <v>586252992</v>
      </c>
      <c r="E439" s="1">
        <f>VLOOKUP(C439,Nuclides!E:F,2,FALSE)</f>
        <v>1.0414008E+27</v>
      </c>
    </row>
    <row r="440" spans="3:5" x14ac:dyDescent="0.2">
      <c r="C440" s="8" t="s">
        <v>1319</v>
      </c>
      <c r="D440" s="1">
        <v>1291842240</v>
      </c>
      <c r="E440" s="1">
        <f>VLOOKUP(C440,Nuclides!E:F,2,FALSE)</f>
        <v>8964</v>
      </c>
    </row>
    <row r="441" spans="3:5" x14ac:dyDescent="0.2">
      <c r="C441" s="8" t="s">
        <v>1320</v>
      </c>
      <c r="D441" s="1">
        <v>3931287360</v>
      </c>
      <c r="E441" s="1">
        <f>VLOOKUP(C441,Nuclides!E:F,2,FALSE)</f>
        <v>3018</v>
      </c>
    </row>
    <row r="442" spans="3:5" x14ac:dyDescent="0.2">
      <c r="C442" s="8" t="s">
        <v>1321</v>
      </c>
      <c r="D442" s="1">
        <v>5591614080</v>
      </c>
      <c r="E442" s="1">
        <f>VLOOKUP(C442,Nuclides!E:F,2,FALSE)</f>
        <v>161.4</v>
      </c>
    </row>
    <row r="443" spans="3:5" x14ac:dyDescent="0.2">
      <c r="C443" s="8" t="s">
        <v>1322</v>
      </c>
      <c r="D443" s="1">
        <v>11242470720</v>
      </c>
      <c r="E443" s="1">
        <f>VLOOKUP(C443,Nuclides!E:F,2,FALSE)</f>
        <v>50.8</v>
      </c>
    </row>
    <row r="444" spans="3:5" x14ac:dyDescent="0.2">
      <c r="C444" s="8" t="s">
        <v>1323</v>
      </c>
      <c r="D444" s="1">
        <v>12038657280</v>
      </c>
      <c r="E444" s="1">
        <f>VLOOKUP(C444,Nuclides!E:F,2,FALSE)</f>
        <v>13.5</v>
      </c>
    </row>
    <row r="445" spans="3:5" x14ac:dyDescent="0.2">
      <c r="C445" s="8" t="s">
        <v>1324</v>
      </c>
      <c r="D445" s="1">
        <v>15639811200</v>
      </c>
      <c r="E445" s="1">
        <f>VLOOKUP(C445,Nuclides!E:F,2,FALSE)</f>
        <v>5.24</v>
      </c>
    </row>
    <row r="446" spans="3:5" x14ac:dyDescent="0.2">
      <c r="C446" s="8" t="s">
        <v>1325</v>
      </c>
      <c r="D446" s="1">
        <v>12632755200</v>
      </c>
      <c r="E446" s="1">
        <f>VLOOKUP(C446,Nuclides!E:F,2,FALSE)</f>
        <v>2.1</v>
      </c>
    </row>
    <row r="447" spans="3:5" x14ac:dyDescent="0.2">
      <c r="C447" s="8" t="s">
        <v>1326</v>
      </c>
      <c r="D447" s="1">
        <v>12019488000</v>
      </c>
      <c r="E447" s="1">
        <f>VLOOKUP(C447,Nuclides!E:F,2,FALSE)</f>
        <v>1.25</v>
      </c>
    </row>
    <row r="448" spans="3:5" x14ac:dyDescent="0.2">
      <c r="C448" s="8" t="s">
        <v>1327</v>
      </c>
      <c r="D448" s="1">
        <v>8313814080</v>
      </c>
      <c r="E448" s="1">
        <f>VLOOKUP(C448,Nuclides!E:F,2,FALSE)</f>
        <v>0.68</v>
      </c>
    </row>
    <row r="449" spans="3:5" x14ac:dyDescent="0.2">
      <c r="C449" s="8" t="s">
        <v>1328</v>
      </c>
      <c r="D449" s="1">
        <v>6957512640</v>
      </c>
      <c r="E449" s="1">
        <f>VLOOKUP(C449,Nuclides!E:F,2,FALSE)</f>
        <v>0.51500000000000001</v>
      </c>
    </row>
    <row r="450" spans="3:5" x14ac:dyDescent="0.2">
      <c r="C450" s="8" t="s">
        <v>1339</v>
      </c>
      <c r="D450" s="1">
        <v>4819813440</v>
      </c>
      <c r="E450" s="1">
        <f>VLOOKUP(C450,Nuclides!E:F,2,FALSE)</f>
        <v>5.8</v>
      </c>
    </row>
    <row r="451" spans="3:5" x14ac:dyDescent="0.2">
      <c r="C451" s="8" t="s">
        <v>1340</v>
      </c>
      <c r="D451" s="1">
        <v>3474831360</v>
      </c>
      <c r="E451" s="1">
        <f>VLOOKUP(C451,Nuclides!E:F,2,FALSE)</f>
        <v>15.1</v>
      </c>
    </row>
    <row r="452" spans="3:5" x14ac:dyDescent="0.2">
      <c r="C452" s="8" t="s">
        <v>1341</v>
      </c>
      <c r="D452" s="1">
        <v>1574089920</v>
      </c>
      <c r="E452" s="1">
        <f>VLOOKUP(C452,Nuclides!E:F,2,FALSE)</f>
        <v>23.3</v>
      </c>
    </row>
    <row r="453" spans="3:5" x14ac:dyDescent="0.2">
      <c r="C453" s="8" t="s">
        <v>1342</v>
      </c>
      <c r="D453" s="1">
        <v>689914368</v>
      </c>
      <c r="E453" s="1">
        <f>VLOOKUP(C453,Nuclides!E:F,2,FALSE)</f>
        <v>65</v>
      </c>
    </row>
    <row r="454" spans="3:5" x14ac:dyDescent="0.2">
      <c r="C454" s="8" t="s">
        <v>1343</v>
      </c>
      <c r="D454" s="1">
        <v>162896448</v>
      </c>
      <c r="E454" s="1">
        <f>VLOOKUP(C454,Nuclides!E:F,2,FALSE)</f>
        <v>108</v>
      </c>
    </row>
    <row r="455" spans="3:5" x14ac:dyDescent="0.2">
      <c r="C455" s="8" t="s">
        <v>1344</v>
      </c>
      <c r="D455" s="1">
        <v>42684096</v>
      </c>
      <c r="E455" s="1">
        <f>VLOOKUP(C455,Nuclides!E:F,2,FALSE)</f>
        <v>304.2</v>
      </c>
    </row>
    <row r="456" spans="3:5" x14ac:dyDescent="0.2">
      <c r="C456" s="8" t="s">
        <v>1345</v>
      </c>
      <c r="D456" s="1">
        <v>7839935.9999999991</v>
      </c>
      <c r="E456" s="1">
        <f>VLOOKUP(C456,Nuclides!E:F,2,FALSE)</f>
        <v>372</v>
      </c>
    </row>
    <row r="457" spans="3:5" x14ac:dyDescent="0.2">
      <c r="C457" s="8" t="s">
        <v>1346</v>
      </c>
      <c r="D457" s="1">
        <v>1742207.9999999998</v>
      </c>
      <c r="E457" s="1">
        <f>VLOOKUP(C457,Nuclides!E:F,2,FALSE)</f>
        <v>1944</v>
      </c>
    </row>
    <row r="458" spans="3:5" x14ac:dyDescent="0.2">
      <c r="C458" s="8" t="s">
        <v>1347</v>
      </c>
      <c r="D458" s="1">
        <v>871103.99999999988</v>
      </c>
      <c r="E458" s="1">
        <f>VLOOKUP(C458,Nuclides!E:F,2,FALSE)</f>
        <v>3480</v>
      </c>
    </row>
    <row r="459" spans="3:5" x14ac:dyDescent="0.2">
      <c r="C459" s="8" t="s">
        <v>1355</v>
      </c>
      <c r="D459" s="1">
        <v>6968831.9999999991</v>
      </c>
      <c r="E459" s="1">
        <f>VLOOKUP(C459,Nuclides!E:F,2,FALSE)</f>
        <v>14.1</v>
      </c>
    </row>
    <row r="460" spans="3:5" x14ac:dyDescent="0.2">
      <c r="C460" s="8" t="s">
        <v>1356</v>
      </c>
      <c r="D460" s="1">
        <v>50524032</v>
      </c>
      <c r="E460" s="1">
        <f>VLOOKUP(C460,Nuclides!E:F,2,FALSE)</f>
        <v>2592</v>
      </c>
    </row>
    <row r="461" spans="3:5" x14ac:dyDescent="0.2">
      <c r="C461" s="8" t="s">
        <v>1357</v>
      </c>
      <c r="D461" s="1">
        <v>172478592</v>
      </c>
      <c r="E461" s="1">
        <f>VLOOKUP(C461,Nuclides!E:F,2,FALSE)</f>
        <v>5</v>
      </c>
    </row>
    <row r="462" spans="3:5" x14ac:dyDescent="0.2">
      <c r="C462" s="8" t="s">
        <v>1358</v>
      </c>
      <c r="D462" s="1">
        <v>735211776</v>
      </c>
      <c r="E462" s="1">
        <f>VLOOKUP(C462,Nuclides!E:F,2,FALSE)</f>
        <v>144</v>
      </c>
    </row>
    <row r="463" spans="3:5" x14ac:dyDescent="0.2">
      <c r="C463" s="8" t="s">
        <v>1359</v>
      </c>
      <c r="D463" s="1">
        <v>1555794240</v>
      </c>
      <c r="E463" s="1">
        <f>VLOOKUP(C463,Nuclides!E:F,2,FALSE)</f>
        <v>3.08</v>
      </c>
    </row>
    <row r="464" spans="3:5" x14ac:dyDescent="0.2">
      <c r="C464" s="8" t="s">
        <v>1360</v>
      </c>
      <c r="D464" s="1">
        <v>4307609280</v>
      </c>
      <c r="E464" s="1">
        <f>VLOOKUP(C464,Nuclides!E:F,2,FALSE)</f>
        <v>23.1</v>
      </c>
    </row>
    <row r="465" spans="3:5" x14ac:dyDescent="0.2">
      <c r="C465" s="8" t="s">
        <v>1361</v>
      </c>
      <c r="D465" s="1">
        <v>5901729600</v>
      </c>
      <c r="E465" s="1">
        <f>VLOOKUP(C465,Nuclides!E:F,2,FALSE)</f>
        <v>1.5</v>
      </c>
    </row>
    <row r="466" spans="3:5" x14ac:dyDescent="0.2">
      <c r="C466" s="8" t="s">
        <v>1362</v>
      </c>
      <c r="D466" s="1">
        <v>11910600000</v>
      </c>
      <c r="E466" s="1">
        <f>VLOOKUP(C466,Nuclides!E:F,2,FALSE)</f>
        <v>6.17</v>
      </c>
    </row>
    <row r="467" spans="3:5" x14ac:dyDescent="0.2">
      <c r="C467" s="8" t="s">
        <v>1363</v>
      </c>
      <c r="D467" s="1">
        <v>12240758400</v>
      </c>
      <c r="E467" s="1">
        <f>VLOOKUP(C467,Nuclides!E:F,2,FALSE)</f>
        <v>3.12</v>
      </c>
    </row>
    <row r="468" spans="3:5" x14ac:dyDescent="0.2">
      <c r="C468" s="8" t="s">
        <v>1364</v>
      </c>
      <c r="D468" s="1">
        <v>18459542400</v>
      </c>
      <c r="E468" s="1">
        <f>VLOOKUP(C468,Nuclides!E:F,2,FALSE)</f>
        <v>2.36</v>
      </c>
    </row>
    <row r="469" spans="3:5" x14ac:dyDescent="0.2">
      <c r="C469" s="8" t="s">
        <v>1365</v>
      </c>
      <c r="D469" s="1">
        <v>19768819200</v>
      </c>
      <c r="E469" s="1">
        <f>VLOOKUP(C469,Nuclides!E:F,2,FALSE)</f>
        <v>1.53</v>
      </c>
    </row>
    <row r="470" spans="3:5" x14ac:dyDescent="0.2">
      <c r="C470" s="8" t="s">
        <v>1366</v>
      </c>
      <c r="D470" s="1">
        <v>32432025600</v>
      </c>
      <c r="E470" s="1">
        <f>VLOOKUP(C470,Nuclides!E:F,2,FALSE)</f>
        <v>1.0900000000000001</v>
      </c>
    </row>
    <row r="471" spans="3:5" x14ac:dyDescent="0.2">
      <c r="C471" s="8" t="s">
        <v>1367</v>
      </c>
      <c r="D471" s="1">
        <v>36985353600</v>
      </c>
      <c r="E471" s="1">
        <f>VLOOKUP(C471,Nuclides!E:F,2,FALSE)</f>
        <v>0.84</v>
      </c>
    </row>
    <row r="472" spans="3:5" x14ac:dyDescent="0.2">
      <c r="C472" s="8" t="s">
        <v>1368</v>
      </c>
      <c r="D472" s="1">
        <v>49791456000</v>
      </c>
      <c r="E472" s="1">
        <f>VLOOKUP(C472,Nuclides!E:F,2,FALSE)</f>
        <v>0.61099999999999999</v>
      </c>
    </row>
    <row r="473" spans="3:5" x14ac:dyDescent="0.2">
      <c r="C473" s="8" t="s">
        <v>1369</v>
      </c>
      <c r="D473" s="1">
        <v>35024496000</v>
      </c>
      <c r="E473" s="1">
        <f>VLOOKUP(C473,Nuclides!E:F,2,FALSE)</f>
        <v>0.28999999999999998</v>
      </c>
    </row>
    <row r="474" spans="3:5" x14ac:dyDescent="0.2">
      <c r="C474" s="8" t="s">
        <v>1370</v>
      </c>
      <c r="D474" s="1">
        <v>24392659200</v>
      </c>
      <c r="E474" s="1">
        <f>VLOOKUP(C474,Nuclides!E:F,2,FALSE)</f>
        <v>0.28000000000000003</v>
      </c>
    </row>
    <row r="475" spans="3:5" x14ac:dyDescent="0.2">
      <c r="C475" s="8" t="s">
        <v>1371</v>
      </c>
      <c r="D475" s="1">
        <v>6778062720</v>
      </c>
      <c r="E475" s="1">
        <f>VLOOKUP(C475,Nuclides!E:F,2,FALSE)</f>
        <v>0.20699999999999999</v>
      </c>
    </row>
    <row r="476" spans="3:5" x14ac:dyDescent="0.2">
      <c r="C476" s="8" t="s">
        <v>1380</v>
      </c>
      <c r="D476" s="1">
        <v>2220441600</v>
      </c>
      <c r="E476" s="1">
        <f>VLOOKUP(C476,Nuclides!E:F,2,FALSE)</f>
        <v>7</v>
      </c>
    </row>
    <row r="477" spans="3:5" x14ac:dyDescent="0.2">
      <c r="C477" s="8" t="s">
        <v>1381</v>
      </c>
      <c r="D477" s="1">
        <v>442520832</v>
      </c>
      <c r="E477" s="1">
        <f>VLOOKUP(C477,Nuclides!E:F,2,FALSE)</f>
        <v>20.8</v>
      </c>
    </row>
    <row r="478" spans="3:5" x14ac:dyDescent="0.2">
      <c r="C478" s="8" t="s">
        <v>1382</v>
      </c>
      <c r="D478" s="1">
        <v>70559424</v>
      </c>
      <c r="E478" s="1">
        <f>VLOOKUP(C478,Nuclides!E:F,2,FALSE)</f>
        <v>32.700000000000003</v>
      </c>
    </row>
    <row r="479" spans="3:5" x14ac:dyDescent="0.2">
      <c r="C479" s="8" t="s">
        <v>1383</v>
      </c>
      <c r="D479" s="1">
        <v>8711040</v>
      </c>
      <c r="E479" s="1">
        <f>VLOOKUP(C479,Nuclides!E:F,2,FALSE)</f>
        <v>115</v>
      </c>
    </row>
    <row r="480" spans="3:5" hidden="1" x14ac:dyDescent="0.2">
      <c r="C480" s="8" t="s">
        <v>1394</v>
      </c>
      <c r="D480" s="1">
        <v>5226624</v>
      </c>
      <c r="E480" s="1" t="str">
        <f>VLOOKUP(C480,Nuclides!E:F,2,FALSE)</f>
        <v>STABLE</v>
      </c>
    </row>
    <row r="481" spans="3:5" hidden="1" x14ac:dyDescent="0.2">
      <c r="C481" s="8" t="s">
        <v>1395</v>
      </c>
      <c r="D481" s="1">
        <v>20906496</v>
      </c>
      <c r="E481" s="1" t="str">
        <f>VLOOKUP(C481,Nuclides!E:F,2,FALSE)</f>
        <v>STABLE</v>
      </c>
    </row>
    <row r="482" spans="3:5" hidden="1" x14ac:dyDescent="0.2">
      <c r="C482" s="8" t="s">
        <v>1396</v>
      </c>
      <c r="D482" s="1">
        <v>135021120</v>
      </c>
      <c r="E482" s="1" t="str">
        <f>VLOOKUP(C482,Nuclides!E:F,2,FALSE)</f>
        <v>STABLE</v>
      </c>
    </row>
    <row r="483" spans="3:5" x14ac:dyDescent="0.2">
      <c r="C483" s="8" t="s">
        <v>1397</v>
      </c>
      <c r="D483" s="1">
        <v>416387712</v>
      </c>
      <c r="E483" s="1">
        <f>VLOOKUP(C483,Nuclides!E:F,2,FALSE)</f>
        <v>97308</v>
      </c>
    </row>
    <row r="484" spans="3:5" hidden="1" x14ac:dyDescent="0.2">
      <c r="C484" s="8" t="s">
        <v>1398</v>
      </c>
      <c r="D484" s="1">
        <v>1765732800</v>
      </c>
      <c r="E484" s="1" t="str">
        <f>VLOOKUP(C484,Nuclides!E:F,2,FALSE)</f>
        <v>STABLE</v>
      </c>
    </row>
    <row r="485" spans="3:5" x14ac:dyDescent="0.2">
      <c r="C485" s="8" t="s">
        <v>1399</v>
      </c>
      <c r="D485" s="1">
        <v>3743138880</v>
      </c>
      <c r="E485" s="1">
        <f>VLOOKUP(C485,Nuclides!E:F,2,FALSE)</f>
        <v>11162879.999999899</v>
      </c>
    </row>
    <row r="486" spans="3:5" x14ac:dyDescent="0.2">
      <c r="C486" s="8" t="s">
        <v>1400</v>
      </c>
      <c r="D486" s="1">
        <v>10434078720</v>
      </c>
      <c r="E486" s="1">
        <f>VLOOKUP(C486,Nuclides!E:F,2,FALSE)</f>
        <v>3.786912E+28</v>
      </c>
    </row>
    <row r="487" spans="3:5" x14ac:dyDescent="0.2">
      <c r="C487" s="8" t="s">
        <v>1401</v>
      </c>
      <c r="D487" s="1">
        <v>18340233600</v>
      </c>
      <c r="E487" s="1">
        <f>VLOOKUP(C487,Nuclides!E:F,2,FALSE)</f>
        <v>832896</v>
      </c>
    </row>
    <row r="488" spans="3:5" x14ac:dyDescent="0.2">
      <c r="C488" s="8" t="s">
        <v>1402</v>
      </c>
      <c r="D488" s="1">
        <v>39924393600</v>
      </c>
      <c r="E488" s="1">
        <f>VLOOKUP(C488,Nuclides!E:F,2,FALSE)</f>
        <v>7258248000000</v>
      </c>
    </row>
    <row r="489" spans="3:5" x14ac:dyDescent="0.2">
      <c r="C489" s="8" t="s">
        <v>1403</v>
      </c>
      <c r="D489" s="1">
        <v>66709094400</v>
      </c>
      <c r="E489" s="1">
        <f>VLOOKUP(C489,Nuclides!E:F,2,FALSE)</f>
        <v>7560</v>
      </c>
    </row>
    <row r="490" spans="3:5" x14ac:dyDescent="0.2">
      <c r="C490" s="8" t="s">
        <v>1404</v>
      </c>
      <c r="D490" s="1">
        <v>127785216000</v>
      </c>
      <c r="E490" s="1">
        <f>VLOOKUP(C490,Nuclides!E:F,2,FALSE)</f>
        <v>3544.2</v>
      </c>
    </row>
    <row r="491" spans="3:5" x14ac:dyDescent="0.2">
      <c r="C491" s="8" t="s">
        <v>1405</v>
      </c>
      <c r="D491" s="1">
        <v>188984640000</v>
      </c>
      <c r="E491" s="1">
        <f>VLOOKUP(C491,Nuclides!E:F,2,FALSE)</f>
        <v>133.80000000000001</v>
      </c>
    </row>
    <row r="492" spans="3:5" x14ac:dyDescent="0.2">
      <c r="C492" s="8" t="s">
        <v>1406</v>
      </c>
      <c r="D492" s="1">
        <v>286505856000</v>
      </c>
      <c r="E492" s="1">
        <f>VLOOKUP(C492,Nuclides!E:F,2,FALSE)</f>
        <v>223.2</v>
      </c>
    </row>
    <row r="493" spans="3:5" x14ac:dyDescent="0.2">
      <c r="C493" s="8" t="s">
        <v>1407</v>
      </c>
      <c r="D493" s="1">
        <v>286450944000</v>
      </c>
      <c r="E493" s="1">
        <f>VLOOKUP(C493,Nuclides!E:F,2,FALSE)</f>
        <v>56</v>
      </c>
    </row>
    <row r="494" spans="3:5" x14ac:dyDescent="0.2">
      <c r="C494" s="8" t="s">
        <v>1408</v>
      </c>
      <c r="D494" s="1">
        <v>250205280000</v>
      </c>
      <c r="E494" s="1">
        <f>VLOOKUP(C494,Nuclides!E:F,2,FALSE)</f>
        <v>39.700000000000003</v>
      </c>
    </row>
    <row r="495" spans="3:5" x14ac:dyDescent="0.2">
      <c r="C495" s="8" t="s">
        <v>1409</v>
      </c>
      <c r="D495" s="1">
        <v>97106380800</v>
      </c>
      <c r="E495" s="1">
        <f>VLOOKUP(C495,Nuclides!E:F,2,FALSE)</f>
        <v>1.46</v>
      </c>
    </row>
    <row r="496" spans="3:5" x14ac:dyDescent="0.2">
      <c r="C496" s="8" t="s">
        <v>1410</v>
      </c>
      <c r="D496" s="1">
        <v>35736979200</v>
      </c>
      <c r="E496" s="1">
        <f>VLOOKUP(C496,Nuclides!E:F,2,FALSE)</f>
        <v>1.05</v>
      </c>
    </row>
    <row r="497" spans="3:5" x14ac:dyDescent="0.2">
      <c r="C497" s="8" t="s">
        <v>1421</v>
      </c>
      <c r="D497" s="1">
        <v>7480175040</v>
      </c>
      <c r="E497" s="1">
        <f>VLOOKUP(C497,Nuclides!E:F,2,FALSE)</f>
        <v>7.4</v>
      </c>
    </row>
    <row r="498" spans="3:5" x14ac:dyDescent="0.2">
      <c r="C498" s="8" t="s">
        <v>1422</v>
      </c>
      <c r="D498" s="1">
        <v>1388537280</v>
      </c>
      <c r="E498" s="1">
        <f>VLOOKUP(C498,Nuclides!E:F,2,FALSE)</f>
        <v>17</v>
      </c>
    </row>
    <row r="499" spans="3:5" x14ac:dyDescent="0.2">
      <c r="C499" s="8" t="s">
        <v>1423</v>
      </c>
      <c r="D499" s="1">
        <v>167251968</v>
      </c>
      <c r="E499" s="1">
        <f>VLOOKUP(C499,Nuclides!E:F,2,FALSE)</f>
        <v>23</v>
      </c>
    </row>
    <row r="500" spans="3:5" x14ac:dyDescent="0.2">
      <c r="C500" s="8" t="s">
        <v>1424</v>
      </c>
      <c r="D500" s="1">
        <v>20035392</v>
      </c>
      <c r="E500" s="1">
        <f>VLOOKUP(C500,Nuclides!E:F,2,FALSE)</f>
        <v>75</v>
      </c>
    </row>
    <row r="501" spans="3:5" x14ac:dyDescent="0.2">
      <c r="C501" s="8" t="s">
        <v>1432</v>
      </c>
      <c r="D501" s="1">
        <v>1742207.9999999998</v>
      </c>
      <c r="E501" s="1">
        <f>VLOOKUP(C501,Nuclides!E:F,2,FALSE)</f>
        <v>137484</v>
      </c>
    </row>
    <row r="502" spans="3:5" x14ac:dyDescent="0.2">
      <c r="C502" s="8" t="s">
        <v>1433</v>
      </c>
      <c r="D502" s="1">
        <v>6097728.0000000009</v>
      </c>
      <c r="E502" s="1">
        <f>VLOOKUP(C502,Nuclides!E:F,2,FALSE)</f>
        <v>953.4</v>
      </c>
    </row>
    <row r="503" spans="3:5" hidden="1" x14ac:dyDescent="0.2">
      <c r="C503" s="8" t="s">
        <v>1434</v>
      </c>
      <c r="D503" s="1">
        <v>15679871.999999998</v>
      </c>
      <c r="E503" s="1" t="str">
        <f>VLOOKUP(C503,Nuclides!E:F,2,FALSE)</f>
        <v>STABLE</v>
      </c>
    </row>
    <row r="504" spans="3:5" x14ac:dyDescent="0.2">
      <c r="C504" s="8" t="s">
        <v>1435</v>
      </c>
      <c r="D504" s="1">
        <v>67075008</v>
      </c>
      <c r="E504" s="1">
        <f>VLOOKUP(C504,Nuclides!E:F,2,FALSE)</f>
        <v>235336.32000000001</v>
      </c>
    </row>
    <row r="505" spans="3:5" hidden="1" x14ac:dyDescent="0.2">
      <c r="C505" s="8" t="s">
        <v>1436</v>
      </c>
      <c r="D505" s="1">
        <v>328406208</v>
      </c>
      <c r="E505" s="1" t="str">
        <f>VLOOKUP(C505,Nuclides!E:F,2,FALSE)</f>
        <v>STABLE</v>
      </c>
    </row>
    <row r="506" spans="3:5" x14ac:dyDescent="0.2">
      <c r="C506" s="8" t="s">
        <v>1437</v>
      </c>
      <c r="D506" s="1">
        <v>908561472</v>
      </c>
      <c r="E506" s="1">
        <f>VLOOKUP(C506,Nuclides!E:F,2,FALSE)</f>
        <v>5201280</v>
      </c>
    </row>
    <row r="507" spans="3:5" x14ac:dyDescent="0.2">
      <c r="C507" s="8" t="s">
        <v>1438</v>
      </c>
      <c r="D507" s="1">
        <v>3348521280.0000005</v>
      </c>
      <c r="E507" s="1">
        <f>VLOOKUP(C507,Nuclides!E:F,2,FALSE)</f>
        <v>87053533.055999994</v>
      </c>
    </row>
    <row r="508" spans="3:5" x14ac:dyDescent="0.2">
      <c r="C508" s="8" t="s">
        <v>1439</v>
      </c>
      <c r="D508" s="1">
        <v>6999320640</v>
      </c>
      <c r="E508" s="1">
        <f>VLOOKUP(C508,Nuclides!E:F,2,FALSE)</f>
        <v>1067040</v>
      </c>
    </row>
    <row r="509" spans="3:5" x14ac:dyDescent="0.2">
      <c r="C509" s="8" t="s">
        <v>1440</v>
      </c>
      <c r="D509" s="1">
        <v>19197360000</v>
      </c>
      <c r="E509" s="1">
        <f>VLOOKUP(C509,Nuclides!E:F,2,FALSE)</f>
        <v>332640</v>
      </c>
    </row>
    <row r="510" spans="3:5" x14ac:dyDescent="0.2">
      <c r="C510" s="8" t="s">
        <v>1441</v>
      </c>
      <c r="D510" s="1">
        <v>35257872000</v>
      </c>
      <c r="E510" s="1">
        <f>VLOOKUP(C510,Nuclides!E:F,2,FALSE)</f>
        <v>32580</v>
      </c>
    </row>
    <row r="511" spans="3:5" x14ac:dyDescent="0.2">
      <c r="C511" s="8" t="s">
        <v>1442</v>
      </c>
      <c r="D511" s="1">
        <v>86647891200</v>
      </c>
      <c r="E511" s="1">
        <f>VLOOKUP(C511,Nuclides!E:F,2,FALSE)</f>
        <v>15717.5999999999</v>
      </c>
    </row>
    <row r="512" spans="3:5" x14ac:dyDescent="0.2">
      <c r="C512" s="8" t="s">
        <v>1443</v>
      </c>
      <c r="D512" s="1">
        <v>162626880000</v>
      </c>
      <c r="E512" s="1">
        <f>VLOOKUP(C512,Nuclides!E:F,2,FALSE)</f>
        <v>2370</v>
      </c>
    </row>
    <row r="513" spans="3:5" x14ac:dyDescent="0.2">
      <c r="C513" s="8" t="s">
        <v>1444</v>
      </c>
      <c r="D513" s="1">
        <v>361209888000</v>
      </c>
      <c r="E513" s="1">
        <f>VLOOKUP(C513,Nuclides!E:F,2,FALSE)</f>
        <v>1381.8</v>
      </c>
    </row>
    <row r="514" spans="3:5" x14ac:dyDescent="0.2">
      <c r="C514" s="8" t="s">
        <v>1445</v>
      </c>
      <c r="D514" s="1">
        <v>501018335999.99994</v>
      </c>
      <c r="E514" s="1">
        <f>VLOOKUP(C514,Nuclides!E:F,2,FALSE)</f>
        <v>167.4</v>
      </c>
    </row>
    <row r="515" spans="3:5" x14ac:dyDescent="0.2">
      <c r="C515" s="8" t="s">
        <v>1446</v>
      </c>
      <c r="D515" s="1">
        <v>663093600000</v>
      </c>
      <c r="E515" s="1">
        <f>VLOOKUP(C515,Nuclides!E:F,2,FALSE)</f>
        <v>140.39999999999901</v>
      </c>
    </row>
    <row r="516" spans="3:5" x14ac:dyDescent="0.2">
      <c r="C516" s="8" t="s">
        <v>1447</v>
      </c>
      <c r="D516" s="1">
        <v>370498752000</v>
      </c>
      <c r="E516" s="1">
        <f>VLOOKUP(C516,Nuclides!E:F,2,FALSE)</f>
        <v>0.78</v>
      </c>
    </row>
    <row r="517" spans="3:5" x14ac:dyDescent="0.2">
      <c r="C517" s="8" t="s">
        <v>1448</v>
      </c>
      <c r="D517" s="1">
        <v>225446208000</v>
      </c>
      <c r="E517" s="1">
        <f>VLOOKUP(C517,Nuclides!E:F,2,FALSE)</f>
        <v>1.679</v>
      </c>
    </row>
    <row r="518" spans="3:5" x14ac:dyDescent="0.2">
      <c r="C518" s="8" t="s">
        <v>1449</v>
      </c>
      <c r="D518" s="1">
        <v>70393939200</v>
      </c>
      <c r="E518" s="1">
        <f>VLOOKUP(C518,Nuclides!E:F,2,FALSE)</f>
        <v>0.92300000000000004</v>
      </c>
    </row>
    <row r="519" spans="3:5" x14ac:dyDescent="0.2">
      <c r="C519" s="8" t="s">
        <v>1455</v>
      </c>
      <c r="D519" s="1">
        <v>22953590400</v>
      </c>
      <c r="E519" s="1">
        <f>VLOOKUP(C519,Nuclides!E:F,2,FALSE)</f>
        <v>6.9999999999999994E-5</v>
      </c>
    </row>
    <row r="520" spans="3:5" x14ac:dyDescent="0.2">
      <c r="C520" s="8" t="s">
        <v>1456</v>
      </c>
      <c r="D520" s="1">
        <v>4269283200</v>
      </c>
      <c r="E520" s="1">
        <f>VLOOKUP(C520,Nuclides!E:F,2,FALSE)</f>
        <v>3.0999999999999999E-3</v>
      </c>
    </row>
    <row r="521" spans="3:5" x14ac:dyDescent="0.2">
      <c r="C521" s="8" t="s">
        <v>1457</v>
      </c>
      <c r="D521" s="1">
        <v>775282560.00000012</v>
      </c>
      <c r="E521" s="1">
        <f>VLOOKUP(C521,Nuclides!E:F,2,FALSE)</f>
        <v>2.1</v>
      </c>
    </row>
    <row r="522" spans="3:5" x14ac:dyDescent="0.2">
      <c r="C522" s="8" t="s">
        <v>1458</v>
      </c>
      <c r="D522" s="1">
        <v>88852608</v>
      </c>
      <c r="E522" s="1">
        <f>VLOOKUP(C522,Nuclides!E:F,2,FALSE)</f>
        <v>4.5999999999999996</v>
      </c>
    </row>
    <row r="523" spans="3:5" x14ac:dyDescent="0.2">
      <c r="C523" s="8" t="s">
        <v>1459</v>
      </c>
      <c r="D523" s="1">
        <v>9582144</v>
      </c>
      <c r="E523" s="1">
        <f>VLOOKUP(C523,Nuclides!E:F,2,FALSE)</f>
        <v>18.600000000000001</v>
      </c>
    </row>
    <row r="524" spans="3:5" hidden="1" x14ac:dyDescent="0.2">
      <c r="C524" s="8" t="s">
        <v>1469</v>
      </c>
      <c r="D524" s="1">
        <v>871103.99999999988</v>
      </c>
      <c r="E524" s="1" t="str">
        <f>VLOOKUP(C524,Nuclides!E:F,2,FALSE)</f>
        <v>STABLE</v>
      </c>
    </row>
    <row r="525" spans="3:5" x14ac:dyDescent="0.2">
      <c r="C525" s="8" t="s">
        <v>1470</v>
      </c>
      <c r="D525" s="1">
        <v>1742207.9999999998</v>
      </c>
      <c r="E525" s="1">
        <f>VLOOKUP(C525,Nuclides!E:F,2,FALSE)</f>
        <v>1656288</v>
      </c>
    </row>
    <row r="526" spans="3:5" x14ac:dyDescent="0.2">
      <c r="C526" s="8" t="s">
        <v>1472</v>
      </c>
      <c r="D526" s="1">
        <v>4355520</v>
      </c>
      <c r="E526" s="1">
        <f>VLOOKUP(C526,Nuclides!E:F,2,FALSE)</f>
        <v>2.9032991999999999E+24</v>
      </c>
    </row>
    <row r="527" spans="3:5" hidden="1" x14ac:dyDescent="0.2">
      <c r="C527" s="8" t="s">
        <v>1473</v>
      </c>
      <c r="D527" s="1">
        <v>21777600</v>
      </c>
      <c r="E527" s="1" t="str">
        <f>VLOOKUP(C527,Nuclides!E:F,2,FALSE)</f>
        <v>STABLE</v>
      </c>
    </row>
    <row r="528" spans="3:5" hidden="1" x14ac:dyDescent="0.2">
      <c r="C528" s="8" t="s">
        <v>1474</v>
      </c>
      <c r="D528" s="1">
        <v>90594816</v>
      </c>
      <c r="E528" s="1" t="str">
        <f>VLOOKUP(C528,Nuclides!E:F,2,FALSE)</f>
        <v>STABLE</v>
      </c>
    </row>
    <row r="529" spans="3:5" hidden="1" x14ac:dyDescent="0.2">
      <c r="C529" s="8" t="s">
        <v>1475</v>
      </c>
      <c r="D529" s="1">
        <v>542697792</v>
      </c>
      <c r="E529" s="1" t="str">
        <f>VLOOKUP(C529,Nuclides!E:F,2,FALSE)</f>
        <v>STABLE</v>
      </c>
    </row>
    <row r="530" spans="3:5" x14ac:dyDescent="0.2">
      <c r="C530" s="8" t="s">
        <v>1476</v>
      </c>
      <c r="D530" s="1">
        <v>1620253439.9999998</v>
      </c>
      <c r="E530" s="1">
        <f>VLOOKUP(C530,Nuclides!E:F,2,FALSE)</f>
        <v>33660</v>
      </c>
    </row>
    <row r="531" spans="3:5" x14ac:dyDescent="0.2">
      <c r="C531" s="8" t="s">
        <v>1477</v>
      </c>
      <c r="D531" s="1">
        <v>6691825919.999999</v>
      </c>
      <c r="E531" s="1">
        <f>VLOOKUP(C531,Nuclides!E:F,2,FALSE)</f>
        <v>7.6053815999999996E+31</v>
      </c>
    </row>
    <row r="532" spans="3:5" x14ac:dyDescent="0.2">
      <c r="C532" s="8" t="s">
        <v>1478</v>
      </c>
      <c r="D532" s="1">
        <v>17267952000</v>
      </c>
      <c r="E532" s="1">
        <f>VLOOKUP(C532,Nuclides!E:F,2,FALSE)</f>
        <v>4194</v>
      </c>
    </row>
    <row r="533" spans="3:5" x14ac:dyDescent="0.2">
      <c r="C533" s="8" t="s">
        <v>1479</v>
      </c>
      <c r="D533" s="1">
        <v>51139046400</v>
      </c>
      <c r="E533" s="1">
        <f>VLOOKUP(C533,Nuclides!E:F,2,FALSE)</f>
        <v>9.46728E+31</v>
      </c>
    </row>
    <row r="534" spans="3:5" x14ac:dyDescent="0.2">
      <c r="C534" s="8" t="s">
        <v>1480</v>
      </c>
      <c r="D534" s="1">
        <v>120166176000</v>
      </c>
      <c r="E534" s="1">
        <f>VLOOKUP(C534,Nuclides!E:F,2,FALSE)</f>
        <v>1500</v>
      </c>
    </row>
    <row r="535" spans="3:5" x14ac:dyDescent="0.2">
      <c r="C535" s="8" t="s">
        <v>1481</v>
      </c>
      <c r="D535" s="1">
        <v>280006272000</v>
      </c>
      <c r="E535" s="1">
        <f>VLOOKUP(C535,Nuclides!E:F,2,FALSE)</f>
        <v>276825.59999999998</v>
      </c>
    </row>
    <row r="536" spans="3:5" x14ac:dyDescent="0.2">
      <c r="C536" s="8" t="s">
        <v>1482</v>
      </c>
      <c r="D536" s="1">
        <v>529476479999.99994</v>
      </c>
      <c r="E536" s="1">
        <f>VLOOKUP(C536,Nuclides!E:F,2,FALSE)</f>
        <v>750</v>
      </c>
    </row>
    <row r="537" spans="3:5" x14ac:dyDescent="0.2">
      <c r="C537" s="8" t="s">
        <v>1483</v>
      </c>
      <c r="D537" s="1">
        <v>908566464000</v>
      </c>
      <c r="E537" s="1">
        <f>VLOOKUP(C537,Nuclides!E:F,2,FALSE)</f>
        <v>2508</v>
      </c>
    </row>
    <row r="538" spans="3:5" x14ac:dyDescent="0.2">
      <c r="C538" s="8" t="s">
        <v>1484</v>
      </c>
      <c r="D538" s="1">
        <v>868971168000</v>
      </c>
      <c r="E538" s="1">
        <f>VLOOKUP(C538,Nuclides!E:F,2,FALSE)</f>
        <v>19</v>
      </c>
    </row>
    <row r="539" spans="3:5" x14ac:dyDescent="0.2">
      <c r="C539" s="8" t="s">
        <v>1485</v>
      </c>
      <c r="D539" s="1">
        <v>707370144000</v>
      </c>
      <c r="E539" s="1">
        <f>VLOOKUP(C539,Nuclides!E:F,2,FALSE)</f>
        <v>17.63</v>
      </c>
    </row>
    <row r="540" spans="3:5" x14ac:dyDescent="0.2">
      <c r="C540" s="8" t="s">
        <v>1486</v>
      </c>
      <c r="D540" s="1">
        <v>353785536000</v>
      </c>
      <c r="E540" s="1">
        <f>VLOOKUP(C540,Nuclides!E:F,2,FALSE)</f>
        <v>2.4900000000000002</v>
      </c>
    </row>
    <row r="541" spans="3:5" x14ac:dyDescent="0.2">
      <c r="C541" s="8" t="s">
        <v>1487</v>
      </c>
      <c r="D541" s="1">
        <v>155963808000</v>
      </c>
      <c r="E541" s="1">
        <f>VLOOKUP(C541,Nuclides!E:F,2,FALSE)</f>
        <v>1.4</v>
      </c>
    </row>
    <row r="542" spans="3:5" x14ac:dyDescent="0.2">
      <c r="C542" s="8" t="s">
        <v>1494</v>
      </c>
      <c r="D542" s="1">
        <v>36541939200</v>
      </c>
      <c r="E542" s="1">
        <f>VLOOKUP(C542,Nuclides!E:F,2,FALSE)</f>
        <v>0.65</v>
      </c>
    </row>
    <row r="543" spans="3:5" x14ac:dyDescent="0.2">
      <c r="C543" s="8" t="s">
        <v>1495</v>
      </c>
      <c r="D543" s="1">
        <v>8885260800</v>
      </c>
      <c r="E543" s="1">
        <f>VLOOKUP(C543,Nuclides!E:F,2,FALSE)</f>
        <v>2.5</v>
      </c>
    </row>
    <row r="544" spans="3:5" x14ac:dyDescent="0.2">
      <c r="C544" s="8" t="s">
        <v>1496</v>
      </c>
      <c r="D544" s="1">
        <v>1207350144</v>
      </c>
      <c r="E544" s="1">
        <f>VLOOKUP(C544,Nuclides!E:F,2,FALSE)</f>
        <v>3.34</v>
      </c>
    </row>
    <row r="545" spans="3:5" x14ac:dyDescent="0.2">
      <c r="C545" s="8" t="s">
        <v>1497</v>
      </c>
      <c r="D545" s="1">
        <v>139376640</v>
      </c>
      <c r="E545" s="1">
        <f>VLOOKUP(C545,Nuclides!E:F,2,FALSE)</f>
        <v>6.6</v>
      </c>
    </row>
    <row r="546" spans="3:5" x14ac:dyDescent="0.2">
      <c r="C546" s="8" t="s">
        <v>1498</v>
      </c>
      <c r="D546" s="1">
        <v>6968831.9999999991</v>
      </c>
      <c r="E546" s="1">
        <f>VLOOKUP(C546,Nuclides!E:F,2,FALSE)</f>
        <v>2.1</v>
      </c>
    </row>
    <row r="547" spans="3:5" x14ac:dyDescent="0.2">
      <c r="C547" s="8" t="s">
        <v>1510</v>
      </c>
      <c r="D547" s="1">
        <v>2613312</v>
      </c>
      <c r="E547" s="1">
        <f>VLOOKUP(C547,Nuclides!E:F,2,FALSE)</f>
        <v>1117152</v>
      </c>
    </row>
    <row r="548" spans="3:5" hidden="1" x14ac:dyDescent="0.2">
      <c r="C548" s="8" t="s">
        <v>1511</v>
      </c>
      <c r="D548" s="1">
        <v>28746432</v>
      </c>
      <c r="E548" s="1" t="str">
        <f>VLOOKUP(C548,Nuclides!E:F,2,FALSE)</f>
        <v>STABLE</v>
      </c>
    </row>
    <row r="549" spans="3:5" x14ac:dyDescent="0.2">
      <c r="C549" s="8" t="s">
        <v>1512</v>
      </c>
      <c r="D549" s="1">
        <v>155056512</v>
      </c>
      <c r="E549" s="1">
        <f>VLOOKUP(C549,Nuclides!E:F,2,FALSE)</f>
        <v>1499.3999999999901</v>
      </c>
    </row>
    <row r="550" spans="3:5" x14ac:dyDescent="0.2">
      <c r="C550" s="8" t="s">
        <v>1513</v>
      </c>
      <c r="D550" s="1">
        <v>871104000</v>
      </c>
      <c r="E550" s="1">
        <f>VLOOKUP(C550,Nuclides!E:F,2,FALSE)</f>
        <v>495454320000000</v>
      </c>
    </row>
    <row r="551" spans="3:5" x14ac:dyDescent="0.2">
      <c r="C551" s="8" t="s">
        <v>1514</v>
      </c>
      <c r="D551" s="1">
        <v>2850257280</v>
      </c>
      <c r="E551" s="1">
        <f>VLOOKUP(C551,Nuclides!E:F,2,FALSE)</f>
        <v>44496</v>
      </c>
    </row>
    <row r="552" spans="3:5" x14ac:dyDescent="0.2">
      <c r="C552" s="8" t="s">
        <v>1515</v>
      </c>
      <c r="D552" s="1">
        <v>11248560960</v>
      </c>
      <c r="E552" s="1">
        <f>VLOOKUP(C552,Nuclides!E:F,2,FALSE)</f>
        <v>693377.28</v>
      </c>
    </row>
    <row r="553" spans="3:5" x14ac:dyDescent="0.2">
      <c r="C553" s="8" t="s">
        <v>1516</v>
      </c>
      <c r="D553" s="1">
        <v>29765673600</v>
      </c>
      <c r="E553" s="1">
        <f>VLOOKUP(C553,Nuclides!E:F,2,FALSE)</f>
        <v>8262</v>
      </c>
    </row>
    <row r="554" spans="3:5" x14ac:dyDescent="0.2">
      <c r="C554" s="8" t="s">
        <v>1517</v>
      </c>
      <c r="D554" s="1">
        <v>96459043200</v>
      </c>
      <c r="E554" s="1">
        <f>VLOOKUP(C554,Nuclides!E:F,2,FALSE)</f>
        <v>74988</v>
      </c>
    </row>
    <row r="555" spans="3:5" x14ac:dyDescent="0.2">
      <c r="C555" s="8" t="s">
        <v>1518</v>
      </c>
      <c r="D555" s="1">
        <v>238376736000.00003</v>
      </c>
      <c r="E555" s="1">
        <f>VLOOKUP(C555,Nuclides!E:F,2,FALSE)</f>
        <v>3150</v>
      </c>
    </row>
    <row r="556" spans="3:5" x14ac:dyDescent="0.2">
      <c r="C556" s="8" t="s">
        <v>1519</v>
      </c>
      <c r="D556" s="1">
        <v>621159552000</v>
      </c>
      <c r="E556" s="1">
        <f>VLOOKUP(C556,Nuclides!E:F,2,FALSE)</f>
        <v>23688</v>
      </c>
    </row>
    <row r="557" spans="3:5" x14ac:dyDescent="0.2">
      <c r="C557" s="8" t="s">
        <v>1520</v>
      </c>
      <c r="D557" s="1">
        <v>728004576000</v>
      </c>
      <c r="E557" s="1">
        <f>VLOOKUP(C557,Nuclides!E:F,2,FALSE)</f>
        <v>83.4</v>
      </c>
    </row>
    <row r="558" spans="3:5" x14ac:dyDescent="0.2">
      <c r="C558" s="8" t="s">
        <v>1521</v>
      </c>
      <c r="D558" s="1">
        <v>886338336000</v>
      </c>
      <c r="E558" s="1">
        <f>VLOOKUP(C558,Nuclides!E:F,2,FALSE)</f>
        <v>24.5</v>
      </c>
    </row>
    <row r="559" spans="3:5" x14ac:dyDescent="0.2">
      <c r="C559" s="8" t="s">
        <v>1522</v>
      </c>
      <c r="D559" s="1">
        <v>564061056000</v>
      </c>
      <c r="E559" s="1">
        <f>VLOOKUP(C559,Nuclides!E:F,2,FALSE)</f>
        <v>6.23</v>
      </c>
    </row>
    <row r="560" spans="3:5" x14ac:dyDescent="0.2">
      <c r="C560" s="8" t="s">
        <v>1523</v>
      </c>
      <c r="D560" s="1">
        <v>450257184000.00006</v>
      </c>
      <c r="E560" s="1">
        <f>VLOOKUP(C560,Nuclides!E:F,2,FALSE)</f>
        <v>2.2799999999999998</v>
      </c>
    </row>
    <row r="561" spans="3:5" x14ac:dyDescent="0.2">
      <c r="C561" s="8" t="s">
        <v>1524</v>
      </c>
      <c r="D561" s="1">
        <v>175372704000</v>
      </c>
      <c r="E561" s="1">
        <f>VLOOKUP(C561,Nuclides!E:F,2,FALSE)</f>
        <v>0.86</v>
      </c>
    </row>
    <row r="562" spans="3:5" x14ac:dyDescent="0.2">
      <c r="C562" s="8" t="s">
        <v>1525</v>
      </c>
      <c r="D562" s="1">
        <v>74227670400</v>
      </c>
      <c r="E562" s="1">
        <f>VLOOKUP(C562,Nuclides!E:F,2,FALSE)</f>
        <v>0.43</v>
      </c>
    </row>
    <row r="563" spans="3:5" x14ac:dyDescent="0.2">
      <c r="C563" s="8" t="s">
        <v>1526</v>
      </c>
      <c r="D563" s="1">
        <v>16363651200</v>
      </c>
      <c r="E563" s="1">
        <f>VLOOKUP(C563,Nuclides!E:F,2,FALSE)</f>
        <v>0.222</v>
      </c>
    </row>
    <row r="564" spans="3:5" x14ac:dyDescent="0.2">
      <c r="C564" s="8" t="s">
        <v>1531</v>
      </c>
      <c r="D564" s="1">
        <v>3852888000</v>
      </c>
      <c r="E564" s="1">
        <f>VLOOKUP(C564,Nuclides!E:F,2,FALSE)</f>
        <v>9.2999999999999999E-2</v>
      </c>
    </row>
    <row r="565" spans="3:5" x14ac:dyDescent="0.2">
      <c r="C565" s="8" t="s">
        <v>1532</v>
      </c>
      <c r="D565" s="1">
        <v>531373440</v>
      </c>
      <c r="E565" s="1">
        <f>VLOOKUP(C565,Nuclides!E:F,2,FALSE)</f>
        <v>0.81</v>
      </c>
    </row>
    <row r="566" spans="3:5" x14ac:dyDescent="0.2">
      <c r="C566" s="8" t="s">
        <v>1533</v>
      </c>
      <c r="D566" s="1">
        <v>64461696.000000007</v>
      </c>
      <c r="E566" s="1">
        <f>VLOOKUP(C566,Nuclides!E:F,2,FALSE)</f>
        <v>2.7</v>
      </c>
    </row>
    <row r="567" spans="3:5" x14ac:dyDescent="0.2">
      <c r="C567" s="8" t="s">
        <v>1534</v>
      </c>
      <c r="D567" s="1">
        <v>5226624</v>
      </c>
      <c r="E567" s="1">
        <f>VLOOKUP(C567,Nuclides!E:F,2,FALSE)</f>
        <v>2.74</v>
      </c>
    </row>
    <row r="568" spans="3:5" x14ac:dyDescent="0.2">
      <c r="C568" s="8" t="s">
        <v>1535</v>
      </c>
      <c r="D568" s="1">
        <v>871103.99999999988</v>
      </c>
      <c r="E568" s="1">
        <f>VLOOKUP(C568,Nuclides!E:F,2,FALSE)</f>
        <v>10</v>
      </c>
    </row>
    <row r="569" spans="3:5" hidden="1" x14ac:dyDescent="0.2">
      <c r="C569" s="8" t="s">
        <v>1549</v>
      </c>
      <c r="D569" s="1">
        <v>871103.99999999988</v>
      </c>
      <c r="E569" s="1" t="str">
        <f>VLOOKUP(C569,Nuclides!E:F,2,FALSE)</f>
        <v>STABLE</v>
      </c>
    </row>
    <row r="570" spans="3:5" hidden="1" x14ac:dyDescent="0.2">
      <c r="C570" s="8" t="s">
        <v>1550</v>
      </c>
      <c r="D570" s="1">
        <v>16550976</v>
      </c>
      <c r="E570" s="1" t="str">
        <f>VLOOKUP(C570,Nuclides!E:F,2,FALSE)</f>
        <v>STABLE</v>
      </c>
    </row>
    <row r="571" spans="3:5" hidden="1" x14ac:dyDescent="0.2">
      <c r="C571" s="8" t="s">
        <v>1551</v>
      </c>
      <c r="D571" s="1">
        <v>106274688</v>
      </c>
      <c r="E571" s="1" t="str">
        <f>VLOOKUP(C571,Nuclides!E:F,2,FALSE)</f>
        <v>STABLE</v>
      </c>
    </row>
    <row r="572" spans="3:5" hidden="1" x14ac:dyDescent="0.2">
      <c r="C572" s="8" t="s">
        <v>1552</v>
      </c>
      <c r="D572" s="1">
        <v>525275712</v>
      </c>
      <c r="E572" s="1" t="str">
        <f>VLOOKUP(C572,Nuclides!E:F,2,FALSE)</f>
        <v>STABLE</v>
      </c>
    </row>
    <row r="573" spans="3:5" hidden="1" x14ac:dyDescent="0.2">
      <c r="C573" s="8" t="s">
        <v>1553</v>
      </c>
      <c r="D573" s="1">
        <v>2947813440</v>
      </c>
      <c r="E573" s="1" t="str">
        <f>VLOOKUP(C573,Nuclides!E:F,2,FALSE)</f>
        <v>STABLE</v>
      </c>
    </row>
    <row r="574" spans="3:5" x14ac:dyDescent="0.2">
      <c r="C574" s="8" t="s">
        <v>1554</v>
      </c>
      <c r="D574" s="1">
        <v>9596084160</v>
      </c>
      <c r="E574" s="1">
        <f>VLOOKUP(C574,Nuclides!E:F,2,FALSE)</f>
        <v>453383.99999999901</v>
      </c>
    </row>
    <row r="575" spans="3:5" x14ac:dyDescent="0.2">
      <c r="C575" s="8" t="s">
        <v>1555</v>
      </c>
      <c r="D575" s="1">
        <v>33811065600</v>
      </c>
      <c r="E575" s="1">
        <f>VLOOKUP(C575,Nuclides!E:F,2,FALSE)</f>
        <v>1.8303407999999899E+30</v>
      </c>
    </row>
    <row r="576" spans="3:5" x14ac:dyDescent="0.2">
      <c r="C576" s="8" t="s">
        <v>1556</v>
      </c>
      <c r="D576" s="1">
        <v>90988560000</v>
      </c>
      <c r="E576" s="1">
        <f>VLOOKUP(C576,Nuclides!E:F,2,FALSE)</f>
        <v>32904</v>
      </c>
    </row>
    <row r="577" spans="3:5" x14ac:dyDescent="0.2">
      <c r="C577" s="8" t="s">
        <v>1557</v>
      </c>
      <c r="D577" s="1">
        <v>254514624000</v>
      </c>
      <c r="E577" s="1">
        <f>VLOOKUP(C577,Nuclides!E:F,2,FALSE)</f>
        <v>7.573824E+28</v>
      </c>
    </row>
    <row r="578" spans="3:5" x14ac:dyDescent="0.2">
      <c r="C578" s="8" t="s">
        <v>1558</v>
      </c>
      <c r="D578" s="1">
        <v>466489920000.00006</v>
      </c>
      <c r="E578" s="1">
        <f>VLOOKUP(C578,Nuclides!E:F,2,FALSE)</f>
        <v>229.08</v>
      </c>
    </row>
    <row r="579" spans="3:5" x14ac:dyDescent="0.2">
      <c r="C579" s="8" t="s">
        <v>1559</v>
      </c>
      <c r="D579" s="1">
        <v>741945984000</v>
      </c>
      <c r="E579" s="1">
        <f>VLOOKUP(C579,Nuclides!E:F,2,FALSE)</f>
        <v>848.4</v>
      </c>
    </row>
    <row r="580" spans="3:5" x14ac:dyDescent="0.2">
      <c r="C580" s="8" t="s">
        <v>1560</v>
      </c>
      <c r="D580" s="1">
        <v>823568928000.00012</v>
      </c>
      <c r="E580" s="1">
        <f>VLOOKUP(C580,Nuclides!E:F,2,FALSE)</f>
        <v>39.68</v>
      </c>
    </row>
    <row r="581" spans="3:5" x14ac:dyDescent="0.2">
      <c r="C581" s="8" t="s">
        <v>1561</v>
      </c>
      <c r="D581" s="1">
        <v>824496192000</v>
      </c>
      <c r="E581" s="1">
        <f>VLOOKUP(C581,Nuclides!E:F,2,FALSE)</f>
        <v>13.6</v>
      </c>
    </row>
    <row r="582" spans="3:5" x14ac:dyDescent="0.2">
      <c r="C582" s="8" t="s">
        <v>1562</v>
      </c>
      <c r="D582" s="1">
        <v>556274784000</v>
      </c>
      <c r="E582" s="1">
        <f>VLOOKUP(C582,Nuclides!E:F,2,FALSE)</f>
        <v>1.73</v>
      </c>
    </row>
    <row r="583" spans="3:5" x14ac:dyDescent="0.2">
      <c r="C583" s="8" t="s">
        <v>1563</v>
      </c>
      <c r="D583" s="1">
        <v>319549152000</v>
      </c>
      <c r="E583" s="1">
        <f>VLOOKUP(C583,Nuclides!E:F,2,FALSE)</f>
        <v>1.23</v>
      </c>
    </row>
    <row r="584" spans="3:5" x14ac:dyDescent="0.2">
      <c r="C584" s="8" t="s">
        <v>1564</v>
      </c>
      <c r="D584" s="1">
        <v>112155513600</v>
      </c>
      <c r="E584" s="1">
        <f>VLOOKUP(C584,Nuclides!E:F,2,FALSE)</f>
        <v>0.51100000000000001</v>
      </c>
    </row>
    <row r="585" spans="3:5" x14ac:dyDescent="0.2">
      <c r="C585" s="8" t="s">
        <v>1565</v>
      </c>
      <c r="D585" s="1">
        <v>35647372800</v>
      </c>
      <c r="E585" s="1">
        <f>VLOOKUP(C585,Nuclides!E:F,2,FALSE)</f>
        <v>0.38800000000000001</v>
      </c>
    </row>
    <row r="586" spans="3:5" x14ac:dyDescent="0.2">
      <c r="C586" s="8" t="s">
        <v>1566</v>
      </c>
      <c r="D586" s="1">
        <v>6312022080</v>
      </c>
      <c r="E586" s="1">
        <f>VLOOKUP(C586,Nuclides!E:F,2,FALSE)</f>
        <v>0.188</v>
      </c>
    </row>
    <row r="587" spans="3:5" x14ac:dyDescent="0.2">
      <c r="C587" s="8" t="s">
        <v>1572</v>
      </c>
      <c r="D587" s="1">
        <v>1168150464</v>
      </c>
      <c r="E587" s="1">
        <f>VLOOKUP(C587,Nuclides!E:F,2,FALSE)</f>
        <v>0.56999999999999995</v>
      </c>
    </row>
    <row r="588" spans="3:5" x14ac:dyDescent="0.2">
      <c r="C588" s="8" t="s">
        <v>1573</v>
      </c>
      <c r="D588" s="1">
        <v>90594816</v>
      </c>
      <c r="E588" s="1">
        <f>VLOOKUP(C588,Nuclides!E:F,2,FALSE)</f>
        <v>1.4</v>
      </c>
    </row>
    <row r="589" spans="3:5" x14ac:dyDescent="0.2">
      <c r="C589" s="8" t="s">
        <v>1574</v>
      </c>
      <c r="D589" s="1">
        <v>9582144</v>
      </c>
      <c r="E589" s="1">
        <f>VLOOKUP(C589,Nuclides!E:F,2,FALSE)</f>
        <v>0.7</v>
      </c>
    </row>
    <row r="590" spans="3:5" x14ac:dyDescent="0.2">
      <c r="C590" s="8" t="s">
        <v>1588</v>
      </c>
      <c r="D590" s="1">
        <v>871103.99999999988</v>
      </c>
      <c r="E590" s="1">
        <f>VLOOKUP(C590,Nuclides!E:F,2,FALSE)</f>
        <v>1752.6</v>
      </c>
    </row>
    <row r="591" spans="3:5" x14ac:dyDescent="0.2">
      <c r="C591" s="8" t="s">
        <v>1589</v>
      </c>
      <c r="D591" s="1">
        <v>4355520</v>
      </c>
      <c r="E591" s="1">
        <f>VLOOKUP(C591,Nuclides!E:F,2,FALSE)</f>
        <v>837129.6</v>
      </c>
    </row>
    <row r="592" spans="3:5" x14ac:dyDescent="0.2">
      <c r="C592" s="8" t="s">
        <v>1590</v>
      </c>
      <c r="D592" s="1">
        <v>31359743.999999996</v>
      </c>
      <c r="E592" s="1">
        <f>VLOOKUP(C592,Nuclides!E:F,2,FALSE)</f>
        <v>559872</v>
      </c>
    </row>
    <row r="593" spans="3:5" hidden="1" x14ac:dyDescent="0.2">
      <c r="C593" s="8" t="s">
        <v>1591</v>
      </c>
      <c r="D593" s="1">
        <v>176834112</v>
      </c>
      <c r="E593" s="1" t="str">
        <f>VLOOKUP(C593,Nuclides!E:F,2,FALSE)</f>
        <v>STABLE</v>
      </c>
    </row>
    <row r="594" spans="3:5" x14ac:dyDescent="0.2">
      <c r="C594" s="8" t="s">
        <v>1592</v>
      </c>
      <c r="D594" s="1">
        <v>834517632</v>
      </c>
      <c r="E594" s="1">
        <f>VLOOKUP(C594,Nuclides!E:F,2,FALSE)</f>
        <v>65172755.519999899</v>
      </c>
    </row>
    <row r="595" spans="3:5" x14ac:dyDescent="0.2">
      <c r="C595" s="8" t="s">
        <v>1593</v>
      </c>
      <c r="D595" s="1">
        <v>4158648000</v>
      </c>
      <c r="E595" s="1">
        <f>VLOOKUP(C595,Nuclides!E:F,2,FALSE)</f>
        <v>72582480000000</v>
      </c>
    </row>
    <row r="596" spans="3:5" x14ac:dyDescent="0.2">
      <c r="C596" s="8" t="s">
        <v>1594</v>
      </c>
      <c r="D596" s="1">
        <v>14763465600</v>
      </c>
      <c r="E596" s="1">
        <f>VLOOKUP(C596,Nuclides!E:F,2,FALSE)</f>
        <v>1126656</v>
      </c>
    </row>
    <row r="597" spans="3:5" x14ac:dyDescent="0.2">
      <c r="C597" s="8" t="s">
        <v>1595</v>
      </c>
      <c r="D597" s="1">
        <v>61320479999.999992</v>
      </c>
      <c r="E597" s="1">
        <f>VLOOKUP(C597,Nuclides!E:F,2,FALSE)</f>
        <v>949252608</v>
      </c>
    </row>
    <row r="598" spans="3:5" x14ac:dyDescent="0.2">
      <c r="C598" s="8" t="s">
        <v>1596</v>
      </c>
      <c r="D598" s="1">
        <v>133569696000</v>
      </c>
      <c r="E598" s="1">
        <f>VLOOKUP(C598,Nuclides!E:F,2,FALSE)</f>
        <v>2004.6</v>
      </c>
    </row>
    <row r="599" spans="3:5" x14ac:dyDescent="0.2">
      <c r="C599" s="8" t="s">
        <v>1597</v>
      </c>
      <c r="D599" s="1">
        <v>311110176000</v>
      </c>
      <c r="E599" s="1">
        <f>VLOOKUP(C599,Nuclides!E:F,2,FALSE)</f>
        <v>556.19999999999902</v>
      </c>
    </row>
    <row r="600" spans="3:5" x14ac:dyDescent="0.2">
      <c r="C600" s="8" t="s">
        <v>1598</v>
      </c>
      <c r="D600" s="1">
        <v>424580832000</v>
      </c>
      <c r="E600" s="1">
        <f>VLOOKUP(C600,Nuclides!E:F,2,FALSE)</f>
        <v>63.7</v>
      </c>
    </row>
    <row r="601" spans="3:5" x14ac:dyDescent="0.2">
      <c r="C601" s="8" t="s">
        <v>1599</v>
      </c>
      <c r="D601" s="1">
        <v>673669152000</v>
      </c>
      <c r="E601" s="1">
        <f>VLOOKUP(C601,Nuclides!E:F,2,FALSE)</f>
        <v>24.84</v>
      </c>
    </row>
    <row r="602" spans="3:5" x14ac:dyDescent="0.2">
      <c r="C602" s="8" t="s">
        <v>1600</v>
      </c>
      <c r="D602" s="1">
        <v>596044800000</v>
      </c>
      <c r="E602" s="1">
        <f>VLOOKUP(C602,Nuclides!E:F,2,FALSE)</f>
        <v>1.6839999999999999</v>
      </c>
    </row>
    <row r="603" spans="3:5" x14ac:dyDescent="0.2">
      <c r="C603" s="8" t="s">
        <v>1601</v>
      </c>
      <c r="D603" s="1">
        <v>522960671999.99994</v>
      </c>
      <c r="E603" s="1">
        <f>VLOOKUP(C603,Nuclides!E:F,2,FALSE)</f>
        <v>1.7909999999999999</v>
      </c>
    </row>
    <row r="604" spans="3:5" x14ac:dyDescent="0.2">
      <c r="C604" s="8" t="s">
        <v>1602</v>
      </c>
      <c r="D604" s="1">
        <v>269030112000</v>
      </c>
      <c r="E604" s="1">
        <f>VLOOKUP(C604,Nuclides!E:F,2,FALSE)</f>
        <v>0.99399999999999999</v>
      </c>
    </row>
    <row r="605" spans="3:5" x14ac:dyDescent="0.2">
      <c r="C605" s="8" t="s">
        <v>1603</v>
      </c>
      <c r="D605" s="1">
        <v>139127040000</v>
      </c>
      <c r="E605" s="1">
        <f>VLOOKUP(C605,Nuclides!E:F,2,FALSE)</f>
        <v>0.58699999999999997</v>
      </c>
    </row>
    <row r="606" spans="3:5" x14ac:dyDescent="0.2">
      <c r="C606" s="8" t="s">
        <v>1604</v>
      </c>
      <c r="D606" s="1">
        <v>40022860800</v>
      </c>
      <c r="E606" s="1">
        <f>VLOOKUP(C606,Nuclides!E:F,2,FALSE)</f>
        <v>0.32200000000000001</v>
      </c>
    </row>
    <row r="607" spans="3:5" x14ac:dyDescent="0.2">
      <c r="C607" s="8" t="s">
        <v>1605</v>
      </c>
      <c r="D607" s="1">
        <v>12605798400</v>
      </c>
      <c r="E607" s="1">
        <f>VLOOKUP(C607,Nuclides!E:F,2,FALSE)</f>
        <v>0.23</v>
      </c>
    </row>
    <row r="608" spans="3:5" x14ac:dyDescent="0.2">
      <c r="C608" s="8" t="s">
        <v>1606</v>
      </c>
      <c r="D608" s="1">
        <v>2009641920</v>
      </c>
      <c r="E608" s="1">
        <f>VLOOKUP(C608,Nuclides!E:F,2,FALSE)</f>
        <v>0.14599999999999999</v>
      </c>
    </row>
    <row r="609" spans="3:5" x14ac:dyDescent="0.2">
      <c r="C609" s="8" t="s">
        <v>1613</v>
      </c>
      <c r="D609" s="1">
        <v>315339648</v>
      </c>
      <c r="E609" s="1">
        <f>VLOOKUP(C609,Nuclides!E:F,2,FALSE)</f>
        <v>1.75</v>
      </c>
    </row>
    <row r="610" spans="3:5" x14ac:dyDescent="0.2">
      <c r="C610" s="8" t="s">
        <v>1614</v>
      </c>
      <c r="D610" s="1">
        <v>30488640</v>
      </c>
      <c r="E610" s="1">
        <f>VLOOKUP(C610,Nuclides!E:F,2,FALSE)</f>
        <v>5.5</v>
      </c>
    </row>
    <row r="611" spans="3:5" x14ac:dyDescent="0.2">
      <c r="C611" s="8" t="s">
        <v>1615</v>
      </c>
      <c r="D611" s="1">
        <v>5226624</v>
      </c>
      <c r="E611" s="1">
        <f>VLOOKUP(C611,Nuclides!E:F,2,FALSE)</f>
        <v>5.4</v>
      </c>
    </row>
    <row r="612" spans="3:5" x14ac:dyDescent="0.2">
      <c r="C612" s="8" t="s">
        <v>1629</v>
      </c>
      <c r="D612" s="1">
        <v>1742207.9999999998</v>
      </c>
      <c r="E612" s="1">
        <f>VLOOKUP(C612,Nuclides!E:F,2,FALSE)</f>
        <v>332964237.60000002</v>
      </c>
    </row>
    <row r="613" spans="3:5" hidden="1" x14ac:dyDescent="0.2">
      <c r="C613" s="8" t="s">
        <v>1630</v>
      </c>
      <c r="D613" s="1">
        <v>20035392</v>
      </c>
      <c r="E613" s="1" t="str">
        <f>VLOOKUP(C613,Nuclides!E:F,2,FALSE)</f>
        <v>STABLE</v>
      </c>
    </row>
    <row r="614" spans="3:5" hidden="1" x14ac:dyDescent="0.2">
      <c r="C614" s="8" t="s">
        <v>1631</v>
      </c>
      <c r="D614" s="1">
        <v>91465920</v>
      </c>
      <c r="E614" s="1" t="str">
        <f>VLOOKUP(C614,Nuclides!E:F,2,FALSE)</f>
        <v>STABLE</v>
      </c>
    </row>
    <row r="615" spans="3:5" hidden="1" x14ac:dyDescent="0.2">
      <c r="C615" s="8" t="s">
        <v>1632</v>
      </c>
      <c r="D615" s="1">
        <v>611515008</v>
      </c>
      <c r="E615" s="1" t="str">
        <f>VLOOKUP(C615,Nuclides!E:F,2,FALSE)</f>
        <v>STABLE</v>
      </c>
    </row>
    <row r="616" spans="3:5" hidden="1" x14ac:dyDescent="0.2">
      <c r="C616" s="8" t="s">
        <v>1633</v>
      </c>
      <c r="D616" s="1">
        <v>2691711360</v>
      </c>
      <c r="E616" s="1" t="str">
        <f>VLOOKUP(C616,Nuclides!E:F,2,FALSE)</f>
        <v>STABLE</v>
      </c>
    </row>
    <row r="617" spans="3:5" hidden="1" x14ac:dyDescent="0.2">
      <c r="C617" s="8" t="s">
        <v>1634</v>
      </c>
      <c r="D617" s="1">
        <v>11466336960</v>
      </c>
      <c r="E617" s="1" t="str">
        <f>VLOOKUP(C617,Nuclides!E:F,2,FALSE)</f>
        <v>STABLE</v>
      </c>
    </row>
    <row r="618" spans="3:5" x14ac:dyDescent="0.2">
      <c r="C618" s="8" t="s">
        <v>1635</v>
      </c>
      <c r="D618" s="1">
        <v>29512953600</v>
      </c>
      <c r="E618" s="1">
        <f>VLOOKUP(C618,Nuclides!E:F,2,FALSE)</f>
        <v>4983.6000000000004</v>
      </c>
    </row>
    <row r="619" spans="3:5" x14ac:dyDescent="0.2">
      <c r="C619" s="8" t="s">
        <v>1636</v>
      </c>
      <c r="D619" s="1">
        <v>82122518400</v>
      </c>
      <c r="E619" s="1">
        <f>VLOOKUP(C619,Nuclides!E:F,2,FALSE)</f>
        <v>1101833.28</v>
      </c>
    </row>
    <row r="620" spans="3:5" x14ac:dyDescent="0.2">
      <c r="C620" s="8" t="s">
        <v>1637</v>
      </c>
      <c r="D620" s="1">
        <v>166263552000</v>
      </c>
      <c r="E620" s="1">
        <f>VLOOKUP(C620,Nuclides!E:F,2,FALSE)</f>
        <v>1096.2</v>
      </c>
    </row>
    <row r="621" spans="3:5" x14ac:dyDescent="0.2">
      <c r="C621" s="8" t="s">
        <v>1638</v>
      </c>
      <c r="D621" s="1">
        <v>332150208000</v>
      </c>
      <c r="E621" s="1">
        <f>VLOOKUP(C621,Nuclides!E:F,2,FALSE)</f>
        <v>636</v>
      </c>
    </row>
    <row r="622" spans="3:5" x14ac:dyDescent="0.2">
      <c r="C622" s="8" t="s">
        <v>1639</v>
      </c>
      <c r="D622" s="1">
        <v>466954176000.00006</v>
      </c>
      <c r="E622" s="1">
        <f>VLOOKUP(C622,Nuclides!E:F,2,FALSE)</f>
        <v>14.5</v>
      </c>
    </row>
    <row r="623" spans="3:5" x14ac:dyDescent="0.2">
      <c r="C623" s="8" t="s">
        <v>1640</v>
      </c>
      <c r="D623" s="1">
        <v>556078848000</v>
      </c>
      <c r="E623" s="1">
        <f>VLOOKUP(C623,Nuclides!E:F,2,FALSE)</f>
        <v>11.5</v>
      </c>
    </row>
    <row r="624" spans="3:5" x14ac:dyDescent="0.2">
      <c r="C624" s="8" t="s">
        <v>1641</v>
      </c>
      <c r="D624" s="1">
        <v>456383616000</v>
      </c>
      <c r="E624" s="1">
        <f>VLOOKUP(C624,Nuclides!E:F,2,FALSE)</f>
        <v>4.3099999999999996</v>
      </c>
    </row>
    <row r="625" spans="3:5" x14ac:dyDescent="0.2">
      <c r="C625" s="8" t="s">
        <v>1642</v>
      </c>
      <c r="D625" s="1">
        <v>316113408000</v>
      </c>
      <c r="E625" s="1">
        <f>VLOOKUP(C625,Nuclides!E:F,2,FALSE)</f>
        <v>2.2200000000000002</v>
      </c>
    </row>
    <row r="626" spans="3:5" x14ac:dyDescent="0.2">
      <c r="C626" s="8" t="s">
        <v>1643</v>
      </c>
      <c r="D626" s="1">
        <v>152898720000</v>
      </c>
      <c r="E626" s="1">
        <f>VLOOKUP(C626,Nuclides!E:F,2,FALSE)</f>
        <v>0.89400000000000002</v>
      </c>
    </row>
    <row r="627" spans="3:5" x14ac:dyDescent="0.2">
      <c r="C627" s="8" t="s">
        <v>1644</v>
      </c>
      <c r="D627" s="1">
        <v>62371920000</v>
      </c>
      <c r="E627" s="1">
        <f>VLOOKUP(C627,Nuclides!E:F,2,FALSE)</f>
        <v>0.61199999999999999</v>
      </c>
    </row>
    <row r="628" spans="3:5" x14ac:dyDescent="0.2">
      <c r="C628" s="8" t="s">
        <v>1653</v>
      </c>
      <c r="D628" s="1">
        <v>14546563200</v>
      </c>
      <c r="E628" s="1">
        <f>VLOOKUP(C628,Nuclides!E:F,2,FALSE)</f>
        <v>17</v>
      </c>
    </row>
    <row r="629" spans="3:5" x14ac:dyDescent="0.2">
      <c r="C629" s="8" t="s">
        <v>1654</v>
      </c>
      <c r="D629" s="1">
        <v>3149914559.9999995</v>
      </c>
      <c r="E629" s="1">
        <f>VLOOKUP(C629,Nuclides!E:F,2,FALSE)</f>
        <v>29.21</v>
      </c>
    </row>
    <row r="630" spans="3:5" x14ac:dyDescent="0.2">
      <c r="C630" s="8" t="s">
        <v>1655</v>
      </c>
      <c r="D630" s="1">
        <v>341472768</v>
      </c>
      <c r="E630" s="1">
        <f>VLOOKUP(C630,Nuclides!E:F,2,FALSE)</f>
        <v>64.8</v>
      </c>
    </row>
    <row r="631" spans="3:5" x14ac:dyDescent="0.2">
      <c r="C631" s="8" t="s">
        <v>1656</v>
      </c>
      <c r="D631" s="1">
        <v>41812992</v>
      </c>
      <c r="E631" s="1">
        <f>VLOOKUP(C631,Nuclides!E:F,2,FALSE)</f>
        <v>54</v>
      </c>
    </row>
    <row r="632" spans="3:5" x14ac:dyDescent="0.2">
      <c r="C632" s="8" t="s">
        <v>1657</v>
      </c>
      <c r="D632" s="1">
        <v>1742207.9999999998</v>
      </c>
      <c r="E632" s="1">
        <f>VLOOKUP(C632,Nuclides!E:F,2,FALSE)</f>
        <v>306</v>
      </c>
    </row>
    <row r="633" spans="3:5" x14ac:dyDescent="0.2">
      <c r="C633" s="8" t="s">
        <v>1666</v>
      </c>
      <c r="D633" s="1">
        <v>3484415.9999999995</v>
      </c>
      <c r="E633" s="1">
        <f>VLOOKUP(C633,Nuclides!E:F,2,FALSE)</f>
        <v>592.19999999999902</v>
      </c>
    </row>
    <row r="634" spans="3:5" x14ac:dyDescent="0.2">
      <c r="C634" s="8" t="s">
        <v>1667</v>
      </c>
      <c r="D634" s="1">
        <v>19164288</v>
      </c>
      <c r="E634" s="1">
        <f>VLOOKUP(C634,Nuclides!E:F,2,FALSE)</f>
        <v>1893456000000</v>
      </c>
    </row>
    <row r="635" spans="3:5" x14ac:dyDescent="0.2">
      <c r="C635" s="8" t="s">
        <v>1668</v>
      </c>
      <c r="D635" s="1">
        <v>124567872</v>
      </c>
      <c r="E635" s="1">
        <f>VLOOKUP(C635,Nuclides!E:F,2,FALSE)</f>
        <v>3.2188752E+18</v>
      </c>
    </row>
    <row r="636" spans="3:5" hidden="1" x14ac:dyDescent="0.2">
      <c r="C636" s="8" t="s">
        <v>1669</v>
      </c>
      <c r="D636" s="1">
        <v>859779648</v>
      </c>
      <c r="E636" s="1" t="str">
        <f>VLOOKUP(C636,Nuclides!E:F,2,FALSE)</f>
        <v>STABLE</v>
      </c>
    </row>
    <row r="637" spans="3:5" x14ac:dyDescent="0.2">
      <c r="C637" s="8" t="s">
        <v>1670</v>
      </c>
      <c r="D637" s="1">
        <v>2746585920</v>
      </c>
      <c r="E637" s="1">
        <f>VLOOKUP(C637,Nuclides!E:F,2,FALSE)</f>
        <v>145026.72</v>
      </c>
    </row>
    <row r="638" spans="3:5" x14ac:dyDescent="0.2">
      <c r="C638" s="8" t="s">
        <v>1671</v>
      </c>
      <c r="D638" s="1">
        <v>10448892480</v>
      </c>
      <c r="E638" s="1">
        <f>VLOOKUP(C638,Nuclides!E:F,2,FALSE)</f>
        <v>14112</v>
      </c>
    </row>
    <row r="639" spans="3:5" x14ac:dyDescent="0.2">
      <c r="C639" s="8" t="s">
        <v>1672</v>
      </c>
      <c r="D639" s="1">
        <v>26385715200</v>
      </c>
      <c r="E639" s="1">
        <f>VLOOKUP(C639,Nuclides!E:F,2,FALSE)</f>
        <v>5466</v>
      </c>
    </row>
    <row r="640" spans="3:5" x14ac:dyDescent="0.2">
      <c r="C640" s="8" t="s">
        <v>1673</v>
      </c>
      <c r="D640" s="1">
        <v>75117868800</v>
      </c>
      <c r="E640" s="1">
        <f>VLOOKUP(C640,Nuclides!E:F,2,FALSE)</f>
        <v>852</v>
      </c>
    </row>
    <row r="641" spans="3:5" x14ac:dyDescent="0.2">
      <c r="C641" s="8" t="s">
        <v>1674</v>
      </c>
      <c r="D641" s="1">
        <v>132979392000</v>
      </c>
      <c r="E641" s="1">
        <f>VLOOKUP(C641,Nuclides!E:F,2,FALSE)</f>
        <v>40.799999999999997</v>
      </c>
    </row>
    <row r="642" spans="3:5" x14ac:dyDescent="0.2">
      <c r="C642" s="8" t="s">
        <v>1675</v>
      </c>
      <c r="D642" s="1">
        <v>240850272000</v>
      </c>
      <c r="E642" s="1">
        <f>VLOOKUP(C642,Nuclides!E:F,2,FALSE)</f>
        <v>24.8</v>
      </c>
    </row>
    <row r="643" spans="3:5" x14ac:dyDescent="0.2">
      <c r="C643" s="8" t="s">
        <v>1676</v>
      </c>
      <c r="D643" s="1">
        <v>246749568000</v>
      </c>
      <c r="E643" s="1">
        <f>VLOOKUP(C643,Nuclides!E:F,2,FALSE)</f>
        <v>6.27</v>
      </c>
    </row>
    <row r="644" spans="3:5" x14ac:dyDescent="0.2">
      <c r="C644" s="8" t="s">
        <v>1677</v>
      </c>
      <c r="D644" s="1">
        <v>271219103999.99997</v>
      </c>
      <c r="E644" s="1">
        <f>VLOOKUP(C644,Nuclides!E:F,2,FALSE)</f>
        <v>4.0599999999999996</v>
      </c>
    </row>
    <row r="645" spans="3:5" x14ac:dyDescent="0.2">
      <c r="C645" s="8" t="s">
        <v>1678</v>
      </c>
      <c r="D645" s="1">
        <v>175953024000</v>
      </c>
      <c r="E645" s="1">
        <f>VLOOKUP(C645,Nuclides!E:F,2,FALSE)</f>
        <v>1.26</v>
      </c>
    </row>
    <row r="646" spans="3:5" x14ac:dyDescent="0.2">
      <c r="C646" s="8" t="s">
        <v>1679</v>
      </c>
      <c r="D646" s="1">
        <v>108797395200.00002</v>
      </c>
      <c r="E646" s="1">
        <f>VLOOKUP(C646,Nuclides!E:F,2,FALSE)</f>
        <v>1.05</v>
      </c>
    </row>
    <row r="647" spans="3:5" x14ac:dyDescent="0.2">
      <c r="C647" s="8" t="s">
        <v>1686</v>
      </c>
      <c r="D647" s="1">
        <v>37759737600</v>
      </c>
      <c r="E647" s="1">
        <f>VLOOKUP(C647,Nuclides!E:F,2,FALSE)</f>
        <v>6</v>
      </c>
    </row>
    <row r="648" spans="3:5" x14ac:dyDescent="0.2">
      <c r="C648" s="8" t="s">
        <v>1687</v>
      </c>
      <c r="D648" s="1">
        <v>13056950400</v>
      </c>
      <c r="E648" s="1">
        <f>VLOOKUP(C648,Nuclides!E:F,2,FALSE)</f>
        <v>9.6999999999999993</v>
      </c>
    </row>
    <row r="649" spans="3:5" x14ac:dyDescent="0.2">
      <c r="C649" s="8" t="s">
        <v>1688</v>
      </c>
      <c r="D649" s="1">
        <v>2285774400</v>
      </c>
      <c r="E649" s="1">
        <f>VLOOKUP(C649,Nuclides!E:F,2,FALSE)</f>
        <v>51</v>
      </c>
    </row>
    <row r="650" spans="3:5" x14ac:dyDescent="0.2">
      <c r="C650" s="8" t="s">
        <v>1689</v>
      </c>
      <c r="D650" s="1">
        <v>395481216</v>
      </c>
      <c r="E650" s="1">
        <f>VLOOKUP(C650,Nuclides!E:F,2,FALSE)</f>
        <v>34</v>
      </c>
    </row>
    <row r="651" spans="3:5" x14ac:dyDescent="0.2">
      <c r="C651" s="8" t="s">
        <v>1690</v>
      </c>
      <c r="D651" s="1">
        <v>35715264</v>
      </c>
      <c r="E651" s="1">
        <f>VLOOKUP(C651,Nuclides!E:F,2,FALSE)</f>
        <v>235.8</v>
      </c>
    </row>
    <row r="652" spans="3:5" x14ac:dyDescent="0.2">
      <c r="C652" s="8" t="s">
        <v>1691</v>
      </c>
      <c r="D652" s="1">
        <v>1742207.9999999998</v>
      </c>
      <c r="E652" s="1">
        <f>VLOOKUP(C652,Nuclides!E:F,2,FALSE)</f>
        <v>210</v>
      </c>
    </row>
    <row r="653" spans="3:5" x14ac:dyDescent="0.2">
      <c r="C653" s="8" t="s">
        <v>1700</v>
      </c>
      <c r="D653" s="1">
        <v>871103.99999999988</v>
      </c>
      <c r="E653" s="1">
        <f>VLOOKUP(C653,Nuclides!E:F,2,FALSE)</f>
        <v>2.8401840000000003E+21</v>
      </c>
    </row>
    <row r="654" spans="3:5" x14ac:dyDescent="0.2">
      <c r="C654" s="8" t="s">
        <v>1701</v>
      </c>
      <c r="D654" s="1">
        <v>8711040</v>
      </c>
      <c r="E654" s="1">
        <f>VLOOKUP(C654,Nuclides!E:F,2,FALSE)</f>
        <v>11892182.3999999</v>
      </c>
    </row>
    <row r="655" spans="3:5" hidden="1" x14ac:dyDescent="0.2">
      <c r="C655" s="8" t="s">
        <v>1702</v>
      </c>
      <c r="D655" s="1">
        <v>62719487.999999993</v>
      </c>
      <c r="E655" s="1" t="str">
        <f>VLOOKUP(C655,Nuclides!E:F,2,FALSE)</f>
        <v>STABLE</v>
      </c>
    </row>
    <row r="656" spans="3:5" x14ac:dyDescent="0.2">
      <c r="C656" s="8" t="s">
        <v>1703</v>
      </c>
      <c r="D656" s="1">
        <v>290948736</v>
      </c>
      <c r="E656" s="1">
        <f>VLOOKUP(C656,Nuclides!E:F,2,FALSE)</f>
        <v>2808950.4</v>
      </c>
    </row>
    <row r="657" spans="3:5" x14ac:dyDescent="0.2">
      <c r="C657" s="8" t="s">
        <v>1704</v>
      </c>
      <c r="D657" s="1">
        <v>1340626560</v>
      </c>
      <c r="E657" s="1">
        <f>VLOOKUP(C657,Nuclides!E:F,2,FALSE)</f>
        <v>1.57788E+24</v>
      </c>
    </row>
    <row r="658" spans="3:5" x14ac:dyDescent="0.2">
      <c r="C658" s="8" t="s">
        <v>1705</v>
      </c>
      <c r="D658" s="1">
        <v>3864219839.9999995</v>
      </c>
      <c r="E658" s="1">
        <f>VLOOKUP(C658,Nuclides!E:F,2,FALSE)</f>
        <v>118940.4</v>
      </c>
    </row>
    <row r="659" spans="3:5" x14ac:dyDescent="0.2">
      <c r="C659" s="8" t="s">
        <v>1706</v>
      </c>
      <c r="D659" s="1">
        <v>12686793600</v>
      </c>
      <c r="E659" s="1">
        <f>VLOOKUP(C659,Nuclides!E:F,2,FALSE)</f>
        <v>24616224</v>
      </c>
    </row>
    <row r="660" spans="3:5" x14ac:dyDescent="0.2">
      <c r="C660" s="8" t="s">
        <v>1707</v>
      </c>
      <c r="D660" s="1">
        <v>29018246400</v>
      </c>
      <c r="E660" s="1">
        <f>VLOOKUP(C660,Nuclides!E:F,2,FALSE)</f>
        <v>180.6</v>
      </c>
    </row>
    <row r="661" spans="3:5" x14ac:dyDescent="0.2">
      <c r="C661" s="8" t="s">
        <v>1708</v>
      </c>
      <c r="D661" s="1">
        <v>65062732799.999992</v>
      </c>
      <c r="E661" s="1">
        <f>VLOOKUP(C661,Nuclides!E:F,2,FALSE)</f>
        <v>809.4</v>
      </c>
    </row>
    <row r="662" spans="3:5" x14ac:dyDescent="0.2">
      <c r="C662" s="8" t="s">
        <v>1709</v>
      </c>
      <c r="D662" s="1">
        <v>102269356800</v>
      </c>
      <c r="E662" s="1">
        <f>VLOOKUP(C662,Nuclides!E:F,2,FALSE)</f>
        <v>56.4</v>
      </c>
    </row>
    <row r="663" spans="3:5" x14ac:dyDescent="0.2">
      <c r="C663" s="8" t="s">
        <v>1710</v>
      </c>
      <c r="D663" s="1">
        <v>151570848000</v>
      </c>
      <c r="E663" s="1">
        <f>VLOOKUP(C663,Nuclides!E:F,2,FALSE)</f>
        <v>56.8</v>
      </c>
    </row>
    <row r="664" spans="3:5" x14ac:dyDescent="0.2">
      <c r="C664" s="8" t="s">
        <v>1711</v>
      </c>
      <c r="D664" s="1">
        <v>159312192000</v>
      </c>
      <c r="E664" s="1">
        <f>VLOOKUP(C664,Nuclides!E:F,2,FALSE)</f>
        <v>5.3</v>
      </c>
    </row>
    <row r="665" spans="3:5" x14ac:dyDescent="0.2">
      <c r="C665" s="8" t="s">
        <v>1712</v>
      </c>
      <c r="D665" s="1">
        <v>134425824000</v>
      </c>
      <c r="E665" s="1">
        <f>VLOOKUP(C665,Nuclides!E:F,2,FALSE)</f>
        <v>4</v>
      </c>
    </row>
    <row r="666" spans="3:5" x14ac:dyDescent="0.2">
      <c r="C666" s="8" t="s">
        <v>1713</v>
      </c>
      <c r="D666" s="1">
        <v>77785219200</v>
      </c>
      <c r="E666" s="1">
        <f>VLOOKUP(C666,Nuclides!E:F,2,FALSE)</f>
        <v>1.76</v>
      </c>
    </row>
    <row r="667" spans="3:5" x14ac:dyDescent="0.2">
      <c r="C667" s="8" t="s">
        <v>1726</v>
      </c>
      <c r="D667" s="1">
        <v>35477395200</v>
      </c>
      <c r="E667" s="1">
        <f>VLOOKUP(C667,Nuclides!E:F,2,FALSE)</f>
        <v>30</v>
      </c>
    </row>
    <row r="668" spans="3:5" x14ac:dyDescent="0.2">
      <c r="C668" s="8" t="s">
        <v>1727</v>
      </c>
      <c r="D668" s="1">
        <v>11119642560</v>
      </c>
      <c r="E668" s="1">
        <f>VLOOKUP(C668,Nuclides!E:F,2,FALSE)</f>
        <v>40</v>
      </c>
    </row>
    <row r="669" spans="3:5" x14ac:dyDescent="0.2">
      <c r="C669" s="8" t="s">
        <v>1728</v>
      </c>
      <c r="D669" s="1">
        <v>3046255680</v>
      </c>
      <c r="E669" s="1">
        <f>VLOOKUP(C669,Nuclides!E:F,2,FALSE)</f>
        <v>90.6</v>
      </c>
    </row>
    <row r="670" spans="3:5" x14ac:dyDescent="0.2">
      <c r="C670" s="8" t="s">
        <v>1729</v>
      </c>
      <c r="D670" s="1">
        <v>421614336.00000006</v>
      </c>
      <c r="E670" s="1">
        <f>VLOOKUP(C670,Nuclides!E:F,2,FALSE)</f>
        <v>96</v>
      </c>
    </row>
    <row r="671" spans="3:5" x14ac:dyDescent="0.2">
      <c r="C671" s="8" t="s">
        <v>1730</v>
      </c>
      <c r="D671" s="1">
        <v>80141568</v>
      </c>
      <c r="E671" s="1">
        <f>VLOOKUP(C671,Nuclides!E:F,2,FALSE)</f>
        <v>390</v>
      </c>
    </row>
    <row r="672" spans="3:5" x14ac:dyDescent="0.2">
      <c r="C672" s="8" t="s">
        <v>1731</v>
      </c>
      <c r="D672" s="1">
        <v>6097728.0000000009</v>
      </c>
      <c r="E672" s="1">
        <f>VLOOKUP(C672,Nuclides!E:F,2,FALSE)</f>
        <v>660</v>
      </c>
    </row>
    <row r="673" spans="3:5" x14ac:dyDescent="0.2">
      <c r="C673" s="8" t="s">
        <v>1739</v>
      </c>
      <c r="D673" s="1">
        <v>6968831.9999999991</v>
      </c>
      <c r="E673" s="1">
        <f>VLOOKUP(C673,Nuclides!E:F,2,FALSE)</f>
        <v>68832</v>
      </c>
    </row>
    <row r="674" spans="3:5" x14ac:dyDescent="0.2">
      <c r="C674" s="8" t="s">
        <v>1740</v>
      </c>
      <c r="D674" s="1">
        <v>50524032</v>
      </c>
      <c r="E674" s="1">
        <f>VLOOKUP(C674,Nuclides!E:F,2,FALSE)</f>
        <v>1172448</v>
      </c>
    </row>
    <row r="675" spans="3:5" x14ac:dyDescent="0.2">
      <c r="C675" s="8" t="s">
        <v>1741</v>
      </c>
      <c r="D675" s="1">
        <v>157669824</v>
      </c>
      <c r="E675" s="1">
        <f>VLOOKUP(C675,Nuclides!E:F,2,FALSE)</f>
        <v>1036.8</v>
      </c>
    </row>
    <row r="676" spans="3:5" x14ac:dyDescent="0.2">
      <c r="C676" s="8" t="s">
        <v>1742</v>
      </c>
      <c r="D676" s="1">
        <v>854553024</v>
      </c>
      <c r="E676" s="1">
        <f>VLOOKUP(C676,Nuclides!E:F,2,FALSE)</f>
        <v>21542.400000000001</v>
      </c>
    </row>
    <row r="677" spans="3:5" x14ac:dyDescent="0.2">
      <c r="C677" s="8" t="s">
        <v>1743</v>
      </c>
      <c r="D677" s="1">
        <v>2347625280</v>
      </c>
      <c r="E677" s="1">
        <f>VLOOKUP(C677,Nuclides!E:F,2,FALSE)</f>
        <v>1449</v>
      </c>
    </row>
    <row r="678" spans="3:5" x14ac:dyDescent="0.2">
      <c r="C678" s="8" t="s">
        <v>1744</v>
      </c>
      <c r="D678" s="1">
        <v>7447065599.999999</v>
      </c>
      <c r="E678" s="1">
        <f>VLOOKUP(C678,Nuclides!E:F,2,FALSE)</f>
        <v>804</v>
      </c>
    </row>
    <row r="679" spans="3:5" x14ac:dyDescent="0.2">
      <c r="C679" s="8" t="s">
        <v>1745</v>
      </c>
      <c r="D679" s="1">
        <v>15066604800</v>
      </c>
      <c r="E679" s="1">
        <f>VLOOKUP(C679,Nuclides!E:F,2,FALSE)</f>
        <v>137.4</v>
      </c>
    </row>
    <row r="680" spans="3:5" x14ac:dyDescent="0.2">
      <c r="C680" s="8" t="s">
        <v>1746</v>
      </c>
      <c r="D680" s="1">
        <v>32833632000</v>
      </c>
      <c r="E680" s="1">
        <f>VLOOKUP(C680,Nuclides!E:F,2,FALSE)</f>
        <v>135.6</v>
      </c>
    </row>
    <row r="681" spans="3:5" x14ac:dyDescent="0.2">
      <c r="C681" s="8" t="s">
        <v>1747</v>
      </c>
      <c r="D681" s="1">
        <v>43601376000</v>
      </c>
      <c r="E681" s="1">
        <f>VLOOKUP(C681,Nuclides!E:F,2,FALSE)</f>
        <v>6.19</v>
      </c>
    </row>
    <row r="682" spans="3:5" x14ac:dyDescent="0.2">
      <c r="C682" s="8" t="s">
        <v>1748</v>
      </c>
      <c r="D682" s="1">
        <v>56552995200</v>
      </c>
      <c r="E682" s="1">
        <f>VLOOKUP(C682,Nuclides!E:F,2,FALSE)</f>
        <v>18.899999999999999</v>
      </c>
    </row>
    <row r="683" spans="3:5" x14ac:dyDescent="0.2">
      <c r="C683" s="8" t="s">
        <v>1749</v>
      </c>
      <c r="D683" s="1">
        <v>43554326400</v>
      </c>
      <c r="E683" s="1">
        <f>VLOOKUP(C683,Nuclides!E:F,2,FALSE)</f>
        <v>3.57</v>
      </c>
    </row>
    <row r="684" spans="3:5" x14ac:dyDescent="0.2">
      <c r="C684" s="8" t="s">
        <v>1758</v>
      </c>
      <c r="D684" s="1">
        <v>30431980800.000004</v>
      </c>
      <c r="E684" s="1">
        <f>VLOOKUP(C684,Nuclides!E:F,2,FALSE)</f>
        <v>6.7</v>
      </c>
    </row>
    <row r="685" spans="3:5" x14ac:dyDescent="0.2">
      <c r="C685" s="8" t="s">
        <v>1759</v>
      </c>
      <c r="D685" s="1">
        <v>12569980800</v>
      </c>
      <c r="E685" s="1">
        <f>VLOOKUP(C685,Nuclides!E:F,2,FALSE)</f>
        <v>21</v>
      </c>
    </row>
    <row r="686" spans="3:5" x14ac:dyDescent="0.2">
      <c r="C686" s="8" t="s">
        <v>1760</v>
      </c>
      <c r="D686" s="1">
        <v>5160417600</v>
      </c>
      <c r="E686" s="1">
        <f>VLOOKUP(C686,Nuclides!E:F,2,FALSE)</f>
        <v>25.4</v>
      </c>
    </row>
    <row r="687" spans="3:5" x14ac:dyDescent="0.2">
      <c r="C687" s="8" t="s">
        <v>1761</v>
      </c>
      <c r="D687" s="1">
        <v>1156826112</v>
      </c>
      <c r="E687" s="1">
        <f>VLOOKUP(C687,Nuclides!E:F,2,FALSE)</f>
        <v>94</v>
      </c>
    </row>
    <row r="688" spans="3:5" x14ac:dyDescent="0.2">
      <c r="C688" s="8" t="s">
        <v>1762</v>
      </c>
      <c r="D688" s="1">
        <v>293562048</v>
      </c>
      <c r="E688" s="1">
        <f>VLOOKUP(C688,Nuclides!E:F,2,FALSE)</f>
        <v>70</v>
      </c>
    </row>
    <row r="689" spans="3:5" x14ac:dyDescent="0.2">
      <c r="C689" s="8" t="s">
        <v>1763</v>
      </c>
      <c r="D689" s="1">
        <v>29617536</v>
      </c>
      <c r="E689" s="1">
        <f>VLOOKUP(C689,Nuclides!E:F,2,FALSE)</f>
        <v>510</v>
      </c>
    </row>
    <row r="690" spans="3:5" x14ac:dyDescent="0.2">
      <c r="C690" s="8" t="s">
        <v>1764</v>
      </c>
      <c r="D690" s="1">
        <v>6968831.9999999991</v>
      </c>
      <c r="E690" s="1">
        <f>VLOOKUP(C690,Nuclides!E:F,2,FALSE)</f>
        <v>744</v>
      </c>
    </row>
    <row r="691" spans="3:5" x14ac:dyDescent="0.2">
      <c r="C691" s="8" t="s">
        <v>1773</v>
      </c>
      <c r="D691" s="1">
        <v>3484415.9999999995</v>
      </c>
      <c r="E691" s="1">
        <f>VLOOKUP(C691,Nuclides!E:F,2,FALSE)</f>
        <v>7.2266904000000002E+22</v>
      </c>
    </row>
    <row r="692" spans="3:5" hidden="1" x14ac:dyDescent="0.2">
      <c r="C692" s="8" t="s">
        <v>1774</v>
      </c>
      <c r="D692" s="1">
        <v>4355520</v>
      </c>
      <c r="E692" s="1" t="str">
        <f>VLOOKUP(C692,Nuclides!E:F,2,FALSE)</f>
        <v>STABLE</v>
      </c>
    </row>
    <row r="693" spans="3:5" hidden="1" x14ac:dyDescent="0.2">
      <c r="C693" s="8" t="s">
        <v>1775</v>
      </c>
      <c r="D693" s="1">
        <v>55750655.999999993</v>
      </c>
      <c r="E693" s="1" t="str">
        <f>VLOOKUP(C693,Nuclides!E:F,2,FALSE)</f>
        <v>STABLE</v>
      </c>
    </row>
    <row r="694" spans="3:5" x14ac:dyDescent="0.2">
      <c r="C694" s="8" t="s">
        <v>1776</v>
      </c>
      <c r="D694" s="1">
        <v>215162688</v>
      </c>
      <c r="E694" s="1">
        <f>VLOOKUP(C694,Nuclides!E:F,2,FALSE)</f>
        <v>948672</v>
      </c>
    </row>
    <row r="695" spans="3:5" hidden="1" x14ac:dyDescent="0.2">
      <c r="C695" s="8" t="s">
        <v>1777</v>
      </c>
      <c r="D695" s="1">
        <v>817966656</v>
      </c>
      <c r="E695" s="1" t="str">
        <f>VLOOKUP(C695,Nuclides!E:F,2,FALSE)</f>
        <v>STABLE</v>
      </c>
    </row>
    <row r="696" spans="3:5" x14ac:dyDescent="0.2">
      <c r="C696" s="8" t="s">
        <v>1778</v>
      </c>
      <c r="D696" s="1">
        <v>2054058240</v>
      </c>
      <c r="E696" s="1">
        <f>VLOOKUP(C696,Nuclides!E:F,2,FALSE)</f>
        <v>6220.8</v>
      </c>
    </row>
    <row r="697" spans="3:5" x14ac:dyDescent="0.2">
      <c r="C697" s="8" t="s">
        <v>1779</v>
      </c>
      <c r="D697" s="1">
        <v>5690056320</v>
      </c>
      <c r="E697" s="1">
        <f>VLOOKUP(C697,Nuclides!E:F,2,FALSE)</f>
        <v>2.8717416000000001E+26</v>
      </c>
    </row>
    <row r="698" spans="3:5" x14ac:dyDescent="0.2">
      <c r="C698" s="8" t="s">
        <v>1780</v>
      </c>
      <c r="D698" s="1">
        <v>10836533760</v>
      </c>
      <c r="E698" s="1">
        <f>VLOOKUP(C698,Nuclides!E:F,2,FALSE)</f>
        <v>746.4</v>
      </c>
    </row>
    <row r="699" spans="3:5" x14ac:dyDescent="0.2">
      <c r="C699" s="8" t="s">
        <v>1781</v>
      </c>
      <c r="D699" s="1">
        <v>19050220800</v>
      </c>
      <c r="E699" s="1">
        <f>VLOOKUP(C699,Nuclides!E:F,2,FALSE)</f>
        <v>684</v>
      </c>
    </row>
    <row r="700" spans="3:5" x14ac:dyDescent="0.2">
      <c r="C700" s="8" t="s">
        <v>1782</v>
      </c>
      <c r="D700" s="1">
        <v>23147904000</v>
      </c>
      <c r="E700" s="1">
        <f>VLOOKUP(C700,Nuclides!E:F,2,FALSE)</f>
        <v>31.6</v>
      </c>
    </row>
    <row r="701" spans="3:5" x14ac:dyDescent="0.2">
      <c r="C701" s="8" t="s">
        <v>1783</v>
      </c>
      <c r="D701" s="1">
        <v>23952739200</v>
      </c>
      <c r="E701" s="1">
        <f>VLOOKUP(C701,Nuclides!E:F,2,FALSE)</f>
        <v>25.9</v>
      </c>
    </row>
    <row r="702" spans="3:5" x14ac:dyDescent="0.2">
      <c r="C702" s="8" t="s">
        <v>1795</v>
      </c>
      <c r="D702" s="1">
        <v>16801824000</v>
      </c>
      <c r="E702" s="1">
        <f>VLOOKUP(C702,Nuclides!E:F,2,FALSE)</f>
        <v>6.2</v>
      </c>
    </row>
    <row r="703" spans="3:5" x14ac:dyDescent="0.2">
      <c r="C703" s="8" t="s">
        <v>1796</v>
      </c>
      <c r="D703" s="1">
        <v>9930585600</v>
      </c>
      <c r="E703" s="1">
        <f>VLOOKUP(C703,Nuclides!E:F,2,FALSE)</f>
        <v>13.5</v>
      </c>
    </row>
    <row r="704" spans="3:5" x14ac:dyDescent="0.2">
      <c r="C704" s="8" t="s">
        <v>1797</v>
      </c>
      <c r="D704" s="1">
        <v>4026247680</v>
      </c>
      <c r="E704" s="1">
        <f>VLOOKUP(C704,Nuclides!E:F,2,FALSE)</f>
        <v>5</v>
      </c>
    </row>
    <row r="705" spans="3:5" x14ac:dyDescent="0.2">
      <c r="C705" s="8" t="s">
        <v>1798</v>
      </c>
      <c r="D705" s="1">
        <v>1283131200</v>
      </c>
      <c r="E705" s="1">
        <f>VLOOKUP(C705,Nuclides!E:F,2,FALSE)</f>
        <v>49</v>
      </c>
    </row>
    <row r="706" spans="3:5" x14ac:dyDescent="0.2">
      <c r="C706" s="8" t="s">
        <v>1799</v>
      </c>
      <c r="D706" s="1">
        <v>303144192</v>
      </c>
      <c r="E706" s="1">
        <f>VLOOKUP(C706,Nuclides!E:F,2,FALSE)</f>
        <v>107</v>
      </c>
    </row>
    <row r="707" spans="3:5" x14ac:dyDescent="0.2">
      <c r="C707" s="8" t="s">
        <v>1800</v>
      </c>
      <c r="D707" s="1">
        <v>62719487.999999993</v>
      </c>
      <c r="E707" s="1">
        <f>VLOOKUP(C707,Nuclides!E:F,2,FALSE)</f>
        <v>144</v>
      </c>
    </row>
    <row r="708" spans="3:5" x14ac:dyDescent="0.2">
      <c r="C708" s="8" t="s">
        <v>1801</v>
      </c>
      <c r="D708" s="1">
        <v>7839935.9999999991</v>
      </c>
      <c r="E708" s="1">
        <f>VLOOKUP(C708,Nuclides!E:F,2,FALSE)</f>
        <v>10</v>
      </c>
    </row>
    <row r="709" spans="3:5" x14ac:dyDescent="0.2">
      <c r="C709" s="8" t="s">
        <v>1802</v>
      </c>
      <c r="D709" s="1">
        <v>1742207.9999999998</v>
      </c>
      <c r="E709" s="1">
        <f>VLOOKUP(C709,Nuclides!E:F,2,FALSE)</f>
        <v>249</v>
      </c>
    </row>
    <row r="710" spans="3:5" x14ac:dyDescent="0.2">
      <c r="C710" s="8" t="s">
        <v>1810</v>
      </c>
      <c r="D710" s="1">
        <v>3484415.9999999995</v>
      </c>
      <c r="E710" s="1">
        <f>VLOOKUP(C710,Nuclides!E:F,2,FALSE)</f>
        <v>82788207.840000004</v>
      </c>
    </row>
    <row r="711" spans="3:5" x14ac:dyDescent="0.2">
      <c r="C711" s="8" t="s">
        <v>1811</v>
      </c>
      <c r="D711" s="1">
        <v>6097728.0000000009</v>
      </c>
      <c r="E711" s="1">
        <f>VLOOKUP(C711,Nuclides!E:F,2,FALSE)</f>
        <v>463795.20000000001</v>
      </c>
    </row>
    <row r="712" spans="3:5" x14ac:dyDescent="0.2">
      <c r="C712" s="8" t="s">
        <v>1812</v>
      </c>
      <c r="D712" s="1">
        <v>25262016</v>
      </c>
      <c r="E712" s="1">
        <f>VLOOKUP(C712,Nuclides!E:F,2,FALSE)</f>
        <v>191088</v>
      </c>
    </row>
    <row r="713" spans="3:5" x14ac:dyDescent="0.2">
      <c r="C713" s="8" t="s">
        <v>1813</v>
      </c>
      <c r="D713" s="1">
        <v>90594816</v>
      </c>
      <c r="E713" s="1">
        <f>VLOOKUP(C713,Nuclides!E:F,2,FALSE)</f>
        <v>9712.7999999999993</v>
      </c>
    </row>
    <row r="714" spans="3:5" x14ac:dyDescent="0.2">
      <c r="C714" s="8" t="s">
        <v>1814</v>
      </c>
      <c r="D714" s="1">
        <v>361508160</v>
      </c>
      <c r="E714" s="1">
        <f>VLOOKUP(C714,Nuclides!E:F,2,FALSE)</f>
        <v>102240</v>
      </c>
    </row>
    <row r="715" spans="3:5" x14ac:dyDescent="0.2">
      <c r="C715" s="8" t="s">
        <v>1815</v>
      </c>
      <c r="D715" s="1">
        <v>869361792</v>
      </c>
      <c r="E715" s="1">
        <f>VLOOKUP(C715,Nuclides!E:F,2,FALSE)</f>
        <v>247.2</v>
      </c>
    </row>
    <row r="716" spans="3:5" x14ac:dyDescent="0.2">
      <c r="C716" s="8" t="s">
        <v>1816</v>
      </c>
      <c r="D716" s="1">
        <v>2108945280</v>
      </c>
      <c r="E716" s="1">
        <f>VLOOKUP(C716,Nuclides!E:F,2,FALSE)</f>
        <v>315</v>
      </c>
    </row>
    <row r="717" spans="3:5" x14ac:dyDescent="0.2">
      <c r="C717" s="8" t="s">
        <v>1817</v>
      </c>
      <c r="D717" s="1">
        <v>3423438719.9999995</v>
      </c>
      <c r="E717" s="1">
        <f>VLOOKUP(C717,Nuclides!E:F,2,FALSE)</f>
        <v>160.80000000000001</v>
      </c>
    </row>
    <row r="718" spans="3:5" x14ac:dyDescent="0.2">
      <c r="C718" s="8" t="s">
        <v>1818</v>
      </c>
      <c r="D718" s="1">
        <v>5019306240</v>
      </c>
      <c r="E718" s="1">
        <f>VLOOKUP(C718,Nuclides!E:F,2,FALSE)</f>
        <v>41.5</v>
      </c>
    </row>
    <row r="719" spans="3:5" x14ac:dyDescent="0.2">
      <c r="C719" s="8" t="s">
        <v>1830</v>
      </c>
      <c r="D719" s="1">
        <v>4599429120</v>
      </c>
      <c r="E719" s="1">
        <f>VLOOKUP(C719,Nuclides!E:F,2,FALSE)</f>
        <v>2.89</v>
      </c>
    </row>
    <row r="720" spans="3:5" x14ac:dyDescent="0.2">
      <c r="C720" s="8" t="s">
        <v>1831</v>
      </c>
      <c r="D720" s="1">
        <v>4189136640</v>
      </c>
      <c r="E720" s="1">
        <f>VLOOKUP(C720,Nuclides!E:F,2,FALSE)</f>
        <v>9.5</v>
      </c>
    </row>
    <row r="721" spans="3:5" x14ac:dyDescent="0.2">
      <c r="C721" s="8" t="s">
        <v>1832</v>
      </c>
      <c r="D721" s="1">
        <v>2204766720</v>
      </c>
      <c r="E721" s="1">
        <f>VLOOKUP(C721,Nuclides!E:F,2,FALSE)</f>
        <v>10.3</v>
      </c>
    </row>
    <row r="722" spans="3:5" x14ac:dyDescent="0.2">
      <c r="C722" s="8" t="s">
        <v>1833</v>
      </c>
      <c r="D722" s="1">
        <v>1167279360</v>
      </c>
      <c r="E722" s="1">
        <f>VLOOKUP(C722,Nuclides!E:F,2,FALSE)</f>
        <v>47</v>
      </c>
    </row>
    <row r="723" spans="3:5" x14ac:dyDescent="0.2">
      <c r="C723" s="8" t="s">
        <v>1834</v>
      </c>
      <c r="D723" s="1">
        <v>323179584</v>
      </c>
      <c r="E723" s="1">
        <f>VLOOKUP(C723,Nuclides!E:F,2,FALSE)</f>
        <v>45</v>
      </c>
    </row>
    <row r="724" spans="3:5" x14ac:dyDescent="0.2">
      <c r="C724" s="8" t="s">
        <v>1835</v>
      </c>
      <c r="D724" s="1">
        <v>103661375.99999999</v>
      </c>
      <c r="E724" s="1">
        <f>VLOOKUP(C724,Nuclides!E:F,2,FALSE)</f>
        <v>186</v>
      </c>
    </row>
    <row r="725" spans="3:5" x14ac:dyDescent="0.2">
      <c r="C725" s="8" t="s">
        <v>1836</v>
      </c>
      <c r="D725" s="1">
        <v>21777600</v>
      </c>
      <c r="E725" s="1">
        <f>VLOOKUP(C725,Nuclides!E:F,2,FALSE)</f>
        <v>154.19999999999999</v>
      </c>
    </row>
    <row r="726" spans="3:5" x14ac:dyDescent="0.2">
      <c r="C726" s="8" t="s">
        <v>1837</v>
      </c>
      <c r="D726" s="1">
        <v>1742207.9999999998</v>
      </c>
      <c r="E726" s="1">
        <f>VLOOKUP(C726,Nuclides!E:F,2,FALSE)</f>
        <v>889.2</v>
      </c>
    </row>
    <row r="727" spans="3:5" hidden="1" x14ac:dyDescent="0.2">
      <c r="C727" s="8" t="s">
        <v>1847</v>
      </c>
      <c r="D727" s="1">
        <v>1742207.9999999998</v>
      </c>
      <c r="E727" s="1" t="str">
        <f>VLOOKUP(C727,Nuclides!E:F,2,FALSE)</f>
        <v>STABLE</v>
      </c>
    </row>
    <row r="728" spans="3:5" x14ac:dyDescent="0.2">
      <c r="C728" s="8" t="s">
        <v>1848</v>
      </c>
      <c r="D728" s="1">
        <v>6968831.9999999991</v>
      </c>
      <c r="E728" s="1">
        <f>VLOOKUP(C728,Nuclides!E:F,2,FALSE)</f>
        <v>2840184000</v>
      </c>
    </row>
    <row r="729" spans="3:5" hidden="1" x14ac:dyDescent="0.2">
      <c r="C729" s="8" t="s">
        <v>1849</v>
      </c>
      <c r="D729" s="1">
        <v>30488640</v>
      </c>
      <c r="E729" s="1" t="str">
        <f>VLOOKUP(C729,Nuclides!E:F,2,FALSE)</f>
        <v>STABLE</v>
      </c>
    </row>
    <row r="730" spans="3:5" x14ac:dyDescent="0.2">
      <c r="C730" s="8" t="s">
        <v>1850</v>
      </c>
      <c r="D730" s="1">
        <v>66203904</v>
      </c>
      <c r="E730" s="1">
        <f>VLOOKUP(C730,Nuclides!E:F,2,FALSE)</f>
        <v>166622.39999999999</v>
      </c>
    </row>
    <row r="731" spans="3:5" hidden="1" x14ac:dyDescent="0.2">
      <c r="C731" s="8" t="s">
        <v>1851</v>
      </c>
      <c r="D731" s="1">
        <v>243038016</v>
      </c>
      <c r="E731" s="1" t="str">
        <f>VLOOKUP(C731,Nuclides!E:F,2,FALSE)</f>
        <v>STABLE</v>
      </c>
    </row>
    <row r="732" spans="3:5" x14ac:dyDescent="0.2">
      <c r="C732" s="8" t="s">
        <v>1852</v>
      </c>
      <c r="D732" s="1">
        <v>550537728</v>
      </c>
      <c r="E732" s="1">
        <f>VLOOKUP(C732,Nuclides!E:F,2,FALSE)</f>
        <v>1338</v>
      </c>
    </row>
    <row r="733" spans="3:5" x14ac:dyDescent="0.2">
      <c r="C733" s="8" t="s">
        <v>1853</v>
      </c>
      <c r="D733" s="1">
        <v>1128950784</v>
      </c>
      <c r="E733" s="1">
        <f>VLOOKUP(C733,Nuclides!E:F,2,FALSE)</f>
        <v>33840</v>
      </c>
    </row>
    <row r="734" spans="3:5" x14ac:dyDescent="0.2">
      <c r="C734" s="8" t="s">
        <v>1854</v>
      </c>
      <c r="D734" s="1">
        <v>1648133760</v>
      </c>
      <c r="E734" s="1">
        <f>VLOOKUP(C734,Nuclides!E:F,2,FALSE)</f>
        <v>481.79999999999899</v>
      </c>
    </row>
    <row r="735" spans="3:5" x14ac:dyDescent="0.2">
      <c r="C735" s="8" t="s">
        <v>1855</v>
      </c>
      <c r="D735" s="1">
        <v>2139433920</v>
      </c>
      <c r="E735" s="1">
        <f>VLOOKUP(C735,Nuclides!E:F,2,FALSE)</f>
        <v>318</v>
      </c>
    </row>
    <row r="736" spans="3:5" x14ac:dyDescent="0.2">
      <c r="C736" s="8" t="s">
        <v>1869</v>
      </c>
      <c r="D736" s="1">
        <v>2024443200</v>
      </c>
      <c r="E736" s="1">
        <f>VLOOKUP(C736,Nuclides!E:F,2,FALSE)</f>
        <v>12.1</v>
      </c>
    </row>
    <row r="737" spans="3:5" x14ac:dyDescent="0.2">
      <c r="C737" s="8" t="s">
        <v>1870</v>
      </c>
      <c r="D737" s="1">
        <v>1516594560</v>
      </c>
      <c r="E737" s="1">
        <f>VLOOKUP(C737,Nuclides!E:F,2,FALSE)</f>
        <v>17.899999999999999</v>
      </c>
    </row>
    <row r="738" spans="3:5" x14ac:dyDescent="0.2">
      <c r="C738" s="8" t="s">
        <v>1871</v>
      </c>
      <c r="D738" s="1">
        <v>786606912</v>
      </c>
      <c r="E738" s="1">
        <f>VLOOKUP(C738,Nuclides!E:F,2,FALSE)</f>
        <v>1.51</v>
      </c>
    </row>
    <row r="739" spans="3:5" x14ac:dyDescent="0.2">
      <c r="C739" s="8" t="s">
        <v>1872</v>
      </c>
      <c r="D739" s="1">
        <v>391125696</v>
      </c>
      <c r="E739" s="1">
        <f>VLOOKUP(C739,Nuclides!E:F,2,FALSE)</f>
        <v>40.700000000000003</v>
      </c>
    </row>
    <row r="740" spans="3:5" x14ac:dyDescent="0.2">
      <c r="C740" s="8" t="s">
        <v>1873</v>
      </c>
      <c r="D740" s="1">
        <v>103661375.99999999</v>
      </c>
      <c r="E740" s="1">
        <f>VLOOKUP(C740,Nuclides!E:F,2,FALSE)</f>
        <v>2.34</v>
      </c>
    </row>
    <row r="741" spans="3:5" x14ac:dyDescent="0.2">
      <c r="C741" s="8" t="s">
        <v>1874</v>
      </c>
      <c r="D741" s="1">
        <v>25262016</v>
      </c>
      <c r="E741" s="1">
        <f>VLOOKUP(C741,Nuclides!E:F,2,FALSE)</f>
        <v>155.39999999999901</v>
      </c>
    </row>
    <row r="742" spans="3:5" x14ac:dyDescent="0.2">
      <c r="C742" s="8" t="s">
        <v>1875</v>
      </c>
      <c r="D742" s="1">
        <v>2613312</v>
      </c>
      <c r="E742" s="1">
        <f>VLOOKUP(C742,Nuclides!E:F,2,FALSE)</f>
        <v>10.199999999999999</v>
      </c>
    </row>
    <row r="743" spans="3:5" x14ac:dyDescent="0.2">
      <c r="C743" s="8" t="s">
        <v>1885</v>
      </c>
      <c r="D743" s="1">
        <v>871103.99999999988</v>
      </c>
      <c r="E743" s="1">
        <f>VLOOKUP(C743,Nuclides!E:F,2,FALSE)</f>
        <v>271426917.60000002</v>
      </c>
    </row>
    <row r="744" spans="3:5" x14ac:dyDescent="0.2">
      <c r="C744" s="8" t="s">
        <v>1886</v>
      </c>
      <c r="D744" s="1">
        <v>8711040</v>
      </c>
      <c r="E744" s="1">
        <f>VLOOKUP(C744,Nuclides!E:F,2,FALSE)</f>
        <v>149993272.80000001</v>
      </c>
    </row>
    <row r="745" spans="3:5" x14ac:dyDescent="0.2">
      <c r="C745" s="8" t="s">
        <v>1887</v>
      </c>
      <c r="D745" s="1">
        <v>24390912.000000004</v>
      </c>
      <c r="E745" s="1">
        <f>VLOOKUP(C745,Nuclides!E:F,2,FALSE)</f>
        <v>1312416</v>
      </c>
    </row>
    <row r="746" spans="3:5" x14ac:dyDescent="0.2">
      <c r="C746" s="8" t="s">
        <v>1888</v>
      </c>
      <c r="D746" s="1">
        <v>64461696.000000007</v>
      </c>
      <c r="E746" s="1">
        <f>VLOOKUP(C746,Nuclides!E:F,2,FALSE)</f>
        <v>54648</v>
      </c>
    </row>
    <row r="747" spans="3:5" x14ac:dyDescent="0.2">
      <c r="C747" s="8" t="s">
        <v>1889</v>
      </c>
      <c r="D747" s="1">
        <v>108888000</v>
      </c>
      <c r="E747" s="1">
        <f>VLOOKUP(C747,Nuclides!E:F,2,FALSE)</f>
        <v>2754</v>
      </c>
    </row>
    <row r="748" spans="3:5" x14ac:dyDescent="0.2">
      <c r="C748" s="8" t="s">
        <v>1890</v>
      </c>
      <c r="D748" s="1">
        <v>236940288</v>
      </c>
      <c r="E748" s="1">
        <f>VLOOKUP(C748,Nuclides!E:F,2,FALSE)</f>
        <v>1086</v>
      </c>
    </row>
    <row r="749" spans="3:5" x14ac:dyDescent="0.2">
      <c r="C749" s="8" t="s">
        <v>1891</v>
      </c>
      <c r="D749" s="1">
        <v>281366592</v>
      </c>
      <c r="E749" s="1">
        <f>VLOOKUP(C749,Nuclides!E:F,2,FALSE)</f>
        <v>38</v>
      </c>
    </row>
    <row r="750" spans="3:5" x14ac:dyDescent="0.2">
      <c r="C750" s="8" t="s">
        <v>1907</v>
      </c>
      <c r="D750" s="1">
        <v>355410432</v>
      </c>
      <c r="E750" s="1">
        <f>VLOOKUP(C750,Nuclides!E:F,2,FALSE)</f>
        <v>70.2</v>
      </c>
    </row>
    <row r="751" spans="3:5" x14ac:dyDescent="0.2">
      <c r="C751" s="8" t="s">
        <v>1908</v>
      </c>
      <c r="D751" s="1">
        <v>240424704</v>
      </c>
      <c r="E751" s="1">
        <f>VLOOKUP(C751,Nuclides!E:F,2,FALSE)</f>
        <v>39</v>
      </c>
    </row>
    <row r="752" spans="3:5" x14ac:dyDescent="0.2">
      <c r="C752" s="8" t="s">
        <v>1909</v>
      </c>
      <c r="D752" s="1">
        <v>166380864</v>
      </c>
      <c r="E752" s="1">
        <f>VLOOKUP(C752,Nuclides!E:F,2,FALSE)</f>
        <v>268.2</v>
      </c>
    </row>
    <row r="753" spans="3:5" x14ac:dyDescent="0.2">
      <c r="C753" s="8" t="s">
        <v>1910</v>
      </c>
      <c r="D753" s="1">
        <v>58363968</v>
      </c>
      <c r="E753" s="1">
        <f>VLOOKUP(C753,Nuclides!E:F,2,FALSE)</f>
        <v>1380</v>
      </c>
    </row>
    <row r="754" spans="3:5" x14ac:dyDescent="0.2">
      <c r="C754" s="8" t="s">
        <v>1911</v>
      </c>
      <c r="D754" s="1">
        <v>21777600</v>
      </c>
      <c r="E754" s="1">
        <f>VLOOKUP(C754,Nuclides!E:F,2,FALSE)</f>
        <v>4170528</v>
      </c>
    </row>
    <row r="755" spans="3:5" x14ac:dyDescent="0.2">
      <c r="C755" s="8" t="s">
        <v>1912</v>
      </c>
      <c r="D755" s="1">
        <v>4355520</v>
      </c>
      <c r="E755" s="1">
        <f>VLOOKUP(C755,Nuclides!E:F,2,FALSE)</f>
        <v>137016</v>
      </c>
    </row>
    <row r="756" spans="3:5" x14ac:dyDescent="0.2">
      <c r="C756" s="8" t="s">
        <v>1915</v>
      </c>
      <c r="D756" s="1">
        <v>871103.99999999988</v>
      </c>
      <c r="E756" s="1">
        <f>VLOOKUP(C756,Nuclides!E:F,2,FALSE)</f>
        <v>56488104000000</v>
      </c>
    </row>
    <row r="757" spans="3:5" hidden="1" x14ac:dyDescent="0.2">
      <c r="C757" s="8" t="s">
        <v>1921</v>
      </c>
      <c r="D757" s="1">
        <v>871103.99999999988</v>
      </c>
      <c r="E757" s="1" t="str">
        <f>VLOOKUP(C757,Nuclides!E:F,2,FALSE)</f>
        <v>STABLE</v>
      </c>
    </row>
    <row r="758" spans="3:5" hidden="1" x14ac:dyDescent="0.2">
      <c r="C758" s="8" t="s">
        <v>1923</v>
      </c>
      <c r="D758" s="1">
        <v>1742207.9999999998</v>
      </c>
      <c r="E758" s="1" t="str">
        <f>VLOOKUP(C758,Nuclides!E:F,2,FALSE)</f>
        <v>STABLE</v>
      </c>
    </row>
    <row r="759" spans="3:5" x14ac:dyDescent="0.2">
      <c r="C759" s="8" t="s">
        <v>1924</v>
      </c>
      <c r="D759" s="1">
        <v>6968831.9999999991</v>
      </c>
      <c r="E759" s="1">
        <f>VLOOKUP(C759,Nuclides!E:F,2,FALSE)</f>
        <v>66524.399999999994</v>
      </c>
    </row>
    <row r="760" spans="3:5" x14ac:dyDescent="0.2">
      <c r="C760" s="8" t="s">
        <v>1925</v>
      </c>
      <c r="D760" s="1">
        <v>40941888</v>
      </c>
      <c r="E760" s="1">
        <f>VLOOKUP(C760,Nuclides!E:F,2,FALSE)</f>
        <v>9.7828559999999996E+26</v>
      </c>
    </row>
    <row r="761" spans="3:5" x14ac:dyDescent="0.2">
      <c r="C761" s="8" t="s">
        <v>1926</v>
      </c>
      <c r="D761" s="1">
        <v>60106176</v>
      </c>
      <c r="E761" s="1">
        <f>VLOOKUP(C761,Nuclides!E:F,2,FALSE)</f>
        <v>219.6</v>
      </c>
    </row>
    <row r="762" spans="3:5" x14ac:dyDescent="0.2">
      <c r="C762" s="8" t="s">
        <v>1927</v>
      </c>
      <c r="D762" s="1">
        <v>101048064</v>
      </c>
      <c r="E762" s="1">
        <f>VLOOKUP(C762,Nuclides!E:F,2,FALSE)</f>
        <v>504</v>
      </c>
    </row>
    <row r="763" spans="3:5" x14ac:dyDescent="0.2">
      <c r="C763" s="8" t="s">
        <v>1928</v>
      </c>
      <c r="D763" s="1">
        <v>162025344</v>
      </c>
      <c r="E763" s="1">
        <f>VLOOKUP(C763,Nuclides!E:F,2,FALSE)</f>
        <v>68</v>
      </c>
    </row>
    <row r="764" spans="3:5" x14ac:dyDescent="0.2">
      <c r="C764" s="8" t="s">
        <v>1943</v>
      </c>
      <c r="D764" s="1">
        <v>133278911.99999999</v>
      </c>
      <c r="E764" s="1">
        <f>VLOOKUP(C764,Nuclides!E:F,2,FALSE)</f>
        <v>1</v>
      </c>
    </row>
    <row r="765" spans="3:5" x14ac:dyDescent="0.2">
      <c r="C765" s="8" t="s">
        <v>1944</v>
      </c>
      <c r="D765" s="1">
        <v>87981504</v>
      </c>
      <c r="E765" s="1">
        <f>VLOOKUP(C765,Nuclides!E:F,2,FALSE)</f>
        <v>30.9</v>
      </c>
    </row>
    <row r="766" spans="3:5" x14ac:dyDescent="0.2">
      <c r="C766" s="8" t="s">
        <v>1945</v>
      </c>
      <c r="D766" s="1">
        <v>63590591.999999993</v>
      </c>
      <c r="E766" s="1">
        <f>VLOOKUP(C766,Nuclides!E:F,2,FALSE)</f>
        <v>8</v>
      </c>
    </row>
    <row r="767" spans="3:5" x14ac:dyDescent="0.2">
      <c r="C767" s="8" t="s">
        <v>1946</v>
      </c>
      <c r="D767" s="1">
        <v>11324352</v>
      </c>
      <c r="E767" s="1">
        <f>VLOOKUP(C767,Nuclides!E:F,2,FALSE)</f>
        <v>5904</v>
      </c>
    </row>
    <row r="768" spans="3:5" x14ac:dyDescent="0.2">
      <c r="C768" s="8" t="s">
        <v>1947</v>
      </c>
      <c r="D768" s="1">
        <v>2613312</v>
      </c>
      <c r="E768" s="1">
        <f>VLOOKUP(C768,Nuclides!E:F,2,FALSE)</f>
        <v>3600</v>
      </c>
    </row>
    <row r="769" spans="3:5" x14ac:dyDescent="0.2">
      <c r="C769" s="8" t="s">
        <v>1948</v>
      </c>
      <c r="D769" s="1">
        <v>1742207.9999999998</v>
      </c>
      <c r="E769" s="1">
        <f>VLOOKUP(C769,Nuclides!E:F,2,FALSE)</f>
        <v>14824.8</v>
      </c>
    </row>
    <row r="770" spans="3:5" x14ac:dyDescent="0.2">
      <c r="C770" s="8" t="s">
        <v>1960</v>
      </c>
      <c r="D770" s="1">
        <v>1742207.9999999998</v>
      </c>
      <c r="E770" s="1">
        <f>VLOOKUP(C770,Nuclides!E:F,2,FALSE)</f>
        <v>595296</v>
      </c>
    </row>
    <row r="771" spans="3:5" x14ac:dyDescent="0.2">
      <c r="C771" s="8" t="s">
        <v>1961</v>
      </c>
      <c r="D771" s="1">
        <v>2613312</v>
      </c>
      <c r="E771" s="1">
        <f>VLOOKUP(C771,Nuclides!E:F,2,FALSE)</f>
        <v>456</v>
      </c>
    </row>
    <row r="772" spans="3:5" x14ac:dyDescent="0.2">
      <c r="C772" s="8" t="s">
        <v>1962</v>
      </c>
      <c r="D772" s="1">
        <v>6968831.9999999991</v>
      </c>
      <c r="E772" s="1">
        <f>VLOOKUP(C772,Nuclides!E:F,2,FALSE)</f>
        <v>1170</v>
      </c>
    </row>
    <row r="773" spans="3:5" x14ac:dyDescent="0.2">
      <c r="C773" s="8" t="s">
        <v>1963</v>
      </c>
      <c r="D773" s="1">
        <v>9582144</v>
      </c>
      <c r="E773" s="1">
        <f>VLOOKUP(C773,Nuclides!E:F,2,FALSE)</f>
        <v>180</v>
      </c>
    </row>
    <row r="774" spans="3:5" x14ac:dyDescent="0.2">
      <c r="C774" s="8" t="s">
        <v>1964</v>
      </c>
      <c r="D774" s="1">
        <v>13937663.999999998</v>
      </c>
      <c r="E774" s="1">
        <f>VLOOKUP(C774,Nuclides!E:F,2,FALSE)</f>
        <v>126.6</v>
      </c>
    </row>
    <row r="775" spans="3:5" x14ac:dyDescent="0.2">
      <c r="C775" s="8" t="s">
        <v>1977</v>
      </c>
      <c r="D775" s="1">
        <v>7839935.9999999991</v>
      </c>
      <c r="E775" s="1">
        <f>VLOOKUP(C775,Nuclides!E:F,2,FALSE)</f>
        <v>6</v>
      </c>
    </row>
    <row r="776" spans="3:5" x14ac:dyDescent="0.2">
      <c r="C776" s="8" t="s">
        <v>1978</v>
      </c>
      <c r="D776" s="1">
        <v>6097728.0000000009</v>
      </c>
      <c r="E776" s="1">
        <f>VLOOKUP(C776,Nuclides!E:F,2,FALSE)</f>
        <v>33.200000000000003</v>
      </c>
    </row>
    <row r="777" spans="3:5" x14ac:dyDescent="0.2">
      <c r="C777" s="8" t="s">
        <v>1979</v>
      </c>
      <c r="D777" s="1">
        <v>5226624</v>
      </c>
      <c r="E777" s="1">
        <f>VLOOKUP(C777,Nuclides!E:F,2,FALSE)</f>
        <v>67</v>
      </c>
    </row>
    <row r="778" spans="3:5" x14ac:dyDescent="0.2">
      <c r="C778" s="8" t="s">
        <v>1980</v>
      </c>
      <c r="D778" s="1">
        <v>3484415.9999999995</v>
      </c>
      <c r="E778" s="1">
        <f>VLOOKUP(C778,Nuclides!E:F,2,FALSE)</f>
        <v>198</v>
      </c>
    </row>
    <row r="779" spans="3:5" x14ac:dyDescent="0.2">
      <c r="C779" s="8" t="s">
        <v>1981</v>
      </c>
      <c r="D779" s="1">
        <v>871103.99999999988</v>
      </c>
      <c r="E779" s="1">
        <f>VLOOKUP(C779,Nuclides!E:F,2,FALSE)</f>
        <v>252</v>
      </c>
    </row>
    <row r="780" spans="3:5" hidden="1" x14ac:dyDescent="0.2">
      <c r="C780" s="8" t="s">
        <v>1996</v>
      </c>
      <c r="D780" s="1">
        <v>871103.99999999988</v>
      </c>
      <c r="E780" s="1" t="str">
        <f>VLOOKUP(C780,Nuclides!E:F,2,FALSE)</f>
        <v>STABLE</v>
      </c>
    </row>
    <row r="781" spans="3:5" x14ac:dyDescent="0.2">
      <c r="C781" s="8" t="s">
        <v>1998</v>
      </c>
      <c r="D781" s="1">
        <v>871103.99999999988</v>
      </c>
      <c r="E781" s="1">
        <f>VLOOKUP(C781,Nuclides!E:F,2,FALSE)</f>
        <v>293760</v>
      </c>
    </row>
    <row r="782" spans="3:5" x14ac:dyDescent="0.2">
      <c r="C782" s="8" t="s">
        <v>1999</v>
      </c>
      <c r="D782" s="1">
        <v>3484415.9999999995</v>
      </c>
      <c r="E782" s="1">
        <f>VLOOKUP(C782,Nuclides!E:F,2,FALSE)</f>
        <v>372</v>
      </c>
    </row>
    <row r="783" spans="3:5" x14ac:dyDescent="0.2">
      <c r="C783" s="8" t="s">
        <v>2000</v>
      </c>
      <c r="D783" s="1">
        <v>3484415.9999999995</v>
      </c>
      <c r="E783" s="1">
        <f>VLOOKUP(C783,Nuclides!E:F,2,FALSE)</f>
        <v>522</v>
      </c>
    </row>
    <row r="784" spans="3:5" x14ac:dyDescent="0.2">
      <c r="C784" s="8" t="s">
        <v>2011</v>
      </c>
      <c r="D784" s="1">
        <v>871103.99999999988</v>
      </c>
      <c r="E784" s="1">
        <f>VLOOKUP(C784,Nuclides!E:F,2,FALSE)</f>
        <v>5.8</v>
      </c>
    </row>
    <row r="785" spans="3:5" x14ac:dyDescent="0.2">
      <c r="C785" s="8" t="s">
        <v>2012</v>
      </c>
      <c r="D785" s="1">
        <v>871103.99999999988</v>
      </c>
      <c r="E785" s="1">
        <f>VLOOKUP(C785,Nuclides!E:F,2,FALSE)</f>
        <v>2.2000000000000002</v>
      </c>
    </row>
    <row r="786" spans="3:5" x14ac:dyDescent="0.2">
      <c r="C786" s="8" t="s">
        <v>2013</v>
      </c>
      <c r="D786" s="1">
        <v>871103.99999999988</v>
      </c>
      <c r="E786" s="1">
        <f>VLOOKUP(C786,Nuclides!E:F,2,FALSE)</f>
        <v>21.1</v>
      </c>
    </row>
    <row r="787" spans="3:5" x14ac:dyDescent="0.2">
      <c r="C787" s="8" t="s">
        <v>2014</v>
      </c>
      <c r="D787" s="1">
        <v>2613312</v>
      </c>
      <c r="E787" s="1">
        <f>VLOOKUP(C787,Nuclides!E:F,2,FALSE)</f>
        <v>72</v>
      </c>
    </row>
    <row r="788" spans="3:5" x14ac:dyDescent="0.2">
      <c r="C788" s="8" t="s">
        <v>2015</v>
      </c>
      <c r="D788" s="1">
        <v>871103.99999999988</v>
      </c>
      <c r="E788" s="1">
        <f>VLOOKUP(C788,Nuclides!E:F,2,FALSE)</f>
        <v>35.200000000000003</v>
      </c>
    </row>
    <row r="789" spans="3:5" x14ac:dyDescent="0.2">
      <c r="C789" s="8" t="s">
        <v>2033</v>
      </c>
      <c r="D789" s="1">
        <v>871103.99999999988</v>
      </c>
      <c r="E789" s="1">
        <f>VLOOKUP(C789,Nuclides!E:F,2,FALSE)</f>
        <v>283.2</v>
      </c>
    </row>
    <row r="790" spans="3:5" x14ac:dyDescent="0.2">
      <c r="C790" s="8" t="s">
        <v>2044</v>
      </c>
      <c r="D790" s="1">
        <v>1742207.9999999998</v>
      </c>
      <c r="E790" s="1">
        <f>VLOOKUP(C790,Nuclides!E:F,2,FALSE)</f>
        <v>2.5</v>
      </c>
    </row>
    <row r="791" spans="3:5" x14ac:dyDescent="0.2">
      <c r="C791" s="8" t="s">
        <v>2045</v>
      </c>
      <c r="D791" s="1">
        <v>871103.99999999988</v>
      </c>
      <c r="E791" s="1">
        <f>VLOOKUP(C791,Nuclides!E:F,2,FALSE)</f>
        <v>4.5999999999999996</v>
      </c>
    </row>
    <row r="792" spans="3:5" x14ac:dyDescent="0.2">
      <c r="C792" s="8" t="s">
        <v>2070</v>
      </c>
      <c r="D792" s="1">
        <v>871103.99999999988</v>
      </c>
      <c r="E792" s="1">
        <f>VLOOKUP(C792,Nuclides!E:F,2,FALSE)</f>
        <v>84</v>
      </c>
    </row>
    <row r="793" spans="3:5" x14ac:dyDescent="0.2">
      <c r="C793" s="8" t="s">
        <v>2083</v>
      </c>
      <c r="D793" s="1">
        <v>871103.99999999988</v>
      </c>
      <c r="E793" s="1">
        <f>VLOOKUP(C793,Nuclides!E:F,2,FALSE)</f>
        <v>4.17</v>
      </c>
    </row>
    <row r="794" spans="3:5" x14ac:dyDescent="0.2">
      <c r="C794" s="8" t="s">
        <v>2107</v>
      </c>
      <c r="D794" s="1">
        <v>871103.99999999988</v>
      </c>
      <c r="E794" s="1">
        <f>VLOOKUP(C794,Nuclides!E:F,2,FALSE)</f>
        <v>912</v>
      </c>
    </row>
    <row r="795" spans="3:5" x14ac:dyDescent="0.2">
      <c r="C795" s="8" t="s">
        <v>2925</v>
      </c>
      <c r="D795" s="1">
        <v>871103.99999999988</v>
      </c>
      <c r="E795" s="1">
        <f>VLOOKUP(C795,Nuclides!E:F,2,FALSE)</f>
        <v>60353910</v>
      </c>
    </row>
    <row r="796" spans="3:5" x14ac:dyDescent="0.2">
      <c r="C796" s="8" t="s">
        <v>2926</v>
      </c>
      <c r="D796" s="1">
        <v>1742207.9999999998</v>
      </c>
      <c r="E796" s="1">
        <f>VLOOKUP(C796,Nuclides!E:F,2,FALSE)</f>
        <v>250314883200</v>
      </c>
    </row>
    <row r="797" spans="3:5" x14ac:dyDescent="0.2">
      <c r="C797" s="8" t="s">
        <v>2928</v>
      </c>
      <c r="D797" s="1">
        <v>5226624</v>
      </c>
      <c r="E797" s="1">
        <f>VLOOKUP(C797,Nuclides!E:F,2,FALSE)</f>
        <v>91872</v>
      </c>
    </row>
    <row r="798" spans="3:5" x14ac:dyDescent="0.2">
      <c r="C798" s="8" t="s">
        <v>2929</v>
      </c>
      <c r="D798" s="1">
        <v>6097728.0000000009</v>
      </c>
      <c r="E798" s="1">
        <f>VLOOKUP(C798,Nuclides!E:F,2,FALSE)</f>
        <v>4.418064E+17</v>
      </c>
    </row>
    <row r="799" spans="3:5" x14ac:dyDescent="0.2">
      <c r="C799" s="8" t="s">
        <v>2930</v>
      </c>
      <c r="D799" s="1">
        <v>3484415.9999999995</v>
      </c>
      <c r="E799" s="1">
        <f>VLOOKUP(C799,Nuclides!E:F,2,FALSE)</f>
        <v>1309.8</v>
      </c>
    </row>
    <row r="800" spans="3:5" x14ac:dyDescent="0.2">
      <c r="C800" s="8" t="s">
        <v>2931</v>
      </c>
      <c r="D800" s="1">
        <v>1742207.9999999998</v>
      </c>
      <c r="E800" s="1">
        <f>VLOOKUP(C800,Nuclides!E:F,2,FALSE)</f>
        <v>2082240</v>
      </c>
    </row>
    <row r="801" spans="3:5" x14ac:dyDescent="0.2">
      <c r="C801" s="8" t="s">
        <v>2933</v>
      </c>
      <c r="D801" s="1">
        <v>1742207.9999999998</v>
      </c>
      <c r="E801" s="1">
        <f>VLOOKUP(C801,Nuclides!E:F,2,FALSE)</f>
        <v>2238</v>
      </c>
    </row>
    <row r="802" spans="3:5" x14ac:dyDescent="0.2">
      <c r="C802" s="8" t="s">
        <v>2955</v>
      </c>
      <c r="D802" s="1">
        <v>2613312</v>
      </c>
      <c r="E802" s="1">
        <f>VLOOKUP(C802,Nuclides!E:F,2,FALSE)</f>
        <v>1503359.99999999</v>
      </c>
    </row>
    <row r="803" spans="3:5" x14ac:dyDescent="0.2">
      <c r="C803" s="8" t="s">
        <v>2956</v>
      </c>
      <c r="D803" s="1">
        <v>44426304</v>
      </c>
      <c r="E803" s="1">
        <f>VLOOKUP(C803,Nuclides!E:F,2,FALSE)</f>
        <v>1033826976000</v>
      </c>
    </row>
    <row r="804" spans="3:5" x14ac:dyDescent="0.2">
      <c r="C804" s="8" t="s">
        <v>2957</v>
      </c>
      <c r="D804" s="1">
        <v>123696768</v>
      </c>
      <c r="E804" s="1">
        <f>VLOOKUP(C804,Nuclides!E:F,2,FALSE)</f>
        <v>114048</v>
      </c>
    </row>
    <row r="805" spans="3:5" x14ac:dyDescent="0.2">
      <c r="C805" s="8" t="s">
        <v>2958</v>
      </c>
      <c r="D805" s="1">
        <v>607159488</v>
      </c>
      <c r="E805" s="1">
        <f>VLOOKUP(C805,Nuclides!E:F,2,FALSE)</f>
        <v>2330640</v>
      </c>
    </row>
    <row r="806" spans="3:5" x14ac:dyDescent="0.2">
      <c r="C806" s="8" t="s">
        <v>2959</v>
      </c>
      <c r="D806" s="1">
        <v>1538372159.9999998</v>
      </c>
      <c r="E806" s="1">
        <f>VLOOKUP(C806,Nuclides!E:F,2,FALSE)</f>
        <v>24120</v>
      </c>
    </row>
    <row r="807" spans="3:5" x14ac:dyDescent="0.2">
      <c r="C807" s="8" t="s">
        <v>2960</v>
      </c>
      <c r="D807" s="1">
        <v>4392111360</v>
      </c>
      <c r="E807" s="1">
        <f>VLOOKUP(C807,Nuclides!E:F,2,FALSE)</f>
        <v>1464</v>
      </c>
    </row>
    <row r="808" spans="3:5" x14ac:dyDescent="0.2">
      <c r="C808" s="8" t="s">
        <v>2961</v>
      </c>
      <c r="D808" s="1">
        <v>7870424640</v>
      </c>
      <c r="E808" s="1">
        <f>VLOOKUP(C808,Nuclides!E:F,2,FALSE)</f>
        <v>546</v>
      </c>
    </row>
    <row r="809" spans="3:5" x14ac:dyDescent="0.2">
      <c r="C809" s="8" t="s">
        <v>2962</v>
      </c>
      <c r="D809" s="1">
        <v>5330282880</v>
      </c>
      <c r="E809" s="1">
        <f>VLOOKUP(C809,Nuclides!E:F,2,FALSE)</f>
        <v>522</v>
      </c>
    </row>
    <row r="810" spans="3:5" x14ac:dyDescent="0.2">
      <c r="C810" s="8" t="s">
        <v>2978</v>
      </c>
      <c r="D810" s="1">
        <v>21777600</v>
      </c>
      <c r="E810" s="1">
        <f>VLOOKUP(C810,Nuclides!E:F,2,FALSE)</f>
        <v>1797120</v>
      </c>
    </row>
    <row r="811" spans="3:5" x14ac:dyDescent="0.2">
      <c r="C811" s="8" t="s">
        <v>2979</v>
      </c>
      <c r="D811" s="1">
        <v>377188032</v>
      </c>
      <c r="E811" s="1">
        <f>VLOOKUP(C811,Nuclides!E:F,2,FALSE)</f>
        <v>362880</v>
      </c>
    </row>
    <row r="812" spans="3:5" x14ac:dyDescent="0.2">
      <c r="C812" s="8" t="s">
        <v>2980</v>
      </c>
      <c r="D812" s="1">
        <v>10477633920</v>
      </c>
      <c r="E812" s="1">
        <f>VLOOKUP(C812,Nuclides!E:F,2,FALSE)</f>
        <v>2174318640</v>
      </c>
    </row>
    <row r="813" spans="3:5" x14ac:dyDescent="0.2">
      <c r="C813" s="8" t="s">
        <v>2981</v>
      </c>
      <c r="D813" s="1">
        <v>113194723200.00002</v>
      </c>
      <c r="E813" s="1">
        <f>VLOOKUP(C813,Nuclides!E:F,2,FALSE)</f>
        <v>5023969920000</v>
      </c>
    </row>
    <row r="814" spans="3:5" x14ac:dyDescent="0.2">
      <c r="C814" s="8" t="s">
        <v>2982</v>
      </c>
      <c r="D814" s="1">
        <v>90769036800</v>
      </c>
      <c r="E814" s="1">
        <f>VLOOKUP(C814,Nuclides!E:F,2,FALSE)</f>
        <v>7747390800000</v>
      </c>
    </row>
    <row r="815" spans="3:5" x14ac:dyDescent="0.2">
      <c r="C815" s="8" t="s">
        <v>2983</v>
      </c>
      <c r="D815" s="1">
        <v>488052864000.00006</v>
      </c>
      <c r="E815" s="1">
        <f>VLOOKUP(C815,Nuclides!E:F,2,FALSE)</f>
        <v>2.22165504E+16</v>
      </c>
    </row>
    <row r="816" spans="3:5" x14ac:dyDescent="0.2">
      <c r="C816" s="8" t="s">
        <v>2984</v>
      </c>
      <c r="D816" s="1">
        <v>18618288000000</v>
      </c>
      <c r="E816" s="1">
        <f>VLOOKUP(C816,Nuclides!E:F,2,FALSE)</f>
        <v>739078992000000</v>
      </c>
    </row>
    <row r="817" spans="3:5" x14ac:dyDescent="0.2">
      <c r="C817" s="8" t="s">
        <v>2985</v>
      </c>
      <c r="D817" s="1">
        <v>90733344000</v>
      </c>
      <c r="E817" s="1">
        <f>VLOOKUP(C817,Nuclides!E:F,2,FALSE)</f>
        <v>583200</v>
      </c>
    </row>
  </sheetData>
  <autoFilter ref="E3:E817" xr:uid="{00000000-0001-0000-0400-000000000000}">
    <filterColumn colId="0">
      <filters>
        <filter val="1.00E+00"/>
        <filter val="1.00E+01"/>
        <filter val="1.00E-01"/>
        <filter val="1.02E+00"/>
        <filter val="1.02E+01"/>
        <filter val="1.02E+04"/>
        <filter val="1.02E+05"/>
        <filter val="1.02E-01"/>
        <filter val="1.03E+01"/>
        <filter val="1.03E+07"/>
        <filter val="1.03E+12"/>
        <filter val="1.03E+13"/>
        <filter val="1.04E+03"/>
        <filter val="1.04E+08"/>
        <filter val="1.04E+27"/>
        <filter val="1.05E+00"/>
        <filter val="1.06E+03"/>
        <filter val="1.07E+00"/>
        <filter val="1.07E+02"/>
        <filter val="1.07E+03"/>
        <filter val="1.07E+06"/>
        <filter val="1.08E+02"/>
        <filter val="1.09E+00"/>
        <filter val="1.09E+03"/>
        <filter val="1.10E+00"/>
        <filter val="1.10E+01"/>
        <filter val="1.10E+03"/>
        <filter val="1.10E+06"/>
        <filter val="1.10E+15"/>
        <filter val="1.11E+03"/>
        <filter val="1.12E+03"/>
        <filter val="1.12E+06"/>
        <filter val="1.12E+07"/>
        <filter val="1.13E+04"/>
        <filter val="1.13E+06"/>
        <filter val="1.14E+05"/>
        <filter val="1.14E-01"/>
        <filter val="1.15E+01"/>
        <filter val="1.15E+02"/>
        <filter val="1.16E+01"/>
        <filter val="1.16E-01"/>
        <filter val="1.17E+03"/>
        <filter val="1.17E+06"/>
        <filter val="1.18E+01"/>
        <filter val="1.18E+14"/>
        <filter val="1.19E+05"/>
        <filter val="1.19E+07"/>
        <filter val="1.20E+03"/>
        <filter val="1.20E+04"/>
        <filter val="1.21E+01"/>
        <filter val="1.21E+02"/>
        <filter val="1.22E+00"/>
        <filter val="1.22E+02"/>
        <filter val="1.23E+00"/>
        <filter val="1.24E+02"/>
        <filter val="1.25E+00"/>
        <filter val="1.26E+00"/>
        <filter val="1.26E+02"/>
        <filter val="1.26E+05"/>
        <filter val="1.26E+11"/>
        <filter val="1.27E+02"/>
        <filter val="1.27E+04"/>
        <filter val="1.27E+05"/>
        <filter val="1.28E+03"/>
        <filter val="1.28E+05"/>
        <filter val="1.29E+00"/>
        <filter val="1.29E-01"/>
        <filter val="1.30E+03"/>
        <filter val="1.31E+03"/>
        <filter val="1.31E+06"/>
        <filter val="1.32E+01"/>
        <filter val="1.33E+14"/>
        <filter val="1.34E+01"/>
        <filter val="1.34E+02"/>
        <filter val="1.34E+03"/>
        <filter val="1.35E+01"/>
        <filter val="1.35E+02"/>
        <filter val="1.36E+01"/>
        <filter val="1.36E+02"/>
        <filter val="1.37E+02"/>
        <filter val="1.37E+05"/>
        <filter val="1.38E+03"/>
        <filter val="1.39E+06"/>
        <filter val="1.40E+00"/>
        <filter val="1.40E+01"/>
        <filter val="1.40E+02"/>
        <filter val="1.40E+03"/>
        <filter val="1.40E+05"/>
        <filter val="1.41E+01"/>
        <filter val="1.41E+04"/>
        <filter val="1.42E+03"/>
        <filter val="1.43E+01"/>
        <filter val="1.43E+02"/>
        <filter val="1.44E+02"/>
        <filter val="1.45E+01"/>
        <filter val="1.45E+02"/>
        <filter val="1.45E+03"/>
        <filter val="1.45E+05"/>
        <filter val="1.46E+00"/>
        <filter val="1.46E+03"/>
        <filter val="1.46E-01"/>
        <filter val="1.47E+00"/>
        <filter val="1.47E+02"/>
        <filter val="1.47E+06"/>
        <filter val="1.48E+00"/>
        <filter val="1.48E+04"/>
        <filter val="1.50E+00"/>
        <filter val="1.50E+01"/>
        <filter val="1.50E+03"/>
        <filter val="1.50E+06"/>
        <filter val="1.50E+08"/>
        <filter val="1.50E-01"/>
        <filter val="1.51E+00"/>
        <filter val="1.51E+01"/>
        <filter val="1.52E+01"/>
        <filter val="1.52E+02"/>
        <filter val="1.53E+00"/>
        <filter val="1.54E+02"/>
        <filter val="1.54E+06"/>
        <filter val="1.55E+01"/>
        <filter val="1.55E+02"/>
        <filter val="1.55E+03"/>
        <filter val="1.57E+04"/>
        <filter val="1.57E+18"/>
        <filter val="1.58E+02"/>
        <filter val="1.58E+24"/>
        <filter val="1.60E+01"/>
        <filter val="1.60E+02"/>
        <filter val="1.60E+04"/>
        <filter val="1.61E+02"/>
        <filter val="1.61E+06"/>
        <filter val="1.63E+01"/>
        <filter val="1.66E+06"/>
        <filter val="1.67E+02"/>
        <filter val="1.67E+05"/>
        <filter val="1.68E+00"/>
        <filter val="1.68E+01"/>
        <filter val="1.69E-01"/>
        <filter val="1.70E+01"/>
        <filter val="1.71E+01"/>
        <filter val="1.71E+02"/>
        <filter val="1.73E+00"/>
        <filter val="1.74E+02"/>
        <filter val="1.75E+00"/>
        <filter val="1.75E+03"/>
        <filter val="1.75E+04"/>
        <filter val="1.76E+00"/>
        <filter val="1.76E+01"/>
        <filter val="1.76E+04"/>
        <filter val="1.79E+00"/>
        <filter val="1.79E+01"/>
        <filter val="1.80E+02"/>
        <filter val="1.80E+06"/>
        <filter val="1.81E+02"/>
        <filter val="1.82E-01"/>
        <filter val="1.83E+30"/>
        <filter val="1.84E+00"/>
        <filter val="1.84E+03"/>
        <filter val="1.85E+00"/>
        <filter val="1.86E+01"/>
        <filter val="1.86E+02"/>
        <filter val="1.88E+02"/>
        <filter val="1.88E-01"/>
        <filter val="1.89E+01"/>
        <filter val="1.89E+02"/>
        <filter val="1.89E+12"/>
        <filter val="1.90E+00"/>
        <filter val="1.90E+01"/>
        <filter val="1.91E+01"/>
        <filter val="1.91E+03"/>
        <filter val="1.91E+05"/>
        <filter val="1.92E+00"/>
        <filter val="1.92E+05"/>
        <filter val="1.93E+04"/>
        <filter val="1.93E-01"/>
        <filter val="1.94E+01"/>
        <filter val="1.94E+03"/>
        <filter val="1.95E-01"/>
        <filter val="1.96E+02"/>
        <filter val="1.96E-01"/>
        <filter val="1.97E+05"/>
        <filter val="1.98E+02"/>
        <filter val="2.00E+00"/>
        <filter val="2.00E+03"/>
        <filter val="2.00E+04"/>
        <filter val="2.02E+00"/>
        <filter val="2.02E-01"/>
        <filter val="2.03E-01"/>
        <filter val="2.04E+02"/>
        <filter val="2.05E+01"/>
        <filter val="2.05E+14"/>
        <filter val="2.05E-01"/>
        <filter val="2.07E-01"/>
        <filter val="2.08E+00"/>
        <filter val="2.08E+01"/>
        <filter val="2.08E+06"/>
        <filter val="2.10E+00"/>
        <filter val="2.10E+01"/>
        <filter val="2.10E+02"/>
        <filter val="2.11E+01"/>
        <filter val="2.11E+07"/>
        <filter val="2.12E+00"/>
        <filter val="2.12E+01"/>
        <filter val="2.12E-01"/>
        <filter val="2.14E+01"/>
        <filter val="2.15E+04"/>
        <filter val="2.15E+10"/>
        <filter val="2.17E+09"/>
        <filter val="2.19E+02"/>
        <filter val="2.20E+00"/>
        <filter val="2.20E+02"/>
        <filter val="2.21E+28"/>
        <filter val="2.22E+00"/>
        <filter val="2.22E+02"/>
        <filter val="2.22E+16"/>
        <filter val="2.22E-01"/>
        <filter val="2.23E+02"/>
        <filter val="2.23E+05"/>
        <filter val="2.24E+03"/>
        <filter val="2.25E+02"/>
        <filter val="2.28E+00"/>
        <filter val="2.29E+02"/>
        <filter val="2.30E+00"/>
        <filter val="2.30E+01"/>
        <filter val="2.30E+26"/>
        <filter val="2.30E-01"/>
        <filter val="2.31E+01"/>
        <filter val="2.31E+03"/>
        <filter val="2.31E+05"/>
        <filter val="2.33E+01"/>
        <filter val="2.33E+06"/>
        <filter val="2.34E+00"/>
        <filter val="2.35E+01"/>
        <filter val="2.35E+05"/>
        <filter val="2.35E+07"/>
        <filter val="2.36E+00"/>
        <filter val="2.36E+02"/>
        <filter val="2.37E+02"/>
        <filter val="2.37E+03"/>
        <filter val="2.37E+04"/>
        <filter val="2.38E+05"/>
        <filter val="2.39E+01"/>
        <filter val="2.40E+12"/>
        <filter val="2.40E-01"/>
        <filter val="2.41E+04"/>
        <filter val="2.45E+01"/>
        <filter val="2.45E+05"/>
        <filter val="2.46E+07"/>
        <filter val="2.47E+02"/>
        <filter val="2.47E+03"/>
        <filter val="2.48E+01"/>
        <filter val="2.49E+00"/>
        <filter val="2.49E+02"/>
        <filter val="2.50E+00"/>
        <filter val="2.50E+01"/>
        <filter val="2.50E+11"/>
        <filter val="2.51E+03"/>
        <filter val="2.52E+02"/>
        <filter val="2.52E+23"/>
        <filter val="2.54E+01"/>
        <filter val="2.55E+01"/>
        <filter val="2.55E+02"/>
        <filter val="2.57E+04"/>
        <filter val="2.59E+01"/>
        <filter val="2.59E+03"/>
        <filter val="2.68E+02"/>
        <filter val="2.69E-01"/>
        <filter val="2.70E+00"/>
        <filter val="2.70E-01"/>
        <filter val="2.71E+08"/>
        <filter val="2.73E+01"/>
        <filter val="2.73E+02"/>
        <filter val="2.74E+00"/>
        <filter val="2.74E+01"/>
        <filter val="2.75E+03"/>
        <filter val="2.76E+02"/>
        <filter val="2.77E+05"/>
        <filter val="2.80E+00"/>
        <filter val="2.80E-01"/>
        <filter val="2.81E+06"/>
        <filter val="2.82E+05"/>
        <filter val="2.83E+02"/>
        <filter val="2.83E-01"/>
        <filter val="2.84E+02"/>
        <filter val="2.84E+06"/>
        <filter val="2.84E+09"/>
        <filter val="2.84E+21"/>
        <filter val="2.85E+00"/>
        <filter val="2.85E+01"/>
        <filter val="2.86E+00"/>
        <filter val="2.87E+05"/>
        <filter val="2.87E+26"/>
        <filter val="2.89E+00"/>
        <filter val="2.90E+00"/>
        <filter val="2.90E+01"/>
        <filter val="2.90E+24"/>
        <filter val="2.90E-01"/>
        <filter val="2.92E+01"/>
        <filter val="2.94E+05"/>
        <filter val="2.95E+00"/>
        <filter val="2.95E+01"/>
        <filter val="2.98E+04"/>
        <filter val="3.00E+01"/>
        <filter val="3.00E-01"/>
        <filter val="3.01E+01"/>
        <filter val="3.01E+02"/>
        <filter val="3.02E+03"/>
        <filter val="3.02E+06"/>
        <filter val="3.04E+02"/>
        <filter val="3.05E+04"/>
        <filter val="3.06E+02"/>
        <filter val="3.07E+01"/>
        <filter val="3.07E+02"/>
        <filter val="3.08E+00"/>
        <filter val="3.08E-01"/>
        <filter val="3.09E+01"/>
        <filter val="3.10E-03"/>
        <filter val="3.11E+03"/>
        <filter val="3.12E+00"/>
        <filter val="3.14E+05"/>
        <filter val="3.14E-01"/>
        <filter val="3.15E+02"/>
        <filter val="3.15E+03"/>
        <filter val="3.16E+01"/>
        <filter val="3.16E+03"/>
        <filter val="3.18E+02"/>
        <filter val="3.19E+09"/>
        <filter val="3.20E+00"/>
        <filter val="3.20E+01"/>
        <filter val="3.21E+07"/>
        <filter val="3.22E+18"/>
        <filter val="3.22E-01"/>
        <filter val="3.23E+01"/>
        <filter val="3.24E+01"/>
        <filter val="3.26E+01"/>
        <filter val="3.26E+04"/>
        <filter val="3.27E+01"/>
        <filter val="3.29E+01"/>
        <filter val="3.29E+04"/>
        <filter val="3.30E+02"/>
        <filter val="3.31E+04"/>
        <filter val="3.32E+01"/>
        <filter val="3.33E+01"/>
        <filter val="3.33E+05"/>
        <filter val="3.33E+08"/>
        <filter val="3.34E+00"/>
        <filter val="3.37E+04"/>
        <filter val="3.38E+03"/>
        <filter val="3.38E+04"/>
        <filter val="3.39E+06"/>
        <filter val="3.39E+08"/>
        <filter val="3.40E+01"/>
        <filter val="3.42E+04"/>
        <filter val="3.45E+01"/>
        <filter val="3.46E+03"/>
        <filter val="3.47E+04"/>
        <filter val="3.48E+03"/>
        <filter val="3.50E+00"/>
        <filter val="3.52E+01"/>
        <filter val="3.54E+03"/>
        <filter val="3.55E+01"/>
        <filter val="3.56E+01"/>
        <filter val="3.57E+00"/>
        <filter val="3.59E+02"/>
        <filter val="3.60E+00"/>
        <filter val="3.60E+03"/>
        <filter val="3.60E-01"/>
        <filter val="3.63E+05"/>
        <filter val="3.65E+01"/>
        <filter val="3.66E+04"/>
        <filter val="3.70E+05"/>
        <filter val="3.72E+02"/>
        <filter val="3.75E+00"/>
        <filter val="3.76E+00"/>
        <filter val="3.78E-01"/>
        <filter val="3.79E+28"/>
        <filter val="3.80E+01"/>
        <filter val="3.80E-02"/>
        <filter val="3.87E+02"/>
        <filter val="3.88E-01"/>
        <filter val="3.90E+01"/>
        <filter val="3.90E+02"/>
        <filter val="3.94E+03"/>
        <filter val="3.97E+01"/>
        <filter val="4.00E+00"/>
        <filter val="4.00E+01"/>
        <filter val="4.02E+00"/>
        <filter val="4.06E+00"/>
        <filter val="4.07E+01"/>
        <filter val="4.07E+04"/>
        <filter val="4.08E+01"/>
        <filter val="4.15E+01"/>
        <filter val="4.17E+00"/>
        <filter val="4.17E+06"/>
        <filter val="4.19E+03"/>
        <filter val="4.20E+00"/>
        <filter val="4.20E+01"/>
        <filter val="4.23E+01"/>
        <filter val="4.25E+01"/>
        <filter val="4.25E+02"/>
        <filter val="4.29E-01"/>
        <filter val="4.30E+00"/>
        <filter val="4.30E-01"/>
        <filter val="4.31E+00"/>
        <filter val="4.33E+03"/>
        <filter val="4.36E+00"/>
        <filter val="4.37E+06"/>
        <filter val="4.38E+02"/>
        <filter val="4.40E+00"/>
        <filter val="4.40E-02"/>
        <filter val="4.42E+17"/>
        <filter val="4.45E+01"/>
        <filter val="4.45E+04"/>
        <filter val="4.46E+02"/>
        <filter val="4.46E+03"/>
        <filter val="4.49E+00"/>
        <filter val="4.50E+01"/>
        <filter val="4.50E-01"/>
        <filter val="4.53E+05"/>
        <filter val="4.56E+00"/>
        <filter val="4.56E+02"/>
        <filter val="4.57E+04"/>
        <filter val="4.58E+03"/>
        <filter val="4.60E+00"/>
        <filter val="4.64E+05"/>
        <filter val="4.70E+01"/>
        <filter val="4.72E+02"/>
        <filter val="4.75E+01"/>
        <filter val="4.80E+02"/>
        <filter val="4.82E+02"/>
        <filter val="4.84E-01"/>
        <filter val="4.87E+02"/>
        <filter val="4.90E+00"/>
        <filter val="4.90E+01"/>
        <filter val="4.91E+01"/>
        <filter val="4.93E+04"/>
        <filter val="4.95E+14"/>
        <filter val="4.97E+03"/>
        <filter val="4.98E+03"/>
        <filter val="5.00E+00"/>
        <filter val="5.02E+12"/>
        <filter val="5.04E+02"/>
        <filter val="5.06E+06"/>
        <filter val="5.08E+01"/>
        <filter val="5.08E+04"/>
        <filter val="5.08E+13"/>
        <filter val="5.09E+00"/>
        <filter val="5.10E+01"/>
        <filter val="5.10E+02"/>
        <filter val="5.10E-02"/>
        <filter val="5.11E+02"/>
        <filter val="5.11E-01"/>
        <filter val="5.15E-01"/>
        <filter val="5.17E+00"/>
        <filter val="5.20E+06"/>
        <filter val="5.22E+02"/>
        <filter val="5.23E+02"/>
        <filter val="5.24E+00"/>
        <filter val="5.25E+05"/>
        <filter val="5.26E+04"/>
        <filter val="5.28E+00"/>
        <filter val="5.28E+03"/>
        <filter val="5.29E-01"/>
        <filter val="5.30E+00"/>
        <filter val="5.33E+04"/>
        <filter val="5.34E+00"/>
        <filter val="5.40E+00"/>
        <filter val="5.40E+01"/>
        <filter val="5.40E-02"/>
        <filter val="5.41E+02"/>
        <filter val="5.42E+01"/>
        <filter val="5.43E-01"/>
        <filter val="5.44E+03"/>
        <filter val="5.46E+02"/>
        <filter val="5.46E+04"/>
        <filter val="5.47E+03"/>
        <filter val="5.48E-01"/>
        <filter val="5.50E+00"/>
        <filter val="5.51E+01"/>
        <filter val="5.52E-02"/>
        <filter val="5.53E+06"/>
        <filter val="5.56E+02"/>
        <filter val="5.57E+01"/>
        <filter val="5.60E+01"/>
        <filter val="5.60E+05"/>
        <filter val="5.60E+06"/>
        <filter val="5.64E+01"/>
        <filter val="5.65E+13"/>
        <filter val="5.68E+01"/>
        <filter val="5.70E+00"/>
        <filter val="5.70E-01"/>
        <filter val="5.80E+00"/>
        <filter val="5.80E+02"/>
        <filter val="5.82E+01"/>
        <filter val="5.83E+05"/>
        <filter val="5.84E+00"/>
        <filter val="5.87E-01"/>
        <filter val="5.90E+03"/>
        <filter val="5.91E+03"/>
        <filter val="5.92E+02"/>
        <filter val="5.94E+02"/>
        <filter val="5.94E+04"/>
        <filter val="5.95E+05"/>
        <filter val="5.97E+01"/>
        <filter val="5.99E-01"/>
        <filter val="6.00E+00"/>
        <filter val="6.00E+01"/>
        <filter val="6.03E+04"/>
        <filter val="6.04E+07"/>
        <filter val="6.11E-01"/>
        <filter val="6.12E+06"/>
        <filter val="6.12E-01"/>
        <filter val="6.17E+00"/>
        <filter val="6.18E+02"/>
        <filter val="6.19E+00"/>
        <filter val="6.20E+00"/>
        <filter val="6.22E+03"/>
        <filter val="6.23E+00"/>
        <filter val="6.27E+00"/>
        <filter val="6.30E-02"/>
        <filter val="6.31E+04"/>
        <filter val="6.36E+02"/>
        <filter val="6.37E+01"/>
        <filter val="6.41E+11"/>
        <filter val="6.44E+05"/>
        <filter val="6.48E+01"/>
        <filter val="6.49E-02"/>
        <filter val="6.50E+01"/>
        <filter val="6.50E-01"/>
        <filter val="6.52E+07"/>
        <filter val="6.53E-01"/>
        <filter val="6.60E+00"/>
        <filter val="6.60E+01"/>
        <filter val="6.60E+02"/>
        <filter val="6.63E+00"/>
        <filter val="6.63E+25"/>
        <filter val="6.65E+04"/>
        <filter val="6.66E+02"/>
        <filter val="6.66E+12"/>
        <filter val="6.67E+06"/>
        <filter val="6.70E+00"/>
        <filter val="6.70E+01"/>
        <filter val="6.75E+01"/>
        <filter val="6.78E+02"/>
        <filter val="6.80E+01"/>
        <filter val="6.80E-01"/>
        <filter val="6.84E+02"/>
        <filter val="6.88E+04"/>
        <filter val="6.90E+02"/>
        <filter val="6.93E+05"/>
        <filter val="6.94E+06"/>
        <filter val="7.00E+00"/>
        <filter val="7.00E+01"/>
        <filter val="7.00E-01"/>
        <filter val="7.00E-05"/>
        <filter val="7.02E+01"/>
        <filter val="7.04E+01"/>
        <filter val="7.10E+00"/>
        <filter val="7.20E+01"/>
        <filter val="7.20E+04"/>
        <filter val="7.23E+12"/>
        <filter val="7.23E+22"/>
        <filter val="7.26E+05"/>
        <filter val="7.26E+12"/>
        <filter val="7.26E+13"/>
        <filter val="7.26E+24"/>
        <filter val="7.28E+01"/>
        <filter val="7.31E+03"/>
        <filter val="7.35E-01"/>
        <filter val="7.39E+14"/>
        <filter val="7.40E+00"/>
        <filter val="7.42E+26"/>
        <filter val="7.44E+02"/>
        <filter val="7.45E+06"/>
        <filter val="7.46E+02"/>
        <filter val="7.49E+04"/>
        <filter val="7.50E+01"/>
        <filter val="7.50E+02"/>
        <filter val="7.50E+04"/>
        <filter val="7.53E+01"/>
        <filter val="7.55E+01"/>
        <filter val="7.56E+03"/>
        <filter val="7.57E+04"/>
        <filter val="7.57E+28"/>
        <filter val="7.60E+00"/>
        <filter val="7.61E+31"/>
        <filter val="7.74E+02"/>
        <filter val="7.75E+12"/>
        <filter val="7.80E-01"/>
        <filter val="7.86E+01"/>
        <filter val="7.91E-02"/>
        <filter val="8.00E+00"/>
        <filter val="8.00E+01"/>
        <filter val="8.00E-01"/>
        <filter val="8.00E-02"/>
        <filter val="8.04E+02"/>
        <filter val="8.09E+02"/>
        <filter val="8.10E-01"/>
        <filter val="8.15E+01"/>
        <filter val="8.16E+01"/>
        <filter val="8.26E+03"/>
        <filter val="8.28E+07"/>
        <filter val="8.30E+00"/>
        <filter val="8.33E+05"/>
        <filter val="8.34E+01"/>
        <filter val="8.37E+05"/>
        <filter val="8.40E+01"/>
        <filter val="8.40E-01"/>
        <filter val="8.41E+02"/>
        <filter val="8.41E+04"/>
        <filter val="8.48E+02"/>
        <filter val="8.52E+02"/>
        <filter val="8.55E+03"/>
        <filter val="8.57E+00"/>
        <filter val="8.60E-01"/>
        <filter val="8.60E-02"/>
        <filter val="8.70E+00"/>
        <filter val="8.71E+07"/>
        <filter val="8.73E+00"/>
        <filter val="8.73E+02"/>
        <filter val="8.77E+02"/>
        <filter val="8.80E+01"/>
        <filter val="8.89E+02"/>
        <filter val="8.91E+01"/>
        <filter val="8.94E-01"/>
        <filter val="8.96E+03"/>
        <filter val="9.00E+00"/>
        <filter val="9.06E+01"/>
        <filter val="9.06E+03"/>
        <filter val="9.12E+02"/>
        <filter val="9.12E+08"/>
        <filter val="9.19E+02"/>
        <filter val="9.19E+04"/>
        <filter val="9.20E+00"/>
        <filter val="9.20E-01"/>
        <filter val="9.21E+06"/>
        <filter val="9.23E-01"/>
        <filter val="9.29E+02"/>
        <filter val="9.30E+01"/>
        <filter val="9.30E-02"/>
        <filter val="9.36E+04"/>
        <filter val="9.40E+01"/>
        <filter val="9.40E+03"/>
        <filter val="9.45E+04"/>
        <filter val="9.45E-01"/>
        <filter val="9.47E+31"/>
        <filter val="9.49E+05"/>
        <filter val="9.49E+08"/>
        <filter val="9.50E+00"/>
        <filter val="9.53E+02"/>
        <filter val="9.54E-01"/>
        <filter val="9.56E+01"/>
        <filter val="9.58E-02"/>
        <filter val="9.60E+01"/>
        <filter val="9.70E+00"/>
        <filter val="9.71E+03"/>
        <filter val="9.73E+04"/>
        <filter val="9.78E+26"/>
        <filter val="9.80E+00"/>
        <filter val="9.90E+03"/>
        <filter val="9.94E-01"/>
      </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FA46-D3C5-4F7B-B4CA-BC44B3905C06}">
  <dimension ref="B1:T765"/>
  <sheetViews>
    <sheetView workbookViewId="0">
      <selection activeCell="I29" sqref="I29"/>
    </sheetView>
  </sheetViews>
  <sheetFormatPr defaultRowHeight="14.25" x14ac:dyDescent="0.2"/>
  <cols>
    <col min="4" max="4" width="10.5" style="5" customWidth="1"/>
    <col min="5" max="5" width="9" style="5"/>
    <col min="9" max="9" width="11.375" customWidth="1"/>
    <col min="12" max="16" width="9" style="5"/>
    <col min="17" max="20" width="9" style="7"/>
  </cols>
  <sheetData>
    <row r="1" spans="2:20" x14ac:dyDescent="0.2">
      <c r="B1" t="s">
        <v>3284</v>
      </c>
      <c r="L1" s="12" t="s">
        <v>3287</v>
      </c>
    </row>
    <row r="2" spans="2:20" x14ac:dyDescent="0.2">
      <c r="B2" s="12"/>
      <c r="C2" s="10" t="s">
        <v>3300</v>
      </c>
      <c r="D2" s="12" t="s">
        <v>3295</v>
      </c>
      <c r="E2" s="12" t="s">
        <v>3298</v>
      </c>
      <c r="F2" s="12" t="s">
        <v>3302</v>
      </c>
      <c r="G2" s="12" t="s">
        <v>3304</v>
      </c>
      <c r="H2" s="12" t="s">
        <v>3306</v>
      </c>
      <c r="I2" s="12" t="s">
        <v>3311</v>
      </c>
      <c r="L2" s="12"/>
      <c r="M2" s="12" t="s">
        <v>3300</v>
      </c>
      <c r="N2" s="12" t="s">
        <v>3295</v>
      </c>
      <c r="O2" s="12" t="s">
        <v>16</v>
      </c>
      <c r="P2" s="12" t="s">
        <v>3309</v>
      </c>
      <c r="Q2" s="15" t="s">
        <v>3298</v>
      </c>
      <c r="R2" s="15" t="s">
        <v>3302</v>
      </c>
      <c r="S2" s="15" t="s">
        <v>3304</v>
      </c>
      <c r="T2" s="15" t="s">
        <v>3306</v>
      </c>
    </row>
    <row r="3" spans="2:20" x14ac:dyDescent="0.2">
      <c r="B3">
        <v>24051</v>
      </c>
      <c r="C3" s="9">
        <v>6.9799999999999994E-11</v>
      </c>
      <c r="D3" s="5" t="s">
        <v>525</v>
      </c>
      <c r="E3" s="7">
        <v>2393496</v>
      </c>
      <c r="F3" s="1">
        <v>2.8959613074763664E-7</v>
      </c>
      <c r="G3" s="1">
        <v>192830.69207774702</v>
      </c>
      <c r="H3" s="1">
        <v>20.839792510094178</v>
      </c>
      <c r="I3" s="7">
        <f>G3/10/24/3600</f>
        <v>0.22318367138628126</v>
      </c>
      <c r="L3" s="5">
        <v>2006</v>
      </c>
      <c r="M3" s="7">
        <v>3.4899999999999998E-10</v>
      </c>
      <c r="N3" s="5" t="s">
        <v>19</v>
      </c>
      <c r="O3" s="5">
        <v>4</v>
      </c>
      <c r="P3" s="5">
        <v>2</v>
      </c>
      <c r="Q3" s="7">
        <v>0.80669999999999997</v>
      </c>
      <c r="R3" s="7">
        <v>0.85923785863387292</v>
      </c>
      <c r="S3" s="7">
        <v>4355520</v>
      </c>
      <c r="T3" s="7">
        <v>0</v>
      </c>
    </row>
    <row r="4" spans="2:20" x14ac:dyDescent="0.2">
      <c r="B4">
        <v>25050</v>
      </c>
      <c r="C4" s="9">
        <v>6.9799999999999994E-11</v>
      </c>
      <c r="D4" s="5" t="s">
        <v>546</v>
      </c>
      <c r="E4" s="7">
        <v>0.28319</v>
      </c>
      <c r="F4" s="1">
        <v>2.4476400316393421</v>
      </c>
      <c r="G4" s="1">
        <v>871103.99999999988</v>
      </c>
      <c r="H4" s="1">
        <v>0</v>
      </c>
      <c r="I4" s="7">
        <f t="shared" ref="I4:I67" si="0">G4/10/24/3600</f>
        <v>1.0082222222222221</v>
      </c>
      <c r="L4" s="5">
        <v>3008</v>
      </c>
      <c r="M4" s="7">
        <v>2.094E-10</v>
      </c>
      <c r="N4" s="5" t="s">
        <v>35</v>
      </c>
      <c r="O4" s="5">
        <v>5</v>
      </c>
      <c r="P4" s="5">
        <v>3</v>
      </c>
      <c r="Q4" s="7">
        <v>0.83989999999999998</v>
      </c>
      <c r="R4" s="7">
        <v>0.82527346179300543</v>
      </c>
      <c r="S4" s="7">
        <v>2613312</v>
      </c>
      <c r="T4" s="7">
        <v>0</v>
      </c>
    </row>
    <row r="5" spans="2:20" x14ac:dyDescent="0.2">
      <c r="B5">
        <v>25053</v>
      </c>
      <c r="C5" s="9">
        <v>6.9799999999999994E-11</v>
      </c>
      <c r="D5" s="5" t="s">
        <v>549</v>
      </c>
      <c r="E5" s="7">
        <v>118025424000000</v>
      </c>
      <c r="F5" s="1">
        <v>5.8728632956230289E-15</v>
      </c>
      <c r="G5" s="1">
        <v>4.4201157369982971E-3</v>
      </c>
      <c r="H5" s="1">
        <v>4.4201149183636908E-3</v>
      </c>
      <c r="I5" s="7">
        <f t="shared" si="0"/>
        <v>5.1158746955998813E-9</v>
      </c>
      <c r="L5" s="5">
        <v>4007</v>
      </c>
      <c r="M5" s="7">
        <v>3.3959800000000001E-6</v>
      </c>
      <c r="N5" s="5" t="s">
        <v>43</v>
      </c>
      <c r="O5" s="5">
        <v>3</v>
      </c>
      <c r="P5" s="5">
        <v>4</v>
      </c>
      <c r="Q5" s="7">
        <v>4598208</v>
      </c>
      <c r="R5" s="7">
        <v>1.507428938751673E-7</v>
      </c>
      <c r="S5" s="7">
        <v>5175538585.2180557</v>
      </c>
      <c r="T5" s="7">
        <v>44606107.357110895</v>
      </c>
    </row>
    <row r="6" spans="2:20" x14ac:dyDescent="0.2">
      <c r="B6">
        <v>25060</v>
      </c>
      <c r="C6" s="9">
        <v>6.9799999999999994E-11</v>
      </c>
      <c r="D6" s="5" t="s">
        <v>556</v>
      </c>
      <c r="E6" s="7">
        <v>0.28000000000000003</v>
      </c>
      <c r="F6" s="1">
        <v>2.4755256448569471</v>
      </c>
      <c r="G6" s="1">
        <v>871103.99999999988</v>
      </c>
      <c r="H6" s="1">
        <v>0</v>
      </c>
      <c r="I6" s="7">
        <f t="shared" si="0"/>
        <v>1.0082222222222221</v>
      </c>
      <c r="L6" s="5">
        <v>4010</v>
      </c>
      <c r="M6" s="7">
        <v>1.2319699999999999E-7</v>
      </c>
      <c r="N6" s="5" t="s">
        <v>49</v>
      </c>
      <c r="O6" s="5">
        <v>6</v>
      </c>
      <c r="P6" s="5">
        <v>4</v>
      </c>
      <c r="Q6" s="7">
        <v>47651976000000</v>
      </c>
      <c r="R6" s="7">
        <v>1.4546032268629223E-14</v>
      </c>
      <c r="S6" s="7">
        <v>19.322931080632873</v>
      </c>
      <c r="T6" s="7">
        <v>19.322922216748974</v>
      </c>
    </row>
    <row r="7" spans="2:20" x14ac:dyDescent="0.2">
      <c r="B7">
        <v>26052</v>
      </c>
      <c r="C7" s="9">
        <v>6.9799999999999994E-11</v>
      </c>
      <c r="D7" s="5" t="s">
        <v>575</v>
      </c>
      <c r="E7" s="7">
        <v>29790</v>
      </c>
      <c r="F7" s="1">
        <v>2.3267780482039118E-5</v>
      </c>
      <c r="G7" s="1">
        <v>871103.99838083645</v>
      </c>
      <c r="H7" s="1">
        <v>0</v>
      </c>
      <c r="I7" s="7">
        <f t="shared" si="0"/>
        <v>1.0082222203481903</v>
      </c>
      <c r="L7" s="5">
        <v>5008</v>
      </c>
      <c r="M7" s="7">
        <v>5.5839999999999995E-10</v>
      </c>
      <c r="N7" s="5" t="s">
        <v>65</v>
      </c>
      <c r="O7" s="5">
        <v>3</v>
      </c>
      <c r="P7" s="5">
        <v>5</v>
      </c>
      <c r="Q7" s="7">
        <v>0.77</v>
      </c>
      <c r="R7" s="7">
        <v>0.90019114358434449</v>
      </c>
      <c r="S7" s="7">
        <v>6968831.9999999991</v>
      </c>
      <c r="T7" s="7">
        <v>0</v>
      </c>
    </row>
    <row r="8" spans="2:20" x14ac:dyDescent="0.2">
      <c r="B8">
        <v>26053</v>
      </c>
      <c r="C8" s="9">
        <v>1.3959999999999999E-10</v>
      </c>
      <c r="D8" s="5" t="s">
        <v>576</v>
      </c>
      <c r="E8" s="7">
        <v>510.599999999999</v>
      </c>
      <c r="F8" s="1">
        <v>1.357515042224729E-3</v>
      </c>
      <c r="G8" s="1">
        <v>1742207.9999999998</v>
      </c>
      <c r="H8" s="1">
        <v>0</v>
      </c>
      <c r="I8" s="7">
        <f t="shared" si="0"/>
        <v>2.0164444444444443</v>
      </c>
      <c r="L8" s="5">
        <v>6010</v>
      </c>
      <c r="M8" s="7">
        <v>1.43788E-8</v>
      </c>
      <c r="N8" s="5" t="s">
        <v>89</v>
      </c>
      <c r="O8" s="5">
        <v>4</v>
      </c>
      <c r="P8" s="5">
        <v>6</v>
      </c>
      <c r="Q8" s="7">
        <v>19.308</v>
      </c>
      <c r="R8" s="7">
        <v>3.5899481073127473E-2</v>
      </c>
      <c r="S8" s="7">
        <v>179447424</v>
      </c>
      <c r="T8" s="7">
        <v>0</v>
      </c>
    </row>
    <row r="9" spans="2:20" x14ac:dyDescent="0.2">
      <c r="B9">
        <v>26061</v>
      </c>
      <c r="C9" s="9">
        <v>6.9799999999999994E-11</v>
      </c>
      <c r="D9" s="5" t="s">
        <v>584</v>
      </c>
      <c r="E9" s="7">
        <v>358.8</v>
      </c>
      <c r="F9" s="1">
        <v>1.9318483293198029E-3</v>
      </c>
      <c r="G9" s="1">
        <v>871103.99999999988</v>
      </c>
      <c r="H9" s="1">
        <v>0</v>
      </c>
      <c r="I9" s="7">
        <f t="shared" si="0"/>
        <v>1.0082222222222221</v>
      </c>
      <c r="L9" s="5">
        <v>6011</v>
      </c>
      <c r="M9" s="7">
        <v>8.1646499999999998E-6</v>
      </c>
      <c r="N9" s="5" t="s">
        <v>91</v>
      </c>
      <c r="O9" s="5">
        <v>5</v>
      </c>
      <c r="P9" s="5">
        <v>6</v>
      </c>
      <c r="Q9" s="7">
        <v>1221.8399999999999</v>
      </c>
      <c r="R9" s="7">
        <v>5.6729782996132495E-4</v>
      </c>
      <c r="S9" s="7">
        <v>101894832000</v>
      </c>
      <c r="T9" s="7">
        <v>0</v>
      </c>
    </row>
    <row r="10" spans="2:20" x14ac:dyDescent="0.2">
      <c r="B10">
        <v>26064</v>
      </c>
      <c r="C10" s="9">
        <v>6.9799999999999994E-11</v>
      </c>
      <c r="D10" s="5" t="s">
        <v>587</v>
      </c>
      <c r="E10" s="7">
        <v>2</v>
      </c>
      <c r="F10" s="1">
        <v>0.34657359027997264</v>
      </c>
      <c r="G10" s="1">
        <v>871103.99999999988</v>
      </c>
      <c r="H10" s="1">
        <v>0</v>
      </c>
      <c r="I10" s="7">
        <f t="shared" si="0"/>
        <v>1.0082222222222221</v>
      </c>
      <c r="L10" s="5">
        <v>24045</v>
      </c>
      <c r="M10" s="7">
        <v>6.9799999999999994E-11</v>
      </c>
      <c r="N10" s="5" t="s">
        <v>519</v>
      </c>
      <c r="O10" s="5">
        <v>21</v>
      </c>
      <c r="P10" s="5">
        <v>24</v>
      </c>
      <c r="Q10" s="7">
        <v>6.0900000000000003E-2</v>
      </c>
      <c r="R10" s="7">
        <v>11.381727102790563</v>
      </c>
      <c r="S10" s="7">
        <v>871103.99999999988</v>
      </c>
      <c r="T10" s="7">
        <v>0</v>
      </c>
    </row>
    <row r="11" spans="2:20" x14ac:dyDescent="0.2">
      <c r="B11">
        <v>27053</v>
      </c>
      <c r="C11" s="9">
        <v>1.3959999999999999E-10</v>
      </c>
      <c r="D11" s="5" t="s">
        <v>601</v>
      </c>
      <c r="E11" s="7">
        <v>0.24</v>
      </c>
      <c r="F11" s="1">
        <v>2.8881132523331057</v>
      </c>
      <c r="G11" s="1">
        <v>1742207.9999999998</v>
      </c>
      <c r="H11" s="1">
        <v>0</v>
      </c>
      <c r="I11" s="7">
        <f t="shared" si="0"/>
        <v>2.0164444444444443</v>
      </c>
      <c r="L11" s="5">
        <v>24051</v>
      </c>
      <c r="M11" s="7">
        <v>6.9799999999999994E-11</v>
      </c>
      <c r="N11" s="5" t="s">
        <v>525</v>
      </c>
      <c r="O11" s="5">
        <v>27</v>
      </c>
      <c r="P11" s="5">
        <v>24</v>
      </c>
      <c r="Q11" s="7">
        <v>2393496</v>
      </c>
      <c r="R11" s="7">
        <v>2.8959613074763664E-7</v>
      </c>
      <c r="S11" s="7">
        <v>192830.69207774702</v>
      </c>
      <c r="T11" s="7">
        <v>20.839792510094178</v>
      </c>
    </row>
    <row r="12" spans="2:20" x14ac:dyDescent="0.2">
      <c r="B12">
        <v>27054</v>
      </c>
      <c r="C12" s="9">
        <v>2.7919999999999998E-10</v>
      </c>
      <c r="D12" s="5" t="s">
        <v>602</v>
      </c>
      <c r="E12" s="7">
        <v>0.193</v>
      </c>
      <c r="F12" s="1">
        <v>3.5914361687043797</v>
      </c>
      <c r="G12" s="1">
        <v>3484415.9999999995</v>
      </c>
      <c r="H12" s="1">
        <v>0</v>
      </c>
      <c r="I12" s="7">
        <f t="shared" si="0"/>
        <v>4.0328888888888885</v>
      </c>
      <c r="L12" s="5">
        <v>25050</v>
      </c>
      <c r="M12" s="7">
        <v>6.9799999999999994E-11</v>
      </c>
      <c r="N12" s="5" t="s">
        <v>546</v>
      </c>
      <c r="O12" s="5">
        <v>25</v>
      </c>
      <c r="P12" s="5">
        <v>25</v>
      </c>
      <c r="Q12" s="7">
        <v>0.28319</v>
      </c>
      <c r="R12" s="7">
        <v>2.4476400316393421</v>
      </c>
      <c r="S12" s="7">
        <v>871103.99999999988</v>
      </c>
      <c r="T12" s="7">
        <v>0</v>
      </c>
    </row>
    <row r="13" spans="2:20" x14ac:dyDescent="0.2">
      <c r="B13">
        <v>27055</v>
      </c>
      <c r="C13" s="9">
        <v>6.9799999999999994E-11</v>
      </c>
      <c r="D13" s="5" t="s">
        <v>603</v>
      </c>
      <c r="E13" s="7">
        <v>63108</v>
      </c>
      <c r="F13" s="1">
        <v>1.0983507329656229E-5</v>
      </c>
      <c r="G13" s="1">
        <v>871038.12451831962</v>
      </c>
      <c r="H13" s="1">
        <v>3.242654751162194E-145</v>
      </c>
      <c r="I13" s="7">
        <f t="shared" si="0"/>
        <v>1.0081459774517589</v>
      </c>
      <c r="L13" s="5">
        <v>25051</v>
      </c>
      <c r="M13" s="7">
        <v>6.9799999999999994E-11</v>
      </c>
      <c r="N13" s="5" t="s">
        <v>547</v>
      </c>
      <c r="O13" s="5">
        <v>26</v>
      </c>
      <c r="P13" s="5">
        <v>25</v>
      </c>
      <c r="Q13" s="7">
        <v>2772</v>
      </c>
      <c r="R13" s="7">
        <v>2.5005309544009569E-4</v>
      </c>
      <c r="S13" s="7">
        <v>871103.99999999988</v>
      </c>
      <c r="T13" s="7">
        <v>0</v>
      </c>
    </row>
    <row r="14" spans="2:20" x14ac:dyDescent="0.2">
      <c r="B14">
        <v>27056</v>
      </c>
      <c r="C14" s="9">
        <v>2.7919999999999998E-10</v>
      </c>
      <c r="D14" s="5" t="s">
        <v>604</v>
      </c>
      <c r="E14" s="7">
        <v>6673190.4000000004</v>
      </c>
      <c r="F14" s="1">
        <v>1.0387043363245641E-7</v>
      </c>
      <c r="G14" s="1">
        <v>299084.38867821347</v>
      </c>
      <c r="H14" s="1">
        <v>11302.995452914067</v>
      </c>
      <c r="I14" s="7">
        <f t="shared" si="0"/>
        <v>0.34616248689608042</v>
      </c>
      <c r="L14" s="5">
        <v>25053</v>
      </c>
      <c r="M14" s="7">
        <v>6.9799999999999994E-11</v>
      </c>
      <c r="N14" s="5" t="s">
        <v>549</v>
      </c>
      <c r="O14" s="5">
        <v>28</v>
      </c>
      <c r="P14" s="5">
        <v>25</v>
      </c>
      <c r="Q14" s="7">
        <v>118025424000000</v>
      </c>
      <c r="R14" s="7">
        <v>5.8728632956230289E-15</v>
      </c>
      <c r="S14" s="7">
        <v>4.4201157369982971E-3</v>
      </c>
      <c r="T14" s="7">
        <v>4.4201149183636908E-3</v>
      </c>
    </row>
    <row r="15" spans="2:20" x14ac:dyDescent="0.2">
      <c r="B15">
        <v>27057</v>
      </c>
      <c r="C15" s="9">
        <v>1.3959999999999999E-10</v>
      </c>
      <c r="D15" s="5" t="s">
        <v>605</v>
      </c>
      <c r="E15" s="7">
        <v>23478336</v>
      </c>
      <c r="F15" s="1">
        <v>2.9522840995202781E-8</v>
      </c>
      <c r="G15" s="1">
        <v>43877.788776227506</v>
      </c>
      <c r="H15" s="1">
        <v>17294.282023416738</v>
      </c>
      <c r="I15" s="7">
        <f t="shared" si="0"/>
        <v>5.0784477750263318E-2</v>
      </c>
      <c r="L15" s="5">
        <v>26049</v>
      </c>
      <c r="M15" s="7">
        <v>6.9799999999999994E-11</v>
      </c>
      <c r="N15" s="5" t="s">
        <v>572</v>
      </c>
      <c r="O15" s="5">
        <v>23</v>
      </c>
      <c r="P15" s="5">
        <v>26</v>
      </c>
      <c r="Q15" s="7">
        <v>6.4699999999999994E-2</v>
      </c>
      <c r="R15" s="7">
        <v>10.713248540339187</v>
      </c>
      <c r="S15" s="7">
        <v>871103.99999999988</v>
      </c>
      <c r="T15" s="7">
        <v>0</v>
      </c>
    </row>
    <row r="16" spans="2:20" x14ac:dyDescent="0.2">
      <c r="B16">
        <v>27058</v>
      </c>
      <c r="C16" s="9">
        <v>6.9799999999999994E-11</v>
      </c>
      <c r="D16" s="5" t="s">
        <v>606</v>
      </c>
      <c r="E16" s="7">
        <v>6122304</v>
      </c>
      <c r="F16" s="1">
        <v>1.1321672046339831E-7</v>
      </c>
      <c r="G16" s="1">
        <v>81175.743935235732</v>
      </c>
      <c r="H16" s="1">
        <v>2284.6526187845238</v>
      </c>
      <c r="I16" s="7">
        <f t="shared" si="0"/>
        <v>9.3953407332448766E-2</v>
      </c>
      <c r="L16" s="5">
        <v>26050</v>
      </c>
      <c r="M16" s="7">
        <v>1.3959999999999999E-10</v>
      </c>
      <c r="N16" s="5" t="s">
        <v>573</v>
      </c>
      <c r="O16" s="5">
        <v>24</v>
      </c>
      <c r="P16" s="5">
        <v>26</v>
      </c>
      <c r="Q16" s="7">
        <v>0.155</v>
      </c>
      <c r="R16" s="7">
        <v>4.4719172939351308</v>
      </c>
      <c r="S16" s="7">
        <v>1742207.9999999998</v>
      </c>
      <c r="T16" s="7">
        <v>0</v>
      </c>
    </row>
    <row r="17" spans="2:20" x14ac:dyDescent="0.2">
      <c r="B17">
        <v>28053</v>
      </c>
      <c r="C17" s="9">
        <v>6.9799999999999994E-11</v>
      </c>
      <c r="D17" s="5" t="s">
        <v>631</v>
      </c>
      <c r="E17" s="7">
        <v>5.5199999999999999E-2</v>
      </c>
      <c r="F17" s="1">
        <v>12.557014140578719</v>
      </c>
      <c r="G17" s="1">
        <v>871103.99999999988</v>
      </c>
      <c r="H17" s="1">
        <v>0</v>
      </c>
      <c r="I17" s="7">
        <f t="shared" si="0"/>
        <v>1.0082222222222221</v>
      </c>
      <c r="L17" s="5">
        <v>26052</v>
      </c>
      <c r="M17" s="7">
        <v>1.3959999999999999E-10</v>
      </c>
      <c r="N17" s="5" t="s">
        <v>575</v>
      </c>
      <c r="O17" s="5">
        <v>26</v>
      </c>
      <c r="P17" s="5">
        <v>26</v>
      </c>
      <c r="Q17" s="7">
        <v>29790</v>
      </c>
      <c r="R17" s="7">
        <v>2.3267780482039118E-5</v>
      </c>
      <c r="S17" s="7">
        <v>1742207.9967616729</v>
      </c>
      <c r="T17" s="7">
        <v>0</v>
      </c>
    </row>
    <row r="18" spans="2:20" x14ac:dyDescent="0.2">
      <c r="B18">
        <v>28054</v>
      </c>
      <c r="C18" s="9">
        <v>1.3959999999999999E-10</v>
      </c>
      <c r="D18" s="5" t="s">
        <v>632</v>
      </c>
      <c r="E18" s="7">
        <v>0.1142</v>
      </c>
      <c r="F18" s="1">
        <v>6.0695900224163335</v>
      </c>
      <c r="G18" s="1">
        <v>1742207.9999999998</v>
      </c>
      <c r="H18" s="1">
        <v>0</v>
      </c>
      <c r="I18" s="7">
        <f t="shared" si="0"/>
        <v>2.0164444444444443</v>
      </c>
      <c r="L18" s="5">
        <v>26053</v>
      </c>
      <c r="M18" s="7">
        <v>2.094E-10</v>
      </c>
      <c r="N18" s="5" t="s">
        <v>576</v>
      </c>
      <c r="O18" s="5">
        <v>27</v>
      </c>
      <c r="P18" s="5">
        <v>26</v>
      </c>
      <c r="Q18" s="7">
        <v>510.599999999999</v>
      </c>
      <c r="R18" s="7">
        <v>1.357515042224729E-3</v>
      </c>
      <c r="S18" s="7">
        <v>2613312</v>
      </c>
      <c r="T18" s="7">
        <v>0</v>
      </c>
    </row>
    <row r="19" spans="2:20" x14ac:dyDescent="0.2">
      <c r="B19">
        <v>28055</v>
      </c>
      <c r="C19" s="9">
        <v>4.1879999999999999E-10</v>
      </c>
      <c r="D19" s="5" t="s">
        <v>633</v>
      </c>
      <c r="E19" s="7">
        <v>0.20469999999999999</v>
      </c>
      <c r="F19" s="1">
        <v>3.3861611165605536</v>
      </c>
      <c r="G19" s="1">
        <v>5226624</v>
      </c>
      <c r="H19" s="1">
        <v>0</v>
      </c>
      <c r="I19" s="7">
        <f t="shared" si="0"/>
        <v>6.0493333333333341</v>
      </c>
      <c r="L19" s="5">
        <v>26055</v>
      </c>
      <c r="M19" s="7">
        <v>1.3959999999999999E-10</v>
      </c>
      <c r="N19" s="5" t="s">
        <v>578</v>
      </c>
      <c r="O19" s="5">
        <v>29</v>
      </c>
      <c r="P19" s="5">
        <v>26</v>
      </c>
      <c r="Q19" s="7">
        <v>86594054.400000006</v>
      </c>
      <c r="R19" s="7">
        <v>8.0045585734803657E-9</v>
      </c>
      <c r="S19" s="7">
        <v>12007.4343702029</v>
      </c>
      <c r="T19" s="7">
        <v>9328.6865663154895</v>
      </c>
    </row>
    <row r="20" spans="2:20" x14ac:dyDescent="0.2">
      <c r="B20">
        <v>28056</v>
      </c>
      <c r="C20" s="9">
        <v>3.4899999999999998E-10</v>
      </c>
      <c r="D20" s="5" t="s">
        <v>634</v>
      </c>
      <c r="E20" s="7">
        <v>524880</v>
      </c>
      <c r="F20" s="1">
        <v>1.3205821912817126E-6</v>
      </c>
      <c r="G20" s="1">
        <v>2963910.4972898518</v>
      </c>
      <c r="H20" s="1">
        <v>2.4282266080871139E-12</v>
      </c>
      <c r="I20" s="7">
        <f t="shared" si="0"/>
        <v>3.4304519644558469</v>
      </c>
      <c r="L20" s="5">
        <v>26063</v>
      </c>
      <c r="M20" s="7">
        <v>6.9799999999999994E-11</v>
      </c>
      <c r="N20" s="5" t="s">
        <v>586</v>
      </c>
      <c r="O20" s="5">
        <v>37</v>
      </c>
      <c r="P20" s="5">
        <v>26</v>
      </c>
      <c r="Q20" s="7">
        <v>6.1</v>
      </c>
      <c r="R20" s="7">
        <v>0.11363068533769595</v>
      </c>
      <c r="S20" s="7">
        <v>871103.99999999988</v>
      </c>
      <c r="T20" s="7">
        <v>0</v>
      </c>
    </row>
    <row r="21" spans="2:20" x14ac:dyDescent="0.2">
      <c r="B21">
        <v>28057</v>
      </c>
      <c r="C21" s="9">
        <v>1.047E-9</v>
      </c>
      <c r="D21" s="5" t="s">
        <v>635</v>
      </c>
      <c r="E21" s="7">
        <v>128160</v>
      </c>
      <c r="F21" s="1">
        <v>5.4084517833953281E-6</v>
      </c>
      <c r="G21" s="1">
        <v>12944451.592900721</v>
      </c>
      <c r="H21" s="1">
        <v>1.0924726303044743E-67</v>
      </c>
      <c r="I21" s="7">
        <f t="shared" si="0"/>
        <v>14.982004158449909</v>
      </c>
      <c r="L21" s="5">
        <v>26064</v>
      </c>
      <c r="M21" s="7">
        <v>1.3959999999999999E-10</v>
      </c>
      <c r="N21" s="5" t="s">
        <v>587</v>
      </c>
      <c r="O21" s="5">
        <v>38</v>
      </c>
      <c r="P21" s="5">
        <v>26</v>
      </c>
      <c r="Q21" s="7">
        <v>2</v>
      </c>
      <c r="R21" s="7">
        <v>0.34657359027997264</v>
      </c>
      <c r="S21" s="7">
        <v>1742207.9999999998</v>
      </c>
      <c r="T21" s="7">
        <v>0</v>
      </c>
    </row>
    <row r="22" spans="2:20" x14ac:dyDescent="0.2">
      <c r="B22">
        <v>28059</v>
      </c>
      <c r="C22" s="9">
        <v>1.047E-9</v>
      </c>
      <c r="D22" s="5" t="s">
        <v>637</v>
      </c>
      <c r="E22" s="7">
        <v>2398377600000</v>
      </c>
      <c r="F22" s="1">
        <v>2.8900669375829115E-13</v>
      </c>
      <c r="G22" s="1">
        <v>3.26274292820802</v>
      </c>
      <c r="H22" s="1">
        <v>3.2627131913289618</v>
      </c>
      <c r="I22" s="7">
        <f t="shared" si="0"/>
        <v>3.7763228335740972E-6</v>
      </c>
      <c r="L22" s="5">
        <v>27053</v>
      </c>
      <c r="M22" s="7">
        <v>2.094E-10</v>
      </c>
      <c r="N22" s="5" t="s">
        <v>601</v>
      </c>
      <c r="O22" s="5">
        <v>26</v>
      </c>
      <c r="P22" s="5">
        <v>27</v>
      </c>
      <c r="Q22" s="7">
        <v>0.24</v>
      </c>
      <c r="R22" s="7">
        <v>2.8881132523331057</v>
      </c>
      <c r="S22" s="7">
        <v>2613312</v>
      </c>
      <c r="T22" s="7">
        <v>0</v>
      </c>
    </row>
    <row r="23" spans="2:20" x14ac:dyDescent="0.2">
      <c r="B23">
        <v>28063</v>
      </c>
      <c r="C23" s="9">
        <v>1.3959999999999999E-10</v>
      </c>
      <c r="D23" s="5" t="s">
        <v>641</v>
      </c>
      <c r="E23" s="7">
        <v>3193629120</v>
      </c>
      <c r="F23" s="1">
        <v>2.1704060005563365E-10</v>
      </c>
      <c r="G23" s="1">
        <v>326.67357708212688</v>
      </c>
      <c r="H23" s="1">
        <v>324.44526425700292</v>
      </c>
      <c r="I23" s="7">
        <f t="shared" si="0"/>
        <v>3.7809441791912838E-4</v>
      </c>
      <c r="L23" s="5">
        <v>27054</v>
      </c>
      <c r="M23" s="7">
        <v>6.9799999999999997E-10</v>
      </c>
      <c r="N23" s="5" t="s">
        <v>602</v>
      </c>
      <c r="O23" s="5">
        <v>27</v>
      </c>
      <c r="P23" s="5">
        <v>27</v>
      </c>
      <c r="Q23" s="7">
        <v>0.193</v>
      </c>
      <c r="R23" s="7">
        <v>3.5914361687043797</v>
      </c>
      <c r="S23" s="7">
        <v>8711040</v>
      </c>
      <c r="T23" s="7">
        <v>0</v>
      </c>
    </row>
    <row r="24" spans="2:20" x14ac:dyDescent="0.2">
      <c r="B24">
        <v>28065</v>
      </c>
      <c r="C24" s="9">
        <v>1.3959999999999999E-10</v>
      </c>
      <c r="D24" s="5" t="s">
        <v>643</v>
      </c>
      <c r="E24" s="7">
        <v>9063</v>
      </c>
      <c r="F24" s="1">
        <v>7.6480986490118651E-5</v>
      </c>
      <c r="G24" s="1">
        <v>1742207.9999999998</v>
      </c>
      <c r="H24" s="1">
        <v>0</v>
      </c>
      <c r="I24" s="7">
        <f t="shared" si="0"/>
        <v>2.0164444444444443</v>
      </c>
      <c r="L24" s="5">
        <v>27055</v>
      </c>
      <c r="M24" s="7">
        <v>8.3759999999999998E-10</v>
      </c>
      <c r="N24" s="5" t="s">
        <v>603</v>
      </c>
      <c r="O24" s="5">
        <v>28</v>
      </c>
      <c r="P24" s="5">
        <v>27</v>
      </c>
      <c r="Q24" s="7">
        <v>63108</v>
      </c>
      <c r="R24" s="7">
        <v>1.0983507329656229E-5</v>
      </c>
      <c r="S24" s="7">
        <v>10452457.494219838</v>
      </c>
      <c r="T24" s="7">
        <v>3.8911857013946342E-144</v>
      </c>
    </row>
    <row r="25" spans="2:20" x14ac:dyDescent="0.2">
      <c r="B25">
        <v>28066</v>
      </c>
      <c r="C25" s="9">
        <v>2.7919999999999998E-10</v>
      </c>
      <c r="D25" s="5" t="s">
        <v>644</v>
      </c>
      <c r="E25" s="7">
        <v>196560</v>
      </c>
      <c r="F25" s="1">
        <v>3.526389807488529E-6</v>
      </c>
      <c r="G25" s="1">
        <v>3318869.0334828999</v>
      </c>
      <c r="H25" s="1">
        <v>1.6744413162192474E-42</v>
      </c>
      <c r="I25" s="7">
        <f t="shared" si="0"/>
        <v>3.8412836035681717</v>
      </c>
      <c r="L25" s="5">
        <v>27056</v>
      </c>
      <c r="M25" s="7">
        <v>1.3959999999999999E-9</v>
      </c>
      <c r="N25" s="5" t="s">
        <v>604</v>
      </c>
      <c r="O25" s="5">
        <v>29</v>
      </c>
      <c r="P25" s="5">
        <v>27</v>
      </c>
      <c r="Q25" s="7">
        <v>6673190.4000000004</v>
      </c>
      <c r="R25" s="7">
        <v>1.0387043363245641E-7</v>
      </c>
      <c r="S25" s="7">
        <v>1495421.9433910674</v>
      </c>
      <c r="T25" s="7">
        <v>56514.977264570334</v>
      </c>
    </row>
    <row r="26" spans="2:20" x14ac:dyDescent="0.2">
      <c r="B26">
        <v>28067</v>
      </c>
      <c r="C26" s="9">
        <v>8.3759999999999998E-10</v>
      </c>
      <c r="D26" s="5" t="s">
        <v>645</v>
      </c>
      <c r="E26" s="7">
        <v>21</v>
      </c>
      <c r="F26" s="1">
        <v>3.3007008598092635E-2</v>
      </c>
      <c r="G26" s="1">
        <v>10453248</v>
      </c>
      <c r="H26" s="1">
        <v>0</v>
      </c>
      <c r="I26" s="7">
        <f t="shared" si="0"/>
        <v>12.098666666666668</v>
      </c>
      <c r="L26" s="5">
        <v>27057</v>
      </c>
      <c r="M26" s="7">
        <v>6.2819999999999996E-10</v>
      </c>
      <c r="N26" s="5" t="s">
        <v>605</v>
      </c>
      <c r="O26" s="5">
        <v>30</v>
      </c>
      <c r="P26" s="5">
        <v>27</v>
      </c>
      <c r="Q26" s="7">
        <v>23478336</v>
      </c>
      <c r="R26" s="7">
        <v>2.9522840995202781E-8</v>
      </c>
      <c r="S26" s="7">
        <v>197450.04949302378</v>
      </c>
      <c r="T26" s="7">
        <v>77824.269105375322</v>
      </c>
    </row>
    <row r="27" spans="2:20" x14ac:dyDescent="0.2">
      <c r="B27">
        <v>28068</v>
      </c>
      <c r="C27" s="9">
        <v>1.9544000000000002E-9</v>
      </c>
      <c r="D27" s="5" t="s">
        <v>646</v>
      </c>
      <c r="E27" s="7">
        <v>29</v>
      </c>
      <c r="F27" s="1">
        <v>2.3901626915860182E-2</v>
      </c>
      <c r="G27" s="1">
        <v>24390912.000000004</v>
      </c>
      <c r="H27" s="1">
        <v>0</v>
      </c>
      <c r="I27" s="7">
        <f t="shared" si="0"/>
        <v>28.230222222222224</v>
      </c>
      <c r="L27" s="5">
        <v>27058</v>
      </c>
      <c r="M27" s="7">
        <v>8.3759999999999998E-10</v>
      </c>
      <c r="N27" s="5" t="s">
        <v>606</v>
      </c>
      <c r="O27" s="5">
        <v>31</v>
      </c>
      <c r="P27" s="5">
        <v>27</v>
      </c>
      <c r="Q27" s="7">
        <v>6122304</v>
      </c>
      <c r="R27" s="7">
        <v>1.1321672046339831E-7</v>
      </c>
      <c r="S27" s="7">
        <v>974108.92722282896</v>
      </c>
      <c r="T27" s="7">
        <v>27415.83142541429</v>
      </c>
    </row>
    <row r="28" spans="2:20" x14ac:dyDescent="0.2">
      <c r="B28">
        <v>29057</v>
      </c>
      <c r="C28" s="9">
        <v>3.3503999999999999E-9</v>
      </c>
      <c r="D28" s="5" t="s">
        <v>661</v>
      </c>
      <c r="E28" s="7">
        <v>0.1963</v>
      </c>
      <c r="F28" s="1">
        <v>3.5310605224653351</v>
      </c>
      <c r="G28" s="1">
        <v>41812992</v>
      </c>
      <c r="H28" s="1">
        <v>0</v>
      </c>
      <c r="I28" s="7">
        <f t="shared" si="0"/>
        <v>48.394666666666673</v>
      </c>
      <c r="L28" s="5">
        <v>27060</v>
      </c>
      <c r="M28" s="7">
        <v>1.3959999999999999E-10</v>
      </c>
      <c r="N28" s="5" t="s">
        <v>608</v>
      </c>
      <c r="O28" s="5">
        <v>33</v>
      </c>
      <c r="P28" s="5">
        <v>27</v>
      </c>
      <c r="Q28" s="7">
        <v>166344192</v>
      </c>
      <c r="R28" s="7">
        <v>4.166945489506152E-9</v>
      </c>
      <c r="S28" s="7">
        <v>6261.091022138362</v>
      </c>
      <c r="T28" s="7">
        <v>5490.0955605091367</v>
      </c>
    </row>
    <row r="29" spans="2:20" x14ac:dyDescent="0.2">
      <c r="B29">
        <v>29058</v>
      </c>
      <c r="C29" s="9">
        <v>1.04002E-8</v>
      </c>
      <c r="D29" s="5" t="s">
        <v>662</v>
      </c>
      <c r="E29" s="7">
        <v>3.2040000000000002</v>
      </c>
      <c r="F29" s="1">
        <v>0.21633807133581312</v>
      </c>
      <c r="G29" s="1">
        <v>129794496</v>
      </c>
      <c r="H29" s="1">
        <v>0</v>
      </c>
      <c r="I29" s="7">
        <f t="shared" si="0"/>
        <v>150.22511111111112</v>
      </c>
      <c r="L29" s="5">
        <v>27062</v>
      </c>
      <c r="M29" s="7">
        <v>6.9799999999999994E-11</v>
      </c>
      <c r="N29" s="5" t="s">
        <v>610</v>
      </c>
      <c r="O29" s="5">
        <v>35</v>
      </c>
      <c r="P29" s="5">
        <v>27</v>
      </c>
      <c r="Q29" s="7">
        <v>90</v>
      </c>
      <c r="R29" s="7">
        <v>7.7016353395549476E-3</v>
      </c>
      <c r="S29" s="7">
        <v>871103.99999999988</v>
      </c>
      <c r="T29" s="7">
        <v>0</v>
      </c>
    </row>
    <row r="30" spans="2:20" x14ac:dyDescent="0.2">
      <c r="B30">
        <v>29059</v>
      </c>
      <c r="C30" s="9">
        <v>9.4928000000000001E-9</v>
      </c>
      <c r="D30" s="5" t="s">
        <v>663</v>
      </c>
      <c r="E30" s="7">
        <v>81.5</v>
      </c>
      <c r="F30" s="1">
        <v>8.504873381103624E-3</v>
      </c>
      <c r="G30" s="1">
        <v>118470144</v>
      </c>
      <c r="H30" s="1">
        <v>0</v>
      </c>
      <c r="I30" s="7">
        <f t="shared" si="0"/>
        <v>137.11822222222224</v>
      </c>
      <c r="L30" s="5">
        <v>28053</v>
      </c>
      <c r="M30" s="7">
        <v>6.9799999999999994E-11</v>
      </c>
      <c r="N30" s="5" t="s">
        <v>631</v>
      </c>
      <c r="O30" s="5">
        <v>25</v>
      </c>
      <c r="P30" s="5">
        <v>28</v>
      </c>
      <c r="Q30" s="7">
        <v>5.5199999999999999E-2</v>
      </c>
      <c r="R30" s="7">
        <v>12.557014140578719</v>
      </c>
      <c r="S30" s="7">
        <v>871103.99999999988</v>
      </c>
      <c r="T30" s="7">
        <v>0</v>
      </c>
    </row>
    <row r="31" spans="2:20" x14ac:dyDescent="0.2">
      <c r="B31">
        <v>29060</v>
      </c>
      <c r="C31" s="9">
        <v>1.26338E-8</v>
      </c>
      <c r="D31" s="5" t="s">
        <v>664</v>
      </c>
      <c r="E31" s="7">
        <v>1422</v>
      </c>
      <c r="F31" s="1">
        <v>4.8744527465537644E-4</v>
      </c>
      <c r="G31" s="1">
        <v>157669824</v>
      </c>
      <c r="H31" s="1">
        <v>0</v>
      </c>
      <c r="I31" s="7">
        <f t="shared" si="0"/>
        <v>182.48822222222222</v>
      </c>
      <c r="L31" s="5">
        <v>28054</v>
      </c>
      <c r="M31" s="7">
        <v>3.4899999999999998E-10</v>
      </c>
      <c r="N31" s="5" t="s">
        <v>632</v>
      </c>
      <c r="O31" s="5">
        <v>26</v>
      </c>
      <c r="P31" s="5">
        <v>28</v>
      </c>
      <c r="Q31" s="7">
        <v>0.1142</v>
      </c>
      <c r="R31" s="7">
        <v>6.0695900224163335</v>
      </c>
      <c r="S31" s="7">
        <v>4355520</v>
      </c>
      <c r="T31" s="7">
        <v>0</v>
      </c>
    </row>
    <row r="32" spans="2:20" x14ac:dyDescent="0.2">
      <c r="B32">
        <v>29061</v>
      </c>
      <c r="C32" s="9">
        <v>6.4216000000000002E-9</v>
      </c>
      <c r="D32" s="5" t="s">
        <v>665</v>
      </c>
      <c r="E32" s="7">
        <v>12020.4</v>
      </c>
      <c r="F32" s="1">
        <v>5.7664235845724375E-5</v>
      </c>
      <c r="G32" s="1">
        <v>80141568</v>
      </c>
      <c r="H32" s="1">
        <v>0</v>
      </c>
      <c r="I32" s="7">
        <f t="shared" si="0"/>
        <v>92.756444444444455</v>
      </c>
      <c r="L32" s="5">
        <v>28055</v>
      </c>
      <c r="M32" s="7">
        <v>6.2819999999999996E-10</v>
      </c>
      <c r="N32" s="5" t="s">
        <v>633</v>
      </c>
      <c r="O32" s="5">
        <v>27</v>
      </c>
      <c r="P32" s="5">
        <v>28</v>
      </c>
      <c r="Q32" s="7">
        <v>0.20469999999999999</v>
      </c>
      <c r="R32" s="7">
        <v>3.3861611165605536</v>
      </c>
      <c r="S32" s="7">
        <v>7839935.9999999991</v>
      </c>
      <c r="T32" s="7">
        <v>0</v>
      </c>
    </row>
    <row r="33" spans="2:20" x14ac:dyDescent="0.2">
      <c r="B33">
        <v>29062</v>
      </c>
      <c r="C33" s="9">
        <v>5.4443999999999999E-9</v>
      </c>
      <c r="D33" s="5" t="s">
        <v>666</v>
      </c>
      <c r="E33" s="7">
        <v>580.38</v>
      </c>
      <c r="F33" s="1">
        <v>1.1942988741168636E-3</v>
      </c>
      <c r="G33" s="1">
        <v>67946112</v>
      </c>
      <c r="H33" s="1">
        <v>0</v>
      </c>
      <c r="I33" s="7">
        <f t="shared" si="0"/>
        <v>78.641333333333336</v>
      </c>
      <c r="L33" s="5">
        <v>28056</v>
      </c>
      <c r="M33" s="7">
        <v>1.1866E-9</v>
      </c>
      <c r="N33" s="5" t="s">
        <v>634</v>
      </c>
      <c r="O33" s="5">
        <v>28</v>
      </c>
      <c r="P33" s="5">
        <v>28</v>
      </c>
      <c r="Q33" s="7">
        <v>524880</v>
      </c>
      <c r="R33" s="7">
        <v>1.3205821912817126E-6</v>
      </c>
      <c r="S33" s="7">
        <v>10077295.690785496</v>
      </c>
      <c r="T33" s="7">
        <v>8.2559704674961877E-12</v>
      </c>
    </row>
    <row r="34" spans="2:20" x14ac:dyDescent="0.2">
      <c r="B34">
        <v>29064</v>
      </c>
      <c r="C34" s="9">
        <v>1.2563999999999999E-9</v>
      </c>
      <c r="D34" s="5" t="s">
        <v>668</v>
      </c>
      <c r="E34" s="7">
        <v>45723.6</v>
      </c>
      <c r="F34" s="1">
        <v>1.5159505825436871E-5</v>
      </c>
      <c r="G34" s="1">
        <v>15679839.860835111</v>
      </c>
      <c r="H34" s="1">
        <v>3.7333813109714293E-201</v>
      </c>
      <c r="I34" s="7">
        <f t="shared" si="0"/>
        <v>18.14796280189249</v>
      </c>
      <c r="L34" s="5">
        <v>28057</v>
      </c>
      <c r="M34" s="7">
        <v>3.1409999999999998E-9</v>
      </c>
      <c r="N34" s="5" t="s">
        <v>635</v>
      </c>
      <c r="O34" s="5">
        <v>29</v>
      </c>
      <c r="P34" s="5">
        <v>28</v>
      </c>
      <c r="Q34" s="7">
        <v>128160</v>
      </c>
      <c r="R34" s="7">
        <v>5.4084517833953281E-6</v>
      </c>
      <c r="S34" s="7">
        <v>38833354.77870217</v>
      </c>
      <c r="T34" s="7">
        <v>3.2774178909134233E-67</v>
      </c>
    </row>
    <row r="35" spans="2:20" x14ac:dyDescent="0.2">
      <c r="B35">
        <v>29066</v>
      </c>
      <c r="C35" s="9">
        <v>1.3959999999999999E-10</v>
      </c>
      <c r="D35" s="5" t="s">
        <v>670</v>
      </c>
      <c r="E35" s="7">
        <v>307.2</v>
      </c>
      <c r="F35" s="1">
        <v>2.2563384783852386E-3</v>
      </c>
      <c r="G35" s="1">
        <v>1742207.9999999998</v>
      </c>
      <c r="H35" s="1">
        <v>0</v>
      </c>
      <c r="I35" s="7">
        <f t="shared" si="0"/>
        <v>2.0164444444444443</v>
      </c>
      <c r="L35" s="5">
        <v>28059</v>
      </c>
      <c r="M35" s="7">
        <v>5.4443999999999999E-9</v>
      </c>
      <c r="N35" s="5" t="s">
        <v>637</v>
      </c>
      <c r="O35" s="5">
        <v>31</v>
      </c>
      <c r="P35" s="5">
        <v>28</v>
      </c>
      <c r="Q35" s="7">
        <v>2398377600000</v>
      </c>
      <c r="R35" s="7">
        <v>2.8900669375829115E-13</v>
      </c>
      <c r="S35" s="7">
        <v>16.966263226681704</v>
      </c>
      <c r="T35" s="7">
        <v>16.966108594910601</v>
      </c>
    </row>
    <row r="36" spans="2:20" x14ac:dyDescent="0.2">
      <c r="B36">
        <v>29067</v>
      </c>
      <c r="C36" s="9">
        <v>6.9799999999999994E-11</v>
      </c>
      <c r="D36" s="5" t="s">
        <v>671</v>
      </c>
      <c r="E36" s="7">
        <v>222588</v>
      </c>
      <c r="F36" s="1">
        <v>3.1140366082625535E-6</v>
      </c>
      <c r="G36" s="1">
        <v>812003.83341112535</v>
      </c>
      <c r="H36" s="1">
        <v>1.8196611504694856E-37</v>
      </c>
      <c r="I36" s="7">
        <f t="shared" si="0"/>
        <v>0.93981925163324698</v>
      </c>
      <c r="L36" s="5">
        <v>28063</v>
      </c>
      <c r="M36" s="7">
        <v>9.0739999999999999E-10</v>
      </c>
      <c r="N36" s="5" t="s">
        <v>641</v>
      </c>
      <c r="O36" s="5">
        <v>35</v>
      </c>
      <c r="P36" s="5">
        <v>28</v>
      </c>
      <c r="Q36" s="7">
        <v>3193629120</v>
      </c>
      <c r="R36" s="7">
        <v>2.1704060005563365E-10</v>
      </c>
      <c r="S36" s="7">
        <v>2123.3782510338251</v>
      </c>
      <c r="T36" s="7">
        <v>2108.8942176705191</v>
      </c>
    </row>
    <row r="37" spans="2:20" x14ac:dyDescent="0.2">
      <c r="B37">
        <v>29068</v>
      </c>
      <c r="C37" s="9">
        <v>2.094E-10</v>
      </c>
      <c r="D37" s="5" t="s">
        <v>672</v>
      </c>
      <c r="E37" s="7">
        <v>30.9</v>
      </c>
      <c r="F37" s="1">
        <v>2.2431947590936741E-2</v>
      </c>
      <c r="G37" s="1">
        <v>2613312</v>
      </c>
      <c r="H37" s="1">
        <v>0</v>
      </c>
      <c r="I37" s="7">
        <f t="shared" si="0"/>
        <v>3.0246666666666671</v>
      </c>
      <c r="L37" s="5">
        <v>28067</v>
      </c>
      <c r="M37" s="7">
        <v>6.9799999999999994E-11</v>
      </c>
      <c r="N37" s="5" t="s">
        <v>645</v>
      </c>
      <c r="O37" s="5">
        <v>39</v>
      </c>
      <c r="P37" s="5">
        <v>28</v>
      </c>
      <c r="Q37" s="7">
        <v>21</v>
      </c>
      <c r="R37" s="7">
        <v>3.3007008598092635E-2</v>
      </c>
      <c r="S37" s="7">
        <v>871103.99999999988</v>
      </c>
      <c r="T37" s="7">
        <v>0</v>
      </c>
    </row>
    <row r="38" spans="2:20" x14ac:dyDescent="0.2">
      <c r="B38">
        <v>29069</v>
      </c>
      <c r="C38" s="9">
        <v>5.5839999999999995E-10</v>
      </c>
      <c r="D38" s="5" t="s">
        <v>673</v>
      </c>
      <c r="E38" s="7">
        <v>171</v>
      </c>
      <c r="F38" s="1">
        <v>4.0534922839762884E-3</v>
      </c>
      <c r="G38" s="1">
        <v>6968831.9999999991</v>
      </c>
      <c r="H38" s="1">
        <v>0</v>
      </c>
      <c r="I38" s="7">
        <f t="shared" si="0"/>
        <v>8.065777777777777</v>
      </c>
      <c r="L38" s="5">
        <v>28068</v>
      </c>
      <c r="M38" s="7">
        <v>4.1879999999999999E-10</v>
      </c>
      <c r="N38" s="5" t="s">
        <v>646</v>
      </c>
      <c r="O38" s="5">
        <v>40</v>
      </c>
      <c r="P38" s="5">
        <v>28</v>
      </c>
      <c r="Q38" s="7">
        <v>29</v>
      </c>
      <c r="R38" s="7">
        <v>2.3901626915860182E-2</v>
      </c>
      <c r="S38" s="7">
        <v>5226624</v>
      </c>
      <c r="T38" s="7">
        <v>0</v>
      </c>
    </row>
    <row r="39" spans="2:20" x14ac:dyDescent="0.2">
      <c r="B39">
        <v>29070</v>
      </c>
      <c r="C39" s="9">
        <v>2.094E-9</v>
      </c>
      <c r="D39" s="5" t="s">
        <v>674</v>
      </c>
      <c r="E39" s="7">
        <v>44.5</v>
      </c>
      <c r="F39" s="1">
        <v>1.5576341136178546E-2</v>
      </c>
      <c r="G39" s="1">
        <v>26133120</v>
      </c>
      <c r="H39" s="1">
        <v>0</v>
      </c>
      <c r="I39" s="7">
        <f t="shared" si="0"/>
        <v>30.246666666666666</v>
      </c>
      <c r="L39" s="5">
        <v>29057</v>
      </c>
      <c r="M39" s="7">
        <v>2.094E-9</v>
      </c>
      <c r="N39" s="5" t="s">
        <v>661</v>
      </c>
      <c r="O39" s="5">
        <v>28</v>
      </c>
      <c r="P39" s="5">
        <v>29</v>
      </c>
      <c r="Q39" s="7">
        <v>0.1963</v>
      </c>
      <c r="R39" s="7">
        <v>3.5310605224653351</v>
      </c>
      <c r="S39" s="7">
        <v>26133120</v>
      </c>
      <c r="T39" s="7">
        <v>0</v>
      </c>
    </row>
    <row r="40" spans="2:20" x14ac:dyDescent="0.2">
      <c r="B40">
        <v>29071</v>
      </c>
      <c r="C40" s="9">
        <v>6.9102000000000004E-9</v>
      </c>
      <c r="D40" s="5" t="s">
        <v>675</v>
      </c>
      <c r="E40" s="7">
        <v>19.399999999999999</v>
      </c>
      <c r="F40" s="1">
        <v>3.5729236111337388E-2</v>
      </c>
      <c r="G40" s="1">
        <v>86239296</v>
      </c>
      <c r="H40" s="1">
        <v>0</v>
      </c>
      <c r="I40" s="7">
        <f t="shared" si="0"/>
        <v>99.813999999999993</v>
      </c>
      <c r="L40" s="5">
        <v>29058</v>
      </c>
      <c r="M40" s="7">
        <v>5.1652000000000003E-9</v>
      </c>
      <c r="N40" s="5" t="s">
        <v>662</v>
      </c>
      <c r="O40" s="5">
        <v>29</v>
      </c>
      <c r="P40" s="5">
        <v>29</v>
      </c>
      <c r="Q40" s="7">
        <v>3.2040000000000002</v>
      </c>
      <c r="R40" s="7">
        <v>0.21633807133581312</v>
      </c>
      <c r="S40" s="7">
        <v>64461696.000000007</v>
      </c>
      <c r="T40" s="7">
        <v>0</v>
      </c>
    </row>
    <row r="41" spans="2:20" x14ac:dyDescent="0.2">
      <c r="B41">
        <v>29072</v>
      </c>
      <c r="C41" s="9">
        <v>1.10284E-8</v>
      </c>
      <c r="D41" s="5" t="s">
        <v>676</v>
      </c>
      <c r="E41" s="7">
        <v>6.63</v>
      </c>
      <c r="F41" s="1">
        <v>0.10454708605730699</v>
      </c>
      <c r="G41" s="1">
        <v>137634432</v>
      </c>
      <c r="H41" s="1">
        <v>0</v>
      </c>
      <c r="I41" s="7">
        <f t="shared" si="0"/>
        <v>159.2991111111111</v>
      </c>
      <c r="L41" s="5">
        <v>29059</v>
      </c>
      <c r="M41" s="7">
        <v>7.8176000000000008E-9</v>
      </c>
      <c r="N41" s="5" t="s">
        <v>663</v>
      </c>
      <c r="O41" s="5">
        <v>30</v>
      </c>
      <c r="P41" s="5">
        <v>29</v>
      </c>
      <c r="Q41" s="7">
        <v>81.5</v>
      </c>
      <c r="R41" s="7">
        <v>8.504873381103624E-3</v>
      </c>
      <c r="S41" s="7">
        <v>97563648.000000015</v>
      </c>
      <c r="T41" s="7">
        <v>0</v>
      </c>
    </row>
    <row r="42" spans="2:20" x14ac:dyDescent="0.2">
      <c r="B42">
        <v>29073</v>
      </c>
      <c r="C42" s="9">
        <v>2.8897200000000001E-8</v>
      </c>
      <c r="D42" s="5" t="s">
        <v>677</v>
      </c>
      <c r="E42" s="7">
        <v>4.2</v>
      </c>
      <c r="F42" s="1">
        <v>0.16503504299046315</v>
      </c>
      <c r="G42" s="1">
        <v>360637056</v>
      </c>
      <c r="H42" s="1">
        <v>0</v>
      </c>
      <c r="I42" s="7">
        <f t="shared" si="0"/>
        <v>417.40400000000005</v>
      </c>
      <c r="L42" s="5">
        <v>29060</v>
      </c>
      <c r="M42" s="7">
        <v>2.0451400000000001E-8</v>
      </c>
      <c r="N42" s="5" t="s">
        <v>664</v>
      </c>
      <c r="O42" s="5">
        <v>31</v>
      </c>
      <c r="P42" s="5">
        <v>29</v>
      </c>
      <c r="Q42" s="7">
        <v>1422</v>
      </c>
      <c r="R42" s="7">
        <v>4.8744527465537644E-4</v>
      </c>
      <c r="S42" s="7">
        <v>255233472</v>
      </c>
      <c r="T42" s="7">
        <v>0</v>
      </c>
    </row>
    <row r="43" spans="2:20" x14ac:dyDescent="0.2">
      <c r="B43">
        <v>30057</v>
      </c>
      <c r="C43" s="9">
        <v>2.3313199999999999E-8</v>
      </c>
      <c r="D43" s="5" t="s">
        <v>690</v>
      </c>
      <c r="E43" s="7">
        <v>3.7999999999999999E-2</v>
      </c>
      <c r="F43" s="1">
        <v>18.240715277893297</v>
      </c>
      <c r="G43" s="1">
        <v>290948736</v>
      </c>
      <c r="H43" s="1">
        <v>0</v>
      </c>
      <c r="I43" s="7">
        <f t="shared" si="0"/>
        <v>336.74622222222229</v>
      </c>
      <c r="L43" s="5">
        <v>29061</v>
      </c>
      <c r="M43" s="7">
        <v>1.6193600000000001E-8</v>
      </c>
      <c r="N43" s="5" t="s">
        <v>665</v>
      </c>
      <c r="O43" s="5">
        <v>32</v>
      </c>
      <c r="P43" s="5">
        <v>29</v>
      </c>
      <c r="Q43" s="7">
        <v>12020.4</v>
      </c>
      <c r="R43" s="7">
        <v>5.7664235845724375E-5</v>
      </c>
      <c r="S43" s="7">
        <v>202096128</v>
      </c>
      <c r="T43" s="7">
        <v>0</v>
      </c>
    </row>
    <row r="44" spans="2:20" x14ac:dyDescent="0.2">
      <c r="B44">
        <v>30058</v>
      </c>
      <c r="C44" s="9">
        <v>2.7082399999999999E-8</v>
      </c>
      <c r="D44" s="5" t="s">
        <v>691</v>
      </c>
      <c r="E44" s="7">
        <v>8.5999999999999993E-2</v>
      </c>
      <c r="F44" s="1">
        <v>8.0598509367435511</v>
      </c>
      <c r="G44" s="1">
        <v>337988352</v>
      </c>
      <c r="H44" s="1">
        <v>0</v>
      </c>
      <c r="I44" s="7">
        <f t="shared" si="0"/>
        <v>391.19022222222225</v>
      </c>
      <c r="L44" s="5">
        <v>29062</v>
      </c>
      <c r="M44" s="7">
        <v>2.3732E-8</v>
      </c>
      <c r="N44" s="5" t="s">
        <v>666</v>
      </c>
      <c r="O44" s="5">
        <v>33</v>
      </c>
      <c r="P44" s="5">
        <v>29</v>
      </c>
      <c r="Q44" s="7">
        <v>580.38</v>
      </c>
      <c r="R44" s="7">
        <v>1.1942988741168636E-3</v>
      </c>
      <c r="S44" s="7">
        <v>296175360</v>
      </c>
      <c r="T44" s="7">
        <v>0</v>
      </c>
    </row>
    <row r="45" spans="2:20" x14ac:dyDescent="0.2">
      <c r="B45">
        <v>30059</v>
      </c>
      <c r="C45" s="9">
        <v>1.1167999999999999E-8</v>
      </c>
      <c r="D45" s="5" t="s">
        <v>692</v>
      </c>
      <c r="E45" s="7">
        <v>0.182</v>
      </c>
      <c r="F45" s="1">
        <v>3.8085009920876116</v>
      </c>
      <c r="G45" s="1">
        <v>139376640</v>
      </c>
      <c r="H45" s="1">
        <v>0</v>
      </c>
      <c r="I45" s="7">
        <f t="shared" si="0"/>
        <v>161.31555555555556</v>
      </c>
      <c r="L45" s="5">
        <v>29064</v>
      </c>
      <c r="M45" s="7">
        <v>1.0679399999999999E-8</v>
      </c>
      <c r="N45" s="5" t="s">
        <v>668</v>
      </c>
      <c r="O45" s="5">
        <v>35</v>
      </c>
      <c r="P45" s="5">
        <v>29</v>
      </c>
      <c r="Q45" s="7">
        <v>45723.6</v>
      </c>
      <c r="R45" s="7">
        <v>1.5159505825436871E-5</v>
      </c>
      <c r="S45" s="7">
        <v>133278638.81709844</v>
      </c>
      <c r="T45" s="7">
        <v>3.173374114325715E-200</v>
      </c>
    </row>
    <row r="46" spans="2:20" x14ac:dyDescent="0.2">
      <c r="B46">
        <v>30060</v>
      </c>
      <c r="C46" s="9">
        <v>8.5155999999999998E-9</v>
      </c>
      <c r="D46" s="5" t="s">
        <v>693</v>
      </c>
      <c r="E46" s="7">
        <v>142.79999999999899</v>
      </c>
      <c r="F46" s="1">
        <v>4.8539718526607158E-3</v>
      </c>
      <c r="G46" s="1">
        <v>106274688</v>
      </c>
      <c r="H46" s="1">
        <v>0</v>
      </c>
      <c r="I46" s="7">
        <f t="shared" si="0"/>
        <v>123.00311111111111</v>
      </c>
      <c r="L46" s="5">
        <v>29066</v>
      </c>
      <c r="M46" s="7">
        <v>1.9544000000000002E-9</v>
      </c>
      <c r="N46" s="5" t="s">
        <v>670</v>
      </c>
      <c r="O46" s="5">
        <v>37</v>
      </c>
      <c r="P46" s="5">
        <v>29</v>
      </c>
      <c r="Q46" s="7">
        <v>307.2</v>
      </c>
      <c r="R46" s="7">
        <v>2.2563384783852386E-3</v>
      </c>
      <c r="S46" s="7">
        <v>24390912.000000004</v>
      </c>
      <c r="T46" s="7">
        <v>0</v>
      </c>
    </row>
    <row r="47" spans="2:20" x14ac:dyDescent="0.2">
      <c r="B47">
        <v>30061</v>
      </c>
      <c r="C47" s="9">
        <v>3.1409999999999998E-9</v>
      </c>
      <c r="D47" s="5" t="s">
        <v>694</v>
      </c>
      <c r="E47" s="7">
        <v>89.1</v>
      </c>
      <c r="F47" s="1">
        <v>7.7794296359140888E-3</v>
      </c>
      <c r="G47" s="1">
        <v>39199680</v>
      </c>
      <c r="H47" s="1">
        <v>0</v>
      </c>
      <c r="I47" s="7">
        <f t="shared" si="0"/>
        <v>45.37</v>
      </c>
      <c r="L47" s="5">
        <v>29067</v>
      </c>
      <c r="M47" s="7">
        <v>2.094E-10</v>
      </c>
      <c r="N47" s="5" t="s">
        <v>671</v>
      </c>
      <c r="O47" s="5">
        <v>38</v>
      </c>
      <c r="P47" s="5">
        <v>29</v>
      </c>
      <c r="Q47" s="7">
        <v>222588</v>
      </c>
      <c r="R47" s="7">
        <v>3.1140366082625535E-6</v>
      </c>
      <c r="S47" s="7">
        <v>2436011.5002333764</v>
      </c>
      <c r="T47" s="7">
        <v>5.4589834514084575E-37</v>
      </c>
    </row>
    <row r="48" spans="2:20" x14ac:dyDescent="0.2">
      <c r="B48">
        <v>30062</v>
      </c>
      <c r="C48" s="9">
        <v>2.3034000000000001E-9</v>
      </c>
      <c r="D48" s="5" t="s">
        <v>695</v>
      </c>
      <c r="E48" s="7">
        <v>33069.599999999999</v>
      </c>
      <c r="F48" s="1">
        <v>2.0960252938044166E-5</v>
      </c>
      <c r="G48" s="1">
        <v>28746431.607663084</v>
      </c>
      <c r="H48" s="1">
        <v>2.4481033543718197E-280</v>
      </c>
      <c r="I48" s="7">
        <f t="shared" si="0"/>
        <v>33.271332879239679</v>
      </c>
      <c r="L48" s="5">
        <v>29068</v>
      </c>
      <c r="M48" s="7">
        <v>1.3959999999999999E-10</v>
      </c>
      <c r="N48" s="5" t="s">
        <v>672</v>
      </c>
      <c r="O48" s="5">
        <v>39</v>
      </c>
      <c r="P48" s="5">
        <v>29</v>
      </c>
      <c r="Q48" s="7">
        <v>30.9</v>
      </c>
      <c r="R48" s="7">
        <v>2.2431947590936741E-2</v>
      </c>
      <c r="S48" s="7">
        <v>1742207.9999999998</v>
      </c>
      <c r="T48" s="7">
        <v>0</v>
      </c>
    </row>
    <row r="49" spans="2:20" x14ac:dyDescent="0.2">
      <c r="B49">
        <v>30063</v>
      </c>
      <c r="C49" s="9">
        <v>3.4899999999999998E-10</v>
      </c>
      <c r="D49" s="5" t="s">
        <v>696</v>
      </c>
      <c r="E49" s="7">
        <v>2308.1999999999998</v>
      </c>
      <c r="F49" s="1">
        <v>3.002977127458389E-4</v>
      </c>
      <c r="G49" s="1">
        <v>4355520</v>
      </c>
      <c r="H49" s="1">
        <v>0</v>
      </c>
      <c r="I49" s="7">
        <f t="shared" si="0"/>
        <v>5.0411111111111113</v>
      </c>
      <c r="L49" s="5">
        <v>29069</v>
      </c>
      <c r="M49" s="7">
        <v>9.0739999999999999E-10</v>
      </c>
      <c r="N49" s="5" t="s">
        <v>673</v>
      </c>
      <c r="O49" s="5">
        <v>40</v>
      </c>
      <c r="P49" s="5">
        <v>29</v>
      </c>
      <c r="Q49" s="7">
        <v>171</v>
      </c>
      <c r="R49" s="7">
        <v>4.0534922839762884E-3</v>
      </c>
      <c r="S49" s="7">
        <v>11324352</v>
      </c>
      <c r="T49" s="7">
        <v>0</v>
      </c>
    </row>
    <row r="50" spans="2:20" x14ac:dyDescent="0.2">
      <c r="B50">
        <v>30064</v>
      </c>
      <c r="C50" s="9">
        <v>3.4899999999999998E-10</v>
      </c>
      <c r="D50" s="5" t="s">
        <v>697</v>
      </c>
      <c r="E50" s="7">
        <v>2.209032E+28</v>
      </c>
      <c r="F50" s="1">
        <v>3.1377869608043038E-29</v>
      </c>
      <c r="G50" s="1">
        <v>0</v>
      </c>
      <c r="H50" s="1">
        <v>0</v>
      </c>
      <c r="I50" s="7">
        <f t="shared" si="0"/>
        <v>0</v>
      </c>
      <c r="L50" s="5">
        <v>29070</v>
      </c>
      <c r="M50" s="7">
        <v>1.6054000000000001E-9</v>
      </c>
      <c r="N50" s="5" t="s">
        <v>674</v>
      </c>
      <c r="O50" s="5">
        <v>41</v>
      </c>
      <c r="P50" s="5">
        <v>29</v>
      </c>
      <c r="Q50" s="7">
        <v>44.5</v>
      </c>
      <c r="R50" s="7">
        <v>1.5576341136178546E-2</v>
      </c>
      <c r="S50" s="7">
        <v>20035392</v>
      </c>
      <c r="T50" s="7">
        <v>0</v>
      </c>
    </row>
    <row r="51" spans="2:20" x14ac:dyDescent="0.2">
      <c r="B51">
        <v>30065</v>
      </c>
      <c r="C51" s="9">
        <v>6.9799999999999994E-11</v>
      </c>
      <c r="D51" s="5" t="s">
        <v>698</v>
      </c>
      <c r="E51" s="7">
        <v>21075552</v>
      </c>
      <c r="F51" s="1">
        <v>3.2888684507999854E-8</v>
      </c>
      <c r="G51" s="1">
        <v>24404.754708701719</v>
      </c>
      <c r="H51" s="1">
        <v>8650.3555468562608</v>
      </c>
      <c r="I51" s="7">
        <f t="shared" si="0"/>
        <v>2.8246243875812177E-2</v>
      </c>
      <c r="L51" s="5">
        <v>29071</v>
      </c>
      <c r="M51" s="7">
        <v>6.4914000000000001E-9</v>
      </c>
      <c r="N51" s="5" t="s">
        <v>675</v>
      </c>
      <c r="O51" s="5">
        <v>42</v>
      </c>
      <c r="P51" s="5">
        <v>29</v>
      </c>
      <c r="Q51" s="7">
        <v>19.399999999999999</v>
      </c>
      <c r="R51" s="7">
        <v>3.5729236111337388E-2</v>
      </c>
      <c r="S51" s="7">
        <v>81012672</v>
      </c>
      <c r="T51" s="7">
        <v>0</v>
      </c>
    </row>
    <row r="52" spans="2:20" x14ac:dyDescent="0.2">
      <c r="B52">
        <v>30069</v>
      </c>
      <c r="C52" s="9">
        <v>3.4899999999999998E-10</v>
      </c>
      <c r="D52" s="5" t="s">
        <v>702</v>
      </c>
      <c r="E52" s="7">
        <v>3384</v>
      </c>
      <c r="F52" s="1">
        <v>2.0483072711582307E-4</v>
      </c>
      <c r="G52" s="1">
        <v>4355520</v>
      </c>
      <c r="H52" s="1">
        <v>0</v>
      </c>
      <c r="I52" s="7">
        <f t="shared" si="0"/>
        <v>5.0411111111111113</v>
      </c>
      <c r="L52" s="5">
        <v>29072</v>
      </c>
      <c r="M52" s="7">
        <v>1.34714E-8</v>
      </c>
      <c r="N52" s="5" t="s">
        <v>676</v>
      </c>
      <c r="O52" s="5">
        <v>43</v>
      </c>
      <c r="P52" s="5">
        <v>29</v>
      </c>
      <c r="Q52" s="7">
        <v>6.63</v>
      </c>
      <c r="R52" s="7">
        <v>0.10454708605730699</v>
      </c>
      <c r="S52" s="7">
        <v>168123072</v>
      </c>
      <c r="T52" s="7">
        <v>0</v>
      </c>
    </row>
    <row r="53" spans="2:20" x14ac:dyDescent="0.2">
      <c r="B53">
        <v>30070</v>
      </c>
      <c r="C53" s="9">
        <v>2.0242000000000001E-9</v>
      </c>
      <c r="D53" s="5" t="s">
        <v>703</v>
      </c>
      <c r="E53" s="7">
        <v>7.2582480000000003E+24</v>
      </c>
      <c r="F53" s="1">
        <v>9.5497864024478805E-26</v>
      </c>
      <c r="G53" s="1">
        <v>0</v>
      </c>
      <c r="H53" s="1">
        <v>0</v>
      </c>
      <c r="I53" s="7">
        <f t="shared" si="0"/>
        <v>0</v>
      </c>
      <c r="L53" s="5">
        <v>29073</v>
      </c>
      <c r="M53" s="7">
        <v>3.7691999999999998E-8</v>
      </c>
      <c r="N53" s="5" t="s">
        <v>677</v>
      </c>
      <c r="O53" s="5">
        <v>44</v>
      </c>
      <c r="P53" s="5">
        <v>29</v>
      </c>
      <c r="Q53" s="7">
        <v>4.2</v>
      </c>
      <c r="R53" s="7">
        <v>0.16503504299046315</v>
      </c>
      <c r="S53" s="7">
        <v>470396160</v>
      </c>
      <c r="T53" s="7">
        <v>0</v>
      </c>
    </row>
    <row r="54" spans="2:20" x14ac:dyDescent="0.2">
      <c r="B54">
        <v>30071</v>
      </c>
      <c r="C54" s="9">
        <v>7.4686000000000005E-9</v>
      </c>
      <c r="D54" s="5" t="s">
        <v>704</v>
      </c>
      <c r="E54" s="7">
        <v>147</v>
      </c>
      <c r="F54" s="1">
        <v>4.7152869425846622E-3</v>
      </c>
      <c r="G54" s="1">
        <v>93208128</v>
      </c>
      <c r="H54" s="1">
        <v>0</v>
      </c>
      <c r="I54" s="7">
        <f t="shared" si="0"/>
        <v>107.87977777777778</v>
      </c>
      <c r="L54" s="5">
        <v>30057</v>
      </c>
      <c r="M54" s="7">
        <v>5.07446E-8</v>
      </c>
      <c r="N54" s="5" t="s">
        <v>690</v>
      </c>
      <c r="O54" s="5">
        <v>27</v>
      </c>
      <c r="P54" s="5">
        <v>30</v>
      </c>
      <c r="Q54" s="7">
        <v>3.7999999999999999E-2</v>
      </c>
      <c r="R54" s="7">
        <v>18.240715277893297</v>
      </c>
      <c r="S54" s="7">
        <v>633292608</v>
      </c>
      <c r="T54" s="7">
        <v>0</v>
      </c>
    </row>
    <row r="55" spans="2:20" x14ac:dyDescent="0.2">
      <c r="B55">
        <v>30072</v>
      </c>
      <c r="C55" s="9">
        <v>1.9055399999999999E-8</v>
      </c>
      <c r="D55" s="5" t="s">
        <v>705</v>
      </c>
      <c r="E55" s="7">
        <v>167400</v>
      </c>
      <c r="F55" s="1">
        <v>4.1406641610510472E-6</v>
      </c>
      <c r="G55" s="1">
        <v>231165864.62124732</v>
      </c>
      <c r="H55" s="1">
        <v>4.5056430095415228E-49</v>
      </c>
      <c r="I55" s="7">
        <f t="shared" si="0"/>
        <v>267.55308405236957</v>
      </c>
      <c r="L55" s="5">
        <v>30058</v>
      </c>
      <c r="M55" s="7">
        <v>9.4230000000000004E-8</v>
      </c>
      <c r="N55" s="5" t="s">
        <v>691</v>
      </c>
      <c r="O55" s="5">
        <v>28</v>
      </c>
      <c r="P55" s="5">
        <v>30</v>
      </c>
      <c r="Q55" s="7">
        <v>8.5999999999999993E-2</v>
      </c>
      <c r="R55" s="7">
        <v>8.0598509367435511</v>
      </c>
      <c r="S55" s="7">
        <v>1175990400</v>
      </c>
      <c r="T55" s="7">
        <v>0</v>
      </c>
    </row>
    <row r="56" spans="2:20" x14ac:dyDescent="0.2">
      <c r="B56">
        <v>30073</v>
      </c>
      <c r="C56" s="9">
        <v>3.7133599999999998E-8</v>
      </c>
      <c r="D56" s="5" t="s">
        <v>706</v>
      </c>
      <c r="E56" s="7">
        <v>23.5</v>
      </c>
      <c r="F56" s="1">
        <v>2.9495624704678522E-2</v>
      </c>
      <c r="G56" s="1">
        <v>463427328</v>
      </c>
      <c r="H56" s="1">
        <v>0</v>
      </c>
      <c r="I56" s="7">
        <f t="shared" si="0"/>
        <v>536.37422222222222</v>
      </c>
      <c r="L56" s="5">
        <v>30059</v>
      </c>
      <c r="M56" s="7">
        <v>6.4913999999999995E-8</v>
      </c>
      <c r="N56" s="5" t="s">
        <v>692</v>
      </c>
      <c r="O56" s="5">
        <v>29</v>
      </c>
      <c r="P56" s="5">
        <v>30</v>
      </c>
      <c r="Q56" s="7">
        <v>0.182</v>
      </c>
      <c r="R56" s="7">
        <v>3.8085009920876116</v>
      </c>
      <c r="S56" s="7">
        <v>810126719.99999988</v>
      </c>
      <c r="T56" s="7">
        <v>0</v>
      </c>
    </row>
    <row r="57" spans="2:20" x14ac:dyDescent="0.2">
      <c r="B57">
        <v>30074</v>
      </c>
      <c r="C57" s="9">
        <v>9.1856800000000002E-8</v>
      </c>
      <c r="D57" s="5" t="s">
        <v>707</v>
      </c>
      <c r="E57" s="7">
        <v>95.6</v>
      </c>
      <c r="F57" s="1">
        <v>7.2504935205015206E-3</v>
      </c>
      <c r="G57" s="1">
        <v>1146372864</v>
      </c>
      <c r="H57" s="1">
        <v>0</v>
      </c>
      <c r="I57" s="7">
        <f t="shared" si="0"/>
        <v>1326.8204444444445</v>
      </c>
      <c r="L57" s="5">
        <v>30060</v>
      </c>
      <c r="M57" s="7">
        <v>8.3341200000000003E-8</v>
      </c>
      <c r="N57" s="5" t="s">
        <v>693</v>
      </c>
      <c r="O57" s="5">
        <v>30</v>
      </c>
      <c r="P57" s="5">
        <v>30</v>
      </c>
      <c r="Q57" s="7">
        <v>142.79999999999899</v>
      </c>
      <c r="R57" s="7">
        <v>4.8539718526607158E-3</v>
      </c>
      <c r="S57" s="7">
        <v>1040098176</v>
      </c>
      <c r="T57" s="7">
        <v>0</v>
      </c>
    </row>
    <row r="58" spans="2:20" x14ac:dyDescent="0.2">
      <c r="B58">
        <v>30075</v>
      </c>
      <c r="C58" s="9">
        <v>1.16845E-7</v>
      </c>
      <c r="D58" s="5" t="s">
        <v>708</v>
      </c>
      <c r="E58" s="7">
        <v>10.199999999999999</v>
      </c>
      <c r="F58" s="1">
        <v>6.7955605937249544E-2</v>
      </c>
      <c r="G58" s="1">
        <v>1458225600</v>
      </c>
      <c r="H58" s="1">
        <v>0</v>
      </c>
      <c r="I58" s="7">
        <f t="shared" si="0"/>
        <v>1687.7611111111112</v>
      </c>
      <c r="L58" s="5">
        <v>30061</v>
      </c>
      <c r="M58" s="7">
        <v>3.6505399999999997E-8</v>
      </c>
      <c r="N58" s="5" t="s">
        <v>694</v>
      </c>
      <c r="O58" s="5">
        <v>31</v>
      </c>
      <c r="P58" s="5">
        <v>30</v>
      </c>
      <c r="Q58" s="7">
        <v>89.1</v>
      </c>
      <c r="R58" s="7">
        <v>7.7794296359140888E-3</v>
      </c>
      <c r="S58" s="7">
        <v>455587391.99999994</v>
      </c>
      <c r="T58" s="7">
        <v>0</v>
      </c>
    </row>
    <row r="59" spans="2:20" x14ac:dyDescent="0.2">
      <c r="B59">
        <v>30076</v>
      </c>
      <c r="C59" s="9">
        <v>2.11354E-7</v>
      </c>
      <c r="D59" s="5" t="s">
        <v>709</v>
      </c>
      <c r="E59" s="7">
        <v>5.7</v>
      </c>
      <c r="F59" s="1">
        <v>0.12160476851928864</v>
      </c>
      <c r="G59" s="1">
        <v>2637697920</v>
      </c>
      <c r="H59" s="1">
        <v>0</v>
      </c>
      <c r="I59" s="7">
        <f t="shared" si="0"/>
        <v>3052.8911111111111</v>
      </c>
      <c r="L59" s="5">
        <v>30062</v>
      </c>
      <c r="M59" s="7">
        <v>2.8827399999999999E-8</v>
      </c>
      <c r="N59" s="5" t="s">
        <v>695</v>
      </c>
      <c r="O59" s="5">
        <v>32</v>
      </c>
      <c r="P59" s="5">
        <v>30</v>
      </c>
      <c r="Q59" s="7">
        <v>33069.599999999999</v>
      </c>
      <c r="R59" s="7">
        <v>2.0960252938044166E-5</v>
      </c>
      <c r="S59" s="7">
        <v>359765947.08984405</v>
      </c>
      <c r="T59" s="7">
        <v>3.0638384404713986E-279</v>
      </c>
    </row>
    <row r="60" spans="2:20" x14ac:dyDescent="0.2">
      <c r="B60">
        <v>30077</v>
      </c>
      <c r="C60" s="9">
        <v>1.40158E-7</v>
      </c>
      <c r="D60" s="5" t="s">
        <v>710</v>
      </c>
      <c r="E60" s="7">
        <v>2.08</v>
      </c>
      <c r="F60" s="1">
        <v>0.33324383680766601</v>
      </c>
      <c r="G60" s="1">
        <v>1749171840</v>
      </c>
      <c r="H60" s="1">
        <v>0</v>
      </c>
      <c r="I60" s="7">
        <f t="shared" si="0"/>
        <v>2024.5044444444445</v>
      </c>
      <c r="L60" s="5">
        <v>30063</v>
      </c>
      <c r="M60" s="7">
        <v>8.3061999999999993E-9</v>
      </c>
      <c r="N60" s="5" t="s">
        <v>696</v>
      </c>
      <c r="O60" s="5">
        <v>33</v>
      </c>
      <c r="P60" s="5">
        <v>30</v>
      </c>
      <c r="Q60" s="7">
        <v>2308.1999999999998</v>
      </c>
      <c r="R60" s="7">
        <v>3.002977127458389E-4</v>
      </c>
      <c r="S60" s="7">
        <v>103661375.99999999</v>
      </c>
      <c r="T60" s="7">
        <v>0</v>
      </c>
    </row>
    <row r="61" spans="2:20" x14ac:dyDescent="0.2">
      <c r="B61">
        <v>30078</v>
      </c>
      <c r="C61" s="9">
        <v>1.3652899999999999E-7</v>
      </c>
      <c r="D61" s="5" t="s">
        <v>711</v>
      </c>
      <c r="E61" s="7">
        <v>1.47</v>
      </c>
      <c r="F61" s="1">
        <v>0.47152869425846616</v>
      </c>
      <c r="G61" s="1">
        <v>1703881920</v>
      </c>
      <c r="H61" s="1">
        <v>0</v>
      </c>
      <c r="I61" s="7">
        <f t="shared" si="0"/>
        <v>1972.0855555555556</v>
      </c>
      <c r="L61" s="5">
        <v>30064</v>
      </c>
      <c r="M61" s="7">
        <v>4.5370000000000004E-9</v>
      </c>
      <c r="N61" s="5" t="s">
        <v>697</v>
      </c>
      <c r="O61" s="5">
        <v>34</v>
      </c>
      <c r="P61" s="5">
        <v>30</v>
      </c>
      <c r="Q61" s="7">
        <v>2.209032E+28</v>
      </c>
      <c r="R61" s="7">
        <v>3.1377869608043038E-29</v>
      </c>
      <c r="S61" s="7">
        <v>0</v>
      </c>
      <c r="T61" s="7">
        <v>0</v>
      </c>
    </row>
    <row r="62" spans="2:20" x14ac:dyDescent="0.2">
      <c r="B62">
        <v>31062</v>
      </c>
      <c r="C62" s="9">
        <v>5.3466800000000001E-8</v>
      </c>
      <c r="D62" s="5" t="s">
        <v>721</v>
      </c>
      <c r="E62" s="7">
        <v>0.116121</v>
      </c>
      <c r="F62" s="1">
        <v>5.9691802564561556</v>
      </c>
      <c r="G62" s="1">
        <v>667265664</v>
      </c>
      <c r="H62" s="1">
        <v>0</v>
      </c>
      <c r="I62" s="7">
        <f t="shared" si="0"/>
        <v>772.29822222222219</v>
      </c>
      <c r="L62" s="5">
        <v>30065</v>
      </c>
      <c r="M62" s="7">
        <v>4.1879999999999999E-10</v>
      </c>
      <c r="N62" s="5" t="s">
        <v>698</v>
      </c>
      <c r="O62" s="5">
        <v>35</v>
      </c>
      <c r="P62" s="5">
        <v>30</v>
      </c>
      <c r="Q62" s="7">
        <v>21075552</v>
      </c>
      <c r="R62" s="7">
        <v>3.2888684507999854E-8</v>
      </c>
      <c r="S62" s="7">
        <v>146428.52825221032</v>
      </c>
      <c r="T62" s="7">
        <v>51902.133281137569</v>
      </c>
    </row>
    <row r="63" spans="2:20" x14ac:dyDescent="0.2">
      <c r="B63">
        <v>31063</v>
      </c>
      <c r="C63" s="9">
        <v>3.07818E-8</v>
      </c>
      <c r="D63" s="5" t="s">
        <v>722</v>
      </c>
      <c r="E63" s="7">
        <v>32.4</v>
      </c>
      <c r="F63" s="1">
        <v>2.1393431498763743E-2</v>
      </c>
      <c r="G63" s="1">
        <v>384156864</v>
      </c>
      <c r="H63" s="1">
        <v>0</v>
      </c>
      <c r="I63" s="7">
        <f t="shared" si="0"/>
        <v>444.62599999999998</v>
      </c>
      <c r="L63" s="5">
        <v>30070</v>
      </c>
      <c r="M63" s="7">
        <v>1.3959999999999999E-10</v>
      </c>
      <c r="N63" s="5" t="s">
        <v>703</v>
      </c>
      <c r="O63" s="5">
        <v>40</v>
      </c>
      <c r="P63" s="5">
        <v>30</v>
      </c>
      <c r="Q63" s="7">
        <v>7.2582480000000003E+24</v>
      </c>
      <c r="R63" s="7">
        <v>9.5497864024478805E-26</v>
      </c>
      <c r="S63" s="7">
        <v>0</v>
      </c>
      <c r="T63" s="7">
        <v>0</v>
      </c>
    </row>
    <row r="64" spans="2:20" x14ac:dyDescent="0.2">
      <c r="B64">
        <v>31064</v>
      </c>
      <c r="C64" s="9">
        <v>3.6296E-9</v>
      </c>
      <c r="D64" s="5" t="s">
        <v>723</v>
      </c>
      <c r="E64" s="7">
        <v>157.61999999999901</v>
      </c>
      <c r="F64" s="1">
        <v>4.3975839396012536E-3</v>
      </c>
      <c r="G64" s="1">
        <v>45297408</v>
      </c>
      <c r="H64" s="1">
        <v>0</v>
      </c>
      <c r="I64" s="7">
        <f t="shared" si="0"/>
        <v>52.42755555555555</v>
      </c>
      <c r="L64" s="5">
        <v>30071</v>
      </c>
      <c r="M64" s="7">
        <v>4.1879999999999999E-10</v>
      </c>
      <c r="N64" s="5" t="s">
        <v>704</v>
      </c>
      <c r="O64" s="5">
        <v>41</v>
      </c>
      <c r="P64" s="5">
        <v>30</v>
      </c>
      <c r="Q64" s="7">
        <v>147</v>
      </c>
      <c r="R64" s="7">
        <v>4.7152869425846622E-3</v>
      </c>
      <c r="S64" s="7">
        <v>5226624</v>
      </c>
      <c r="T64" s="7">
        <v>0</v>
      </c>
    </row>
    <row r="65" spans="2:20" x14ac:dyDescent="0.2">
      <c r="B65">
        <v>31065</v>
      </c>
      <c r="C65" s="9">
        <v>3.7691999999999998E-9</v>
      </c>
      <c r="D65" s="5" t="s">
        <v>724</v>
      </c>
      <c r="E65" s="7">
        <v>912</v>
      </c>
      <c r="F65" s="1">
        <v>7.6002980324555401E-4</v>
      </c>
      <c r="G65" s="1">
        <v>47039616</v>
      </c>
      <c r="H65" s="1">
        <v>0</v>
      </c>
      <c r="I65" s="7">
        <f t="shared" si="0"/>
        <v>54.443999999999996</v>
      </c>
      <c r="L65" s="5">
        <v>30072</v>
      </c>
      <c r="M65" s="7">
        <v>4.8859999999999999E-9</v>
      </c>
      <c r="N65" s="5" t="s">
        <v>705</v>
      </c>
      <c r="O65" s="5">
        <v>42</v>
      </c>
      <c r="P65" s="5">
        <v>30</v>
      </c>
      <c r="Q65" s="7">
        <v>167400</v>
      </c>
      <c r="R65" s="7">
        <v>4.1406641610510472E-6</v>
      </c>
      <c r="S65" s="7">
        <v>59273298.620832644</v>
      </c>
      <c r="T65" s="7">
        <v>1.1552930793696212E-49</v>
      </c>
    </row>
    <row r="66" spans="2:20" x14ac:dyDescent="0.2">
      <c r="B66">
        <v>31066</v>
      </c>
      <c r="C66" s="9">
        <v>6.9799999999999997E-10</v>
      </c>
      <c r="D66" s="5" t="s">
        <v>725</v>
      </c>
      <c r="E66" s="7">
        <v>34164</v>
      </c>
      <c r="F66" s="1">
        <v>2.0288818070481948E-5</v>
      </c>
      <c r="G66" s="1">
        <v>8711039.7876325101</v>
      </c>
      <c r="H66" s="1">
        <v>1.1647369307159202E-271</v>
      </c>
      <c r="I66" s="7">
        <f t="shared" si="0"/>
        <v>10.082221976426515</v>
      </c>
      <c r="L66" s="5">
        <v>30073</v>
      </c>
      <c r="M66" s="7">
        <v>1.06096E-8</v>
      </c>
      <c r="N66" s="5" t="s">
        <v>706</v>
      </c>
      <c r="O66" s="5">
        <v>43</v>
      </c>
      <c r="P66" s="5">
        <v>30</v>
      </c>
      <c r="Q66" s="7">
        <v>23.5</v>
      </c>
      <c r="R66" s="7">
        <v>2.9495624704678522E-2</v>
      </c>
      <c r="S66" s="7">
        <v>132407808</v>
      </c>
      <c r="T66" s="7">
        <v>0</v>
      </c>
    </row>
    <row r="67" spans="2:20" x14ac:dyDescent="0.2">
      <c r="B67">
        <v>31067</v>
      </c>
      <c r="C67" s="9">
        <v>2.094E-10</v>
      </c>
      <c r="D67" s="5" t="s">
        <v>726</v>
      </c>
      <c r="E67" s="7">
        <v>281810.88</v>
      </c>
      <c r="F67" s="1">
        <v>2.4596182395794844E-6</v>
      </c>
      <c r="G67" s="1">
        <v>2301230.7712816224</v>
      </c>
      <c r="H67" s="1">
        <v>4.7342175090348671E-28</v>
      </c>
      <c r="I67" s="7">
        <f t="shared" si="0"/>
        <v>2.6634615408352111</v>
      </c>
      <c r="L67" s="5">
        <v>30074</v>
      </c>
      <c r="M67" s="7">
        <v>5.2070799999999999E-8</v>
      </c>
      <c r="N67" s="5" t="s">
        <v>707</v>
      </c>
      <c r="O67" s="5">
        <v>44</v>
      </c>
      <c r="P67" s="5">
        <v>30</v>
      </c>
      <c r="Q67" s="7">
        <v>95.6</v>
      </c>
      <c r="R67" s="7">
        <v>7.2504935205015206E-3</v>
      </c>
      <c r="S67" s="7">
        <v>649843584</v>
      </c>
      <c r="T67" s="7">
        <v>0</v>
      </c>
    </row>
    <row r="68" spans="2:20" x14ac:dyDescent="0.2">
      <c r="B68">
        <v>31072</v>
      </c>
      <c r="C68" s="9">
        <v>1.6054000000000001E-9</v>
      </c>
      <c r="D68" s="5" t="s">
        <v>731</v>
      </c>
      <c r="E68" s="7">
        <v>50760</v>
      </c>
      <c r="F68" s="1">
        <v>1.3655381807721538E-5</v>
      </c>
      <c r="G68" s="1">
        <v>20035241.379867893</v>
      </c>
      <c r="H68" s="1">
        <v>1.9006565906678181E-180</v>
      </c>
      <c r="I68" s="7">
        <f t="shared" ref="I68:I131" si="1">G68/10/24/3600</f>
        <v>23.188936782254505</v>
      </c>
      <c r="L68" s="5">
        <v>30075</v>
      </c>
      <c r="M68" s="7">
        <v>6.7287199999999997E-8</v>
      </c>
      <c r="N68" s="5" t="s">
        <v>708</v>
      </c>
      <c r="O68" s="5">
        <v>45</v>
      </c>
      <c r="P68" s="5">
        <v>30</v>
      </c>
      <c r="Q68" s="7">
        <v>10.199999999999999</v>
      </c>
      <c r="R68" s="7">
        <v>6.7955605937249544E-2</v>
      </c>
      <c r="S68" s="7">
        <v>839744256</v>
      </c>
      <c r="T68" s="7">
        <v>0</v>
      </c>
    </row>
    <row r="69" spans="2:20" x14ac:dyDescent="0.2">
      <c r="B69">
        <v>31073</v>
      </c>
      <c r="C69" s="9">
        <v>6.2819999999999996E-9</v>
      </c>
      <c r="D69" s="5" t="s">
        <v>732</v>
      </c>
      <c r="E69" s="7">
        <v>17496</v>
      </c>
      <c r="F69" s="1">
        <v>3.9617465738451376E-5</v>
      </c>
      <c r="G69" s="1">
        <v>78399359.999999896</v>
      </c>
      <c r="H69" s="1">
        <v>0</v>
      </c>
      <c r="I69" s="7">
        <f t="shared" si="1"/>
        <v>90.739999999999881</v>
      </c>
      <c r="L69" s="5">
        <v>30076</v>
      </c>
      <c r="M69" s="7">
        <v>2.0088399999999999E-7</v>
      </c>
      <c r="N69" s="5" t="s">
        <v>709</v>
      </c>
      <c r="O69" s="5">
        <v>46</v>
      </c>
      <c r="P69" s="5">
        <v>30</v>
      </c>
      <c r="Q69" s="7">
        <v>5.7</v>
      </c>
      <c r="R69" s="7">
        <v>0.12160476851928864</v>
      </c>
      <c r="S69" s="7">
        <v>2507032320</v>
      </c>
      <c r="T69" s="7">
        <v>0</v>
      </c>
    </row>
    <row r="70" spans="2:20" x14ac:dyDescent="0.2">
      <c r="B70">
        <v>31074</v>
      </c>
      <c r="C70" s="9">
        <v>1.7310399999999999E-8</v>
      </c>
      <c r="D70" s="5" t="s">
        <v>733</v>
      </c>
      <c r="E70" s="7">
        <v>487.19999999999902</v>
      </c>
      <c r="F70" s="1">
        <v>1.4227158878488233E-3</v>
      </c>
      <c r="G70" s="1">
        <v>216033792</v>
      </c>
      <c r="H70" s="1">
        <v>0</v>
      </c>
      <c r="I70" s="7">
        <f t="shared" si="1"/>
        <v>250.03911111111108</v>
      </c>
      <c r="L70" s="5">
        <v>30077</v>
      </c>
      <c r="M70" s="7">
        <v>1.9606800000000001E-7</v>
      </c>
      <c r="N70" s="5" t="s">
        <v>710</v>
      </c>
      <c r="O70" s="5">
        <v>47</v>
      </c>
      <c r="P70" s="5">
        <v>30</v>
      </c>
      <c r="Q70" s="7">
        <v>2.08</v>
      </c>
      <c r="R70" s="7">
        <v>0.33324383680766601</v>
      </c>
      <c r="S70" s="7">
        <v>2446928640</v>
      </c>
      <c r="T70" s="7">
        <v>0</v>
      </c>
    </row>
    <row r="71" spans="2:20" x14ac:dyDescent="0.2">
      <c r="B71">
        <v>31075</v>
      </c>
      <c r="C71" s="9">
        <v>5.2838599999999999E-8</v>
      </c>
      <c r="D71" s="5" t="s">
        <v>734</v>
      </c>
      <c r="E71" s="7">
        <v>126</v>
      </c>
      <c r="F71" s="1">
        <v>5.5011680996821053E-3</v>
      </c>
      <c r="G71" s="1">
        <v>659425728</v>
      </c>
      <c r="H71" s="1">
        <v>0</v>
      </c>
      <c r="I71" s="7">
        <f t="shared" si="1"/>
        <v>763.22422222222212</v>
      </c>
      <c r="L71" s="5">
        <v>30078</v>
      </c>
      <c r="M71" s="7">
        <v>3.26106E-7</v>
      </c>
      <c r="N71" s="5" t="s">
        <v>711</v>
      </c>
      <c r="O71" s="5">
        <v>48</v>
      </c>
      <c r="P71" s="5">
        <v>30</v>
      </c>
      <c r="Q71" s="7">
        <v>1.47</v>
      </c>
      <c r="R71" s="7">
        <v>0.47152869425846616</v>
      </c>
      <c r="S71" s="7">
        <v>4069802880</v>
      </c>
      <c r="T71" s="7">
        <v>0</v>
      </c>
    </row>
    <row r="72" spans="2:20" x14ac:dyDescent="0.2">
      <c r="B72">
        <v>31076</v>
      </c>
      <c r="C72" s="9">
        <v>1.10354E-7</v>
      </c>
      <c r="D72" s="5" t="s">
        <v>735</v>
      </c>
      <c r="E72" s="7">
        <v>32.6</v>
      </c>
      <c r="F72" s="1">
        <v>2.1262183452759056E-2</v>
      </c>
      <c r="G72" s="1">
        <v>1377217920</v>
      </c>
      <c r="H72" s="1">
        <v>0</v>
      </c>
      <c r="I72" s="7">
        <f t="shared" si="1"/>
        <v>1594.0022222222221</v>
      </c>
      <c r="L72" s="5">
        <v>31062</v>
      </c>
      <c r="M72" s="7">
        <v>2.3850700000000001E-7</v>
      </c>
      <c r="N72" s="5" t="s">
        <v>721</v>
      </c>
      <c r="O72" s="5">
        <v>31</v>
      </c>
      <c r="P72" s="5">
        <v>31</v>
      </c>
      <c r="Q72" s="7">
        <v>0.116121</v>
      </c>
      <c r="R72" s="7">
        <v>5.9691802564561556</v>
      </c>
      <c r="S72" s="7">
        <v>2976567360</v>
      </c>
      <c r="T72" s="7">
        <v>0</v>
      </c>
    </row>
    <row r="73" spans="2:20" x14ac:dyDescent="0.2">
      <c r="B73">
        <v>31077</v>
      </c>
      <c r="C73" s="9">
        <v>2.8520300000000002E-7</v>
      </c>
      <c r="D73" s="5" t="s">
        <v>736</v>
      </c>
      <c r="E73" s="7">
        <v>13.2</v>
      </c>
      <c r="F73" s="1">
        <v>5.2511150042420102E-2</v>
      </c>
      <c r="G73" s="1">
        <v>3559333440</v>
      </c>
      <c r="H73" s="1">
        <v>0</v>
      </c>
      <c r="I73" s="7">
        <f t="shared" si="1"/>
        <v>4119.5988888888887</v>
      </c>
      <c r="L73" s="5">
        <v>31063</v>
      </c>
      <c r="M73" s="7">
        <v>2.8429499999999999E-7</v>
      </c>
      <c r="N73" s="5" t="s">
        <v>722</v>
      </c>
      <c r="O73" s="5">
        <v>32</v>
      </c>
      <c r="P73" s="5">
        <v>31</v>
      </c>
      <c r="Q73" s="7">
        <v>32.4</v>
      </c>
      <c r="R73" s="7">
        <v>2.1393431498763743E-2</v>
      </c>
      <c r="S73" s="7">
        <v>3548001600</v>
      </c>
      <c r="T73" s="7">
        <v>0</v>
      </c>
    </row>
    <row r="74" spans="2:20" x14ac:dyDescent="0.2">
      <c r="B74">
        <v>31078</v>
      </c>
      <c r="C74" s="9">
        <v>3.1842800000000002E-7</v>
      </c>
      <c r="D74" s="5" t="s">
        <v>737</v>
      </c>
      <c r="E74" s="7">
        <v>5.09</v>
      </c>
      <c r="F74" s="1">
        <v>0.13617822800784779</v>
      </c>
      <c r="G74" s="1">
        <v>3973981440.0000005</v>
      </c>
      <c r="H74" s="1">
        <v>0</v>
      </c>
      <c r="I74" s="7">
        <f t="shared" si="1"/>
        <v>4599.5155555555557</v>
      </c>
      <c r="L74" s="5">
        <v>31064</v>
      </c>
      <c r="M74" s="7">
        <v>1.6682200000000001E-8</v>
      </c>
      <c r="N74" s="5" t="s">
        <v>723</v>
      </c>
      <c r="O74" s="5">
        <v>33</v>
      </c>
      <c r="P74" s="5">
        <v>31</v>
      </c>
      <c r="Q74" s="7">
        <v>157.61999999999901</v>
      </c>
      <c r="R74" s="7">
        <v>4.3975839396012536E-3</v>
      </c>
      <c r="S74" s="7">
        <v>208193856</v>
      </c>
      <c r="T74" s="7">
        <v>0</v>
      </c>
    </row>
    <row r="75" spans="2:20" x14ac:dyDescent="0.2">
      <c r="B75">
        <v>31079</v>
      </c>
      <c r="C75" s="9">
        <v>5.0297900000000005E-7</v>
      </c>
      <c r="D75" s="5" t="s">
        <v>738</v>
      </c>
      <c r="E75" s="7">
        <v>2.847</v>
      </c>
      <c r="F75" s="1">
        <v>0.24346581684578339</v>
      </c>
      <c r="G75" s="1">
        <v>6277177920.000001</v>
      </c>
      <c r="H75" s="1">
        <v>0</v>
      </c>
      <c r="I75" s="7">
        <f t="shared" si="1"/>
        <v>7265.2522222222233</v>
      </c>
      <c r="L75" s="5">
        <v>31065</v>
      </c>
      <c r="M75" s="7">
        <v>5.84924E-8</v>
      </c>
      <c r="N75" s="5" t="s">
        <v>724</v>
      </c>
      <c r="O75" s="5">
        <v>34</v>
      </c>
      <c r="P75" s="5">
        <v>31</v>
      </c>
      <c r="Q75" s="7">
        <v>912</v>
      </c>
      <c r="R75" s="7">
        <v>7.6002980324555401E-4</v>
      </c>
      <c r="S75" s="7">
        <v>729985152</v>
      </c>
      <c r="T75" s="7">
        <v>0</v>
      </c>
    </row>
    <row r="76" spans="2:20" x14ac:dyDescent="0.2">
      <c r="B76">
        <v>31080</v>
      </c>
      <c r="C76" s="9">
        <v>2.8764600000000001E-7</v>
      </c>
      <c r="D76" s="5" t="s">
        <v>739</v>
      </c>
      <c r="E76" s="7">
        <v>1.9</v>
      </c>
      <c r="F76" s="1">
        <v>0.36481430555786598</v>
      </c>
      <c r="G76" s="1">
        <v>3589822080</v>
      </c>
      <c r="H76" s="1">
        <v>0</v>
      </c>
      <c r="I76" s="7">
        <f t="shared" si="1"/>
        <v>4154.8866666666663</v>
      </c>
      <c r="L76" s="5">
        <v>31066</v>
      </c>
      <c r="M76" s="7">
        <v>1.1796199999999999E-8</v>
      </c>
      <c r="N76" s="5" t="s">
        <v>725</v>
      </c>
      <c r="O76" s="5">
        <v>35</v>
      </c>
      <c r="P76" s="5">
        <v>31</v>
      </c>
      <c r="Q76" s="7">
        <v>34164</v>
      </c>
      <c r="R76" s="7">
        <v>2.0288818070481948E-5</v>
      </c>
      <c r="S76" s="7">
        <v>147216572.41098943</v>
      </c>
      <c r="T76" s="7">
        <v>1.9684054129099052E-270</v>
      </c>
    </row>
    <row r="77" spans="2:20" x14ac:dyDescent="0.2">
      <c r="B77">
        <v>31081</v>
      </c>
      <c r="C77" s="9">
        <v>2.4779000000000002E-7</v>
      </c>
      <c r="D77" s="5" t="s">
        <v>740</v>
      </c>
      <c r="E77" s="7">
        <v>1.2170000000000001</v>
      </c>
      <c r="F77" s="1">
        <v>0.56955396923578083</v>
      </c>
      <c r="G77" s="1">
        <v>3092419200.0000005</v>
      </c>
      <c r="H77" s="1">
        <v>0</v>
      </c>
      <c r="I77" s="7">
        <f t="shared" si="1"/>
        <v>3579.1888888888893</v>
      </c>
      <c r="L77" s="5">
        <v>31067</v>
      </c>
      <c r="M77" s="7">
        <v>6.7705999999999998E-9</v>
      </c>
      <c r="N77" s="5" t="s">
        <v>726</v>
      </c>
      <c r="O77" s="5">
        <v>36</v>
      </c>
      <c r="P77" s="5">
        <v>31</v>
      </c>
      <c r="Q77" s="7">
        <v>281810.88</v>
      </c>
      <c r="R77" s="7">
        <v>2.4596182395794844E-6</v>
      </c>
      <c r="S77" s="7">
        <v>74406461.604772449</v>
      </c>
      <c r="T77" s="7">
        <v>1.5307303279212735E-26</v>
      </c>
    </row>
    <row r="78" spans="2:20" x14ac:dyDescent="0.2">
      <c r="B78">
        <v>31082</v>
      </c>
      <c r="C78" s="9">
        <v>7.7129000000000002E-8</v>
      </c>
      <c r="D78" s="5" t="s">
        <v>741</v>
      </c>
      <c r="E78" s="7">
        <v>0.59899999999999998</v>
      </c>
      <c r="F78" s="1">
        <v>1.1571739241401424</v>
      </c>
      <c r="G78" s="1">
        <v>962569920</v>
      </c>
      <c r="H78" s="1">
        <v>0</v>
      </c>
      <c r="I78" s="7">
        <f t="shared" si="1"/>
        <v>1114.0855555555556</v>
      </c>
      <c r="L78" s="5">
        <v>31068</v>
      </c>
      <c r="M78" s="7">
        <v>5.5839999999999995E-10</v>
      </c>
      <c r="N78" s="5" t="s">
        <v>727</v>
      </c>
      <c r="O78" s="5">
        <v>37</v>
      </c>
      <c r="P78" s="5">
        <v>31</v>
      </c>
      <c r="Q78" s="7">
        <v>4062.5999999999899</v>
      </c>
      <c r="R78" s="7">
        <v>1.7061664465119555E-4</v>
      </c>
      <c r="S78" s="7">
        <v>6968831.9999999991</v>
      </c>
      <c r="T78" s="7">
        <v>0</v>
      </c>
    </row>
    <row r="79" spans="2:20" x14ac:dyDescent="0.2">
      <c r="B79">
        <v>31083</v>
      </c>
      <c r="C79" s="9">
        <v>3.9227599999999997E-8</v>
      </c>
      <c r="D79" s="5" t="s">
        <v>742</v>
      </c>
      <c r="E79" s="7">
        <v>0.30809999999999998</v>
      </c>
      <c r="F79" s="1">
        <v>2.2497474214863531</v>
      </c>
      <c r="G79" s="1">
        <v>489560447.99999994</v>
      </c>
      <c r="H79" s="1">
        <v>0</v>
      </c>
      <c r="I79" s="7">
        <f t="shared" si="1"/>
        <v>566.62088888888889</v>
      </c>
      <c r="L79" s="5">
        <v>31073</v>
      </c>
      <c r="M79" s="7">
        <v>1.2563999999999999E-9</v>
      </c>
      <c r="N79" s="5" t="s">
        <v>732</v>
      </c>
      <c r="O79" s="5">
        <v>42</v>
      </c>
      <c r="P79" s="5">
        <v>31</v>
      </c>
      <c r="Q79" s="7">
        <v>17496</v>
      </c>
      <c r="R79" s="7">
        <v>3.9617465738451376E-5</v>
      </c>
      <c r="S79" s="7">
        <v>15679871.999999978</v>
      </c>
      <c r="T79" s="7">
        <v>0</v>
      </c>
    </row>
    <row r="80" spans="2:20" x14ac:dyDescent="0.2">
      <c r="B80">
        <v>32061</v>
      </c>
      <c r="C80" s="9">
        <v>1.23546E-8</v>
      </c>
      <c r="D80" s="5" t="s">
        <v>749</v>
      </c>
      <c r="E80" s="7">
        <v>4.3999999999999997E-2</v>
      </c>
      <c r="F80" s="1">
        <v>15.753345012726029</v>
      </c>
      <c r="G80" s="1">
        <v>154185408</v>
      </c>
      <c r="H80" s="1">
        <v>0</v>
      </c>
      <c r="I80" s="7">
        <f t="shared" si="1"/>
        <v>178.45533333333336</v>
      </c>
      <c r="L80" s="5">
        <v>31074</v>
      </c>
      <c r="M80" s="7">
        <v>4.5370000000000004E-9</v>
      </c>
      <c r="N80" s="5" t="s">
        <v>733</v>
      </c>
      <c r="O80" s="5">
        <v>43</v>
      </c>
      <c r="P80" s="5">
        <v>31</v>
      </c>
      <c r="Q80" s="7">
        <v>487.19999999999902</v>
      </c>
      <c r="R80" s="7">
        <v>1.4227158878488233E-3</v>
      </c>
      <c r="S80" s="7">
        <v>56621760.000000007</v>
      </c>
      <c r="T80" s="7">
        <v>0</v>
      </c>
    </row>
    <row r="81" spans="2:20" x14ac:dyDescent="0.2">
      <c r="B81">
        <v>32062</v>
      </c>
      <c r="C81" s="9">
        <v>4.6068000000000003E-9</v>
      </c>
      <c r="D81" s="5" t="s">
        <v>750</v>
      </c>
      <c r="E81" s="7">
        <v>0.129</v>
      </c>
      <c r="F81" s="1">
        <v>5.3732339578290329</v>
      </c>
      <c r="G81" s="1">
        <v>57492864</v>
      </c>
      <c r="H81" s="1">
        <v>0</v>
      </c>
      <c r="I81" s="7">
        <f t="shared" si="1"/>
        <v>66.542666666666662</v>
      </c>
      <c r="L81" s="5">
        <v>31075</v>
      </c>
      <c r="M81" s="7">
        <v>3.0572399999999999E-8</v>
      </c>
      <c r="N81" s="5" t="s">
        <v>734</v>
      </c>
      <c r="O81" s="5">
        <v>44</v>
      </c>
      <c r="P81" s="5">
        <v>31</v>
      </c>
      <c r="Q81" s="7">
        <v>126</v>
      </c>
      <c r="R81" s="7">
        <v>5.5011680996821053E-3</v>
      </c>
      <c r="S81" s="7">
        <v>381543552</v>
      </c>
      <c r="T81" s="7">
        <v>0</v>
      </c>
    </row>
    <row r="82" spans="2:20" x14ac:dyDescent="0.2">
      <c r="B82">
        <v>32063</v>
      </c>
      <c r="C82" s="9">
        <v>6.9799999999999997E-10</v>
      </c>
      <c r="D82" s="5" t="s">
        <v>751</v>
      </c>
      <c r="E82" s="7">
        <v>0.15</v>
      </c>
      <c r="F82" s="1">
        <v>4.6209812037329687</v>
      </c>
      <c r="G82" s="1">
        <v>8711040</v>
      </c>
      <c r="H82" s="1">
        <v>0</v>
      </c>
      <c r="I82" s="7">
        <f t="shared" si="1"/>
        <v>10.082222222222223</v>
      </c>
      <c r="L82" s="5">
        <v>31076</v>
      </c>
      <c r="M82" s="7">
        <v>6.3308600000000006E-8</v>
      </c>
      <c r="N82" s="5" t="s">
        <v>735</v>
      </c>
      <c r="O82" s="5">
        <v>45</v>
      </c>
      <c r="P82" s="5">
        <v>31</v>
      </c>
      <c r="Q82" s="7">
        <v>32.6</v>
      </c>
      <c r="R82" s="7">
        <v>2.1262183452759056E-2</v>
      </c>
      <c r="S82" s="7">
        <v>790091328.00000012</v>
      </c>
      <c r="T82" s="7">
        <v>0</v>
      </c>
    </row>
    <row r="83" spans="2:20" x14ac:dyDescent="0.2">
      <c r="B83">
        <v>32064</v>
      </c>
      <c r="C83" s="9">
        <v>2.094E-10</v>
      </c>
      <c r="D83" s="5" t="s">
        <v>752</v>
      </c>
      <c r="E83" s="7">
        <v>63.7</v>
      </c>
      <c r="F83" s="1">
        <v>1.0881431405964604E-2</v>
      </c>
      <c r="G83" s="1">
        <v>2613312</v>
      </c>
      <c r="H83" s="1">
        <v>0</v>
      </c>
      <c r="I83" s="7">
        <f t="shared" si="1"/>
        <v>3.0246666666666671</v>
      </c>
      <c r="L83" s="5">
        <v>31077</v>
      </c>
      <c r="M83" s="7">
        <v>2.3041000000000001E-7</v>
      </c>
      <c r="N83" s="5" t="s">
        <v>736</v>
      </c>
      <c r="O83" s="5">
        <v>46</v>
      </c>
      <c r="P83" s="5">
        <v>31</v>
      </c>
      <c r="Q83" s="7">
        <v>13.2</v>
      </c>
      <c r="R83" s="7">
        <v>5.2511150042420102E-2</v>
      </c>
      <c r="S83" s="7">
        <v>2875516800</v>
      </c>
      <c r="T83" s="7">
        <v>0</v>
      </c>
    </row>
    <row r="84" spans="2:20" x14ac:dyDescent="0.2">
      <c r="B84">
        <v>32075</v>
      </c>
      <c r="C84" s="9">
        <v>2.8897200000000001E-8</v>
      </c>
      <c r="D84" s="5" t="s">
        <v>763</v>
      </c>
      <c r="E84" s="7">
        <v>4966.8</v>
      </c>
      <c r="F84" s="1">
        <v>1.3955608853989394E-4</v>
      </c>
      <c r="G84" s="1">
        <v>360637056</v>
      </c>
      <c r="H84" s="1">
        <v>0</v>
      </c>
      <c r="I84" s="7">
        <f t="shared" si="1"/>
        <v>417.40400000000005</v>
      </c>
      <c r="L84" s="5">
        <v>31078</v>
      </c>
      <c r="M84" s="7">
        <v>3.8452800000000001E-7</v>
      </c>
      <c r="N84" s="5" t="s">
        <v>737</v>
      </c>
      <c r="O84" s="5">
        <v>47</v>
      </c>
      <c r="P84" s="5">
        <v>31</v>
      </c>
      <c r="Q84" s="7">
        <v>5.09</v>
      </c>
      <c r="R84" s="7">
        <v>0.13617822800784779</v>
      </c>
      <c r="S84" s="7">
        <v>4798909440</v>
      </c>
      <c r="T84" s="7">
        <v>0</v>
      </c>
    </row>
    <row r="85" spans="2:20" x14ac:dyDescent="0.2">
      <c r="B85">
        <v>32077</v>
      </c>
      <c r="C85" s="9">
        <v>2.26012E-7</v>
      </c>
      <c r="D85" s="5" t="s">
        <v>765</v>
      </c>
      <c r="E85" s="7">
        <v>40680</v>
      </c>
      <c r="F85" s="1">
        <v>1.7039016237953423E-5</v>
      </c>
      <c r="G85" s="1">
        <v>2820628620.3049717</v>
      </c>
      <c r="H85" s="1">
        <v>1.2175861857951519E-224</v>
      </c>
      <c r="I85" s="7">
        <f t="shared" si="1"/>
        <v>3264.6164586863101</v>
      </c>
      <c r="L85" s="5">
        <v>31079</v>
      </c>
      <c r="M85" s="7">
        <v>7.8315600000000003E-7</v>
      </c>
      <c r="N85" s="5" t="s">
        <v>738</v>
      </c>
      <c r="O85" s="5">
        <v>48</v>
      </c>
      <c r="P85" s="5">
        <v>31</v>
      </c>
      <c r="Q85" s="7">
        <v>2.847</v>
      </c>
      <c r="R85" s="7">
        <v>0.24346581684578339</v>
      </c>
      <c r="S85" s="7">
        <v>9773786880</v>
      </c>
      <c r="T85" s="7">
        <v>0</v>
      </c>
    </row>
    <row r="86" spans="2:20" x14ac:dyDescent="0.2">
      <c r="B86">
        <v>32078</v>
      </c>
      <c r="C86" s="9">
        <v>5.51909E-7</v>
      </c>
      <c r="D86" s="5" t="s">
        <v>766</v>
      </c>
      <c r="E86" s="7">
        <v>5280</v>
      </c>
      <c r="F86" s="1">
        <v>1.3127787510605024E-4</v>
      </c>
      <c r="G86" s="1">
        <v>6887824320</v>
      </c>
      <c r="H86" s="1">
        <v>0</v>
      </c>
      <c r="I86" s="7">
        <f t="shared" si="1"/>
        <v>7972.0188888888888</v>
      </c>
      <c r="L86" s="5">
        <v>31080</v>
      </c>
      <c r="M86" s="7">
        <v>6.6798600000000004E-7</v>
      </c>
      <c r="N86" s="5" t="s">
        <v>739</v>
      </c>
      <c r="O86" s="5">
        <v>49</v>
      </c>
      <c r="P86" s="5">
        <v>31</v>
      </c>
      <c r="Q86" s="7">
        <v>1.9</v>
      </c>
      <c r="R86" s="7">
        <v>0.36481430555786598</v>
      </c>
      <c r="S86" s="7">
        <v>8336465280</v>
      </c>
      <c r="T86" s="7">
        <v>0</v>
      </c>
    </row>
    <row r="87" spans="2:20" x14ac:dyDescent="0.2">
      <c r="B87">
        <v>32079</v>
      </c>
      <c r="C87" s="9">
        <v>9.4229999999999996E-7</v>
      </c>
      <c r="D87" s="5" t="s">
        <v>767</v>
      </c>
      <c r="E87" s="7">
        <v>18.98</v>
      </c>
      <c r="F87" s="1">
        <v>3.651987252686751E-2</v>
      </c>
      <c r="G87" s="1">
        <v>11759904000</v>
      </c>
      <c r="H87" s="1">
        <v>0</v>
      </c>
      <c r="I87" s="7">
        <f t="shared" si="1"/>
        <v>13611</v>
      </c>
      <c r="L87" s="5">
        <v>31081</v>
      </c>
      <c r="M87" s="7">
        <v>1.12839E-6</v>
      </c>
      <c r="N87" s="5" t="s">
        <v>740</v>
      </c>
      <c r="O87" s="5">
        <v>50</v>
      </c>
      <c r="P87" s="5">
        <v>31</v>
      </c>
      <c r="Q87" s="7">
        <v>1.2170000000000001</v>
      </c>
      <c r="R87" s="7">
        <v>0.56955396923578083</v>
      </c>
      <c r="S87" s="7">
        <v>14082307200</v>
      </c>
      <c r="T87" s="7">
        <v>0</v>
      </c>
    </row>
    <row r="88" spans="2:20" x14ac:dyDescent="0.2">
      <c r="B88">
        <v>32080</v>
      </c>
      <c r="C88" s="9">
        <v>1.8628899999999999E-6</v>
      </c>
      <c r="D88" s="5" t="s">
        <v>768</v>
      </c>
      <c r="E88" s="7">
        <v>29.5</v>
      </c>
      <c r="F88" s="1">
        <v>2.3496514595252382E-2</v>
      </c>
      <c r="G88" s="1">
        <v>23248867200</v>
      </c>
      <c r="H88" s="1">
        <v>0</v>
      </c>
      <c r="I88" s="7">
        <f t="shared" si="1"/>
        <v>26908.411111111112</v>
      </c>
      <c r="L88" s="5">
        <v>31082</v>
      </c>
      <c r="M88" s="7">
        <v>4.8154999999999997E-7</v>
      </c>
      <c r="N88" s="5" t="s">
        <v>741</v>
      </c>
      <c r="O88" s="5">
        <v>51</v>
      </c>
      <c r="P88" s="5">
        <v>31</v>
      </c>
      <c r="Q88" s="7">
        <v>0.59899999999999998</v>
      </c>
      <c r="R88" s="7">
        <v>1.1571739241401424</v>
      </c>
      <c r="S88" s="7">
        <v>6009744000</v>
      </c>
      <c r="T88" s="7">
        <v>0</v>
      </c>
    </row>
    <row r="89" spans="2:20" x14ac:dyDescent="0.2">
      <c r="B89">
        <v>32081</v>
      </c>
      <c r="C89" s="9">
        <v>1.81906E-6</v>
      </c>
      <c r="D89" s="5" t="s">
        <v>769</v>
      </c>
      <c r="E89" s="7">
        <v>7.6</v>
      </c>
      <c r="F89" s="1">
        <v>9.1203576389466495E-2</v>
      </c>
      <c r="G89" s="1">
        <v>22701868800</v>
      </c>
      <c r="H89" s="1">
        <v>0</v>
      </c>
      <c r="I89" s="7">
        <f t="shared" si="1"/>
        <v>26275.31111111111</v>
      </c>
      <c r="L89" s="5">
        <v>31083</v>
      </c>
      <c r="M89" s="7">
        <v>3.66101E-7</v>
      </c>
      <c r="N89" s="5" t="s">
        <v>742</v>
      </c>
      <c r="O89" s="5">
        <v>52</v>
      </c>
      <c r="P89" s="5">
        <v>31</v>
      </c>
      <c r="Q89" s="7">
        <v>0.30809999999999998</v>
      </c>
      <c r="R89" s="7">
        <v>2.2497474214863531</v>
      </c>
      <c r="S89" s="7">
        <v>4568940480</v>
      </c>
      <c r="T89" s="7">
        <v>0</v>
      </c>
    </row>
    <row r="90" spans="2:20" x14ac:dyDescent="0.2">
      <c r="B90">
        <v>32082</v>
      </c>
      <c r="C90" s="9">
        <v>2.1452300000000002E-6</v>
      </c>
      <c r="D90" s="5" t="s">
        <v>770</v>
      </c>
      <c r="E90" s="7">
        <v>4.5599999999999996</v>
      </c>
      <c r="F90" s="1">
        <v>0.15200596064911082</v>
      </c>
      <c r="G90" s="1">
        <v>26772470400.000004</v>
      </c>
      <c r="H90" s="1">
        <v>0</v>
      </c>
      <c r="I90" s="7">
        <f t="shared" si="1"/>
        <v>30986.655555555561</v>
      </c>
      <c r="L90" s="5">
        <v>32061</v>
      </c>
      <c r="M90" s="7">
        <v>1.5363000000000001E-7</v>
      </c>
      <c r="N90" s="5" t="s">
        <v>749</v>
      </c>
      <c r="O90" s="5">
        <v>29</v>
      </c>
      <c r="P90" s="5">
        <v>32</v>
      </c>
      <c r="Q90" s="7">
        <v>4.3999999999999997E-2</v>
      </c>
      <c r="R90" s="7">
        <v>15.753345012726029</v>
      </c>
      <c r="S90" s="7">
        <v>1917302400</v>
      </c>
      <c r="T90" s="7">
        <v>0</v>
      </c>
    </row>
    <row r="91" spans="2:20" x14ac:dyDescent="0.2">
      <c r="B91">
        <v>32083</v>
      </c>
      <c r="C91" s="9">
        <v>9.9660400000000002E-7</v>
      </c>
      <c r="D91" s="5" t="s">
        <v>771</v>
      </c>
      <c r="E91" s="7">
        <v>1.85</v>
      </c>
      <c r="F91" s="1">
        <v>0.37467415165402446</v>
      </c>
      <c r="G91" s="1">
        <v>12437617920</v>
      </c>
      <c r="H91" s="1">
        <v>0</v>
      </c>
      <c r="I91" s="7">
        <f t="shared" si="1"/>
        <v>14395.391111111112</v>
      </c>
      <c r="L91" s="5">
        <v>32062</v>
      </c>
      <c r="M91" s="7">
        <v>9.2066199999999996E-8</v>
      </c>
      <c r="N91" s="5" t="s">
        <v>750</v>
      </c>
      <c r="O91" s="5">
        <v>30</v>
      </c>
      <c r="P91" s="5">
        <v>32</v>
      </c>
      <c r="Q91" s="7">
        <v>0.129</v>
      </c>
      <c r="R91" s="7">
        <v>5.3732339578290329</v>
      </c>
      <c r="S91" s="7">
        <v>1148986176</v>
      </c>
      <c r="T91" s="7">
        <v>0</v>
      </c>
    </row>
    <row r="92" spans="2:20" x14ac:dyDescent="0.2">
      <c r="B92">
        <v>32084</v>
      </c>
      <c r="C92" s="9">
        <v>5.6838100000000004E-7</v>
      </c>
      <c r="D92" s="5" t="s">
        <v>772</v>
      </c>
      <c r="E92" s="7">
        <v>0.95399999999999996</v>
      </c>
      <c r="F92" s="1">
        <v>0.72656937165612712</v>
      </c>
      <c r="G92" s="1">
        <v>7093394880.000001</v>
      </c>
      <c r="H92" s="1">
        <v>0</v>
      </c>
      <c r="I92" s="7">
        <f t="shared" si="1"/>
        <v>8209.9477777777793</v>
      </c>
      <c r="L92" s="5">
        <v>32063</v>
      </c>
      <c r="M92" s="7">
        <v>2.0242E-8</v>
      </c>
      <c r="N92" s="5" t="s">
        <v>751</v>
      </c>
      <c r="O92" s="5">
        <v>31</v>
      </c>
      <c r="P92" s="5">
        <v>32</v>
      </c>
      <c r="Q92" s="7">
        <v>0.15</v>
      </c>
      <c r="R92" s="7">
        <v>4.6209812037329687</v>
      </c>
      <c r="S92" s="7">
        <v>252620160</v>
      </c>
      <c r="T92" s="7">
        <v>0</v>
      </c>
    </row>
    <row r="93" spans="2:20" x14ac:dyDescent="0.2">
      <c r="B93">
        <v>33066</v>
      </c>
      <c r="C93" s="9">
        <v>1.54886E-7</v>
      </c>
      <c r="D93" s="5" t="s">
        <v>781</v>
      </c>
      <c r="E93" s="7">
        <v>9.5769999999999994E-2</v>
      </c>
      <c r="F93" s="1">
        <v>7.2376232699169396</v>
      </c>
      <c r="G93" s="1">
        <v>1932977280</v>
      </c>
      <c r="H93" s="1">
        <v>0</v>
      </c>
      <c r="I93" s="7">
        <f t="shared" si="1"/>
        <v>2237.2422222222222</v>
      </c>
      <c r="L93" s="5">
        <v>32064</v>
      </c>
      <c r="M93" s="7">
        <v>7.3987999999999997E-9</v>
      </c>
      <c r="N93" s="5" t="s">
        <v>752</v>
      </c>
      <c r="O93" s="5">
        <v>32</v>
      </c>
      <c r="P93" s="5">
        <v>32</v>
      </c>
      <c r="Q93" s="7">
        <v>63.7</v>
      </c>
      <c r="R93" s="7">
        <v>1.0881431405964604E-2</v>
      </c>
      <c r="S93" s="7">
        <v>92337024</v>
      </c>
      <c r="T93" s="7">
        <v>0</v>
      </c>
    </row>
    <row r="94" spans="2:20" x14ac:dyDescent="0.2">
      <c r="B94">
        <v>33067</v>
      </c>
      <c r="C94" s="9">
        <v>6.7356999999999999E-8</v>
      </c>
      <c r="D94" s="5" t="s">
        <v>782</v>
      </c>
      <c r="E94" s="7">
        <v>42.5</v>
      </c>
      <c r="F94" s="1">
        <v>1.6309345424939888E-2</v>
      </c>
      <c r="G94" s="1">
        <v>840615360</v>
      </c>
      <c r="H94" s="1">
        <v>0</v>
      </c>
      <c r="I94" s="7">
        <f t="shared" si="1"/>
        <v>972.93444444444447</v>
      </c>
      <c r="L94" s="5">
        <v>32065</v>
      </c>
      <c r="M94" s="7">
        <v>1.1167999999999999E-9</v>
      </c>
      <c r="N94" s="5" t="s">
        <v>753</v>
      </c>
      <c r="O94" s="5">
        <v>33</v>
      </c>
      <c r="P94" s="5">
        <v>32</v>
      </c>
      <c r="Q94" s="7">
        <v>30.9</v>
      </c>
      <c r="R94" s="7">
        <v>2.2431947590936741E-2</v>
      </c>
      <c r="S94" s="7">
        <v>13937663.999999998</v>
      </c>
      <c r="T94" s="7">
        <v>0</v>
      </c>
    </row>
    <row r="95" spans="2:20" x14ac:dyDescent="0.2">
      <c r="B95">
        <v>33068</v>
      </c>
      <c r="C95" s="9">
        <v>1.13774E-8</v>
      </c>
      <c r="D95" s="5" t="s">
        <v>783</v>
      </c>
      <c r="E95" s="7">
        <v>151.6</v>
      </c>
      <c r="F95" s="1">
        <v>4.5722109535616447E-3</v>
      </c>
      <c r="G95" s="1">
        <v>141989952</v>
      </c>
      <c r="H95" s="1">
        <v>0</v>
      </c>
      <c r="I95" s="7">
        <f t="shared" si="1"/>
        <v>164.3402222222222</v>
      </c>
      <c r="L95" s="5">
        <v>32066</v>
      </c>
      <c r="M95" s="7">
        <v>6.9799999999999994E-11</v>
      </c>
      <c r="N95" s="5" t="s">
        <v>754</v>
      </c>
      <c r="O95" s="5">
        <v>34</v>
      </c>
      <c r="P95" s="5">
        <v>32</v>
      </c>
      <c r="Q95" s="7">
        <v>8135.99999999999</v>
      </c>
      <c r="R95" s="7">
        <v>8.519508118976723E-5</v>
      </c>
      <c r="S95" s="7">
        <v>871103.99999999988</v>
      </c>
      <c r="T95" s="7">
        <v>0</v>
      </c>
    </row>
    <row r="96" spans="2:20" x14ac:dyDescent="0.2">
      <c r="B96">
        <v>33069</v>
      </c>
      <c r="C96" s="9">
        <v>5.3048000000000001E-9</v>
      </c>
      <c r="D96" s="5" t="s">
        <v>784</v>
      </c>
      <c r="E96" s="7">
        <v>912</v>
      </c>
      <c r="F96" s="1">
        <v>7.6002980324555401E-4</v>
      </c>
      <c r="G96" s="1">
        <v>66203904</v>
      </c>
      <c r="H96" s="1">
        <v>0</v>
      </c>
      <c r="I96" s="7">
        <f t="shared" si="1"/>
        <v>76.624888888888904</v>
      </c>
      <c r="L96" s="5">
        <v>32075</v>
      </c>
      <c r="M96" s="7">
        <v>1.3959999999999999E-9</v>
      </c>
      <c r="N96" s="5" t="s">
        <v>763</v>
      </c>
      <c r="O96" s="5">
        <v>43</v>
      </c>
      <c r="P96" s="5">
        <v>32</v>
      </c>
      <c r="Q96" s="7">
        <v>4966.8</v>
      </c>
      <c r="R96" s="7">
        <v>1.3955608853989394E-4</v>
      </c>
      <c r="S96" s="7">
        <v>17422080</v>
      </c>
      <c r="T96" s="7">
        <v>0</v>
      </c>
    </row>
    <row r="97" spans="2:20" x14ac:dyDescent="0.2">
      <c r="B97">
        <v>33070</v>
      </c>
      <c r="C97" s="9">
        <v>3.4899999999999998E-10</v>
      </c>
      <c r="D97" s="5" t="s">
        <v>785</v>
      </c>
      <c r="E97" s="7">
        <v>3156</v>
      </c>
      <c r="F97" s="1">
        <v>2.196283842078407E-4</v>
      </c>
      <c r="G97" s="1">
        <v>4355520</v>
      </c>
      <c r="H97" s="1">
        <v>0</v>
      </c>
      <c r="I97" s="7">
        <f t="shared" si="1"/>
        <v>5.0411111111111113</v>
      </c>
      <c r="L97" s="5">
        <v>32077</v>
      </c>
      <c r="M97" s="7">
        <v>3.4411399999999998E-8</v>
      </c>
      <c r="N97" s="5" t="s">
        <v>765</v>
      </c>
      <c r="O97" s="5">
        <v>45</v>
      </c>
      <c r="P97" s="5">
        <v>32</v>
      </c>
      <c r="Q97" s="7">
        <v>40680</v>
      </c>
      <c r="R97" s="7">
        <v>1.7039016237953423E-5</v>
      </c>
      <c r="S97" s="7">
        <v>429454098.47602123</v>
      </c>
      <c r="T97" s="7">
        <v>1.853832773209887E-225</v>
      </c>
    </row>
    <row r="98" spans="2:20" x14ac:dyDescent="0.2">
      <c r="B98">
        <v>33071</v>
      </c>
      <c r="C98" s="9">
        <v>2.094E-10</v>
      </c>
      <c r="D98" s="5" t="s">
        <v>786</v>
      </c>
      <c r="E98" s="7">
        <v>235080</v>
      </c>
      <c r="F98" s="1">
        <v>2.9485587058020475E-6</v>
      </c>
      <c r="G98" s="1">
        <v>2408760.6714047054</v>
      </c>
      <c r="H98" s="1">
        <v>9.9677395947906439E-35</v>
      </c>
      <c r="I98" s="7">
        <f t="shared" si="1"/>
        <v>2.7879174437554464</v>
      </c>
      <c r="L98" s="5">
        <v>32078</v>
      </c>
      <c r="M98" s="7">
        <v>2.0032599999999999E-7</v>
      </c>
      <c r="N98" s="5" t="s">
        <v>766</v>
      </c>
      <c r="O98" s="5">
        <v>46</v>
      </c>
      <c r="P98" s="5">
        <v>32</v>
      </c>
      <c r="Q98" s="7">
        <v>5280</v>
      </c>
      <c r="R98" s="7">
        <v>1.3127787510605024E-4</v>
      </c>
      <c r="S98" s="7">
        <v>2500068480</v>
      </c>
      <c r="T98" s="7">
        <v>0</v>
      </c>
    </row>
    <row r="99" spans="2:20" x14ac:dyDescent="0.2">
      <c r="B99">
        <v>33072</v>
      </c>
      <c r="C99" s="9">
        <v>6.9799999999999994E-11</v>
      </c>
      <c r="D99" s="5" t="s">
        <v>787</v>
      </c>
      <c r="E99" s="7">
        <v>93600</v>
      </c>
      <c r="F99" s="1">
        <v>7.4054185957259116E-6</v>
      </c>
      <c r="G99" s="1">
        <v>869654.12157802621</v>
      </c>
      <c r="H99" s="1">
        <v>3.2763793067633267E-96</v>
      </c>
      <c r="I99" s="7">
        <f t="shared" si="1"/>
        <v>1.0065441221967897</v>
      </c>
      <c r="L99" s="5">
        <v>32079</v>
      </c>
      <c r="M99" s="7">
        <v>3.5472399999999999E-7</v>
      </c>
      <c r="N99" s="5" t="s">
        <v>767</v>
      </c>
      <c r="O99" s="5">
        <v>47</v>
      </c>
      <c r="P99" s="5">
        <v>32</v>
      </c>
      <c r="Q99" s="7">
        <v>18.98</v>
      </c>
      <c r="R99" s="7">
        <v>3.651987252686751E-2</v>
      </c>
      <c r="S99" s="7">
        <v>4426955520</v>
      </c>
      <c r="T99" s="7">
        <v>0</v>
      </c>
    </row>
    <row r="100" spans="2:20" x14ac:dyDescent="0.2">
      <c r="B100">
        <v>33073</v>
      </c>
      <c r="C100" s="9">
        <v>6.9799999999999994E-11</v>
      </c>
      <c r="D100" s="5" t="s">
        <v>788</v>
      </c>
      <c r="E100" s="7">
        <v>6937920</v>
      </c>
      <c r="F100" s="1">
        <v>9.9907058680403535E-8</v>
      </c>
      <c r="G100" s="1">
        <v>72039.495529840118</v>
      </c>
      <c r="H100" s="1">
        <v>3084.981051189292</v>
      </c>
      <c r="I100" s="7">
        <f t="shared" si="1"/>
        <v>8.337904575212976E-2</v>
      </c>
      <c r="L100" s="5">
        <v>32080</v>
      </c>
      <c r="M100" s="7">
        <v>1.21026E-6</v>
      </c>
      <c r="N100" s="5" t="s">
        <v>768</v>
      </c>
      <c r="O100" s="5">
        <v>48</v>
      </c>
      <c r="P100" s="5">
        <v>32</v>
      </c>
      <c r="Q100" s="7">
        <v>29.5</v>
      </c>
      <c r="R100" s="7">
        <v>2.3496514595252382E-2</v>
      </c>
      <c r="S100" s="7">
        <v>15104044800</v>
      </c>
      <c r="T100" s="7">
        <v>0</v>
      </c>
    </row>
    <row r="101" spans="2:20" x14ac:dyDescent="0.2">
      <c r="B101">
        <v>33074</v>
      </c>
      <c r="C101" s="9">
        <v>2.7919999999999998E-10</v>
      </c>
      <c r="D101" s="5" t="s">
        <v>789</v>
      </c>
      <c r="E101" s="7">
        <v>1535328</v>
      </c>
      <c r="F101" s="1">
        <v>4.5146521170716959E-7</v>
      </c>
      <c r="G101" s="1">
        <v>1125423.7575426342</v>
      </c>
      <c r="H101" s="1">
        <v>0.73805515579183667</v>
      </c>
      <c r="I101" s="7">
        <f t="shared" si="1"/>
        <v>1.3025737934521229</v>
      </c>
      <c r="L101" s="5">
        <v>32081</v>
      </c>
      <c r="M101" s="7">
        <v>1.30372E-6</v>
      </c>
      <c r="N101" s="5" t="s">
        <v>769</v>
      </c>
      <c r="O101" s="5">
        <v>49</v>
      </c>
      <c r="P101" s="5">
        <v>32</v>
      </c>
      <c r="Q101" s="7">
        <v>7.6</v>
      </c>
      <c r="R101" s="7">
        <v>9.1203576389466495E-2</v>
      </c>
      <c r="S101" s="7">
        <v>16270425600</v>
      </c>
      <c r="T101" s="7">
        <v>0</v>
      </c>
    </row>
    <row r="102" spans="2:20" x14ac:dyDescent="0.2">
      <c r="B102">
        <v>33076</v>
      </c>
      <c r="C102" s="9">
        <v>6.4216000000000002E-9</v>
      </c>
      <c r="D102" s="5" t="s">
        <v>791</v>
      </c>
      <c r="E102" s="7">
        <v>94538.880000000005</v>
      </c>
      <c r="F102" s="1">
        <v>7.3318742570246785E-6</v>
      </c>
      <c r="G102" s="1">
        <v>79999428.26945588</v>
      </c>
      <c r="H102" s="1">
        <v>3.0647228001698036E-93</v>
      </c>
      <c r="I102" s="7">
        <f t="shared" si="1"/>
        <v>92.591930867425788</v>
      </c>
      <c r="L102" s="5">
        <v>32082</v>
      </c>
      <c r="M102" s="7">
        <v>2.9413699999999999E-6</v>
      </c>
      <c r="N102" s="5" t="s">
        <v>770</v>
      </c>
      <c r="O102" s="5">
        <v>50</v>
      </c>
      <c r="P102" s="5">
        <v>32</v>
      </c>
      <c r="Q102" s="7">
        <v>4.5599999999999996</v>
      </c>
      <c r="R102" s="7">
        <v>0.15200596064911082</v>
      </c>
      <c r="S102" s="7">
        <v>36708297600</v>
      </c>
      <c r="T102" s="7">
        <v>0</v>
      </c>
    </row>
    <row r="103" spans="2:20" x14ac:dyDescent="0.2">
      <c r="B103">
        <v>33077</v>
      </c>
      <c r="C103" s="9">
        <v>2.8687800000000001E-8</v>
      </c>
      <c r="D103" s="5" t="s">
        <v>792</v>
      </c>
      <c r="E103" s="7">
        <v>139788</v>
      </c>
      <c r="F103" s="1">
        <v>4.958559966234192E-6</v>
      </c>
      <c r="G103" s="1">
        <v>353088493.17465973</v>
      </c>
      <c r="H103" s="1">
        <v>4.3240296500495401E-60</v>
      </c>
      <c r="I103" s="7">
        <f t="shared" si="1"/>
        <v>408.66723747067101</v>
      </c>
      <c r="L103" s="5">
        <v>32083</v>
      </c>
      <c r="M103" s="7">
        <v>1.4849299999999999E-6</v>
      </c>
      <c r="N103" s="5" t="s">
        <v>771</v>
      </c>
      <c r="O103" s="5">
        <v>51</v>
      </c>
      <c r="P103" s="5">
        <v>32</v>
      </c>
      <c r="Q103" s="7">
        <v>1.85</v>
      </c>
      <c r="R103" s="7">
        <v>0.37467415165402446</v>
      </c>
      <c r="S103" s="7">
        <v>18531926400</v>
      </c>
      <c r="T103" s="7">
        <v>0</v>
      </c>
    </row>
    <row r="104" spans="2:20" x14ac:dyDescent="0.2">
      <c r="B104">
        <v>33078</v>
      </c>
      <c r="C104" s="9">
        <v>8.6621799999999995E-8</v>
      </c>
      <c r="D104" s="5" t="s">
        <v>793</v>
      </c>
      <c r="E104" s="7">
        <v>5442</v>
      </c>
      <c r="F104" s="1">
        <v>1.2736993395074335E-4</v>
      </c>
      <c r="G104" s="1">
        <v>1081040064</v>
      </c>
      <c r="H104" s="1">
        <v>0</v>
      </c>
      <c r="I104" s="7">
        <f t="shared" si="1"/>
        <v>1251.203777777778</v>
      </c>
      <c r="L104" s="5">
        <v>32084</v>
      </c>
      <c r="M104" s="7">
        <v>1.9867899999999999E-6</v>
      </c>
      <c r="N104" s="5" t="s">
        <v>772</v>
      </c>
      <c r="O104" s="5">
        <v>52</v>
      </c>
      <c r="P104" s="5">
        <v>32</v>
      </c>
      <c r="Q104" s="7">
        <v>0.95399999999999996</v>
      </c>
      <c r="R104" s="7">
        <v>0.72656937165612712</v>
      </c>
      <c r="S104" s="7">
        <v>24795139200</v>
      </c>
      <c r="T104" s="7">
        <v>0</v>
      </c>
    </row>
    <row r="105" spans="2:20" x14ac:dyDescent="0.2">
      <c r="B105">
        <v>33079</v>
      </c>
      <c r="C105" s="9">
        <v>2.7152199999999999E-7</v>
      </c>
      <c r="D105" s="5" t="s">
        <v>794</v>
      </c>
      <c r="E105" s="7">
        <v>540.6</v>
      </c>
      <c r="F105" s="1">
        <v>1.2821812440990479E-3</v>
      </c>
      <c r="G105" s="1">
        <v>3388594560</v>
      </c>
      <c r="H105" s="1">
        <v>0</v>
      </c>
      <c r="I105" s="7">
        <f t="shared" si="1"/>
        <v>3921.9844444444443</v>
      </c>
      <c r="L105" s="5">
        <v>33066</v>
      </c>
      <c r="M105" s="7">
        <v>7.8364499999999997E-7</v>
      </c>
      <c r="N105" s="5" t="s">
        <v>781</v>
      </c>
      <c r="O105" s="5">
        <v>33</v>
      </c>
      <c r="P105" s="5">
        <v>33</v>
      </c>
      <c r="Q105" s="7">
        <v>9.5769999999999994E-2</v>
      </c>
      <c r="R105" s="7">
        <v>7.2376232699169396</v>
      </c>
      <c r="S105" s="7">
        <v>9779889600</v>
      </c>
      <c r="T105" s="7">
        <v>0</v>
      </c>
    </row>
    <row r="106" spans="2:20" x14ac:dyDescent="0.2">
      <c r="B106">
        <v>33080</v>
      </c>
      <c r="C106" s="9">
        <v>6.6337900000000003E-7</v>
      </c>
      <c r="D106" s="5" t="s">
        <v>795</v>
      </c>
      <c r="E106" s="7">
        <v>15.2</v>
      </c>
      <c r="F106" s="1">
        <v>4.5601788194733248E-2</v>
      </c>
      <c r="G106" s="1">
        <v>8278969920</v>
      </c>
      <c r="H106" s="1">
        <v>0</v>
      </c>
      <c r="I106" s="7">
        <f t="shared" si="1"/>
        <v>9582.141111111112</v>
      </c>
      <c r="L106" s="5">
        <v>33067</v>
      </c>
      <c r="M106" s="7">
        <v>7.7205799999999999E-7</v>
      </c>
      <c r="N106" s="5" t="s">
        <v>782</v>
      </c>
      <c r="O106" s="5">
        <v>34</v>
      </c>
      <c r="P106" s="5">
        <v>33</v>
      </c>
      <c r="Q106" s="7">
        <v>42.5</v>
      </c>
      <c r="R106" s="7">
        <v>1.6309345424939888E-2</v>
      </c>
      <c r="S106" s="7">
        <v>9635283840</v>
      </c>
      <c r="T106" s="7">
        <v>0</v>
      </c>
    </row>
    <row r="107" spans="2:20" x14ac:dyDescent="0.2">
      <c r="B107">
        <v>33081</v>
      </c>
      <c r="C107" s="9">
        <v>1.77508E-6</v>
      </c>
      <c r="D107" s="5" t="s">
        <v>796</v>
      </c>
      <c r="E107" s="7">
        <v>33.299999999999997</v>
      </c>
      <c r="F107" s="1">
        <v>2.0815230647445806E-2</v>
      </c>
      <c r="G107" s="1">
        <v>22152998400</v>
      </c>
      <c r="H107" s="1">
        <v>0</v>
      </c>
      <c r="I107" s="7">
        <f t="shared" si="1"/>
        <v>25640.044444444444</v>
      </c>
      <c r="L107" s="5">
        <v>33068</v>
      </c>
      <c r="M107" s="7">
        <v>1.76105E-7</v>
      </c>
      <c r="N107" s="5" t="s">
        <v>783</v>
      </c>
      <c r="O107" s="5">
        <v>35</v>
      </c>
      <c r="P107" s="5">
        <v>33</v>
      </c>
      <c r="Q107" s="7">
        <v>151.6</v>
      </c>
      <c r="R107" s="7">
        <v>4.5722109535616447E-3</v>
      </c>
      <c r="S107" s="7">
        <v>2197790400</v>
      </c>
      <c r="T107" s="7">
        <v>0</v>
      </c>
    </row>
    <row r="108" spans="2:20" x14ac:dyDescent="0.2">
      <c r="B108">
        <v>33082</v>
      </c>
      <c r="C108" s="9">
        <v>2.7661699999999999E-6</v>
      </c>
      <c r="D108" s="5" t="s">
        <v>797</v>
      </c>
      <c r="E108" s="7">
        <v>19.100000000000001</v>
      </c>
      <c r="F108" s="1">
        <v>3.6290428301567812E-2</v>
      </c>
      <c r="G108" s="1">
        <v>34521801600</v>
      </c>
      <c r="H108" s="1">
        <v>0</v>
      </c>
      <c r="I108" s="7">
        <f t="shared" si="1"/>
        <v>39955.788888888892</v>
      </c>
      <c r="L108" s="5">
        <v>33069</v>
      </c>
      <c r="M108" s="7">
        <v>1.1866000000000001E-7</v>
      </c>
      <c r="N108" s="5" t="s">
        <v>784</v>
      </c>
      <c r="O108" s="5">
        <v>36</v>
      </c>
      <c r="P108" s="5">
        <v>33</v>
      </c>
      <c r="Q108" s="7">
        <v>912</v>
      </c>
      <c r="R108" s="7">
        <v>7.6002980324555401E-4</v>
      </c>
      <c r="S108" s="7">
        <v>1480876800</v>
      </c>
      <c r="T108" s="7">
        <v>0</v>
      </c>
    </row>
    <row r="109" spans="2:20" x14ac:dyDescent="0.2">
      <c r="B109">
        <v>33083</v>
      </c>
      <c r="C109" s="9">
        <v>5.1904000000000003E-6</v>
      </c>
      <c r="D109" s="5" t="s">
        <v>798</v>
      </c>
      <c r="E109" s="7">
        <v>13.4</v>
      </c>
      <c r="F109" s="1">
        <v>5.1727401534324272E-2</v>
      </c>
      <c r="G109" s="1">
        <v>64776192000.000008</v>
      </c>
      <c r="H109" s="1">
        <v>0</v>
      </c>
      <c r="I109" s="7">
        <f t="shared" si="1"/>
        <v>74972.444444444467</v>
      </c>
      <c r="L109" s="5">
        <v>33070</v>
      </c>
      <c r="M109" s="7">
        <v>1.45184E-8</v>
      </c>
      <c r="N109" s="5" t="s">
        <v>785</v>
      </c>
      <c r="O109" s="5">
        <v>37</v>
      </c>
      <c r="P109" s="5">
        <v>33</v>
      </c>
      <c r="Q109" s="7">
        <v>3156</v>
      </c>
      <c r="R109" s="7">
        <v>2.196283842078407E-4</v>
      </c>
      <c r="S109" s="7">
        <v>181189632</v>
      </c>
      <c r="T109" s="7">
        <v>0</v>
      </c>
    </row>
    <row r="110" spans="2:20" x14ac:dyDescent="0.2">
      <c r="B110">
        <v>33084</v>
      </c>
      <c r="C110" s="9">
        <v>3.6175199999999998E-6</v>
      </c>
      <c r="D110" s="5" t="s">
        <v>799</v>
      </c>
      <c r="E110" s="7">
        <v>4.0199999999999996</v>
      </c>
      <c r="F110" s="1">
        <v>0.17242467178108092</v>
      </c>
      <c r="G110" s="1">
        <v>45146649600</v>
      </c>
      <c r="H110" s="1">
        <v>0</v>
      </c>
      <c r="I110" s="7">
        <f t="shared" si="1"/>
        <v>52253.066666666666</v>
      </c>
      <c r="L110" s="5">
        <v>33071</v>
      </c>
      <c r="M110" s="7">
        <v>6.7705999999999998E-9</v>
      </c>
      <c r="N110" s="5" t="s">
        <v>786</v>
      </c>
      <c r="O110" s="5">
        <v>38</v>
      </c>
      <c r="P110" s="5">
        <v>33</v>
      </c>
      <c r="Q110" s="7">
        <v>235080</v>
      </c>
      <c r="R110" s="7">
        <v>2.9485587058020475E-6</v>
      </c>
      <c r="S110" s="7">
        <v>77883261.70875214</v>
      </c>
      <c r="T110" s="7">
        <v>3.2229024689823082E-33</v>
      </c>
    </row>
    <row r="111" spans="2:20" x14ac:dyDescent="0.2">
      <c r="B111">
        <v>33085</v>
      </c>
      <c r="C111" s="9">
        <v>3.4113400000000001E-6</v>
      </c>
      <c r="D111" s="5" t="s">
        <v>800</v>
      </c>
      <c r="E111" s="7">
        <v>2.0209999999999999</v>
      </c>
      <c r="F111" s="1">
        <v>0.34297238028695959</v>
      </c>
      <c r="G111" s="1">
        <v>42573523200</v>
      </c>
      <c r="H111" s="1">
        <v>0</v>
      </c>
      <c r="I111" s="7">
        <f t="shared" si="1"/>
        <v>49274.911111111112</v>
      </c>
      <c r="L111" s="5">
        <v>33072</v>
      </c>
      <c r="M111" s="7">
        <v>3.4899999999999998E-10</v>
      </c>
      <c r="N111" s="5" t="s">
        <v>787</v>
      </c>
      <c r="O111" s="5">
        <v>39</v>
      </c>
      <c r="P111" s="5">
        <v>33</v>
      </c>
      <c r="Q111" s="7">
        <v>93600</v>
      </c>
      <c r="R111" s="7">
        <v>7.4054185957259116E-6</v>
      </c>
      <c r="S111" s="7">
        <v>4348270.6078901319</v>
      </c>
      <c r="T111" s="7">
        <v>1.6381896533816637E-95</v>
      </c>
    </row>
    <row r="112" spans="2:20" x14ac:dyDescent="0.2">
      <c r="B112">
        <v>33086</v>
      </c>
      <c r="C112" s="9">
        <v>1.3008600000000001E-6</v>
      </c>
      <c r="D112" s="5" t="s">
        <v>801</v>
      </c>
      <c r="E112" s="7">
        <v>0.94499999999999995</v>
      </c>
      <c r="F112" s="1">
        <v>0.73348907995761414</v>
      </c>
      <c r="G112" s="1">
        <v>16234732800</v>
      </c>
      <c r="H112" s="1">
        <v>0</v>
      </c>
      <c r="I112" s="7">
        <f t="shared" si="1"/>
        <v>18790.2</v>
      </c>
      <c r="L112" s="5">
        <v>33073</v>
      </c>
      <c r="M112" s="7">
        <v>6.9799999999999994E-11</v>
      </c>
      <c r="N112" s="5" t="s">
        <v>788</v>
      </c>
      <c r="O112" s="5">
        <v>40</v>
      </c>
      <c r="P112" s="5">
        <v>33</v>
      </c>
      <c r="Q112" s="7">
        <v>6937920</v>
      </c>
      <c r="R112" s="7">
        <v>9.9907058680403535E-8</v>
      </c>
      <c r="S112" s="7">
        <v>72039.495529840118</v>
      </c>
      <c r="T112" s="7">
        <v>3084.981051189292</v>
      </c>
    </row>
    <row r="113" spans="2:20" x14ac:dyDescent="0.2">
      <c r="B113">
        <v>33087</v>
      </c>
      <c r="C113" s="9">
        <v>7.7450099999999998E-7</v>
      </c>
      <c r="D113" s="5" t="s">
        <v>802</v>
      </c>
      <c r="E113" s="7">
        <v>0.48399999999999999</v>
      </c>
      <c r="F113" s="1">
        <v>1.4321222738841846</v>
      </c>
      <c r="G113" s="1">
        <v>9665772480</v>
      </c>
      <c r="H113" s="1">
        <v>0</v>
      </c>
      <c r="I113" s="7">
        <f t="shared" si="1"/>
        <v>11187.236666666666</v>
      </c>
      <c r="L113" s="5">
        <v>33076</v>
      </c>
      <c r="M113" s="7">
        <v>1.3959999999999999E-10</v>
      </c>
      <c r="N113" s="5" t="s">
        <v>791</v>
      </c>
      <c r="O113" s="5">
        <v>43</v>
      </c>
      <c r="P113" s="5">
        <v>33</v>
      </c>
      <c r="Q113" s="7">
        <v>94538.880000000005</v>
      </c>
      <c r="R113" s="7">
        <v>7.3318742570246785E-6</v>
      </c>
      <c r="S113" s="7">
        <v>1739118.0058577363</v>
      </c>
      <c r="T113" s="7">
        <v>6.6624408699343553E-95</v>
      </c>
    </row>
    <row r="114" spans="2:20" x14ac:dyDescent="0.2">
      <c r="B114">
        <v>34068</v>
      </c>
      <c r="C114" s="9">
        <v>2.0828300000000001E-7</v>
      </c>
      <c r="D114" s="5" t="s">
        <v>811</v>
      </c>
      <c r="E114" s="7">
        <v>35.5</v>
      </c>
      <c r="F114" s="1">
        <v>1.9525272691829444E-2</v>
      </c>
      <c r="G114" s="1">
        <v>2599371840</v>
      </c>
      <c r="H114" s="1">
        <v>0</v>
      </c>
      <c r="I114" s="7">
        <f t="shared" si="1"/>
        <v>3008.5322222222221</v>
      </c>
      <c r="L114" s="5">
        <v>33077</v>
      </c>
      <c r="M114" s="7">
        <v>1.8845999999999999E-9</v>
      </c>
      <c r="N114" s="5" t="s">
        <v>792</v>
      </c>
      <c r="O114" s="5">
        <v>44</v>
      </c>
      <c r="P114" s="5">
        <v>33</v>
      </c>
      <c r="Q114" s="7">
        <v>139788</v>
      </c>
      <c r="R114" s="7">
        <v>4.958559966234192E-6</v>
      </c>
      <c r="S114" s="7">
        <v>23195594.442130931</v>
      </c>
      <c r="T114" s="7">
        <v>2.8406034197405738E-61</v>
      </c>
    </row>
    <row r="115" spans="2:20" x14ac:dyDescent="0.2">
      <c r="B115">
        <v>34069</v>
      </c>
      <c r="C115" s="9">
        <v>8.0130399999999999E-8</v>
      </c>
      <c r="D115" s="5" t="s">
        <v>812</v>
      </c>
      <c r="E115" s="7">
        <v>27.4</v>
      </c>
      <c r="F115" s="1">
        <v>2.5297342356202384E-2</v>
      </c>
      <c r="G115" s="1">
        <v>1000027392</v>
      </c>
      <c r="H115" s="1">
        <v>0</v>
      </c>
      <c r="I115" s="7">
        <f t="shared" si="1"/>
        <v>1157.4391111111113</v>
      </c>
      <c r="L115" s="5">
        <v>33078</v>
      </c>
      <c r="M115" s="7">
        <v>1.10284E-8</v>
      </c>
      <c r="N115" s="5" t="s">
        <v>793</v>
      </c>
      <c r="O115" s="5">
        <v>45</v>
      </c>
      <c r="P115" s="5">
        <v>33</v>
      </c>
      <c r="Q115" s="7">
        <v>5442</v>
      </c>
      <c r="R115" s="7">
        <v>1.2736993395074335E-4</v>
      </c>
      <c r="S115" s="7">
        <v>137634432</v>
      </c>
      <c r="T115" s="7">
        <v>0</v>
      </c>
    </row>
    <row r="116" spans="2:20" x14ac:dyDescent="0.2">
      <c r="B116">
        <v>34070</v>
      </c>
      <c r="C116" s="9">
        <v>1.7798999999999999E-8</v>
      </c>
      <c r="D116" s="5" t="s">
        <v>813</v>
      </c>
      <c r="E116" s="7">
        <v>2466</v>
      </c>
      <c r="F116" s="1">
        <v>2.8108158173558204E-4</v>
      </c>
      <c r="G116" s="1">
        <v>222131520</v>
      </c>
      <c r="H116" s="1">
        <v>0</v>
      </c>
      <c r="I116" s="7">
        <f t="shared" si="1"/>
        <v>257.09666666666669</v>
      </c>
      <c r="L116" s="5">
        <v>33079</v>
      </c>
      <c r="M116" s="7">
        <v>6.9241599999999997E-8</v>
      </c>
      <c r="N116" s="5" t="s">
        <v>794</v>
      </c>
      <c r="O116" s="5">
        <v>46</v>
      </c>
      <c r="P116" s="5">
        <v>33</v>
      </c>
      <c r="Q116" s="7">
        <v>540.6</v>
      </c>
      <c r="R116" s="7">
        <v>1.2821812440990479E-3</v>
      </c>
      <c r="S116" s="7">
        <v>864135168</v>
      </c>
      <c r="T116" s="7">
        <v>0</v>
      </c>
    </row>
    <row r="117" spans="2:20" x14ac:dyDescent="0.2">
      <c r="B117">
        <v>34071</v>
      </c>
      <c r="C117" s="9">
        <v>4.6068000000000003E-9</v>
      </c>
      <c r="D117" s="5" t="s">
        <v>814</v>
      </c>
      <c r="E117" s="7">
        <v>284.39999999999998</v>
      </c>
      <c r="F117" s="1">
        <v>2.4372263732768823E-3</v>
      </c>
      <c r="G117" s="1">
        <v>57492864</v>
      </c>
      <c r="H117" s="1">
        <v>0</v>
      </c>
      <c r="I117" s="7">
        <f t="shared" si="1"/>
        <v>66.542666666666662</v>
      </c>
      <c r="L117" s="5">
        <v>33080</v>
      </c>
      <c r="M117" s="7">
        <v>1.8915800000000001E-7</v>
      </c>
      <c r="N117" s="5" t="s">
        <v>795</v>
      </c>
      <c r="O117" s="5">
        <v>47</v>
      </c>
      <c r="P117" s="5">
        <v>33</v>
      </c>
      <c r="Q117" s="7">
        <v>15.2</v>
      </c>
      <c r="R117" s="7">
        <v>4.5601788194733248E-2</v>
      </c>
      <c r="S117" s="7">
        <v>2360691840</v>
      </c>
      <c r="T117" s="7">
        <v>0</v>
      </c>
    </row>
    <row r="118" spans="2:20" x14ac:dyDescent="0.2">
      <c r="B118">
        <v>34072</v>
      </c>
      <c r="C118" s="9">
        <v>4.1879999999999999E-10</v>
      </c>
      <c r="D118" s="5" t="s">
        <v>815</v>
      </c>
      <c r="E118" s="7">
        <v>725760</v>
      </c>
      <c r="F118" s="1">
        <v>9.5506390619481007E-7</v>
      </c>
      <c r="G118" s="1">
        <v>2936535.7635992449</v>
      </c>
      <c r="H118" s="1">
        <v>2.4398618968646938E-7</v>
      </c>
      <c r="I118" s="7">
        <f t="shared" si="1"/>
        <v>3.3987682449065337</v>
      </c>
      <c r="L118" s="5">
        <v>33081</v>
      </c>
      <c r="M118" s="7">
        <v>8.6258799999999999E-7</v>
      </c>
      <c r="N118" s="5" t="s">
        <v>796</v>
      </c>
      <c r="O118" s="5">
        <v>48</v>
      </c>
      <c r="P118" s="5">
        <v>33</v>
      </c>
      <c r="Q118" s="7">
        <v>33.299999999999997</v>
      </c>
      <c r="R118" s="7">
        <v>2.0815230647445806E-2</v>
      </c>
      <c r="S118" s="7">
        <v>10765098240</v>
      </c>
      <c r="T118" s="7">
        <v>0</v>
      </c>
    </row>
    <row r="119" spans="2:20" x14ac:dyDescent="0.2">
      <c r="B119">
        <v>34073</v>
      </c>
      <c r="C119" s="9">
        <v>6.9799999999999994E-11</v>
      </c>
      <c r="D119" s="5" t="s">
        <v>816</v>
      </c>
      <c r="E119" s="7">
        <v>25740</v>
      </c>
      <c r="F119" s="1">
        <v>2.6928794893548767E-5</v>
      </c>
      <c r="G119" s="1">
        <v>871103.99993151939</v>
      </c>
      <c r="H119" s="1">
        <v>0</v>
      </c>
      <c r="I119" s="7">
        <f t="shared" si="1"/>
        <v>1.0082222221429622</v>
      </c>
      <c r="L119" s="5">
        <v>33082</v>
      </c>
      <c r="M119" s="7">
        <v>1.51864E-6</v>
      </c>
      <c r="N119" s="5" t="s">
        <v>797</v>
      </c>
      <c r="O119" s="5">
        <v>49</v>
      </c>
      <c r="P119" s="5">
        <v>33</v>
      </c>
      <c r="Q119" s="7">
        <v>19.100000000000001</v>
      </c>
      <c r="R119" s="7">
        <v>3.6290428301567812E-2</v>
      </c>
      <c r="S119" s="7">
        <v>18952627200</v>
      </c>
      <c r="T119" s="7">
        <v>0</v>
      </c>
    </row>
    <row r="120" spans="2:20" x14ac:dyDescent="0.2">
      <c r="B120">
        <v>34075</v>
      </c>
      <c r="C120" s="9">
        <v>6.9799999999999994E-11</v>
      </c>
      <c r="D120" s="5" t="s">
        <v>818</v>
      </c>
      <c r="E120" s="7">
        <v>10348992</v>
      </c>
      <c r="F120" s="1">
        <v>6.6977265086294909E-8</v>
      </c>
      <c r="G120" s="1">
        <v>48978.536277357161</v>
      </c>
      <c r="H120" s="1">
        <v>5925.0382057474935</v>
      </c>
      <c r="I120" s="7">
        <f t="shared" si="1"/>
        <v>5.6688120691385603E-2</v>
      </c>
      <c r="L120" s="5">
        <v>33083</v>
      </c>
      <c r="M120" s="7">
        <v>4.4794800000000004E-6</v>
      </c>
      <c r="N120" s="5" t="s">
        <v>798</v>
      </c>
      <c r="O120" s="5">
        <v>50</v>
      </c>
      <c r="P120" s="5">
        <v>33</v>
      </c>
      <c r="Q120" s="7">
        <v>13.4</v>
      </c>
      <c r="R120" s="7">
        <v>5.1727401534324272E-2</v>
      </c>
      <c r="S120" s="7">
        <v>55903910400.000008</v>
      </c>
      <c r="T120" s="7">
        <v>0</v>
      </c>
    </row>
    <row r="121" spans="2:20" x14ac:dyDescent="0.2">
      <c r="B121">
        <v>34079</v>
      </c>
      <c r="C121" s="9">
        <v>7.7687399999999995E-8</v>
      </c>
      <c r="D121" s="5" t="s">
        <v>822</v>
      </c>
      <c r="E121" s="7">
        <v>10287777600000</v>
      </c>
      <c r="F121" s="1">
        <v>6.7375793636902231E-14</v>
      </c>
      <c r="G121" s="1">
        <v>56.439453002251774</v>
      </c>
      <c r="H121" s="1">
        <v>56.439333081916111</v>
      </c>
      <c r="I121" s="7">
        <f t="shared" si="1"/>
        <v>6.5323440974828442E-5</v>
      </c>
      <c r="L121" s="5">
        <v>33084</v>
      </c>
      <c r="M121" s="7">
        <v>3.6082399999999999E-6</v>
      </c>
      <c r="N121" s="5" t="s">
        <v>799</v>
      </c>
      <c r="O121" s="5">
        <v>51</v>
      </c>
      <c r="P121" s="5">
        <v>33</v>
      </c>
      <c r="Q121" s="7">
        <v>4.0199999999999996</v>
      </c>
      <c r="R121" s="7">
        <v>0.17242467178108092</v>
      </c>
      <c r="S121" s="7">
        <v>45030835200</v>
      </c>
      <c r="T121" s="7">
        <v>0</v>
      </c>
    </row>
    <row r="122" spans="2:20" x14ac:dyDescent="0.2">
      <c r="B122">
        <v>34081</v>
      </c>
      <c r="C122" s="9">
        <v>7.8566900000000005E-7</v>
      </c>
      <c r="D122" s="5" t="s">
        <v>824</v>
      </c>
      <c r="E122" s="7">
        <v>1107</v>
      </c>
      <c r="F122" s="1">
        <v>6.261492145979632E-4</v>
      </c>
      <c r="G122" s="1">
        <v>9805149120</v>
      </c>
      <c r="H122" s="1">
        <v>0</v>
      </c>
      <c r="I122" s="7">
        <f t="shared" si="1"/>
        <v>11348.552222222223</v>
      </c>
      <c r="L122" s="5">
        <v>33085</v>
      </c>
      <c r="M122" s="7">
        <v>5.3098999999999998E-6</v>
      </c>
      <c r="N122" s="5" t="s">
        <v>800</v>
      </c>
      <c r="O122" s="5">
        <v>52</v>
      </c>
      <c r="P122" s="5">
        <v>33</v>
      </c>
      <c r="Q122" s="7">
        <v>2.0209999999999999</v>
      </c>
      <c r="R122" s="7">
        <v>0.34297238028695959</v>
      </c>
      <c r="S122" s="7">
        <v>66267552000</v>
      </c>
      <c r="T122" s="7">
        <v>0</v>
      </c>
    </row>
    <row r="123" spans="2:20" x14ac:dyDescent="0.2">
      <c r="B123">
        <v>34083</v>
      </c>
      <c r="C123" s="9">
        <v>4.19463E-6</v>
      </c>
      <c r="D123" s="5" t="s">
        <v>826</v>
      </c>
      <c r="E123" s="7">
        <v>1335</v>
      </c>
      <c r="F123" s="1">
        <v>5.192113712059515E-4</v>
      </c>
      <c r="G123" s="1">
        <v>52348982400</v>
      </c>
      <c r="H123" s="1">
        <v>0</v>
      </c>
      <c r="I123" s="7">
        <f t="shared" si="1"/>
        <v>60589.1</v>
      </c>
      <c r="L123" s="5">
        <v>33086</v>
      </c>
      <c r="M123" s="7">
        <v>2.7526999999999999E-6</v>
      </c>
      <c r="N123" s="5" t="s">
        <v>801</v>
      </c>
      <c r="O123" s="5">
        <v>53</v>
      </c>
      <c r="P123" s="5">
        <v>33</v>
      </c>
      <c r="Q123" s="7">
        <v>0.94499999999999995</v>
      </c>
      <c r="R123" s="7">
        <v>0.73348907995761414</v>
      </c>
      <c r="S123" s="7">
        <v>34353696000</v>
      </c>
      <c r="T123" s="7">
        <v>0</v>
      </c>
    </row>
    <row r="124" spans="2:20" x14ac:dyDescent="0.2">
      <c r="B124">
        <v>34084</v>
      </c>
      <c r="C124" s="9">
        <v>8.9602299999999998E-6</v>
      </c>
      <c r="D124" s="5" t="s">
        <v>827</v>
      </c>
      <c r="E124" s="7">
        <v>195.6</v>
      </c>
      <c r="F124" s="1">
        <v>3.5436972421265095E-3</v>
      </c>
      <c r="G124" s="1">
        <v>111823670400</v>
      </c>
      <c r="H124" s="1">
        <v>0</v>
      </c>
      <c r="I124" s="7">
        <f t="shared" si="1"/>
        <v>129425.54444444444</v>
      </c>
      <c r="L124" s="5">
        <v>33087</v>
      </c>
      <c r="M124" s="7">
        <v>4.0763899999999998E-6</v>
      </c>
      <c r="N124" s="5" t="s">
        <v>802</v>
      </c>
      <c r="O124" s="5">
        <v>54</v>
      </c>
      <c r="P124" s="5">
        <v>33</v>
      </c>
      <c r="Q124" s="7">
        <v>0.48399999999999999</v>
      </c>
      <c r="R124" s="7">
        <v>1.4321222738841846</v>
      </c>
      <c r="S124" s="7">
        <v>50873347200</v>
      </c>
      <c r="T124" s="7">
        <v>0</v>
      </c>
    </row>
    <row r="125" spans="2:20" x14ac:dyDescent="0.2">
      <c r="B125">
        <v>34085</v>
      </c>
      <c r="C125" s="9">
        <v>1.14712E-5</v>
      </c>
      <c r="D125" s="5" t="s">
        <v>828</v>
      </c>
      <c r="E125" s="7">
        <v>32.9</v>
      </c>
      <c r="F125" s="1">
        <v>2.106830336048466E-2</v>
      </c>
      <c r="G125" s="1">
        <v>143160576000</v>
      </c>
      <c r="H125" s="1">
        <v>0</v>
      </c>
      <c r="I125" s="7">
        <f t="shared" si="1"/>
        <v>165695.11111111112</v>
      </c>
      <c r="L125" s="5">
        <v>34068</v>
      </c>
      <c r="M125" s="7">
        <v>1.38176E-6</v>
      </c>
      <c r="N125" s="5" t="s">
        <v>811</v>
      </c>
      <c r="O125" s="5">
        <v>34</v>
      </c>
      <c r="P125" s="5">
        <v>34</v>
      </c>
      <c r="Q125" s="7">
        <v>35.5</v>
      </c>
      <c r="R125" s="7">
        <v>1.9525272691829444E-2</v>
      </c>
      <c r="S125" s="7">
        <v>17244364800</v>
      </c>
      <c r="T125" s="7">
        <v>0</v>
      </c>
    </row>
    <row r="126" spans="2:20" x14ac:dyDescent="0.2">
      <c r="B126">
        <v>34086</v>
      </c>
      <c r="C126" s="9">
        <v>1.50468E-5</v>
      </c>
      <c r="D126" s="5" t="s">
        <v>829</v>
      </c>
      <c r="E126" s="7">
        <v>14.3</v>
      </c>
      <c r="F126" s="1">
        <v>4.8471830808387781E-2</v>
      </c>
      <c r="G126" s="1">
        <v>187784064000</v>
      </c>
      <c r="H126" s="1">
        <v>0</v>
      </c>
      <c r="I126" s="7">
        <f t="shared" si="1"/>
        <v>217342.66666666666</v>
      </c>
      <c r="L126" s="5">
        <v>34069</v>
      </c>
      <c r="M126" s="7">
        <v>9.7182500000000001E-7</v>
      </c>
      <c r="N126" s="5" t="s">
        <v>812</v>
      </c>
      <c r="O126" s="5">
        <v>35</v>
      </c>
      <c r="P126" s="5">
        <v>34</v>
      </c>
      <c r="Q126" s="7">
        <v>27.4</v>
      </c>
      <c r="R126" s="7">
        <v>2.5297342356202384E-2</v>
      </c>
      <c r="S126" s="7">
        <v>12128376000</v>
      </c>
      <c r="T126" s="7">
        <v>0</v>
      </c>
    </row>
    <row r="127" spans="2:20" x14ac:dyDescent="0.2">
      <c r="B127">
        <v>34087</v>
      </c>
      <c r="C127" s="9">
        <v>9.6638099999999996E-6</v>
      </c>
      <c r="D127" s="5" t="s">
        <v>830</v>
      </c>
      <c r="E127" s="7">
        <v>5.5</v>
      </c>
      <c r="F127" s="1">
        <v>0.12602676010180824</v>
      </c>
      <c r="G127" s="1">
        <v>120604348800</v>
      </c>
      <c r="H127" s="1">
        <v>0</v>
      </c>
      <c r="I127" s="7">
        <f t="shared" si="1"/>
        <v>139588.36666666667</v>
      </c>
      <c r="L127" s="5">
        <v>34070</v>
      </c>
      <c r="M127" s="7">
        <v>2.2852499999999999E-7</v>
      </c>
      <c r="N127" s="5" t="s">
        <v>813</v>
      </c>
      <c r="O127" s="5">
        <v>36</v>
      </c>
      <c r="P127" s="5">
        <v>34</v>
      </c>
      <c r="Q127" s="7">
        <v>2466</v>
      </c>
      <c r="R127" s="7">
        <v>2.8108158173558204E-4</v>
      </c>
      <c r="S127" s="7">
        <v>2851992000</v>
      </c>
      <c r="T127" s="7">
        <v>0</v>
      </c>
    </row>
    <row r="128" spans="2:20" x14ac:dyDescent="0.2">
      <c r="B128">
        <v>34088</v>
      </c>
      <c r="C128" s="9">
        <v>6.94342E-6</v>
      </c>
      <c r="D128" s="5" t="s">
        <v>831</v>
      </c>
      <c r="E128" s="7">
        <v>1.53</v>
      </c>
      <c r="F128" s="1">
        <v>0.45303737291499691</v>
      </c>
      <c r="G128" s="1">
        <v>86653881600</v>
      </c>
      <c r="H128" s="1">
        <v>0</v>
      </c>
      <c r="I128" s="7">
        <f t="shared" si="1"/>
        <v>100293.84444444445</v>
      </c>
      <c r="L128" s="5">
        <v>34071</v>
      </c>
      <c r="M128" s="7">
        <v>1.07143E-7</v>
      </c>
      <c r="N128" s="5" t="s">
        <v>814</v>
      </c>
      <c r="O128" s="5">
        <v>37</v>
      </c>
      <c r="P128" s="5">
        <v>34</v>
      </c>
      <c r="Q128" s="7">
        <v>284.39999999999998</v>
      </c>
      <c r="R128" s="7">
        <v>2.4372263732768823E-3</v>
      </c>
      <c r="S128" s="7">
        <v>1337144640</v>
      </c>
      <c r="T128" s="7">
        <v>0</v>
      </c>
    </row>
    <row r="129" spans="2:20" x14ac:dyDescent="0.2">
      <c r="B129">
        <v>34089</v>
      </c>
      <c r="C129" s="9">
        <v>2.42506E-6</v>
      </c>
      <c r="D129" s="5" t="s">
        <v>832</v>
      </c>
      <c r="E129" s="7">
        <v>0.43</v>
      </c>
      <c r="F129" s="1">
        <v>1.61197018734871</v>
      </c>
      <c r="G129" s="1">
        <v>30264748800</v>
      </c>
      <c r="H129" s="1">
        <v>0</v>
      </c>
      <c r="I129" s="7">
        <f t="shared" si="1"/>
        <v>35028.644444444442</v>
      </c>
      <c r="L129" s="5">
        <v>34072</v>
      </c>
      <c r="M129" s="7">
        <v>1.6333199999999999E-8</v>
      </c>
      <c r="N129" s="5" t="s">
        <v>815</v>
      </c>
      <c r="O129" s="5">
        <v>38</v>
      </c>
      <c r="P129" s="5">
        <v>34</v>
      </c>
      <c r="Q129" s="7">
        <v>725760</v>
      </c>
      <c r="R129" s="7">
        <v>9.5506390619481007E-7</v>
      </c>
      <c r="S129" s="7">
        <v>114524894.78037055</v>
      </c>
      <c r="T129" s="7">
        <v>9.5154613977723054E-6</v>
      </c>
    </row>
    <row r="130" spans="2:20" x14ac:dyDescent="0.2">
      <c r="B130">
        <v>34090</v>
      </c>
      <c r="C130" s="9">
        <v>9.5751599999999996E-7</v>
      </c>
      <c r="D130" s="5" t="s">
        <v>833</v>
      </c>
      <c r="E130" s="7">
        <v>0.19500000000000001</v>
      </c>
      <c r="F130" s="1">
        <v>3.5546009259484372</v>
      </c>
      <c r="G130" s="1">
        <v>11949799680</v>
      </c>
      <c r="H130" s="1">
        <v>0</v>
      </c>
      <c r="I130" s="7">
        <f t="shared" si="1"/>
        <v>13830.786666666667</v>
      </c>
      <c r="L130" s="5">
        <v>34073</v>
      </c>
      <c r="M130" s="7">
        <v>4.8859999999999999E-9</v>
      </c>
      <c r="N130" s="5" t="s">
        <v>816</v>
      </c>
      <c r="O130" s="5">
        <v>39</v>
      </c>
      <c r="P130" s="5">
        <v>34</v>
      </c>
      <c r="Q130" s="7">
        <v>25740</v>
      </c>
      <c r="R130" s="7">
        <v>2.6928794893548767E-5</v>
      </c>
      <c r="S130" s="7">
        <v>60977279.995206363</v>
      </c>
      <c r="T130" s="7">
        <v>0</v>
      </c>
    </row>
    <row r="131" spans="2:20" x14ac:dyDescent="0.2">
      <c r="B131">
        <v>34091</v>
      </c>
      <c r="C131" s="9">
        <v>1.98581E-7</v>
      </c>
      <c r="D131" s="5" t="s">
        <v>834</v>
      </c>
      <c r="E131" s="7">
        <v>0.27</v>
      </c>
      <c r="F131" s="1">
        <v>2.5672117798516489</v>
      </c>
      <c r="G131" s="1">
        <v>2478290880</v>
      </c>
      <c r="H131" s="1">
        <v>0</v>
      </c>
      <c r="I131" s="7">
        <f t="shared" si="1"/>
        <v>2868.3922222222222</v>
      </c>
      <c r="L131" s="5">
        <v>34075</v>
      </c>
      <c r="M131" s="7">
        <v>6.9799999999999994E-11</v>
      </c>
      <c r="N131" s="5" t="s">
        <v>818</v>
      </c>
      <c r="O131" s="5">
        <v>41</v>
      </c>
      <c r="P131" s="5">
        <v>34</v>
      </c>
      <c r="Q131" s="7">
        <v>10348992</v>
      </c>
      <c r="R131" s="7">
        <v>6.6977265086294909E-8</v>
      </c>
      <c r="S131" s="7">
        <v>48978.536277357161</v>
      </c>
      <c r="T131" s="7">
        <v>5925.0382057474935</v>
      </c>
    </row>
    <row r="132" spans="2:20" x14ac:dyDescent="0.2">
      <c r="B132">
        <v>35070</v>
      </c>
      <c r="C132" s="9">
        <v>6.4355600000000002E-8</v>
      </c>
      <c r="D132" s="5" t="s">
        <v>837</v>
      </c>
      <c r="E132" s="7">
        <v>7.9099999999999906E-2</v>
      </c>
      <c r="F132" s="1">
        <v>8.7629226366617718</v>
      </c>
      <c r="G132" s="1">
        <v>803157888</v>
      </c>
      <c r="H132" s="1">
        <v>0</v>
      </c>
      <c r="I132" s="7">
        <f t="shared" ref="I132:I195" si="2">G132/10/24/3600</f>
        <v>929.58088888888881</v>
      </c>
      <c r="L132" s="5">
        <v>34079</v>
      </c>
      <c r="M132" s="7">
        <v>1.6752E-9</v>
      </c>
      <c r="N132" s="5" t="s">
        <v>822</v>
      </c>
      <c r="O132" s="5">
        <v>45</v>
      </c>
      <c r="P132" s="5">
        <v>34</v>
      </c>
      <c r="Q132" s="7">
        <v>10287777600000</v>
      </c>
      <c r="R132" s="7">
        <v>6.7375793636902231E-14</v>
      </c>
      <c r="S132" s="7">
        <v>1.2170232453315748</v>
      </c>
      <c r="T132" s="7">
        <v>1.2170206594483259</v>
      </c>
    </row>
    <row r="133" spans="2:20" x14ac:dyDescent="0.2">
      <c r="B133">
        <v>35071</v>
      </c>
      <c r="C133" s="9">
        <v>1.10982E-8</v>
      </c>
      <c r="D133" s="5" t="s">
        <v>838</v>
      </c>
      <c r="E133" s="7">
        <v>21.4</v>
      </c>
      <c r="F133" s="1">
        <v>3.2390055166352585E-2</v>
      </c>
      <c r="G133" s="1">
        <v>138505536</v>
      </c>
      <c r="H133" s="1">
        <v>0</v>
      </c>
      <c r="I133" s="7">
        <f t="shared" si="2"/>
        <v>160.30733333333333</v>
      </c>
      <c r="L133" s="5">
        <v>34081</v>
      </c>
      <c r="M133" s="7">
        <v>6.1423999999999995E-8</v>
      </c>
      <c r="N133" s="5" t="s">
        <v>824</v>
      </c>
      <c r="O133" s="5">
        <v>47</v>
      </c>
      <c r="P133" s="5">
        <v>34</v>
      </c>
      <c r="Q133" s="7">
        <v>1107</v>
      </c>
      <c r="R133" s="7">
        <v>6.261492145979632E-4</v>
      </c>
      <c r="S133" s="7">
        <v>766571519.99999988</v>
      </c>
      <c r="T133" s="7">
        <v>0</v>
      </c>
    </row>
    <row r="134" spans="2:20" x14ac:dyDescent="0.2">
      <c r="B134">
        <v>35072</v>
      </c>
      <c r="C134" s="9">
        <v>3.3503999999999999E-9</v>
      </c>
      <c r="D134" s="5" t="s">
        <v>839</v>
      </c>
      <c r="E134" s="7">
        <v>78.599999999999994</v>
      </c>
      <c r="F134" s="1">
        <v>8.818666419337727E-3</v>
      </c>
      <c r="G134" s="1">
        <v>41812992</v>
      </c>
      <c r="H134" s="1">
        <v>0</v>
      </c>
      <c r="I134" s="7">
        <f t="shared" si="2"/>
        <v>48.394666666666673</v>
      </c>
      <c r="L134" s="5">
        <v>34083</v>
      </c>
      <c r="M134" s="7">
        <v>9.2422199999999995E-7</v>
      </c>
      <c r="N134" s="5" t="s">
        <v>826</v>
      </c>
      <c r="O134" s="5">
        <v>49</v>
      </c>
      <c r="P134" s="5">
        <v>34</v>
      </c>
      <c r="Q134" s="7">
        <v>1335</v>
      </c>
      <c r="R134" s="7">
        <v>5.192113712059515E-4</v>
      </c>
      <c r="S134" s="7">
        <v>11534290560</v>
      </c>
      <c r="T134" s="7">
        <v>0</v>
      </c>
    </row>
    <row r="135" spans="2:20" x14ac:dyDescent="0.2">
      <c r="B135">
        <v>35073</v>
      </c>
      <c r="C135" s="9">
        <v>2.094E-10</v>
      </c>
      <c r="D135" s="5" t="s">
        <v>840</v>
      </c>
      <c r="E135" s="7">
        <v>204</v>
      </c>
      <c r="F135" s="1">
        <v>3.3977802968624769E-3</v>
      </c>
      <c r="G135" s="1">
        <v>2613312</v>
      </c>
      <c r="H135" s="1">
        <v>0</v>
      </c>
      <c r="I135" s="7">
        <f t="shared" si="2"/>
        <v>3.0246666666666671</v>
      </c>
      <c r="L135" s="5">
        <v>34084</v>
      </c>
      <c r="M135" s="7">
        <v>4.1990300000000004E-6</v>
      </c>
      <c r="N135" s="5" t="s">
        <v>827</v>
      </c>
      <c r="O135" s="5">
        <v>50</v>
      </c>
      <c r="P135" s="5">
        <v>34</v>
      </c>
      <c r="Q135" s="7">
        <v>195.6</v>
      </c>
      <c r="R135" s="7">
        <v>3.5436972421265095E-3</v>
      </c>
      <c r="S135" s="7">
        <v>52403894400.000008</v>
      </c>
      <c r="T135" s="7">
        <v>0</v>
      </c>
    </row>
    <row r="136" spans="2:20" x14ac:dyDescent="0.2">
      <c r="B136">
        <v>35078</v>
      </c>
      <c r="C136" s="9">
        <v>5.5839999999999995E-10</v>
      </c>
      <c r="D136" s="5" t="s">
        <v>845</v>
      </c>
      <c r="E136" s="7">
        <v>387</v>
      </c>
      <c r="F136" s="1">
        <v>1.7910779859430111E-3</v>
      </c>
      <c r="G136" s="1">
        <v>6968831.9999999991</v>
      </c>
      <c r="H136" s="1">
        <v>0</v>
      </c>
      <c r="I136" s="7">
        <f t="shared" si="2"/>
        <v>8.065777777777777</v>
      </c>
      <c r="L136" s="5">
        <v>34085</v>
      </c>
      <c r="M136" s="7">
        <v>5.0480099999999996E-6</v>
      </c>
      <c r="N136" s="5" t="s">
        <v>828</v>
      </c>
      <c r="O136" s="5">
        <v>51</v>
      </c>
      <c r="P136" s="5">
        <v>34</v>
      </c>
      <c r="Q136" s="7">
        <v>32.9</v>
      </c>
      <c r="R136" s="7">
        <v>2.106830336048466E-2</v>
      </c>
      <c r="S136" s="7">
        <v>62999164799.999992</v>
      </c>
      <c r="T136" s="7">
        <v>0</v>
      </c>
    </row>
    <row r="137" spans="2:20" x14ac:dyDescent="0.2">
      <c r="B137">
        <v>35080</v>
      </c>
      <c r="C137" s="9">
        <v>1.2215000000000001E-8</v>
      </c>
      <c r="D137" s="5" t="s">
        <v>847</v>
      </c>
      <c r="E137" s="7">
        <v>1060.8</v>
      </c>
      <c r="F137" s="1">
        <v>6.5341928785816864E-4</v>
      </c>
      <c r="G137" s="1">
        <v>152443200</v>
      </c>
      <c r="H137" s="1">
        <v>0</v>
      </c>
      <c r="I137" s="7">
        <f t="shared" si="2"/>
        <v>176.4388888888889</v>
      </c>
      <c r="L137" s="5">
        <v>34086</v>
      </c>
      <c r="M137" s="7">
        <v>9.4065299999999992E-6</v>
      </c>
      <c r="N137" s="5" t="s">
        <v>829</v>
      </c>
      <c r="O137" s="5">
        <v>52</v>
      </c>
      <c r="P137" s="5">
        <v>34</v>
      </c>
      <c r="Q137" s="7">
        <v>14.3</v>
      </c>
      <c r="R137" s="7">
        <v>4.8471830808387781E-2</v>
      </c>
      <c r="S137" s="7">
        <v>117393494399.99998</v>
      </c>
      <c r="T137" s="7">
        <v>0</v>
      </c>
    </row>
    <row r="138" spans="2:20" x14ac:dyDescent="0.2">
      <c r="B138">
        <v>35082</v>
      </c>
      <c r="C138" s="9">
        <v>1.91182E-7</v>
      </c>
      <c r="D138" s="5" t="s">
        <v>849</v>
      </c>
      <c r="E138" s="7">
        <v>127015.19999999899</v>
      </c>
      <c r="F138" s="1">
        <v>5.4571986703949669E-6</v>
      </c>
      <c r="G138" s="1">
        <v>2364573975.4681535</v>
      </c>
      <c r="H138" s="1">
        <v>4.2898963571356133E-66</v>
      </c>
      <c r="I138" s="7">
        <f t="shared" si="2"/>
        <v>2736.7754345696217</v>
      </c>
      <c r="L138" s="5">
        <v>34087</v>
      </c>
      <c r="M138" s="7">
        <v>7.6673899999999998E-6</v>
      </c>
      <c r="N138" s="5" t="s">
        <v>830</v>
      </c>
      <c r="O138" s="5">
        <v>53</v>
      </c>
      <c r="P138" s="5">
        <v>34</v>
      </c>
      <c r="Q138" s="7">
        <v>5.5</v>
      </c>
      <c r="R138" s="7">
        <v>0.12602676010180824</v>
      </c>
      <c r="S138" s="7">
        <v>95689027200</v>
      </c>
      <c r="T138" s="7">
        <v>0</v>
      </c>
    </row>
    <row r="139" spans="2:20" x14ac:dyDescent="0.2">
      <c r="B139">
        <v>35083</v>
      </c>
      <c r="C139" s="9">
        <v>6.7468700000000004E-7</v>
      </c>
      <c r="D139" s="5" t="s">
        <v>850</v>
      </c>
      <c r="E139" s="7">
        <v>8546.4</v>
      </c>
      <c r="F139" s="1">
        <v>8.1103994729938379E-5</v>
      </c>
      <c r="G139" s="1">
        <v>8420093760</v>
      </c>
      <c r="H139" s="1">
        <v>0</v>
      </c>
      <c r="I139" s="7">
        <f t="shared" si="2"/>
        <v>9745.4788888888888</v>
      </c>
      <c r="L139" s="5">
        <v>34088</v>
      </c>
      <c r="M139" s="7">
        <v>8.9306299999999992E-6</v>
      </c>
      <c r="N139" s="5" t="s">
        <v>831</v>
      </c>
      <c r="O139" s="5">
        <v>54</v>
      </c>
      <c r="P139" s="5">
        <v>34</v>
      </c>
      <c r="Q139" s="7">
        <v>1.53</v>
      </c>
      <c r="R139" s="7">
        <v>0.45303737291499691</v>
      </c>
      <c r="S139" s="7">
        <v>111454262399.99998</v>
      </c>
      <c r="T139" s="7">
        <v>0</v>
      </c>
    </row>
    <row r="140" spans="2:20" x14ac:dyDescent="0.2">
      <c r="B140">
        <v>35084</v>
      </c>
      <c r="C140" s="9">
        <v>1.9777799999999998E-6</v>
      </c>
      <c r="D140" s="5" t="s">
        <v>851</v>
      </c>
      <c r="E140" s="7">
        <v>1905.6</v>
      </c>
      <c r="F140" s="1">
        <v>3.6374222321575639E-4</v>
      </c>
      <c r="G140" s="1">
        <v>24682694399.999996</v>
      </c>
      <c r="H140" s="1">
        <v>0</v>
      </c>
      <c r="I140" s="7">
        <f t="shared" si="2"/>
        <v>28567.933333333331</v>
      </c>
      <c r="L140" s="5">
        <v>34089</v>
      </c>
      <c r="M140" s="7">
        <v>5.8637600000000003E-6</v>
      </c>
      <c r="N140" s="5" t="s">
        <v>832</v>
      </c>
      <c r="O140" s="5">
        <v>55</v>
      </c>
      <c r="P140" s="5">
        <v>34</v>
      </c>
      <c r="Q140" s="7">
        <v>0.43</v>
      </c>
      <c r="R140" s="7">
        <v>1.61197018734871</v>
      </c>
      <c r="S140" s="7">
        <v>73179724800</v>
      </c>
      <c r="T140" s="7">
        <v>0</v>
      </c>
    </row>
    <row r="141" spans="2:20" x14ac:dyDescent="0.2">
      <c r="B141">
        <v>35085</v>
      </c>
      <c r="C141" s="9">
        <v>5.9023600000000002E-6</v>
      </c>
      <c r="D141" s="5" t="s">
        <v>852</v>
      </c>
      <c r="E141" s="7">
        <v>174</v>
      </c>
      <c r="F141" s="1">
        <v>3.9836044859766972E-3</v>
      </c>
      <c r="G141" s="1">
        <v>73661452800</v>
      </c>
      <c r="H141" s="1">
        <v>0</v>
      </c>
      <c r="I141" s="7">
        <f t="shared" si="2"/>
        <v>85256.311111111107</v>
      </c>
      <c r="L141" s="5">
        <v>34090</v>
      </c>
      <c r="M141" s="7">
        <v>4.5967499999999997E-6</v>
      </c>
      <c r="N141" s="5" t="s">
        <v>833</v>
      </c>
      <c r="O141" s="5">
        <v>56</v>
      </c>
      <c r="P141" s="5">
        <v>34</v>
      </c>
      <c r="Q141" s="7">
        <v>0.19500000000000001</v>
      </c>
      <c r="R141" s="7">
        <v>3.5546009259484372</v>
      </c>
      <c r="S141" s="7">
        <v>57367439999.999992</v>
      </c>
      <c r="T141" s="7">
        <v>0</v>
      </c>
    </row>
    <row r="142" spans="2:20" x14ac:dyDescent="0.2">
      <c r="B142">
        <v>35086</v>
      </c>
      <c r="C142" s="9">
        <v>1.11154E-5</v>
      </c>
      <c r="D142" s="5" t="s">
        <v>853</v>
      </c>
      <c r="E142" s="7">
        <v>55.1</v>
      </c>
      <c r="F142" s="1">
        <v>1.2579803639926411E-2</v>
      </c>
      <c r="G142" s="1">
        <v>138720192000</v>
      </c>
      <c r="H142" s="1">
        <v>0</v>
      </c>
      <c r="I142" s="7">
        <f t="shared" si="2"/>
        <v>160555.77777777778</v>
      </c>
      <c r="L142" s="5">
        <v>34091</v>
      </c>
      <c r="M142" s="7">
        <v>1.25054E-6</v>
      </c>
      <c r="N142" s="5" t="s">
        <v>834</v>
      </c>
      <c r="O142" s="5">
        <v>57</v>
      </c>
      <c r="P142" s="5">
        <v>34</v>
      </c>
      <c r="Q142" s="7">
        <v>0.27</v>
      </c>
      <c r="R142" s="7">
        <v>2.5672117798516489</v>
      </c>
      <c r="S142" s="7">
        <v>15606739200</v>
      </c>
      <c r="T142" s="7">
        <v>0</v>
      </c>
    </row>
    <row r="143" spans="2:20" x14ac:dyDescent="0.2">
      <c r="B143">
        <v>35087</v>
      </c>
      <c r="C143" s="9">
        <v>2.1094499999999999E-5</v>
      </c>
      <c r="D143" s="5" t="s">
        <v>854</v>
      </c>
      <c r="E143" s="7">
        <v>55.65</v>
      </c>
      <c r="F143" s="1">
        <v>1.2455474942676466E-2</v>
      </c>
      <c r="G143" s="1">
        <v>263259360000</v>
      </c>
      <c r="H143" s="1">
        <v>0</v>
      </c>
      <c r="I143" s="7">
        <f t="shared" si="2"/>
        <v>304698.33333333331</v>
      </c>
      <c r="L143" s="5">
        <v>35070</v>
      </c>
      <c r="M143" s="7">
        <v>8.5107100000000004E-7</v>
      </c>
      <c r="N143" s="5" t="s">
        <v>837</v>
      </c>
      <c r="O143" s="5">
        <v>35</v>
      </c>
      <c r="P143" s="5">
        <v>35</v>
      </c>
      <c r="Q143" s="7">
        <v>7.9099999999999906E-2</v>
      </c>
      <c r="R143" s="7">
        <v>8.7629226366617718</v>
      </c>
      <c r="S143" s="7">
        <v>10621366080</v>
      </c>
      <c r="T143" s="7">
        <v>0</v>
      </c>
    </row>
    <row r="144" spans="2:20" x14ac:dyDescent="0.2">
      <c r="B144">
        <v>35088</v>
      </c>
      <c r="C144" s="9">
        <v>2.08134E-5</v>
      </c>
      <c r="D144" s="5" t="s">
        <v>855</v>
      </c>
      <c r="E144" s="7">
        <v>16.34</v>
      </c>
      <c r="F144" s="1">
        <v>4.242026808812395E-2</v>
      </c>
      <c r="G144" s="1">
        <v>259751232000</v>
      </c>
      <c r="H144" s="1">
        <v>0</v>
      </c>
      <c r="I144" s="7">
        <f t="shared" si="2"/>
        <v>300638</v>
      </c>
      <c r="L144" s="5">
        <v>35071</v>
      </c>
      <c r="M144" s="7">
        <v>1.47557E-7</v>
      </c>
      <c r="N144" s="5" t="s">
        <v>838</v>
      </c>
      <c r="O144" s="5">
        <v>36</v>
      </c>
      <c r="P144" s="5">
        <v>35</v>
      </c>
      <c r="Q144" s="7">
        <v>21.4</v>
      </c>
      <c r="R144" s="7">
        <v>3.2390055166352585E-2</v>
      </c>
      <c r="S144" s="7">
        <v>1841511360</v>
      </c>
      <c r="T144" s="7">
        <v>0</v>
      </c>
    </row>
    <row r="145" spans="2:20" x14ac:dyDescent="0.2">
      <c r="B145">
        <v>35089</v>
      </c>
      <c r="C145" s="9">
        <v>2.2754600000000001E-5</v>
      </c>
      <c r="D145" s="5" t="s">
        <v>856</v>
      </c>
      <c r="E145" s="7">
        <v>4.3570000000000002</v>
      </c>
      <c r="F145" s="1">
        <v>0.15908817547852772</v>
      </c>
      <c r="G145" s="1">
        <v>283977408000</v>
      </c>
      <c r="H145" s="1">
        <v>0</v>
      </c>
      <c r="I145" s="7">
        <f t="shared" si="2"/>
        <v>328677.55555555556</v>
      </c>
      <c r="L145" s="5">
        <v>35072</v>
      </c>
      <c r="M145" s="7">
        <v>6.8613400000000002E-8</v>
      </c>
      <c r="N145" s="5" t="s">
        <v>839</v>
      </c>
      <c r="O145" s="5">
        <v>37</v>
      </c>
      <c r="P145" s="5">
        <v>35</v>
      </c>
      <c r="Q145" s="7">
        <v>78.599999999999994</v>
      </c>
      <c r="R145" s="7">
        <v>8.818666419337727E-3</v>
      </c>
      <c r="S145" s="7">
        <v>856295232</v>
      </c>
      <c r="T145" s="7">
        <v>0</v>
      </c>
    </row>
    <row r="146" spans="2:20" x14ac:dyDescent="0.2">
      <c r="B146">
        <v>35090</v>
      </c>
      <c r="C146" s="9">
        <v>1.1881E-5</v>
      </c>
      <c r="D146" s="5" t="s">
        <v>857</v>
      </c>
      <c r="E146" s="7">
        <v>1.92</v>
      </c>
      <c r="F146" s="1">
        <v>0.36101415654163821</v>
      </c>
      <c r="G146" s="1">
        <v>148274880000</v>
      </c>
      <c r="H146" s="1">
        <v>0</v>
      </c>
      <c r="I146" s="7">
        <f t="shared" si="2"/>
        <v>171614.44444444444</v>
      </c>
      <c r="L146" s="5">
        <v>35073</v>
      </c>
      <c r="M146" s="7">
        <v>6.9800000000000003E-9</v>
      </c>
      <c r="N146" s="5" t="s">
        <v>840</v>
      </c>
      <c r="O146" s="5">
        <v>38</v>
      </c>
      <c r="P146" s="5">
        <v>35</v>
      </c>
      <c r="Q146" s="7">
        <v>204</v>
      </c>
      <c r="R146" s="7">
        <v>3.3977802968624769E-3</v>
      </c>
      <c r="S146" s="7">
        <v>87110400</v>
      </c>
      <c r="T146" s="7">
        <v>0</v>
      </c>
    </row>
    <row r="147" spans="2:20" x14ac:dyDescent="0.2">
      <c r="B147">
        <v>35091</v>
      </c>
      <c r="C147" s="9">
        <v>7.73377E-6</v>
      </c>
      <c r="D147" s="5" t="s">
        <v>858</v>
      </c>
      <c r="E147" s="7">
        <v>0.54300000000000004</v>
      </c>
      <c r="F147" s="1">
        <v>1.2765141446776156</v>
      </c>
      <c r="G147" s="1">
        <v>96517449600</v>
      </c>
      <c r="H147" s="1">
        <v>0</v>
      </c>
      <c r="I147" s="7">
        <f t="shared" si="2"/>
        <v>111710.01111111112</v>
      </c>
      <c r="L147" s="5">
        <v>35074</v>
      </c>
      <c r="M147" s="7">
        <v>2.5826000000000002E-9</v>
      </c>
      <c r="N147" s="5" t="s">
        <v>841</v>
      </c>
      <c r="O147" s="5">
        <v>39</v>
      </c>
      <c r="P147" s="5">
        <v>35</v>
      </c>
      <c r="Q147" s="7">
        <v>1524</v>
      </c>
      <c r="R147" s="7">
        <v>4.5482098461938666E-4</v>
      </c>
      <c r="S147" s="7">
        <v>32230848.000000004</v>
      </c>
      <c r="T147" s="7">
        <v>0</v>
      </c>
    </row>
    <row r="148" spans="2:20" x14ac:dyDescent="0.2">
      <c r="B148">
        <v>35092</v>
      </c>
      <c r="C148" s="9">
        <v>2.3635700000000001E-6</v>
      </c>
      <c r="D148" s="5" t="s">
        <v>859</v>
      </c>
      <c r="E148" s="7">
        <v>0.314</v>
      </c>
      <c r="F148" s="1">
        <v>2.2074750973246666</v>
      </c>
      <c r="G148" s="1">
        <v>29497353600</v>
      </c>
      <c r="H148" s="1">
        <v>0</v>
      </c>
      <c r="I148" s="7">
        <f t="shared" si="2"/>
        <v>34140.455555555556</v>
      </c>
      <c r="L148" s="5">
        <v>35075</v>
      </c>
      <c r="M148" s="7">
        <v>2.094E-10</v>
      </c>
      <c r="N148" s="5" t="s">
        <v>842</v>
      </c>
      <c r="O148" s="5">
        <v>40</v>
      </c>
      <c r="P148" s="5">
        <v>35</v>
      </c>
      <c r="Q148" s="7">
        <v>5802</v>
      </c>
      <c r="R148" s="7">
        <v>1.1946693908306538E-4</v>
      </c>
      <c r="S148" s="7">
        <v>2613312</v>
      </c>
      <c r="T148" s="7">
        <v>0</v>
      </c>
    </row>
    <row r="149" spans="2:20" x14ac:dyDescent="0.2">
      <c r="B149">
        <v>36071</v>
      </c>
      <c r="C149" s="9">
        <v>9.1500800000000004E-7</v>
      </c>
      <c r="D149" s="5" t="s">
        <v>868</v>
      </c>
      <c r="E149" s="7">
        <v>0.1</v>
      </c>
      <c r="F149" s="1">
        <v>6.9314718055994522</v>
      </c>
      <c r="G149" s="1">
        <v>11419299840</v>
      </c>
      <c r="H149" s="1">
        <v>0</v>
      </c>
      <c r="I149" s="7">
        <f t="shared" si="2"/>
        <v>13216.782222222222</v>
      </c>
      <c r="L149" s="5">
        <v>35076</v>
      </c>
      <c r="M149" s="7">
        <v>6.9799999999999994E-11</v>
      </c>
      <c r="N149" s="5" t="s">
        <v>843</v>
      </c>
      <c r="O149" s="5">
        <v>41</v>
      </c>
      <c r="P149" s="5">
        <v>35</v>
      </c>
      <c r="Q149" s="7">
        <v>58320</v>
      </c>
      <c r="R149" s="7">
        <v>1.1885239721535413E-5</v>
      </c>
      <c r="S149" s="7">
        <v>871073.7749958958</v>
      </c>
      <c r="T149" s="7">
        <v>1.4483452465187685E-157</v>
      </c>
    </row>
    <row r="150" spans="2:20" x14ac:dyDescent="0.2">
      <c r="B150">
        <v>36072</v>
      </c>
      <c r="C150" s="9">
        <v>2.8799500000000001E-7</v>
      </c>
      <c r="D150" s="5" t="s">
        <v>869</v>
      </c>
      <c r="E150" s="7">
        <v>17.100000000000001</v>
      </c>
      <c r="F150" s="1">
        <v>4.0534922839762878E-2</v>
      </c>
      <c r="G150" s="1">
        <v>3594177600</v>
      </c>
      <c r="H150" s="1">
        <v>0</v>
      </c>
      <c r="I150" s="7">
        <f t="shared" si="2"/>
        <v>4159.9277777777779</v>
      </c>
      <c r="L150" s="5">
        <v>35080</v>
      </c>
      <c r="M150" s="7">
        <v>1.3959999999999999E-10</v>
      </c>
      <c r="N150" s="5" t="s">
        <v>847</v>
      </c>
      <c r="O150" s="5">
        <v>45</v>
      </c>
      <c r="P150" s="5">
        <v>35</v>
      </c>
      <c r="Q150" s="7">
        <v>1060.8</v>
      </c>
      <c r="R150" s="7">
        <v>6.5341928785816864E-4</v>
      </c>
      <c r="S150" s="7">
        <v>1742207.9999999998</v>
      </c>
      <c r="T150" s="7">
        <v>0</v>
      </c>
    </row>
    <row r="151" spans="2:20" x14ac:dyDescent="0.2">
      <c r="B151">
        <v>36073</v>
      </c>
      <c r="C151" s="9">
        <v>5.9330000000000003E-8</v>
      </c>
      <c r="D151" s="5" t="s">
        <v>870</v>
      </c>
      <c r="E151" s="7">
        <v>27.3</v>
      </c>
      <c r="F151" s="1">
        <v>2.539000661391741E-2</v>
      </c>
      <c r="G151" s="1">
        <v>740438400</v>
      </c>
      <c r="H151" s="1">
        <v>0</v>
      </c>
      <c r="I151" s="7">
        <f t="shared" si="2"/>
        <v>856.98888888888894</v>
      </c>
      <c r="L151" s="5">
        <v>35082</v>
      </c>
      <c r="M151" s="7">
        <v>1.0051199999999999E-8</v>
      </c>
      <c r="N151" s="5" t="s">
        <v>849</v>
      </c>
      <c r="O151" s="5">
        <v>47</v>
      </c>
      <c r="P151" s="5">
        <v>35</v>
      </c>
      <c r="Q151" s="7">
        <v>127015.19999999899</v>
      </c>
      <c r="R151" s="7">
        <v>5.4571986703949669E-6</v>
      </c>
      <c r="S151" s="7">
        <v>124315081.66158687</v>
      </c>
      <c r="T151" s="7">
        <v>2.2553695570106742E-67</v>
      </c>
    </row>
    <row r="152" spans="2:20" x14ac:dyDescent="0.2">
      <c r="B152">
        <v>36074</v>
      </c>
      <c r="C152" s="9">
        <v>1.04002E-8</v>
      </c>
      <c r="D152" s="5" t="s">
        <v>871</v>
      </c>
      <c r="E152" s="7">
        <v>690</v>
      </c>
      <c r="F152" s="1">
        <v>1.0045611312462974E-3</v>
      </c>
      <c r="G152" s="1">
        <v>129794496</v>
      </c>
      <c r="H152" s="1">
        <v>0</v>
      </c>
      <c r="I152" s="7">
        <f t="shared" si="2"/>
        <v>150.22511111111112</v>
      </c>
      <c r="L152" s="5">
        <v>35083</v>
      </c>
      <c r="M152" s="7">
        <v>8.5574799999999999E-8</v>
      </c>
      <c r="N152" s="5" t="s">
        <v>850</v>
      </c>
      <c r="O152" s="5">
        <v>48</v>
      </c>
      <c r="P152" s="5">
        <v>35</v>
      </c>
      <c r="Q152" s="7">
        <v>8546.4</v>
      </c>
      <c r="R152" s="7">
        <v>8.1103994729938379E-5</v>
      </c>
      <c r="S152" s="7">
        <v>1067973504</v>
      </c>
      <c r="T152" s="7">
        <v>0</v>
      </c>
    </row>
    <row r="153" spans="2:20" x14ac:dyDescent="0.2">
      <c r="B153">
        <v>36075</v>
      </c>
      <c r="C153" s="9">
        <v>2.3732E-9</v>
      </c>
      <c r="D153" s="5" t="s">
        <v>872</v>
      </c>
      <c r="E153" s="7">
        <v>276</v>
      </c>
      <c r="F153" s="1">
        <v>2.5114028281157438E-3</v>
      </c>
      <c r="G153" s="1">
        <v>29617536</v>
      </c>
      <c r="H153" s="1">
        <v>0</v>
      </c>
      <c r="I153" s="7">
        <f t="shared" si="2"/>
        <v>34.279555555555561</v>
      </c>
      <c r="L153" s="5">
        <v>35084</v>
      </c>
      <c r="M153" s="7">
        <v>2.9211300000000002E-7</v>
      </c>
      <c r="N153" s="5" t="s">
        <v>851</v>
      </c>
      <c r="O153" s="5">
        <v>49</v>
      </c>
      <c r="P153" s="5">
        <v>35</v>
      </c>
      <c r="Q153" s="7">
        <v>1905.6</v>
      </c>
      <c r="R153" s="7">
        <v>3.6374222321575639E-4</v>
      </c>
      <c r="S153" s="7">
        <v>3645570240</v>
      </c>
      <c r="T153" s="7">
        <v>0</v>
      </c>
    </row>
    <row r="154" spans="2:20" x14ac:dyDescent="0.2">
      <c r="B154">
        <v>36076</v>
      </c>
      <c r="C154" s="9">
        <v>2.7919999999999998E-10</v>
      </c>
      <c r="D154" s="5" t="s">
        <v>873</v>
      </c>
      <c r="E154" s="7">
        <v>53280</v>
      </c>
      <c r="F154" s="1">
        <v>1.3009519154653629E-5</v>
      </c>
      <c r="G154" s="1">
        <v>3484370.2319402164</v>
      </c>
      <c r="H154" s="1">
        <v>2.316917900924812E-172</v>
      </c>
      <c r="I154" s="7">
        <f t="shared" si="2"/>
        <v>4.032835916597473</v>
      </c>
      <c r="L154" s="5">
        <v>35085</v>
      </c>
      <c r="M154" s="7">
        <v>1.9753399999999998E-6</v>
      </c>
      <c r="N154" s="5" t="s">
        <v>852</v>
      </c>
      <c r="O154" s="5">
        <v>50</v>
      </c>
      <c r="P154" s="5">
        <v>35</v>
      </c>
      <c r="Q154" s="7">
        <v>174</v>
      </c>
      <c r="R154" s="7">
        <v>3.9836044859766972E-3</v>
      </c>
      <c r="S154" s="7">
        <v>24652243199.999996</v>
      </c>
      <c r="T154" s="7">
        <v>0</v>
      </c>
    </row>
    <row r="155" spans="2:20" x14ac:dyDescent="0.2">
      <c r="B155">
        <v>36077</v>
      </c>
      <c r="C155" s="9">
        <v>6.9799999999999994E-11</v>
      </c>
      <c r="D155" s="5" t="s">
        <v>874</v>
      </c>
      <c r="E155" s="7">
        <v>4464</v>
      </c>
      <c r="F155" s="1">
        <v>1.5527490603941426E-4</v>
      </c>
      <c r="G155" s="1">
        <v>871103.99999999988</v>
      </c>
      <c r="H155" s="1">
        <v>0</v>
      </c>
      <c r="I155" s="7">
        <f t="shared" si="2"/>
        <v>1.0082222222222221</v>
      </c>
      <c r="L155" s="5">
        <v>35086</v>
      </c>
      <c r="M155" s="7">
        <v>3.5823500000000001E-6</v>
      </c>
      <c r="N155" s="5" t="s">
        <v>853</v>
      </c>
      <c r="O155" s="5">
        <v>51</v>
      </c>
      <c r="P155" s="5">
        <v>35</v>
      </c>
      <c r="Q155" s="7">
        <v>55.1</v>
      </c>
      <c r="R155" s="7">
        <v>1.2579803639926411E-2</v>
      </c>
      <c r="S155" s="7">
        <v>44707728000</v>
      </c>
      <c r="T155" s="7">
        <v>0</v>
      </c>
    </row>
    <row r="156" spans="2:20" x14ac:dyDescent="0.2">
      <c r="B156">
        <v>36079</v>
      </c>
      <c r="C156" s="9">
        <v>6.9799999999999994E-11</v>
      </c>
      <c r="D156" s="5" t="s">
        <v>876</v>
      </c>
      <c r="E156" s="7">
        <v>126144</v>
      </c>
      <c r="F156" s="1">
        <v>5.4948882274221945E-6</v>
      </c>
      <c r="G156" s="1">
        <v>863549.23912335758</v>
      </c>
      <c r="H156" s="1">
        <v>4.7729643422035211E-70</v>
      </c>
      <c r="I156" s="7">
        <f t="shared" si="2"/>
        <v>0.99947828602240452</v>
      </c>
      <c r="L156" s="5">
        <v>35087</v>
      </c>
      <c r="M156" s="7">
        <v>8.5490999999999992E-6</v>
      </c>
      <c r="N156" s="5" t="s">
        <v>854</v>
      </c>
      <c r="O156" s="5">
        <v>52</v>
      </c>
      <c r="P156" s="5">
        <v>35</v>
      </c>
      <c r="Q156" s="7">
        <v>55.65</v>
      </c>
      <c r="R156" s="7">
        <v>1.2455474942676466E-2</v>
      </c>
      <c r="S156" s="7">
        <v>106692767999.99998</v>
      </c>
      <c r="T156" s="7">
        <v>0</v>
      </c>
    </row>
    <row r="157" spans="2:20" x14ac:dyDescent="0.2">
      <c r="B157">
        <v>36081</v>
      </c>
      <c r="C157" s="9">
        <v>3.6296E-9</v>
      </c>
      <c r="D157" s="5" t="s">
        <v>878</v>
      </c>
      <c r="E157" s="7">
        <v>7226690400000</v>
      </c>
      <c r="F157" s="1">
        <v>9.5914885264760377E-14</v>
      </c>
      <c r="G157" s="1">
        <v>3.7538169193239241</v>
      </c>
      <c r="H157" s="1">
        <v>3.7538055649014548</v>
      </c>
      <c r="I157" s="7">
        <f t="shared" si="2"/>
        <v>4.3446955084767638E-6</v>
      </c>
      <c r="L157" s="5">
        <v>35088</v>
      </c>
      <c r="M157" s="7">
        <v>1.15686E-5</v>
      </c>
      <c r="N157" s="5" t="s">
        <v>855</v>
      </c>
      <c r="O157" s="5">
        <v>53</v>
      </c>
      <c r="P157" s="5">
        <v>35</v>
      </c>
      <c r="Q157" s="7">
        <v>16.34</v>
      </c>
      <c r="R157" s="7">
        <v>4.242026808812395E-2</v>
      </c>
      <c r="S157" s="7">
        <v>144376128000</v>
      </c>
      <c r="T157" s="7">
        <v>0</v>
      </c>
    </row>
    <row r="158" spans="2:20" x14ac:dyDescent="0.2">
      <c r="B158">
        <v>36085</v>
      </c>
      <c r="C158" s="9">
        <v>1.2485100000000001E-6</v>
      </c>
      <c r="D158" s="5" t="s">
        <v>882</v>
      </c>
      <c r="E158" s="7">
        <v>338897066.39999998</v>
      </c>
      <c r="F158" s="1">
        <v>2.045302982179917E-9</v>
      </c>
      <c r="G158" s="1">
        <v>27510236.95668694</v>
      </c>
      <c r="H158" s="1">
        <v>25791823.253285214</v>
      </c>
      <c r="I158" s="7">
        <f t="shared" si="2"/>
        <v>31.840552033202478</v>
      </c>
      <c r="L158" s="5">
        <v>35089</v>
      </c>
      <c r="M158" s="7">
        <v>1.78453E-5</v>
      </c>
      <c r="N158" s="5" t="s">
        <v>856</v>
      </c>
      <c r="O158" s="5">
        <v>54</v>
      </c>
      <c r="P158" s="5">
        <v>35</v>
      </c>
      <c r="Q158" s="7">
        <v>4.3570000000000002</v>
      </c>
      <c r="R158" s="7">
        <v>0.15908817547852772</v>
      </c>
      <c r="S158" s="7">
        <v>222709344000</v>
      </c>
      <c r="T158" s="7">
        <v>0</v>
      </c>
    </row>
    <row r="159" spans="2:20" x14ac:dyDescent="0.2">
      <c r="B159">
        <v>36087</v>
      </c>
      <c r="C159" s="9">
        <v>8.6558999999999996E-6</v>
      </c>
      <c r="D159" s="5" t="s">
        <v>884</v>
      </c>
      <c r="E159" s="7">
        <v>4578</v>
      </c>
      <c r="F159" s="1">
        <v>1.5140829632152584E-4</v>
      </c>
      <c r="G159" s="1">
        <v>108025632000</v>
      </c>
      <c r="H159" s="1">
        <v>0</v>
      </c>
      <c r="I159" s="7">
        <f t="shared" si="2"/>
        <v>125029.66666666667</v>
      </c>
      <c r="L159" s="5">
        <v>35090</v>
      </c>
      <c r="M159" s="7">
        <v>1.3694599999999999E-5</v>
      </c>
      <c r="N159" s="5" t="s">
        <v>857</v>
      </c>
      <c r="O159" s="5">
        <v>55</v>
      </c>
      <c r="P159" s="5">
        <v>35</v>
      </c>
      <c r="Q159" s="7">
        <v>1.92</v>
      </c>
      <c r="R159" s="7">
        <v>0.36101415654163821</v>
      </c>
      <c r="S159" s="7">
        <v>170908608000</v>
      </c>
      <c r="T159" s="7">
        <v>0</v>
      </c>
    </row>
    <row r="160" spans="2:20" x14ac:dyDescent="0.2">
      <c r="B160">
        <v>36088</v>
      </c>
      <c r="C160" s="9">
        <v>1.8726E-5</v>
      </c>
      <c r="D160" s="5" t="s">
        <v>885</v>
      </c>
      <c r="E160" s="7">
        <v>10170</v>
      </c>
      <c r="F160" s="1">
        <v>6.8156064951813692E-5</v>
      </c>
      <c r="G160" s="1">
        <v>233700480000</v>
      </c>
      <c r="H160" s="1">
        <v>0</v>
      </c>
      <c r="I160" s="7">
        <f t="shared" si="2"/>
        <v>270486.66666666669</v>
      </c>
      <c r="L160" s="5">
        <v>35091</v>
      </c>
      <c r="M160" s="7">
        <v>1.28729E-5</v>
      </c>
      <c r="N160" s="5" t="s">
        <v>858</v>
      </c>
      <c r="O160" s="5">
        <v>56</v>
      </c>
      <c r="P160" s="5">
        <v>35</v>
      </c>
      <c r="Q160" s="7">
        <v>0.54300000000000004</v>
      </c>
      <c r="R160" s="7">
        <v>1.2765141446776156</v>
      </c>
      <c r="S160" s="7">
        <v>160653792000</v>
      </c>
      <c r="T160" s="7">
        <v>0</v>
      </c>
    </row>
    <row r="161" spans="2:20" x14ac:dyDescent="0.2">
      <c r="B161">
        <v>36089</v>
      </c>
      <c r="C161" s="9">
        <v>3.0769899999999998E-5</v>
      </c>
      <c r="D161" s="5" t="s">
        <v>886</v>
      </c>
      <c r="E161" s="7">
        <v>189</v>
      </c>
      <c r="F161" s="1">
        <v>3.6674453997880704E-3</v>
      </c>
      <c r="G161" s="1">
        <v>384008352000</v>
      </c>
      <c r="H161" s="1">
        <v>0</v>
      </c>
      <c r="I161" s="7">
        <f t="shared" si="2"/>
        <v>444454.11111111112</v>
      </c>
      <c r="L161" s="5">
        <v>35092</v>
      </c>
      <c r="M161" s="7">
        <v>5.4033600000000004E-6</v>
      </c>
      <c r="N161" s="5" t="s">
        <v>859</v>
      </c>
      <c r="O161" s="5">
        <v>57</v>
      </c>
      <c r="P161" s="5">
        <v>35</v>
      </c>
      <c r="Q161" s="7">
        <v>0.314</v>
      </c>
      <c r="R161" s="7">
        <v>2.2074750973246666</v>
      </c>
      <c r="S161" s="7">
        <v>67433932800.000008</v>
      </c>
      <c r="T161" s="7">
        <v>0</v>
      </c>
    </row>
    <row r="162" spans="2:20" x14ac:dyDescent="0.2">
      <c r="B162">
        <v>36090</v>
      </c>
      <c r="C162" s="9">
        <v>4.4976399999999999E-5</v>
      </c>
      <c r="D162" s="5" t="s">
        <v>887</v>
      </c>
      <c r="E162" s="7">
        <v>32.32</v>
      </c>
      <c r="F162" s="1">
        <v>2.1446385537127018E-2</v>
      </c>
      <c r="G162" s="1">
        <v>561305472000</v>
      </c>
      <c r="H162" s="1">
        <v>0</v>
      </c>
      <c r="I162" s="7">
        <f t="shared" si="2"/>
        <v>649659.11111111112</v>
      </c>
      <c r="L162" s="5">
        <v>36071</v>
      </c>
      <c r="M162" s="7">
        <v>3.3900499999999998E-6</v>
      </c>
      <c r="N162" s="5" t="s">
        <v>868</v>
      </c>
      <c r="O162" s="5">
        <v>35</v>
      </c>
      <c r="P162" s="5">
        <v>36</v>
      </c>
      <c r="Q162" s="7">
        <v>0.1</v>
      </c>
      <c r="R162" s="7">
        <v>6.9314718055994522</v>
      </c>
      <c r="S162" s="7">
        <v>42307824000</v>
      </c>
      <c r="T162" s="7">
        <v>0</v>
      </c>
    </row>
    <row r="163" spans="2:20" x14ac:dyDescent="0.2">
      <c r="B163">
        <v>36091</v>
      </c>
      <c r="C163" s="9">
        <v>4.1325800000000003E-5</v>
      </c>
      <c r="D163" s="5" t="s">
        <v>888</v>
      </c>
      <c r="E163" s="7">
        <v>8.57</v>
      </c>
      <c r="F163" s="1">
        <v>8.0880651173855928E-2</v>
      </c>
      <c r="G163" s="1">
        <v>515745984000.00006</v>
      </c>
      <c r="H163" s="1">
        <v>0</v>
      </c>
      <c r="I163" s="7">
        <f t="shared" si="2"/>
        <v>596928.22222222236</v>
      </c>
      <c r="L163" s="5">
        <v>36072</v>
      </c>
      <c r="M163" s="7">
        <v>2.6595900000000001E-6</v>
      </c>
      <c r="N163" s="5" t="s">
        <v>869</v>
      </c>
      <c r="O163" s="5">
        <v>36</v>
      </c>
      <c r="P163" s="5">
        <v>36</v>
      </c>
      <c r="Q163" s="7">
        <v>17.100000000000001</v>
      </c>
      <c r="R163" s="7">
        <v>4.0534922839762878E-2</v>
      </c>
      <c r="S163" s="7">
        <v>33191683200</v>
      </c>
      <c r="T163" s="7">
        <v>0</v>
      </c>
    </row>
    <row r="164" spans="2:20" x14ac:dyDescent="0.2">
      <c r="B164">
        <v>36092</v>
      </c>
      <c r="C164" s="9">
        <v>3.6357099999999998E-5</v>
      </c>
      <c r="D164" s="5" t="s">
        <v>889</v>
      </c>
      <c r="E164" s="7">
        <v>1.84</v>
      </c>
      <c r="F164" s="1">
        <v>0.37671042421736156</v>
      </c>
      <c r="G164" s="1">
        <v>453736608000</v>
      </c>
      <c r="H164" s="1">
        <v>0</v>
      </c>
      <c r="I164" s="7">
        <f t="shared" si="2"/>
        <v>525158.11111111112</v>
      </c>
      <c r="L164" s="5">
        <v>36073</v>
      </c>
      <c r="M164" s="7">
        <v>6.2331399999999999E-7</v>
      </c>
      <c r="N164" s="5" t="s">
        <v>870</v>
      </c>
      <c r="O164" s="5">
        <v>37</v>
      </c>
      <c r="P164" s="5">
        <v>36</v>
      </c>
      <c r="Q164" s="7">
        <v>27.3</v>
      </c>
      <c r="R164" s="7">
        <v>2.539000661391741E-2</v>
      </c>
      <c r="S164" s="7">
        <v>7778958720</v>
      </c>
      <c r="T164" s="7">
        <v>0</v>
      </c>
    </row>
    <row r="165" spans="2:20" x14ac:dyDescent="0.2">
      <c r="B165">
        <v>36093</v>
      </c>
      <c r="C165" s="9">
        <v>1.60266E-5</v>
      </c>
      <c r="D165" s="5" t="s">
        <v>890</v>
      </c>
      <c r="E165" s="7">
        <v>1.286</v>
      </c>
      <c r="F165" s="1">
        <v>0.53899469716947535</v>
      </c>
      <c r="G165" s="1">
        <v>200011968000</v>
      </c>
      <c r="H165" s="1">
        <v>0</v>
      </c>
      <c r="I165" s="7">
        <f t="shared" si="2"/>
        <v>231495.33333333334</v>
      </c>
      <c r="L165" s="5">
        <v>36074</v>
      </c>
      <c r="M165" s="7">
        <v>1.0400199999999999E-7</v>
      </c>
      <c r="N165" s="5" t="s">
        <v>871</v>
      </c>
      <c r="O165" s="5">
        <v>38</v>
      </c>
      <c r="P165" s="5">
        <v>36</v>
      </c>
      <c r="Q165" s="7">
        <v>690</v>
      </c>
      <c r="R165" s="7">
        <v>1.0045611312462974E-3</v>
      </c>
      <c r="S165" s="7">
        <v>1297944960</v>
      </c>
      <c r="T165" s="7">
        <v>0</v>
      </c>
    </row>
    <row r="166" spans="2:20" x14ac:dyDescent="0.2">
      <c r="B166">
        <v>36094</v>
      </c>
      <c r="C166" s="9">
        <v>7.7108099999999998E-6</v>
      </c>
      <c r="D166" s="5" t="s">
        <v>891</v>
      </c>
      <c r="E166" s="7">
        <v>0.21199999999999999</v>
      </c>
      <c r="F166" s="1">
        <v>3.2695621724525723</v>
      </c>
      <c r="G166" s="1">
        <v>96230908800</v>
      </c>
      <c r="H166" s="1">
        <v>0</v>
      </c>
      <c r="I166" s="7">
        <f t="shared" si="2"/>
        <v>111378.36666666667</v>
      </c>
      <c r="L166" s="5">
        <v>36075</v>
      </c>
      <c r="M166" s="7">
        <v>3.8808800000000003E-8</v>
      </c>
      <c r="N166" s="5" t="s">
        <v>872</v>
      </c>
      <c r="O166" s="5">
        <v>39</v>
      </c>
      <c r="P166" s="5">
        <v>36</v>
      </c>
      <c r="Q166" s="7">
        <v>276</v>
      </c>
      <c r="R166" s="7">
        <v>2.5114028281157438E-3</v>
      </c>
      <c r="S166" s="7">
        <v>484333824.00000006</v>
      </c>
      <c r="T166" s="7">
        <v>0</v>
      </c>
    </row>
    <row r="167" spans="2:20" x14ac:dyDescent="0.2">
      <c r="B167">
        <v>36095</v>
      </c>
      <c r="C167" s="9">
        <v>1.9912500000000002E-6</v>
      </c>
      <c r="D167" s="5" t="s">
        <v>892</v>
      </c>
      <c r="E167" s="7">
        <v>0.114</v>
      </c>
      <c r="F167" s="1">
        <v>6.0802384259644322</v>
      </c>
      <c r="G167" s="1">
        <v>24850800000.000004</v>
      </c>
      <c r="H167" s="1">
        <v>0</v>
      </c>
      <c r="I167" s="7">
        <f t="shared" si="2"/>
        <v>28762.500000000004</v>
      </c>
      <c r="L167" s="5">
        <v>36076</v>
      </c>
      <c r="M167" s="7">
        <v>4.9557999999999998E-9</v>
      </c>
      <c r="N167" s="5" t="s">
        <v>873</v>
      </c>
      <c r="O167" s="5">
        <v>40</v>
      </c>
      <c r="P167" s="5">
        <v>36</v>
      </c>
      <c r="Q167" s="7">
        <v>53280</v>
      </c>
      <c r="R167" s="7">
        <v>1.3009519154653629E-5</v>
      </c>
      <c r="S167" s="7">
        <v>61847571.616938844</v>
      </c>
      <c r="T167" s="7">
        <v>4.1125292741415418E-171</v>
      </c>
    </row>
    <row r="168" spans="2:20" x14ac:dyDescent="0.2">
      <c r="B168">
        <v>36096</v>
      </c>
      <c r="C168" s="9">
        <v>6.5514300000000001E-7</v>
      </c>
      <c r="D168" s="5" t="s">
        <v>893</v>
      </c>
      <c r="E168" s="7">
        <v>0.08</v>
      </c>
      <c r="F168" s="1">
        <v>8.6643397569993166</v>
      </c>
      <c r="G168" s="1">
        <v>8176184640</v>
      </c>
      <c r="H168" s="1">
        <v>0</v>
      </c>
      <c r="I168" s="7">
        <f t="shared" si="2"/>
        <v>9463.1766666666663</v>
      </c>
      <c r="L168" s="5">
        <v>36077</v>
      </c>
      <c r="M168" s="7">
        <v>1.4658E-9</v>
      </c>
      <c r="N168" s="5" t="s">
        <v>874</v>
      </c>
      <c r="O168" s="5">
        <v>41</v>
      </c>
      <c r="P168" s="5">
        <v>36</v>
      </c>
      <c r="Q168" s="7">
        <v>4464</v>
      </c>
      <c r="R168" s="7">
        <v>1.5527490603941426E-4</v>
      </c>
      <c r="S168" s="7">
        <v>18293184</v>
      </c>
      <c r="T168" s="7">
        <v>0</v>
      </c>
    </row>
    <row r="169" spans="2:20" x14ac:dyDescent="0.2">
      <c r="B169">
        <v>36097</v>
      </c>
      <c r="C169" s="9">
        <v>1.0484E-7</v>
      </c>
      <c r="D169" s="5" t="s">
        <v>894</v>
      </c>
      <c r="E169" s="7">
        <v>6.3E-2</v>
      </c>
      <c r="F169" s="1">
        <v>11.00233619936421</v>
      </c>
      <c r="G169" s="1">
        <v>1308403200</v>
      </c>
      <c r="H169" s="1">
        <v>0</v>
      </c>
      <c r="I169" s="7">
        <f t="shared" si="2"/>
        <v>1514.3555555555556</v>
      </c>
      <c r="L169" s="5">
        <v>36078</v>
      </c>
      <c r="M169" s="7">
        <v>6.9799999999999994E-11</v>
      </c>
      <c r="N169" s="5" t="s">
        <v>875</v>
      </c>
      <c r="O169" s="5">
        <v>42</v>
      </c>
      <c r="P169" s="5">
        <v>36</v>
      </c>
      <c r="Q169" s="7">
        <v>4.73364E+28</v>
      </c>
      <c r="R169" s="7">
        <v>1.4643005817086752E-29</v>
      </c>
      <c r="S169" s="7">
        <v>0</v>
      </c>
      <c r="T169" s="7">
        <v>0</v>
      </c>
    </row>
    <row r="170" spans="2:20" x14ac:dyDescent="0.2">
      <c r="B170">
        <v>37074</v>
      </c>
      <c r="C170" s="9">
        <v>2.2335999999999999E-8</v>
      </c>
      <c r="D170" s="5" t="s">
        <v>899</v>
      </c>
      <c r="E170" s="7">
        <v>6.4899999999999999E-2</v>
      </c>
      <c r="F170" s="1">
        <v>10.680233906932902</v>
      </c>
      <c r="G170" s="1">
        <v>278753280</v>
      </c>
      <c r="H170" s="1">
        <v>0</v>
      </c>
      <c r="I170" s="7">
        <f t="shared" si="2"/>
        <v>322.63111111111112</v>
      </c>
      <c r="L170" s="5">
        <v>36079</v>
      </c>
      <c r="M170" s="7">
        <v>6.9799999999999994E-11</v>
      </c>
      <c r="N170" s="5" t="s">
        <v>876</v>
      </c>
      <c r="O170" s="5">
        <v>43</v>
      </c>
      <c r="P170" s="5">
        <v>36</v>
      </c>
      <c r="Q170" s="7">
        <v>126144</v>
      </c>
      <c r="R170" s="7">
        <v>5.4948882274221945E-6</v>
      </c>
      <c r="S170" s="7">
        <v>863549.23912335758</v>
      </c>
      <c r="T170" s="7">
        <v>4.7729643422035211E-70</v>
      </c>
    </row>
    <row r="171" spans="2:20" x14ac:dyDescent="0.2">
      <c r="B171">
        <v>37075</v>
      </c>
      <c r="C171" s="9">
        <v>2.6524000000000001E-9</v>
      </c>
      <c r="D171" s="5" t="s">
        <v>900</v>
      </c>
      <c r="E171" s="7">
        <v>19</v>
      </c>
      <c r="F171" s="1">
        <v>3.6481430555786593E-2</v>
      </c>
      <c r="G171" s="1">
        <v>33101952</v>
      </c>
      <c r="H171" s="1">
        <v>0</v>
      </c>
      <c r="I171" s="7">
        <f t="shared" si="2"/>
        <v>38.312444444444452</v>
      </c>
      <c r="L171" s="5">
        <v>36085</v>
      </c>
      <c r="M171" s="7">
        <v>5.90508E-8</v>
      </c>
      <c r="N171" s="5" t="s">
        <v>882</v>
      </c>
      <c r="O171" s="5">
        <v>49</v>
      </c>
      <c r="P171" s="5">
        <v>36</v>
      </c>
      <c r="Q171" s="7">
        <v>338897066.39999998</v>
      </c>
      <c r="R171" s="7">
        <v>2.045302982179917E-9</v>
      </c>
      <c r="S171" s="7">
        <v>1301152.173776685</v>
      </c>
      <c r="T171" s="7">
        <v>1219876.3298372417</v>
      </c>
    </row>
    <row r="172" spans="2:20" x14ac:dyDescent="0.2">
      <c r="B172">
        <v>37076</v>
      </c>
      <c r="C172" s="9">
        <v>6.2819999999999996E-10</v>
      </c>
      <c r="D172" s="5" t="s">
        <v>901</v>
      </c>
      <c r="E172" s="7">
        <v>36.5</v>
      </c>
      <c r="F172" s="1">
        <v>1.8990333713971103E-2</v>
      </c>
      <c r="G172" s="1">
        <v>7839935.9999999991</v>
      </c>
      <c r="H172" s="1">
        <v>0</v>
      </c>
      <c r="I172" s="7">
        <f t="shared" si="2"/>
        <v>9.0739999999999981</v>
      </c>
      <c r="L172" s="5">
        <v>36087</v>
      </c>
      <c r="M172" s="7">
        <v>1.6130799999999999E-6</v>
      </c>
      <c r="N172" s="5" t="s">
        <v>884</v>
      </c>
      <c r="O172" s="5">
        <v>51</v>
      </c>
      <c r="P172" s="5">
        <v>36</v>
      </c>
      <c r="Q172" s="7">
        <v>4578</v>
      </c>
      <c r="R172" s="7">
        <v>1.5140829632152584E-4</v>
      </c>
      <c r="S172" s="7">
        <v>20131238400</v>
      </c>
      <c r="T172" s="7">
        <v>0</v>
      </c>
    </row>
    <row r="173" spans="2:20" x14ac:dyDescent="0.2">
      <c r="B173">
        <v>37082</v>
      </c>
      <c r="C173" s="9">
        <v>1.3959999999999999E-10</v>
      </c>
      <c r="D173" s="5" t="s">
        <v>907</v>
      </c>
      <c r="E173" s="7">
        <v>75.45</v>
      </c>
      <c r="F173" s="1">
        <v>9.1868413593100759E-3</v>
      </c>
      <c r="G173" s="1">
        <v>1742207.9999999998</v>
      </c>
      <c r="H173" s="1">
        <v>0</v>
      </c>
      <c r="I173" s="7">
        <f t="shared" si="2"/>
        <v>2.0164444444444443</v>
      </c>
      <c r="L173" s="5">
        <v>36088</v>
      </c>
      <c r="M173" s="7">
        <v>5.8275300000000001E-6</v>
      </c>
      <c r="N173" s="5" t="s">
        <v>885</v>
      </c>
      <c r="O173" s="5">
        <v>52</v>
      </c>
      <c r="P173" s="5">
        <v>36</v>
      </c>
      <c r="Q173" s="7">
        <v>10170</v>
      </c>
      <c r="R173" s="7">
        <v>6.8156064951813692E-5</v>
      </c>
      <c r="S173" s="7">
        <v>72727574400</v>
      </c>
      <c r="T173" s="7">
        <v>0</v>
      </c>
    </row>
    <row r="174" spans="2:20" x14ac:dyDescent="0.2">
      <c r="B174">
        <v>37083</v>
      </c>
      <c r="C174" s="9">
        <v>9.772000000000001E-10</v>
      </c>
      <c r="D174" s="5" t="s">
        <v>908</v>
      </c>
      <c r="E174" s="7">
        <v>7447680</v>
      </c>
      <c r="F174" s="1">
        <v>9.3068872529424639E-8</v>
      </c>
      <c r="G174" s="1">
        <v>942262.92263921374</v>
      </c>
      <c r="H174" s="1">
        <v>50062.107401280067</v>
      </c>
      <c r="I174" s="7">
        <f t="shared" si="2"/>
        <v>1.0905820863879789</v>
      </c>
      <c r="L174" s="5">
        <v>36089</v>
      </c>
      <c r="M174" s="7">
        <v>9.9878199999999992E-6</v>
      </c>
      <c r="N174" s="5" t="s">
        <v>886</v>
      </c>
      <c r="O174" s="5">
        <v>53</v>
      </c>
      <c r="P174" s="5">
        <v>36</v>
      </c>
      <c r="Q174" s="7">
        <v>189</v>
      </c>
      <c r="R174" s="7">
        <v>3.6674453997880704E-3</v>
      </c>
      <c r="S174" s="7">
        <v>124647993599.99998</v>
      </c>
      <c r="T174" s="7">
        <v>0</v>
      </c>
    </row>
    <row r="175" spans="2:20" x14ac:dyDescent="0.2">
      <c r="B175">
        <v>37084</v>
      </c>
      <c r="C175" s="9">
        <v>8.0269999999999997E-9</v>
      </c>
      <c r="D175" s="5" t="s">
        <v>909</v>
      </c>
      <c r="E175" s="7">
        <v>2835648</v>
      </c>
      <c r="F175" s="1">
        <v>2.4444048787435723E-7</v>
      </c>
      <c r="G175" s="1">
        <v>19072200.957309112</v>
      </c>
      <c r="H175" s="1">
        <v>8561.8122652481834</v>
      </c>
      <c r="I175" s="7">
        <f t="shared" si="2"/>
        <v>22.074306663552214</v>
      </c>
      <c r="L175" s="5">
        <v>36090</v>
      </c>
      <c r="M175" s="7">
        <v>2.0305500000000001E-5</v>
      </c>
      <c r="N175" s="5" t="s">
        <v>887</v>
      </c>
      <c r="O175" s="5">
        <v>54</v>
      </c>
      <c r="P175" s="5">
        <v>36</v>
      </c>
      <c r="Q175" s="7">
        <v>32.32</v>
      </c>
      <c r="R175" s="7">
        <v>2.1446385537127018E-2</v>
      </c>
      <c r="S175" s="7">
        <v>253412640000</v>
      </c>
      <c r="T175" s="7">
        <v>0</v>
      </c>
    </row>
    <row r="176" spans="2:20" x14ac:dyDescent="0.2">
      <c r="B176">
        <v>37086</v>
      </c>
      <c r="C176" s="9">
        <v>1.7149899999999999E-7</v>
      </c>
      <c r="D176" s="5" t="s">
        <v>911</v>
      </c>
      <c r="E176" s="7">
        <v>1610668.8</v>
      </c>
      <c r="F176" s="1">
        <v>4.3034743117886513E-7</v>
      </c>
      <c r="G176" s="1">
        <v>664612115.88555944</v>
      </c>
      <c r="H176" s="1">
        <v>848.33665379097886</v>
      </c>
      <c r="I176" s="7">
        <f t="shared" si="2"/>
        <v>769.22698597865678</v>
      </c>
      <c r="L176" s="5">
        <v>36091</v>
      </c>
      <c r="M176" s="7">
        <v>2.0797399999999998E-5</v>
      </c>
      <c r="N176" s="5" t="s">
        <v>888</v>
      </c>
      <c r="O176" s="5">
        <v>55</v>
      </c>
      <c r="P176" s="5">
        <v>36</v>
      </c>
      <c r="Q176" s="7">
        <v>8.57</v>
      </c>
      <c r="R176" s="7">
        <v>8.0880651173855928E-2</v>
      </c>
      <c r="S176" s="7">
        <v>259551551999.99997</v>
      </c>
      <c r="T176" s="7">
        <v>0</v>
      </c>
    </row>
    <row r="177" spans="2:20" x14ac:dyDescent="0.2">
      <c r="B177">
        <v>37087</v>
      </c>
      <c r="C177" s="9">
        <v>6.7273199999999997E-7</v>
      </c>
      <c r="D177" s="5" t="s">
        <v>912</v>
      </c>
      <c r="E177" s="7">
        <v>1.56841272E+18</v>
      </c>
      <c r="F177" s="1">
        <v>4.419418254653949E-19</v>
      </c>
      <c r="G177" s="1">
        <v>3.2055243285356028E-3</v>
      </c>
      <c r="H177" s="1">
        <v>3.2055243284909271E-3</v>
      </c>
      <c r="I177" s="7">
        <f t="shared" si="2"/>
        <v>3.7100976024717624E-9</v>
      </c>
      <c r="L177" s="5">
        <v>36092</v>
      </c>
      <c r="M177" s="7">
        <v>2.4842400000000001E-5</v>
      </c>
      <c r="N177" s="5" t="s">
        <v>889</v>
      </c>
      <c r="O177" s="5">
        <v>56</v>
      </c>
      <c r="P177" s="5">
        <v>36</v>
      </c>
      <c r="Q177" s="7">
        <v>1.84</v>
      </c>
      <c r="R177" s="7">
        <v>0.37671042421736156</v>
      </c>
      <c r="S177" s="7">
        <v>310033152000</v>
      </c>
      <c r="T177" s="7">
        <v>0</v>
      </c>
    </row>
    <row r="178" spans="2:20" x14ac:dyDescent="0.2">
      <c r="B178">
        <v>37088</v>
      </c>
      <c r="C178" s="9">
        <v>2.2233399999999998E-6</v>
      </c>
      <c r="D178" s="5" t="s">
        <v>913</v>
      </c>
      <c r="E178" s="7">
        <v>1066.3799999999901</v>
      </c>
      <c r="F178" s="1">
        <v>6.5000016932045964E-4</v>
      </c>
      <c r="G178" s="1">
        <v>27747283199.999996</v>
      </c>
      <c r="H178" s="1">
        <v>0</v>
      </c>
      <c r="I178" s="7">
        <f t="shared" si="2"/>
        <v>32114.911111111109</v>
      </c>
      <c r="L178" s="5">
        <v>36093</v>
      </c>
      <c r="M178" s="7">
        <v>1.28574E-5</v>
      </c>
      <c r="N178" s="5" t="s">
        <v>890</v>
      </c>
      <c r="O178" s="5">
        <v>57</v>
      </c>
      <c r="P178" s="5">
        <v>36</v>
      </c>
      <c r="Q178" s="7">
        <v>1.286</v>
      </c>
      <c r="R178" s="7">
        <v>0.53899469716947535</v>
      </c>
      <c r="S178" s="7">
        <v>160460352000</v>
      </c>
      <c r="T178" s="7">
        <v>0</v>
      </c>
    </row>
    <row r="179" spans="2:20" x14ac:dyDescent="0.2">
      <c r="B179">
        <v>37089</v>
      </c>
      <c r="C179" s="9">
        <v>7.1252500000000001E-6</v>
      </c>
      <c r="D179" s="5" t="s">
        <v>914</v>
      </c>
      <c r="E179" s="7">
        <v>919.2</v>
      </c>
      <c r="F179" s="1">
        <v>7.5407656718880028E-4</v>
      </c>
      <c r="G179" s="1">
        <v>88923120000</v>
      </c>
      <c r="H179" s="1">
        <v>0</v>
      </c>
      <c r="I179" s="7">
        <f t="shared" si="2"/>
        <v>102920.27777777778</v>
      </c>
      <c r="L179" s="5">
        <v>36094</v>
      </c>
      <c r="M179" s="7">
        <v>1.13819E-5</v>
      </c>
      <c r="N179" s="5" t="s">
        <v>891</v>
      </c>
      <c r="O179" s="5">
        <v>58</v>
      </c>
      <c r="P179" s="5">
        <v>36</v>
      </c>
      <c r="Q179" s="7">
        <v>0.21199999999999999</v>
      </c>
      <c r="R179" s="7">
        <v>3.2695621724525723</v>
      </c>
      <c r="S179" s="7">
        <v>142046112000</v>
      </c>
      <c r="T179" s="7">
        <v>0</v>
      </c>
    </row>
    <row r="180" spans="2:20" x14ac:dyDescent="0.2">
      <c r="B180">
        <v>37090</v>
      </c>
      <c r="C180" s="9">
        <v>1.5968799999999999E-5</v>
      </c>
      <c r="D180" s="5" t="s">
        <v>915</v>
      </c>
      <c r="E180" s="7">
        <v>158</v>
      </c>
      <c r="F180" s="1">
        <v>4.3870074718983876E-3</v>
      </c>
      <c r="G180" s="1">
        <v>199290623999.99997</v>
      </c>
      <c r="H180" s="1">
        <v>0</v>
      </c>
      <c r="I180" s="7">
        <f t="shared" si="2"/>
        <v>230660.44444444441</v>
      </c>
      <c r="L180" s="5">
        <v>36095</v>
      </c>
      <c r="M180" s="7">
        <v>4.6708799999999999E-6</v>
      </c>
      <c r="N180" s="5" t="s">
        <v>892</v>
      </c>
      <c r="O180" s="5">
        <v>59</v>
      </c>
      <c r="P180" s="5">
        <v>36</v>
      </c>
      <c r="Q180" s="7">
        <v>0.114</v>
      </c>
      <c r="R180" s="7">
        <v>6.0802384259644322</v>
      </c>
      <c r="S180" s="7">
        <v>58292582400</v>
      </c>
      <c r="T180" s="7">
        <v>0</v>
      </c>
    </row>
    <row r="181" spans="2:20" x14ac:dyDescent="0.2">
      <c r="B181">
        <v>37091</v>
      </c>
      <c r="C181" s="9">
        <v>3.4290299999999999E-5</v>
      </c>
      <c r="D181" s="5" t="s">
        <v>916</v>
      </c>
      <c r="E181" s="7">
        <v>58.2</v>
      </c>
      <c r="F181" s="1">
        <v>1.1909745370445795E-2</v>
      </c>
      <c r="G181" s="1">
        <v>427942944000</v>
      </c>
      <c r="H181" s="1">
        <v>0</v>
      </c>
      <c r="I181" s="7">
        <f t="shared" si="2"/>
        <v>495304.33333333331</v>
      </c>
      <c r="L181" s="5">
        <v>36096</v>
      </c>
      <c r="M181" s="7">
        <v>5.5634799999999996E-6</v>
      </c>
      <c r="N181" s="5" t="s">
        <v>893</v>
      </c>
      <c r="O181" s="5">
        <v>60</v>
      </c>
      <c r="P181" s="5">
        <v>36</v>
      </c>
      <c r="Q181" s="7">
        <v>0.08</v>
      </c>
      <c r="R181" s="7">
        <v>8.6643397569993166</v>
      </c>
      <c r="S181" s="7">
        <v>69432230400</v>
      </c>
      <c r="T181" s="7">
        <v>0</v>
      </c>
    </row>
    <row r="182" spans="2:20" x14ac:dyDescent="0.2">
      <c r="B182">
        <v>37092</v>
      </c>
      <c r="C182" s="9">
        <v>4.6752799999999997E-5</v>
      </c>
      <c r="D182" s="5" t="s">
        <v>917</v>
      </c>
      <c r="E182" s="7">
        <v>4.492</v>
      </c>
      <c r="F182" s="1">
        <v>0.15430703040070021</v>
      </c>
      <c r="G182" s="1">
        <v>583474944000</v>
      </c>
      <c r="H182" s="1">
        <v>0</v>
      </c>
      <c r="I182" s="7">
        <f t="shared" si="2"/>
        <v>675318.22222222225</v>
      </c>
      <c r="L182" s="5">
        <v>36097</v>
      </c>
      <c r="M182" s="7">
        <v>5.58679E-7</v>
      </c>
      <c r="N182" s="5" t="s">
        <v>894</v>
      </c>
      <c r="O182" s="5">
        <v>61</v>
      </c>
      <c r="P182" s="5">
        <v>36</v>
      </c>
      <c r="Q182" s="7">
        <v>6.3E-2</v>
      </c>
      <c r="R182" s="7">
        <v>11.00233619936421</v>
      </c>
      <c r="S182" s="7">
        <v>6972313920</v>
      </c>
      <c r="T182" s="7">
        <v>0</v>
      </c>
    </row>
    <row r="183" spans="2:20" x14ac:dyDescent="0.2">
      <c r="B183">
        <v>37093</v>
      </c>
      <c r="C183" s="9">
        <v>5.9101300000000003E-5</v>
      </c>
      <c r="D183" s="5" t="s">
        <v>918</v>
      </c>
      <c r="E183" s="7">
        <v>5.84</v>
      </c>
      <c r="F183" s="1">
        <v>0.1186895857123194</v>
      </c>
      <c r="G183" s="1">
        <v>737584224000</v>
      </c>
      <c r="H183" s="1">
        <v>0</v>
      </c>
      <c r="I183" s="7">
        <f t="shared" si="2"/>
        <v>853685.4444444445</v>
      </c>
      <c r="L183" s="5">
        <v>37074</v>
      </c>
      <c r="M183" s="7">
        <v>2.8262000000000003E-7</v>
      </c>
      <c r="N183" s="5" t="s">
        <v>899</v>
      </c>
      <c r="O183" s="5">
        <v>37</v>
      </c>
      <c r="P183" s="5">
        <v>37</v>
      </c>
      <c r="Q183" s="7">
        <v>6.4899999999999999E-2</v>
      </c>
      <c r="R183" s="7">
        <v>10.680233906932902</v>
      </c>
      <c r="S183" s="7">
        <v>3527097600.0000005</v>
      </c>
      <c r="T183" s="7">
        <v>0</v>
      </c>
    </row>
    <row r="184" spans="2:20" x14ac:dyDescent="0.2">
      <c r="B184">
        <v>37094</v>
      </c>
      <c r="C184" s="9">
        <v>4.0043999999999998E-5</v>
      </c>
      <c r="D184" s="5" t="s">
        <v>919</v>
      </c>
      <c r="E184" s="7">
        <v>2.702</v>
      </c>
      <c r="F184" s="1">
        <v>0.25653115490745571</v>
      </c>
      <c r="G184" s="1">
        <v>499749120000</v>
      </c>
      <c r="H184" s="1">
        <v>0</v>
      </c>
      <c r="I184" s="7">
        <f t="shared" si="2"/>
        <v>578413.33333333337</v>
      </c>
      <c r="L184" s="5">
        <v>37075</v>
      </c>
      <c r="M184" s="7">
        <v>3.2666399999999998E-8</v>
      </c>
      <c r="N184" s="5" t="s">
        <v>900</v>
      </c>
      <c r="O184" s="5">
        <v>38</v>
      </c>
      <c r="P184" s="5">
        <v>37</v>
      </c>
      <c r="Q184" s="7">
        <v>19</v>
      </c>
      <c r="R184" s="7">
        <v>3.6481430555786593E-2</v>
      </c>
      <c r="S184" s="7">
        <v>407676672</v>
      </c>
      <c r="T184" s="7">
        <v>0</v>
      </c>
    </row>
    <row r="185" spans="2:20" x14ac:dyDescent="0.2">
      <c r="B185">
        <v>37095</v>
      </c>
      <c r="C185" s="9">
        <v>3.0660600000000003E-5</v>
      </c>
      <c r="D185" s="5" t="s">
        <v>920</v>
      </c>
      <c r="E185" s="7">
        <v>0.37769999999999998</v>
      </c>
      <c r="F185" s="1">
        <v>1.8351791913157143</v>
      </c>
      <c r="G185" s="1">
        <v>382644288000.00006</v>
      </c>
      <c r="H185" s="1">
        <v>0</v>
      </c>
      <c r="I185" s="7">
        <f t="shared" si="2"/>
        <v>442875.33333333337</v>
      </c>
      <c r="L185" s="5">
        <v>37076</v>
      </c>
      <c r="M185" s="7">
        <v>1.43788E-8</v>
      </c>
      <c r="N185" s="5" t="s">
        <v>901</v>
      </c>
      <c r="O185" s="5">
        <v>39</v>
      </c>
      <c r="P185" s="5">
        <v>37</v>
      </c>
      <c r="Q185" s="7">
        <v>36.5</v>
      </c>
      <c r="R185" s="7">
        <v>1.8990333713971103E-2</v>
      </c>
      <c r="S185" s="7">
        <v>179447424</v>
      </c>
      <c r="T185" s="7">
        <v>0</v>
      </c>
    </row>
    <row r="186" spans="2:20" x14ac:dyDescent="0.2">
      <c r="B186">
        <v>37096</v>
      </c>
      <c r="C186" s="9">
        <v>1.19838E-5</v>
      </c>
      <c r="D186" s="5" t="s">
        <v>921</v>
      </c>
      <c r="E186" s="7">
        <v>0.20300000000000001</v>
      </c>
      <c r="F186" s="1">
        <v>3.4145181308371688</v>
      </c>
      <c r="G186" s="1">
        <v>149557824000</v>
      </c>
      <c r="H186" s="1">
        <v>0</v>
      </c>
      <c r="I186" s="7">
        <f t="shared" si="2"/>
        <v>173099.33333333334</v>
      </c>
      <c r="L186" s="5">
        <v>37077</v>
      </c>
      <c r="M186" s="7">
        <v>1.1866E-9</v>
      </c>
      <c r="N186" s="5" t="s">
        <v>902</v>
      </c>
      <c r="O186" s="5">
        <v>40</v>
      </c>
      <c r="P186" s="5">
        <v>37</v>
      </c>
      <c r="Q186" s="7">
        <v>226.2</v>
      </c>
      <c r="R186" s="7">
        <v>3.0643111430589979E-3</v>
      </c>
      <c r="S186" s="7">
        <v>14808768</v>
      </c>
      <c r="T186" s="7">
        <v>0</v>
      </c>
    </row>
    <row r="187" spans="2:20" x14ac:dyDescent="0.2">
      <c r="B187">
        <v>37097</v>
      </c>
      <c r="C187" s="9">
        <v>5.6120599999999998E-6</v>
      </c>
      <c r="D187" s="5" t="s">
        <v>922</v>
      </c>
      <c r="E187" s="7">
        <v>0.1691</v>
      </c>
      <c r="F187" s="1">
        <v>4.0990371410996174</v>
      </c>
      <c r="G187" s="1">
        <v>70038508800</v>
      </c>
      <c r="H187" s="1">
        <v>0</v>
      </c>
      <c r="I187" s="7">
        <f t="shared" si="2"/>
        <v>81063.088888888888</v>
      </c>
      <c r="L187" s="5">
        <v>37078</v>
      </c>
      <c r="M187" s="7">
        <v>2.7919999999999998E-10</v>
      </c>
      <c r="N187" s="5" t="s">
        <v>903</v>
      </c>
      <c r="O187" s="5">
        <v>41</v>
      </c>
      <c r="P187" s="5">
        <v>37</v>
      </c>
      <c r="Q187" s="7">
        <v>1059.5999999999999</v>
      </c>
      <c r="R187" s="7">
        <v>6.5415928705166604E-4</v>
      </c>
      <c r="S187" s="7">
        <v>3484415.9999999995</v>
      </c>
      <c r="T187" s="7">
        <v>0</v>
      </c>
    </row>
    <row r="188" spans="2:20" x14ac:dyDescent="0.2">
      <c r="B188">
        <v>37098</v>
      </c>
      <c r="C188" s="9">
        <v>1.6683599999999999E-6</v>
      </c>
      <c r="D188" s="5" t="s">
        <v>923</v>
      </c>
      <c r="E188" s="7">
        <v>0.10199999999999999</v>
      </c>
      <c r="F188" s="1">
        <v>6.7955605937249546</v>
      </c>
      <c r="G188" s="1">
        <v>20821132800</v>
      </c>
      <c r="H188" s="1">
        <v>0</v>
      </c>
      <c r="I188" s="7">
        <f t="shared" si="2"/>
        <v>24098.533333333333</v>
      </c>
      <c r="L188" s="5">
        <v>37086</v>
      </c>
      <c r="M188" s="7">
        <v>4.6068000000000003E-9</v>
      </c>
      <c r="N188" s="5" t="s">
        <v>911</v>
      </c>
      <c r="O188" s="5">
        <v>49</v>
      </c>
      <c r="P188" s="5">
        <v>37</v>
      </c>
      <c r="Q188" s="7">
        <v>1610668.8</v>
      </c>
      <c r="R188" s="7">
        <v>4.3034743117886513E-7</v>
      </c>
      <c r="S188" s="7">
        <v>17852786.870253444</v>
      </c>
      <c r="T188" s="7">
        <v>22.787988831913196</v>
      </c>
    </row>
    <row r="189" spans="2:20" x14ac:dyDescent="0.2">
      <c r="B189">
        <v>37099</v>
      </c>
      <c r="C189" s="9">
        <v>4.79177E-7</v>
      </c>
      <c r="D189" s="5" t="s">
        <v>924</v>
      </c>
      <c r="E189" s="7">
        <v>5.3999999999999999E-2</v>
      </c>
      <c r="F189" s="1">
        <v>12.836058899258246</v>
      </c>
      <c r="G189" s="1">
        <v>5980128960</v>
      </c>
      <c r="H189" s="1">
        <v>0</v>
      </c>
      <c r="I189" s="7">
        <f t="shared" si="2"/>
        <v>6921.445555555556</v>
      </c>
      <c r="L189" s="5">
        <v>37087</v>
      </c>
      <c r="M189" s="7">
        <v>7.4825600000000003E-8</v>
      </c>
      <c r="N189" s="5" t="s">
        <v>912</v>
      </c>
      <c r="O189" s="5">
        <v>50</v>
      </c>
      <c r="P189" s="5">
        <v>37</v>
      </c>
      <c r="Q189" s="7">
        <v>1.56841272E+18</v>
      </c>
      <c r="R189" s="7">
        <v>4.419418254653949E-19</v>
      </c>
      <c r="S189" s="7">
        <v>3.5653912880206917E-4</v>
      </c>
      <c r="T189" s="7">
        <v>3.5653912879710006E-4</v>
      </c>
    </row>
    <row r="190" spans="2:20" x14ac:dyDescent="0.2">
      <c r="B190">
        <v>37100</v>
      </c>
      <c r="C190" s="9">
        <v>1.08609E-7</v>
      </c>
      <c r="D190" s="5" t="s">
        <v>925</v>
      </c>
      <c r="E190" s="7">
        <v>5.0999999999999997E-2</v>
      </c>
      <c r="F190" s="1">
        <v>13.591121187449909</v>
      </c>
      <c r="G190" s="1">
        <v>1355440320</v>
      </c>
      <c r="H190" s="1">
        <v>0</v>
      </c>
      <c r="I190" s="7">
        <f t="shared" si="2"/>
        <v>1568.7966666666666</v>
      </c>
      <c r="L190" s="5">
        <v>37088</v>
      </c>
      <c r="M190" s="7">
        <v>3.0844599999999998E-7</v>
      </c>
      <c r="N190" s="5" t="s">
        <v>913</v>
      </c>
      <c r="O190" s="5">
        <v>51</v>
      </c>
      <c r="P190" s="5">
        <v>37</v>
      </c>
      <c r="Q190" s="7">
        <v>1066.3799999999901</v>
      </c>
      <c r="R190" s="7">
        <v>6.5000016932045964E-4</v>
      </c>
      <c r="S190" s="7">
        <v>3849406080</v>
      </c>
      <c r="T190" s="7">
        <v>0</v>
      </c>
    </row>
    <row r="191" spans="2:20" x14ac:dyDescent="0.2">
      <c r="B191">
        <v>38077</v>
      </c>
      <c r="C191" s="9">
        <v>1.40996E-8</v>
      </c>
      <c r="D191" s="5" t="s">
        <v>933</v>
      </c>
      <c r="E191" s="7">
        <v>9</v>
      </c>
      <c r="F191" s="1">
        <v>7.7016353395549478E-2</v>
      </c>
      <c r="G191" s="1">
        <v>175963008</v>
      </c>
      <c r="H191" s="1">
        <v>0</v>
      </c>
      <c r="I191" s="7">
        <f t="shared" si="2"/>
        <v>203.66088888888891</v>
      </c>
      <c r="L191" s="5">
        <v>37089</v>
      </c>
      <c r="M191" s="7">
        <v>1.5353200000000001E-6</v>
      </c>
      <c r="N191" s="5" t="s">
        <v>914</v>
      </c>
      <c r="O191" s="5">
        <v>52</v>
      </c>
      <c r="P191" s="5">
        <v>37</v>
      </c>
      <c r="Q191" s="7">
        <v>919.2</v>
      </c>
      <c r="R191" s="7">
        <v>7.5407656718880028E-4</v>
      </c>
      <c r="S191" s="7">
        <v>19160793600</v>
      </c>
      <c r="T191" s="7">
        <v>0</v>
      </c>
    </row>
    <row r="192" spans="2:20" x14ac:dyDescent="0.2">
      <c r="B192">
        <v>38078</v>
      </c>
      <c r="C192" s="9">
        <v>1.1866E-9</v>
      </c>
      <c r="D192" s="5" t="s">
        <v>934</v>
      </c>
      <c r="E192" s="7">
        <v>160</v>
      </c>
      <c r="F192" s="1">
        <v>4.3321698784996579E-3</v>
      </c>
      <c r="G192" s="1">
        <v>14808768</v>
      </c>
      <c r="H192" s="1">
        <v>0</v>
      </c>
      <c r="I192" s="7">
        <f t="shared" si="2"/>
        <v>17.13977777777778</v>
      </c>
      <c r="L192" s="5">
        <v>37090</v>
      </c>
      <c r="M192" s="7">
        <v>4.2028699999999996E-6</v>
      </c>
      <c r="N192" s="5" t="s">
        <v>915</v>
      </c>
      <c r="O192" s="5">
        <v>53</v>
      </c>
      <c r="P192" s="5">
        <v>37</v>
      </c>
      <c r="Q192" s="7">
        <v>158</v>
      </c>
      <c r="R192" s="7">
        <v>4.3870074718983876E-3</v>
      </c>
      <c r="S192" s="7">
        <v>52451817599.999992</v>
      </c>
      <c r="T192" s="7">
        <v>0</v>
      </c>
    </row>
    <row r="193" spans="2:20" x14ac:dyDescent="0.2">
      <c r="B193">
        <v>38079</v>
      </c>
      <c r="C193" s="9">
        <v>6.9799999999999994E-11</v>
      </c>
      <c r="D193" s="5" t="s">
        <v>935</v>
      </c>
      <c r="E193" s="7">
        <v>135</v>
      </c>
      <c r="F193" s="1">
        <v>5.1344235597032984E-3</v>
      </c>
      <c r="G193" s="1">
        <v>871103.99999999988</v>
      </c>
      <c r="H193" s="1">
        <v>0</v>
      </c>
      <c r="I193" s="7">
        <f t="shared" si="2"/>
        <v>1.0082222222222221</v>
      </c>
      <c r="L193" s="5">
        <v>37091</v>
      </c>
      <c r="M193" s="7">
        <v>1.1511999999999999E-5</v>
      </c>
      <c r="N193" s="5" t="s">
        <v>916</v>
      </c>
      <c r="O193" s="5">
        <v>54</v>
      </c>
      <c r="P193" s="5">
        <v>37</v>
      </c>
      <c r="Q193" s="7">
        <v>58.2</v>
      </c>
      <c r="R193" s="7">
        <v>1.1909745370445795E-2</v>
      </c>
      <c r="S193" s="7">
        <v>143669760000</v>
      </c>
      <c r="T193" s="7">
        <v>0</v>
      </c>
    </row>
    <row r="194" spans="2:20" x14ac:dyDescent="0.2">
      <c r="B194">
        <v>38085</v>
      </c>
      <c r="C194" s="9">
        <v>9.0739999999999999E-10</v>
      </c>
      <c r="D194" s="5" t="s">
        <v>941</v>
      </c>
      <c r="E194" s="7">
        <v>5602953.5999999996</v>
      </c>
      <c r="F194" s="1">
        <v>1.2371103350917369E-7</v>
      </c>
      <c r="G194" s="1">
        <v>1147974.3449506683</v>
      </c>
      <c r="H194" s="1">
        <v>23205.81923420676</v>
      </c>
      <c r="I194" s="7">
        <f t="shared" si="2"/>
        <v>1.3286740103595698</v>
      </c>
      <c r="L194" s="5">
        <v>37092</v>
      </c>
      <c r="M194" s="7">
        <v>1.8562800000000001E-5</v>
      </c>
      <c r="N194" s="5" t="s">
        <v>917</v>
      </c>
      <c r="O194" s="5">
        <v>55</v>
      </c>
      <c r="P194" s="5">
        <v>37</v>
      </c>
      <c r="Q194" s="7">
        <v>4.492</v>
      </c>
      <c r="R194" s="7">
        <v>0.15430703040070021</v>
      </c>
      <c r="S194" s="7">
        <v>231663744000.00003</v>
      </c>
      <c r="T194" s="7">
        <v>0</v>
      </c>
    </row>
    <row r="195" spans="2:20" x14ac:dyDescent="0.2">
      <c r="B195">
        <v>38089</v>
      </c>
      <c r="C195" s="9">
        <v>7.3234199999999995E-7</v>
      </c>
      <c r="D195" s="5" t="s">
        <v>945</v>
      </c>
      <c r="E195" s="7">
        <v>4368643.2</v>
      </c>
      <c r="F195" s="1">
        <v>1.5866417760094148E-7</v>
      </c>
      <c r="G195" s="1">
        <v>1170828672.9586971</v>
      </c>
      <c r="H195" s="1">
        <v>7860368.9044767534</v>
      </c>
      <c r="I195" s="7">
        <f t="shared" si="2"/>
        <v>1355.1257788873809</v>
      </c>
      <c r="L195" s="5">
        <v>37093</v>
      </c>
      <c r="M195" s="7">
        <v>3.0247799999999999E-5</v>
      </c>
      <c r="N195" s="5" t="s">
        <v>918</v>
      </c>
      <c r="O195" s="5">
        <v>56</v>
      </c>
      <c r="P195" s="5">
        <v>37</v>
      </c>
      <c r="Q195" s="7">
        <v>5.84</v>
      </c>
      <c r="R195" s="7">
        <v>0.1186895857123194</v>
      </c>
      <c r="S195" s="7">
        <v>377492544000</v>
      </c>
      <c r="T195" s="7">
        <v>0</v>
      </c>
    </row>
    <row r="196" spans="2:20" x14ac:dyDescent="0.2">
      <c r="B196">
        <v>38090</v>
      </c>
      <c r="C196" s="9">
        <v>2.4836900000000002E-6</v>
      </c>
      <c r="D196" s="5" t="s">
        <v>946</v>
      </c>
      <c r="E196" s="7">
        <v>912014640</v>
      </c>
      <c r="F196" s="1">
        <v>7.6001760296298017E-10</v>
      </c>
      <c r="G196" s="1">
        <v>20347299.828403529</v>
      </c>
      <c r="H196" s="1">
        <v>19865415.423735075</v>
      </c>
      <c r="I196" s="7">
        <f t="shared" ref="I196:I259" si="3">G196/10/24/3600</f>
        <v>23.550115542133714</v>
      </c>
      <c r="L196" s="5">
        <v>37094</v>
      </c>
      <c r="M196" s="7">
        <v>2.4550599999999998E-5</v>
      </c>
      <c r="N196" s="5" t="s">
        <v>919</v>
      </c>
      <c r="O196" s="5">
        <v>57</v>
      </c>
      <c r="P196" s="5">
        <v>37</v>
      </c>
      <c r="Q196" s="7">
        <v>2.702</v>
      </c>
      <c r="R196" s="7">
        <v>0.25653115490745571</v>
      </c>
      <c r="S196" s="7">
        <v>306391488000</v>
      </c>
      <c r="T196" s="7">
        <v>0</v>
      </c>
    </row>
    <row r="197" spans="2:20" x14ac:dyDescent="0.2">
      <c r="B197">
        <v>38091</v>
      </c>
      <c r="C197" s="9">
        <v>7.0508499999999996E-6</v>
      </c>
      <c r="D197" s="5" t="s">
        <v>947</v>
      </c>
      <c r="E197" s="7">
        <v>34740</v>
      </c>
      <c r="F197" s="1">
        <v>1.9952423159468777E-5</v>
      </c>
      <c r="G197" s="1">
        <v>87994605131.203842</v>
      </c>
      <c r="H197" s="1">
        <v>4.7626490885480313E-263</v>
      </c>
      <c r="I197" s="7">
        <f t="shared" si="3"/>
        <v>101845.60779074518</v>
      </c>
      <c r="L197" s="5">
        <v>37095</v>
      </c>
      <c r="M197" s="7">
        <v>2.6670899999999999E-5</v>
      </c>
      <c r="N197" s="5" t="s">
        <v>920</v>
      </c>
      <c r="O197" s="5">
        <v>58</v>
      </c>
      <c r="P197" s="5">
        <v>37</v>
      </c>
      <c r="Q197" s="7">
        <v>0.37769999999999998</v>
      </c>
      <c r="R197" s="7">
        <v>1.8351791913157143</v>
      </c>
      <c r="S197" s="7">
        <v>332852832000</v>
      </c>
      <c r="T197" s="7">
        <v>0</v>
      </c>
    </row>
    <row r="198" spans="2:20" x14ac:dyDescent="0.2">
      <c r="B198">
        <v>38092</v>
      </c>
      <c r="C198" s="9">
        <v>1.6656399999999999E-5</v>
      </c>
      <c r="D198" s="5" t="s">
        <v>948</v>
      </c>
      <c r="E198" s="7">
        <v>9399.6</v>
      </c>
      <c r="F198" s="1">
        <v>7.3742199727642167E-5</v>
      </c>
      <c r="G198" s="1">
        <v>207871871999.99997</v>
      </c>
      <c r="H198" s="1">
        <v>0</v>
      </c>
      <c r="I198" s="7">
        <f t="shared" si="3"/>
        <v>240592.44444444441</v>
      </c>
      <c r="L198" s="5">
        <v>37096</v>
      </c>
      <c r="M198" s="7">
        <v>1.3219E-5</v>
      </c>
      <c r="N198" s="5" t="s">
        <v>921</v>
      </c>
      <c r="O198" s="5">
        <v>59</v>
      </c>
      <c r="P198" s="5">
        <v>37</v>
      </c>
      <c r="Q198" s="7">
        <v>0.20300000000000001</v>
      </c>
      <c r="R198" s="7">
        <v>3.4145181308371688</v>
      </c>
      <c r="S198" s="7">
        <v>164973120000</v>
      </c>
      <c r="T198" s="7">
        <v>0</v>
      </c>
    </row>
    <row r="199" spans="2:20" x14ac:dyDescent="0.2">
      <c r="B199">
        <v>38093</v>
      </c>
      <c r="C199" s="9">
        <v>3.3427199999999997E-5</v>
      </c>
      <c r="D199" s="5" t="s">
        <v>949</v>
      </c>
      <c r="E199" s="7">
        <v>445.79999999999899</v>
      </c>
      <c r="F199" s="1">
        <v>1.5548388976221329E-3</v>
      </c>
      <c r="G199" s="1">
        <v>417171455999.99994</v>
      </c>
      <c r="H199" s="1">
        <v>0</v>
      </c>
      <c r="I199" s="7">
        <f t="shared" si="3"/>
        <v>482837.33333333326</v>
      </c>
      <c r="L199" s="5">
        <v>37097</v>
      </c>
      <c r="M199" s="7">
        <v>1.0947999999999999E-5</v>
      </c>
      <c r="N199" s="5" t="s">
        <v>922</v>
      </c>
      <c r="O199" s="5">
        <v>60</v>
      </c>
      <c r="P199" s="5">
        <v>37</v>
      </c>
      <c r="Q199" s="7">
        <v>0.1691</v>
      </c>
      <c r="R199" s="7">
        <v>4.0990371410996174</v>
      </c>
      <c r="S199" s="7">
        <v>136631039999.99998</v>
      </c>
      <c r="T199" s="7">
        <v>0</v>
      </c>
    </row>
    <row r="200" spans="2:20" x14ac:dyDescent="0.2">
      <c r="B200">
        <v>38094</v>
      </c>
      <c r="C200" s="9">
        <v>5.7698400000000003E-5</v>
      </c>
      <c r="D200" s="5" t="s">
        <v>950</v>
      </c>
      <c r="E200" s="7">
        <v>75.3</v>
      </c>
      <c r="F200" s="1">
        <v>9.2051418401055147E-3</v>
      </c>
      <c r="G200" s="1">
        <v>720076032000</v>
      </c>
      <c r="H200" s="1">
        <v>0</v>
      </c>
      <c r="I200" s="7">
        <f t="shared" si="3"/>
        <v>833421.33333333337</v>
      </c>
      <c r="L200" s="5">
        <v>37098</v>
      </c>
      <c r="M200" s="7">
        <v>3.9120099999999998E-6</v>
      </c>
      <c r="N200" s="5" t="s">
        <v>923</v>
      </c>
      <c r="O200" s="5">
        <v>61</v>
      </c>
      <c r="P200" s="5">
        <v>37</v>
      </c>
      <c r="Q200" s="7">
        <v>0.10199999999999999</v>
      </c>
      <c r="R200" s="7">
        <v>6.7955605937249546</v>
      </c>
      <c r="S200" s="7">
        <v>48821884800</v>
      </c>
      <c r="T200" s="7">
        <v>0</v>
      </c>
    </row>
    <row r="201" spans="2:20" x14ac:dyDescent="0.2">
      <c r="B201">
        <v>38095</v>
      </c>
      <c r="C201" s="9">
        <v>7.0071099999999994E-5</v>
      </c>
      <c r="D201" s="5" t="s">
        <v>951</v>
      </c>
      <c r="E201" s="7">
        <v>23.9</v>
      </c>
      <c r="F201" s="1">
        <v>2.9001974082006082E-2</v>
      </c>
      <c r="G201" s="1">
        <v>874487327999.99988</v>
      </c>
      <c r="H201" s="1">
        <v>0</v>
      </c>
      <c r="I201" s="7">
        <f t="shared" si="3"/>
        <v>1012138.111111111</v>
      </c>
      <c r="L201" s="5">
        <v>37099</v>
      </c>
      <c r="M201" s="7">
        <v>1.76447E-6</v>
      </c>
      <c r="N201" s="5" t="s">
        <v>924</v>
      </c>
      <c r="O201" s="5">
        <v>62</v>
      </c>
      <c r="P201" s="5">
        <v>37</v>
      </c>
      <c r="Q201" s="7">
        <v>5.3999999999999999E-2</v>
      </c>
      <c r="R201" s="7">
        <v>12.836058899258246</v>
      </c>
      <c r="S201" s="7">
        <v>22020585600</v>
      </c>
      <c r="T201" s="7">
        <v>0</v>
      </c>
    </row>
    <row r="202" spans="2:20" x14ac:dyDescent="0.2">
      <c r="B202">
        <v>38096</v>
      </c>
      <c r="C202" s="9">
        <v>7.1081599999999994E-5</v>
      </c>
      <c r="D202" s="5" t="s">
        <v>952</v>
      </c>
      <c r="E202" s="7">
        <v>1.07</v>
      </c>
      <c r="F202" s="1">
        <v>0.64780110332705165</v>
      </c>
      <c r="G202" s="1">
        <v>887098367999.99988</v>
      </c>
      <c r="H202" s="1">
        <v>0</v>
      </c>
      <c r="I202" s="7">
        <f t="shared" si="3"/>
        <v>1026734.2222222221</v>
      </c>
      <c r="L202" s="5">
        <v>37100</v>
      </c>
      <c r="M202" s="7">
        <v>1.0498600000000001E-6</v>
      </c>
      <c r="N202" s="5" t="s">
        <v>925</v>
      </c>
      <c r="O202" s="5">
        <v>63</v>
      </c>
      <c r="P202" s="5">
        <v>37</v>
      </c>
      <c r="Q202" s="7">
        <v>5.0999999999999997E-2</v>
      </c>
      <c r="R202" s="7">
        <v>13.591121187449909</v>
      </c>
      <c r="S202" s="7">
        <v>13102252800</v>
      </c>
      <c r="T202" s="7">
        <v>0</v>
      </c>
    </row>
    <row r="203" spans="2:20" x14ac:dyDescent="0.2">
      <c r="B203">
        <v>38097</v>
      </c>
      <c r="C203" s="9">
        <v>4.5796800000000002E-5</v>
      </c>
      <c r="D203" s="5" t="s">
        <v>953</v>
      </c>
      <c r="E203" s="7">
        <v>0.42899999999999999</v>
      </c>
      <c r="F203" s="1">
        <v>1.6157276936129261</v>
      </c>
      <c r="G203" s="1">
        <v>571544064000</v>
      </c>
      <c r="H203" s="1">
        <v>0</v>
      </c>
      <c r="I203" s="7">
        <f t="shared" si="3"/>
        <v>661509.33333333337</v>
      </c>
      <c r="L203" s="5">
        <v>38077</v>
      </c>
      <c r="M203" s="7">
        <v>1.2375500000000001E-7</v>
      </c>
      <c r="N203" s="5" t="s">
        <v>933</v>
      </c>
      <c r="O203" s="5">
        <v>39</v>
      </c>
      <c r="P203" s="5">
        <v>38</v>
      </c>
      <c r="Q203" s="7">
        <v>9</v>
      </c>
      <c r="R203" s="7">
        <v>7.7016353395549478E-2</v>
      </c>
      <c r="S203" s="7">
        <v>1544462400.0000002</v>
      </c>
      <c r="T203" s="7">
        <v>0</v>
      </c>
    </row>
    <row r="204" spans="2:20" x14ac:dyDescent="0.2">
      <c r="B204">
        <v>38098</v>
      </c>
      <c r="C204" s="9">
        <v>2.60672E-5</v>
      </c>
      <c r="D204" s="5" t="s">
        <v>954</v>
      </c>
      <c r="E204" s="7">
        <v>0.65300000000000002</v>
      </c>
      <c r="F204" s="1">
        <v>1.0614811340887369</v>
      </c>
      <c r="G204" s="1">
        <v>325318656000</v>
      </c>
      <c r="H204" s="1">
        <v>0</v>
      </c>
      <c r="I204" s="7">
        <f t="shared" si="3"/>
        <v>376526.22222222225</v>
      </c>
      <c r="L204" s="5">
        <v>38078</v>
      </c>
      <c r="M204" s="7">
        <v>1.8845999999999999E-8</v>
      </c>
      <c r="N204" s="5" t="s">
        <v>934</v>
      </c>
      <c r="O204" s="5">
        <v>40</v>
      </c>
      <c r="P204" s="5">
        <v>38</v>
      </c>
      <c r="Q204" s="7">
        <v>160</v>
      </c>
      <c r="R204" s="7">
        <v>4.3321698784996579E-3</v>
      </c>
      <c r="S204" s="7">
        <v>235198080</v>
      </c>
      <c r="T204" s="7">
        <v>0</v>
      </c>
    </row>
    <row r="205" spans="2:20" x14ac:dyDescent="0.2">
      <c r="B205">
        <v>38099</v>
      </c>
      <c r="C205" s="9">
        <v>8.4500599999999995E-6</v>
      </c>
      <c r="D205" s="5" t="s">
        <v>955</v>
      </c>
      <c r="E205" s="7">
        <v>0.26900000000000002</v>
      </c>
      <c r="F205" s="1">
        <v>2.5767553180667111</v>
      </c>
      <c r="G205" s="1">
        <v>105456748800</v>
      </c>
      <c r="H205" s="1">
        <v>0</v>
      </c>
      <c r="I205" s="7">
        <f t="shared" si="3"/>
        <v>122056.42222222222</v>
      </c>
      <c r="L205" s="5">
        <v>38079</v>
      </c>
      <c r="M205" s="7">
        <v>5.7236000000000004E-9</v>
      </c>
      <c r="N205" s="5" t="s">
        <v>935</v>
      </c>
      <c r="O205" s="5">
        <v>41</v>
      </c>
      <c r="P205" s="5">
        <v>38</v>
      </c>
      <c r="Q205" s="7">
        <v>135</v>
      </c>
      <c r="R205" s="7">
        <v>5.1344235597032984E-3</v>
      </c>
      <c r="S205" s="7">
        <v>71430528</v>
      </c>
      <c r="T205" s="7">
        <v>0</v>
      </c>
    </row>
    <row r="206" spans="2:20" x14ac:dyDescent="0.2">
      <c r="B206">
        <v>38100</v>
      </c>
      <c r="C206" s="9">
        <v>2.6510000000000001E-6</v>
      </c>
      <c r="D206" s="5" t="s">
        <v>956</v>
      </c>
      <c r="E206" s="7">
        <v>0.20200000000000001</v>
      </c>
      <c r="F206" s="1">
        <v>3.431421685940323</v>
      </c>
      <c r="G206" s="1">
        <v>33084480000</v>
      </c>
      <c r="H206" s="1">
        <v>0</v>
      </c>
      <c r="I206" s="7">
        <f t="shared" si="3"/>
        <v>38292.222222222219</v>
      </c>
      <c r="L206" s="5">
        <v>38080</v>
      </c>
      <c r="M206" s="7">
        <v>4.8860000000000005E-10</v>
      </c>
      <c r="N206" s="5" t="s">
        <v>936</v>
      </c>
      <c r="O206" s="5">
        <v>42</v>
      </c>
      <c r="P206" s="5">
        <v>38</v>
      </c>
      <c r="Q206" s="7">
        <v>6378</v>
      </c>
      <c r="R206" s="7">
        <v>1.0867782699277912E-4</v>
      </c>
      <c r="S206" s="7">
        <v>6097728.0000000009</v>
      </c>
      <c r="T206" s="7">
        <v>0</v>
      </c>
    </row>
    <row r="207" spans="2:20" x14ac:dyDescent="0.2">
      <c r="B207">
        <v>39080</v>
      </c>
      <c r="C207" s="9">
        <v>4.9746499999999999E-7</v>
      </c>
      <c r="D207" s="5" t="s">
        <v>968</v>
      </c>
      <c r="E207" s="7">
        <v>30.1</v>
      </c>
      <c r="F207" s="1">
        <v>2.3028145533552997E-2</v>
      </c>
      <c r="G207" s="1">
        <v>6208363200</v>
      </c>
      <c r="H207" s="1">
        <v>0</v>
      </c>
      <c r="I207" s="7">
        <f t="shared" si="3"/>
        <v>7185.6055555555558</v>
      </c>
      <c r="L207" s="5">
        <v>38081</v>
      </c>
      <c r="M207" s="7">
        <v>2.094E-10</v>
      </c>
      <c r="N207" s="5" t="s">
        <v>937</v>
      </c>
      <c r="O207" s="5">
        <v>43</v>
      </c>
      <c r="P207" s="5">
        <v>38</v>
      </c>
      <c r="Q207" s="7">
        <v>1338</v>
      </c>
      <c r="R207" s="7">
        <v>5.1804722014943589E-4</v>
      </c>
      <c r="S207" s="7">
        <v>2613312</v>
      </c>
      <c r="T207" s="7">
        <v>0</v>
      </c>
    </row>
    <row r="208" spans="2:20" x14ac:dyDescent="0.2">
      <c r="B208">
        <v>39081</v>
      </c>
      <c r="C208" s="9">
        <v>7.9222999999999994E-8</v>
      </c>
      <c r="D208" s="5" t="s">
        <v>969</v>
      </c>
      <c r="E208" s="7">
        <v>70.400000000000006</v>
      </c>
      <c r="F208" s="1">
        <v>9.8458406329537673E-3</v>
      </c>
      <c r="G208" s="1">
        <v>988703039.99999988</v>
      </c>
      <c r="H208" s="1">
        <v>0</v>
      </c>
      <c r="I208" s="7">
        <f t="shared" si="3"/>
        <v>1144.3322222222221</v>
      </c>
      <c r="L208" s="5">
        <v>38089</v>
      </c>
      <c r="M208" s="7">
        <v>4.1391399999999998E-8</v>
      </c>
      <c r="N208" s="5" t="s">
        <v>945</v>
      </c>
      <c r="O208" s="5">
        <v>51</v>
      </c>
      <c r="P208" s="5">
        <v>38</v>
      </c>
      <c r="Q208" s="7">
        <v>4368643.2</v>
      </c>
      <c r="R208" s="7">
        <v>1.5866417760094148E-7</v>
      </c>
      <c r="S208" s="7">
        <v>66174325.566337332</v>
      </c>
      <c r="T208" s="7">
        <v>444261.93427764502</v>
      </c>
    </row>
    <row r="209" spans="2:20" x14ac:dyDescent="0.2">
      <c r="B209">
        <v>39082</v>
      </c>
      <c r="C209" s="9">
        <v>6.4216000000000002E-9</v>
      </c>
      <c r="D209" s="5" t="s">
        <v>970</v>
      </c>
      <c r="E209" s="7">
        <v>8.3000000000000007</v>
      </c>
      <c r="F209" s="1">
        <v>8.3511708501198226E-2</v>
      </c>
      <c r="G209" s="1">
        <v>80141568</v>
      </c>
      <c r="H209" s="1">
        <v>0</v>
      </c>
      <c r="I209" s="7">
        <f t="shared" si="3"/>
        <v>92.756444444444455</v>
      </c>
      <c r="L209" s="5">
        <v>38090</v>
      </c>
      <c r="M209" s="7">
        <v>2.9993099999999999E-7</v>
      </c>
      <c r="N209" s="5" t="s">
        <v>946</v>
      </c>
      <c r="O209" s="5">
        <v>52</v>
      </c>
      <c r="P209" s="5">
        <v>38</v>
      </c>
      <c r="Q209" s="7">
        <v>912014640</v>
      </c>
      <c r="R209" s="7">
        <v>7.6001760296298017E-10</v>
      </c>
      <c r="S209" s="7">
        <v>2457144.8066517552</v>
      </c>
      <c r="T209" s="7">
        <v>2398952.3303859518</v>
      </c>
    </row>
    <row r="210" spans="2:20" x14ac:dyDescent="0.2">
      <c r="B210">
        <v>39083</v>
      </c>
      <c r="C210" s="9">
        <v>1.3262E-9</v>
      </c>
      <c r="D210" s="5" t="s">
        <v>971</v>
      </c>
      <c r="E210" s="7">
        <v>424.8</v>
      </c>
      <c r="F210" s="1">
        <v>1.6317024024480821E-3</v>
      </c>
      <c r="G210" s="1">
        <v>16550976</v>
      </c>
      <c r="H210" s="1">
        <v>0</v>
      </c>
      <c r="I210" s="7">
        <f t="shared" si="3"/>
        <v>19.156222222222226</v>
      </c>
      <c r="L210" s="5">
        <v>38091</v>
      </c>
      <c r="M210" s="7">
        <v>1.02913E-6</v>
      </c>
      <c r="N210" s="5" t="s">
        <v>947</v>
      </c>
      <c r="O210" s="5">
        <v>53</v>
      </c>
      <c r="P210" s="5">
        <v>38</v>
      </c>
      <c r="Q210" s="7">
        <v>34740</v>
      </c>
      <c r="R210" s="7">
        <v>1.9952423159468777E-5</v>
      </c>
      <c r="S210" s="7">
        <v>12843541981.275421</v>
      </c>
      <c r="T210" s="7">
        <v>6.9514811072387512E-264</v>
      </c>
    </row>
    <row r="211" spans="2:20" x14ac:dyDescent="0.2">
      <c r="B211">
        <v>39087</v>
      </c>
      <c r="C211" s="9">
        <v>2.094E-10</v>
      </c>
      <c r="D211" s="5" t="s">
        <v>975</v>
      </c>
      <c r="E211" s="7">
        <v>287280</v>
      </c>
      <c r="F211" s="1">
        <v>2.4127930261763619E-6</v>
      </c>
      <c r="G211" s="1">
        <v>2288346.0242786021</v>
      </c>
      <c r="H211" s="1">
        <v>2.0612168077201618E-27</v>
      </c>
      <c r="I211" s="7">
        <f t="shared" si="3"/>
        <v>2.6485486392113451</v>
      </c>
      <c r="L211" s="5">
        <v>38092</v>
      </c>
      <c r="M211" s="7">
        <v>4.5028000000000003E-6</v>
      </c>
      <c r="N211" s="5" t="s">
        <v>948</v>
      </c>
      <c r="O211" s="5">
        <v>54</v>
      </c>
      <c r="P211" s="5">
        <v>38</v>
      </c>
      <c r="Q211" s="7">
        <v>9399.6</v>
      </c>
      <c r="R211" s="7">
        <v>7.3742199727642167E-5</v>
      </c>
      <c r="S211" s="7">
        <v>56194944000.000008</v>
      </c>
      <c r="T211" s="7">
        <v>0</v>
      </c>
    </row>
    <row r="212" spans="2:20" x14ac:dyDescent="0.2">
      <c r="B212">
        <v>39088</v>
      </c>
      <c r="C212" s="9">
        <v>1.3959999999999999E-9</v>
      </c>
      <c r="D212" s="5" t="s">
        <v>976</v>
      </c>
      <c r="E212" s="7">
        <v>9212486.4000000004</v>
      </c>
      <c r="F212" s="1">
        <v>7.5239967850584322E-8</v>
      </c>
      <c r="G212" s="1">
        <v>1096535.3906127694</v>
      </c>
      <c r="H212" s="1">
        <v>102221.62161474695</v>
      </c>
      <c r="I212" s="7">
        <f t="shared" si="3"/>
        <v>1.2691381835795943</v>
      </c>
      <c r="L212" s="5">
        <v>38093</v>
      </c>
      <c r="M212" s="7">
        <v>9.5610599999999996E-6</v>
      </c>
      <c r="N212" s="5" t="s">
        <v>949</v>
      </c>
      <c r="O212" s="5">
        <v>55</v>
      </c>
      <c r="P212" s="5">
        <v>38</v>
      </c>
      <c r="Q212" s="7">
        <v>445.79999999999899</v>
      </c>
      <c r="R212" s="7">
        <v>1.5548388976221329E-3</v>
      </c>
      <c r="S212" s="7">
        <v>119322028800</v>
      </c>
      <c r="T212" s="7">
        <v>0</v>
      </c>
    </row>
    <row r="213" spans="2:20" x14ac:dyDescent="0.2">
      <c r="B213">
        <v>39090</v>
      </c>
      <c r="C213" s="9">
        <v>5.6468199999999997E-8</v>
      </c>
      <c r="D213" s="5" t="s">
        <v>978</v>
      </c>
      <c r="E213" s="7">
        <v>230590.8</v>
      </c>
      <c r="F213" s="1">
        <v>3.0059619922388289E-6</v>
      </c>
      <c r="G213" s="1">
        <v>652231499.63929737</v>
      </c>
      <c r="H213" s="1">
        <v>4.41585202343768E-33</v>
      </c>
      <c r="I213" s="7">
        <f t="shared" si="3"/>
        <v>754.89756902696445</v>
      </c>
      <c r="L213" s="5">
        <v>38094</v>
      </c>
      <c r="M213" s="7">
        <v>2.42979E-5</v>
      </c>
      <c r="N213" s="5" t="s">
        <v>950</v>
      </c>
      <c r="O213" s="5">
        <v>56</v>
      </c>
      <c r="P213" s="5">
        <v>38</v>
      </c>
      <c r="Q213" s="7">
        <v>75.3</v>
      </c>
      <c r="R213" s="7">
        <v>9.2051418401055147E-3</v>
      </c>
      <c r="S213" s="7">
        <v>303237792000</v>
      </c>
      <c r="T213" s="7">
        <v>0</v>
      </c>
    </row>
    <row r="214" spans="2:20" x14ac:dyDescent="0.2">
      <c r="B214">
        <v>39091</v>
      </c>
      <c r="C214" s="9">
        <v>2.53234E-7</v>
      </c>
      <c r="D214" s="5" t="s">
        <v>979</v>
      </c>
      <c r="E214" s="7">
        <v>5055264</v>
      </c>
      <c r="F214" s="1">
        <v>1.3711394312145624E-7</v>
      </c>
      <c r="G214" s="1">
        <v>353070335.80804968</v>
      </c>
      <c r="H214" s="1">
        <v>4676930.3115552161</v>
      </c>
      <c r="I214" s="7">
        <f t="shared" si="3"/>
        <v>408.64622200005743</v>
      </c>
      <c r="L214" s="5">
        <v>38095</v>
      </c>
      <c r="M214" s="7">
        <v>2.46254E-5</v>
      </c>
      <c r="N214" s="5" t="s">
        <v>951</v>
      </c>
      <c r="O214" s="5">
        <v>57</v>
      </c>
      <c r="P214" s="5">
        <v>38</v>
      </c>
      <c r="Q214" s="7">
        <v>23.9</v>
      </c>
      <c r="R214" s="7">
        <v>2.9001974082006082E-2</v>
      </c>
      <c r="S214" s="7">
        <v>307324992000</v>
      </c>
      <c r="T214" s="7">
        <v>0</v>
      </c>
    </row>
    <row r="215" spans="2:20" x14ac:dyDescent="0.2">
      <c r="B215">
        <v>39092</v>
      </c>
      <c r="C215" s="9">
        <v>9.8885700000000005E-7</v>
      </c>
      <c r="D215" s="5" t="s">
        <v>980</v>
      </c>
      <c r="E215" s="7">
        <v>12744</v>
      </c>
      <c r="F215" s="1">
        <v>5.4390080081602739E-5</v>
      </c>
      <c r="G215" s="1">
        <v>12340935360</v>
      </c>
      <c r="H215" s="1">
        <v>0</v>
      </c>
      <c r="I215" s="7">
        <f t="shared" si="3"/>
        <v>14283.49</v>
      </c>
      <c r="L215" s="5">
        <v>38096</v>
      </c>
      <c r="M215" s="7">
        <v>3.47111E-5</v>
      </c>
      <c r="N215" s="5" t="s">
        <v>952</v>
      </c>
      <c r="O215" s="5">
        <v>58</v>
      </c>
      <c r="P215" s="5">
        <v>38</v>
      </c>
      <c r="Q215" s="7">
        <v>1.07</v>
      </c>
      <c r="R215" s="7">
        <v>0.64780110332705165</v>
      </c>
      <c r="S215" s="7">
        <v>433194528000</v>
      </c>
      <c r="T215" s="7">
        <v>0</v>
      </c>
    </row>
    <row r="216" spans="2:20" x14ac:dyDescent="0.2">
      <c r="B216">
        <v>39093</v>
      </c>
      <c r="C216" s="9">
        <v>3.5352999999999998E-6</v>
      </c>
      <c r="D216" s="5" t="s">
        <v>981</v>
      </c>
      <c r="E216" s="7">
        <v>36648</v>
      </c>
      <c r="F216" s="1">
        <v>1.891364277886775E-5</v>
      </c>
      <c r="G216" s="1">
        <v>44120540470.879387</v>
      </c>
      <c r="H216" s="1">
        <v>4.0278823340275588E-249</v>
      </c>
      <c r="I216" s="7">
        <f t="shared" si="3"/>
        <v>51065.4403598141</v>
      </c>
      <c r="L216" s="5">
        <v>38097</v>
      </c>
      <c r="M216" s="7">
        <v>2.2148199999999999E-5</v>
      </c>
      <c r="N216" s="5" t="s">
        <v>953</v>
      </c>
      <c r="O216" s="5">
        <v>59</v>
      </c>
      <c r="P216" s="5">
        <v>38</v>
      </c>
      <c r="Q216" s="7">
        <v>0.42899999999999999</v>
      </c>
      <c r="R216" s="7">
        <v>1.6157276936129261</v>
      </c>
      <c r="S216" s="7">
        <v>276409536000</v>
      </c>
      <c r="T216" s="7">
        <v>0</v>
      </c>
    </row>
    <row r="217" spans="2:20" x14ac:dyDescent="0.2">
      <c r="B217">
        <v>39094</v>
      </c>
      <c r="C217" s="9">
        <v>9.3795799999999994E-6</v>
      </c>
      <c r="D217" s="5" t="s">
        <v>982</v>
      </c>
      <c r="E217" s="7">
        <v>1122</v>
      </c>
      <c r="F217" s="1">
        <v>6.1777823579317766E-4</v>
      </c>
      <c r="G217" s="1">
        <v>117057158400</v>
      </c>
      <c r="H217" s="1">
        <v>0</v>
      </c>
      <c r="I217" s="7">
        <f t="shared" si="3"/>
        <v>135482.82222222222</v>
      </c>
      <c r="L217" s="5">
        <v>38098</v>
      </c>
      <c r="M217" s="7">
        <v>2.07114E-5</v>
      </c>
      <c r="N217" s="5" t="s">
        <v>954</v>
      </c>
      <c r="O217" s="5">
        <v>60</v>
      </c>
      <c r="P217" s="5">
        <v>38</v>
      </c>
      <c r="Q217" s="7">
        <v>0.65300000000000002</v>
      </c>
      <c r="R217" s="7">
        <v>1.0614811340887369</v>
      </c>
      <c r="S217" s="7">
        <v>258478272000</v>
      </c>
      <c r="T217" s="7">
        <v>0</v>
      </c>
    </row>
    <row r="218" spans="2:20" x14ac:dyDescent="0.2">
      <c r="B218">
        <v>39095</v>
      </c>
      <c r="C218" s="9">
        <v>2.52543E-5</v>
      </c>
      <c r="D218" s="5" t="s">
        <v>983</v>
      </c>
      <c r="E218" s="7">
        <v>618</v>
      </c>
      <c r="F218" s="1">
        <v>1.1215973795468371E-3</v>
      </c>
      <c r="G218" s="1">
        <v>315173664000</v>
      </c>
      <c r="H218" s="1">
        <v>0</v>
      </c>
      <c r="I218" s="7">
        <f t="shared" si="3"/>
        <v>364784.33333333331</v>
      </c>
      <c r="L218" s="5">
        <v>38099</v>
      </c>
      <c r="M218" s="7">
        <v>7.7651100000000003E-6</v>
      </c>
      <c r="N218" s="5" t="s">
        <v>955</v>
      </c>
      <c r="O218" s="5">
        <v>61</v>
      </c>
      <c r="P218" s="5">
        <v>38</v>
      </c>
      <c r="Q218" s="7">
        <v>0.26900000000000002</v>
      </c>
      <c r="R218" s="7">
        <v>2.5767553180667111</v>
      </c>
      <c r="S218" s="7">
        <v>96908572800</v>
      </c>
      <c r="T218" s="7">
        <v>0</v>
      </c>
    </row>
    <row r="219" spans="2:20" x14ac:dyDescent="0.2">
      <c r="B219">
        <v>39096</v>
      </c>
      <c r="C219" s="9">
        <v>4.24339E-5</v>
      </c>
      <c r="D219" s="5" t="s">
        <v>984</v>
      </c>
      <c r="E219" s="7">
        <v>5.34</v>
      </c>
      <c r="F219" s="1">
        <v>0.12980284280148788</v>
      </c>
      <c r="G219" s="1">
        <v>529575072000</v>
      </c>
      <c r="H219" s="1">
        <v>0</v>
      </c>
      <c r="I219" s="7">
        <f t="shared" si="3"/>
        <v>612934.11111111112</v>
      </c>
      <c r="L219" s="5">
        <v>38100</v>
      </c>
      <c r="M219" s="7">
        <v>6.7033800000000004E-6</v>
      </c>
      <c r="N219" s="5" t="s">
        <v>956</v>
      </c>
      <c r="O219" s="5">
        <v>62</v>
      </c>
      <c r="P219" s="5">
        <v>38</v>
      </c>
      <c r="Q219" s="7">
        <v>0.20200000000000001</v>
      </c>
      <c r="R219" s="7">
        <v>3.431421685940323</v>
      </c>
      <c r="S219" s="7">
        <v>83658182400</v>
      </c>
      <c r="T219" s="7">
        <v>0</v>
      </c>
    </row>
    <row r="220" spans="2:20" x14ac:dyDescent="0.2">
      <c r="B220">
        <v>39097</v>
      </c>
      <c r="C220" s="9">
        <v>6.9031900000000006E-5</v>
      </c>
      <c r="D220" s="5" t="s">
        <v>985</v>
      </c>
      <c r="E220" s="7">
        <v>3.75</v>
      </c>
      <c r="F220" s="1">
        <v>0.18483924814931874</v>
      </c>
      <c r="G220" s="1">
        <v>861518112000.00012</v>
      </c>
      <c r="H220" s="1">
        <v>0</v>
      </c>
      <c r="I220" s="7">
        <f t="shared" si="3"/>
        <v>997127.44444444461</v>
      </c>
      <c r="L220" s="5">
        <v>39080</v>
      </c>
      <c r="M220" s="7">
        <v>2.9618199999999999E-6</v>
      </c>
      <c r="N220" s="5" t="s">
        <v>968</v>
      </c>
      <c r="O220" s="5">
        <v>41</v>
      </c>
      <c r="P220" s="5">
        <v>39</v>
      </c>
      <c r="Q220" s="7">
        <v>30.1</v>
      </c>
      <c r="R220" s="7">
        <v>2.3028145533552997E-2</v>
      </c>
      <c r="S220" s="7">
        <v>36963513600</v>
      </c>
      <c r="T220" s="7">
        <v>0</v>
      </c>
    </row>
    <row r="221" spans="2:20" x14ac:dyDescent="0.2">
      <c r="B221">
        <v>39098</v>
      </c>
      <c r="C221" s="9">
        <v>6.3832900000000003E-5</v>
      </c>
      <c r="D221" s="5" t="s">
        <v>986</v>
      </c>
      <c r="E221" s="7">
        <v>0.54800000000000004</v>
      </c>
      <c r="F221" s="1">
        <v>1.264867117810119</v>
      </c>
      <c r="G221" s="1">
        <v>796634592000</v>
      </c>
      <c r="H221" s="1">
        <v>0</v>
      </c>
      <c r="I221" s="7">
        <f t="shared" si="3"/>
        <v>922030.77777777775</v>
      </c>
      <c r="L221" s="5">
        <v>39081</v>
      </c>
      <c r="M221" s="7">
        <v>5.2992199999999997E-7</v>
      </c>
      <c r="N221" s="5" t="s">
        <v>969</v>
      </c>
      <c r="O221" s="5">
        <v>42</v>
      </c>
      <c r="P221" s="5">
        <v>39</v>
      </c>
      <c r="Q221" s="7">
        <v>70.400000000000006</v>
      </c>
      <c r="R221" s="7">
        <v>9.8458406329537673E-3</v>
      </c>
      <c r="S221" s="7">
        <v>6613426560</v>
      </c>
      <c r="T221" s="7">
        <v>0</v>
      </c>
    </row>
    <row r="222" spans="2:20" x14ac:dyDescent="0.2">
      <c r="B222">
        <v>39099</v>
      </c>
      <c r="C222" s="9">
        <v>5.4675700000000002E-5</v>
      </c>
      <c r="D222" s="5" t="s">
        <v>987</v>
      </c>
      <c r="E222" s="7">
        <v>1.484</v>
      </c>
      <c r="F222" s="1">
        <v>0.46708031035036746</v>
      </c>
      <c r="G222" s="1">
        <v>682352736000</v>
      </c>
      <c r="H222" s="1">
        <v>0</v>
      </c>
      <c r="I222" s="7">
        <f t="shared" si="3"/>
        <v>789760.11111111112</v>
      </c>
      <c r="L222" s="5">
        <v>39082</v>
      </c>
      <c r="M222" s="7">
        <v>8.6831200000000003E-8</v>
      </c>
      <c r="N222" s="5" t="s">
        <v>970</v>
      </c>
      <c r="O222" s="5">
        <v>43</v>
      </c>
      <c r="P222" s="5">
        <v>39</v>
      </c>
      <c r="Q222" s="7">
        <v>8.3000000000000007</v>
      </c>
      <c r="R222" s="7">
        <v>8.3511708501198226E-2</v>
      </c>
      <c r="S222" s="7">
        <v>1083653376</v>
      </c>
      <c r="T222" s="7">
        <v>0</v>
      </c>
    </row>
    <row r="223" spans="2:20" x14ac:dyDescent="0.2">
      <c r="B223">
        <v>39100</v>
      </c>
      <c r="C223" s="9">
        <v>2.6766799999999999E-5</v>
      </c>
      <c r="D223" s="5" t="s">
        <v>988</v>
      </c>
      <c r="E223" s="7">
        <v>0.73499999999999999</v>
      </c>
      <c r="F223" s="1">
        <v>0.94305738851693233</v>
      </c>
      <c r="G223" s="1">
        <v>334049664000</v>
      </c>
      <c r="H223" s="1">
        <v>0</v>
      </c>
      <c r="I223" s="7">
        <f t="shared" si="3"/>
        <v>386631.55555555556</v>
      </c>
      <c r="L223" s="5">
        <v>39083</v>
      </c>
      <c r="M223" s="7">
        <v>4.1321600000000003E-8</v>
      </c>
      <c r="N223" s="5" t="s">
        <v>971</v>
      </c>
      <c r="O223" s="5">
        <v>44</v>
      </c>
      <c r="P223" s="5">
        <v>39</v>
      </c>
      <c r="Q223" s="7">
        <v>424.8</v>
      </c>
      <c r="R223" s="7">
        <v>1.6317024024480821E-3</v>
      </c>
      <c r="S223" s="7">
        <v>515693568.00000006</v>
      </c>
      <c r="T223" s="7">
        <v>0</v>
      </c>
    </row>
    <row r="224" spans="2:20" x14ac:dyDescent="0.2">
      <c r="B224">
        <v>39101</v>
      </c>
      <c r="C224" s="9">
        <v>1.21421E-5</v>
      </c>
      <c r="D224" s="5" t="s">
        <v>989</v>
      </c>
      <c r="E224" s="7">
        <v>0.45</v>
      </c>
      <c r="F224" s="1">
        <v>1.5403270679109895</v>
      </c>
      <c r="G224" s="1">
        <v>151533408000</v>
      </c>
      <c r="H224" s="1">
        <v>0</v>
      </c>
      <c r="I224" s="7">
        <f t="shared" si="3"/>
        <v>175385.88888888888</v>
      </c>
      <c r="L224" s="5">
        <v>39084</v>
      </c>
      <c r="M224" s="7">
        <v>5.2350000000000002E-9</v>
      </c>
      <c r="N224" s="5" t="s">
        <v>972</v>
      </c>
      <c r="O224" s="5">
        <v>45</v>
      </c>
      <c r="P224" s="5">
        <v>39</v>
      </c>
      <c r="Q224" s="7">
        <v>2370</v>
      </c>
      <c r="R224" s="7">
        <v>2.9246716479322586E-4</v>
      </c>
      <c r="S224" s="7">
        <v>65332800</v>
      </c>
      <c r="T224" s="7">
        <v>0</v>
      </c>
    </row>
    <row r="225" spans="2:20" x14ac:dyDescent="0.2">
      <c r="B225">
        <v>39102</v>
      </c>
      <c r="C225" s="9">
        <v>3.1645899999999999E-6</v>
      </c>
      <c r="D225" s="5" t="s">
        <v>990</v>
      </c>
      <c r="E225" s="7">
        <v>0.36</v>
      </c>
      <c r="F225" s="1">
        <v>1.925408834888737</v>
      </c>
      <c r="G225" s="1">
        <v>39494083200</v>
      </c>
      <c r="H225" s="1">
        <v>0</v>
      </c>
      <c r="I225" s="7">
        <f t="shared" si="3"/>
        <v>45710.744444444441</v>
      </c>
      <c r="L225" s="5">
        <v>39085</v>
      </c>
      <c r="M225" s="7">
        <v>1.3959999999999999E-9</v>
      </c>
      <c r="N225" s="5" t="s">
        <v>973</v>
      </c>
      <c r="O225" s="5">
        <v>46</v>
      </c>
      <c r="P225" s="5">
        <v>39</v>
      </c>
      <c r="Q225" s="7">
        <v>9648</v>
      </c>
      <c r="R225" s="7">
        <v>7.184361324211705E-5</v>
      </c>
      <c r="S225" s="7">
        <v>17422080</v>
      </c>
      <c r="T225" s="7">
        <v>0</v>
      </c>
    </row>
    <row r="226" spans="2:20" x14ac:dyDescent="0.2">
      <c r="B226">
        <v>40081</v>
      </c>
      <c r="C226" s="9">
        <v>8.33552E-7</v>
      </c>
      <c r="D226" s="5" t="s">
        <v>1001</v>
      </c>
      <c r="E226" s="7">
        <v>5.5</v>
      </c>
      <c r="F226" s="1">
        <v>0.12602676010180824</v>
      </c>
      <c r="G226" s="1">
        <v>10402728960</v>
      </c>
      <c r="H226" s="1">
        <v>0</v>
      </c>
      <c r="I226" s="7">
        <f t="shared" si="3"/>
        <v>12040.195555555556</v>
      </c>
      <c r="L226" s="5">
        <v>39086</v>
      </c>
      <c r="M226" s="7">
        <v>1.3959999999999999E-10</v>
      </c>
      <c r="N226" s="5" t="s">
        <v>974</v>
      </c>
      <c r="O226" s="5">
        <v>47</v>
      </c>
      <c r="P226" s="5">
        <v>39</v>
      </c>
      <c r="Q226" s="7">
        <v>53064</v>
      </c>
      <c r="R226" s="7">
        <v>1.3062475134930372E-5</v>
      </c>
      <c r="S226" s="7">
        <v>1742186.1394134241</v>
      </c>
      <c r="T226" s="7">
        <v>2.1807230962847406E-173</v>
      </c>
    </row>
    <row r="227" spans="2:20" x14ac:dyDescent="0.2">
      <c r="B227">
        <v>40082</v>
      </c>
      <c r="C227" s="9">
        <v>1.09865E-7</v>
      </c>
      <c r="D227" s="5" t="s">
        <v>1002</v>
      </c>
      <c r="E227" s="7">
        <v>32</v>
      </c>
      <c r="F227" s="1">
        <v>2.166084939249829E-2</v>
      </c>
      <c r="G227" s="1">
        <v>1371115200</v>
      </c>
      <c r="H227" s="1">
        <v>0</v>
      </c>
      <c r="I227" s="7">
        <f t="shared" si="3"/>
        <v>1586.9388888888889</v>
      </c>
      <c r="L227" s="5">
        <v>39087</v>
      </c>
      <c r="M227" s="7">
        <v>6.9799999999999994E-11</v>
      </c>
      <c r="N227" s="5" t="s">
        <v>975</v>
      </c>
      <c r="O227" s="5">
        <v>48</v>
      </c>
      <c r="P227" s="5">
        <v>39</v>
      </c>
      <c r="Q227" s="7">
        <v>287280</v>
      </c>
      <c r="R227" s="7">
        <v>2.4127930261763619E-6</v>
      </c>
      <c r="S227" s="7">
        <v>762782.00809286721</v>
      </c>
      <c r="T227" s="7">
        <v>6.8707226924005383E-28</v>
      </c>
    </row>
    <row r="228" spans="2:20" x14ac:dyDescent="0.2">
      <c r="B228">
        <v>40083</v>
      </c>
      <c r="C228" s="9">
        <v>1.8845999999999999E-8</v>
      </c>
      <c r="D228" s="5" t="s">
        <v>1003</v>
      </c>
      <c r="E228" s="7">
        <v>42</v>
      </c>
      <c r="F228" s="1">
        <v>1.6503504299046318E-2</v>
      </c>
      <c r="G228" s="1">
        <v>235198080</v>
      </c>
      <c r="H228" s="1">
        <v>0</v>
      </c>
      <c r="I228" s="7">
        <f t="shared" si="3"/>
        <v>272.22000000000003</v>
      </c>
      <c r="L228" s="5">
        <v>39090</v>
      </c>
      <c r="M228" s="7">
        <v>1.3262E-9</v>
      </c>
      <c r="N228" s="5" t="s">
        <v>978</v>
      </c>
      <c r="O228" s="5">
        <v>51</v>
      </c>
      <c r="P228" s="5">
        <v>39</v>
      </c>
      <c r="Q228" s="7">
        <v>230590.8</v>
      </c>
      <c r="R228" s="7">
        <v>3.0059619922388289E-6</v>
      </c>
      <c r="S228" s="7">
        <v>15318168.718351856</v>
      </c>
      <c r="T228" s="7">
        <v>1.0370975085947581E-34</v>
      </c>
    </row>
    <row r="229" spans="2:20" x14ac:dyDescent="0.2">
      <c r="B229">
        <v>40084</v>
      </c>
      <c r="C229" s="9">
        <v>1.8148E-9</v>
      </c>
      <c r="D229" s="5" t="s">
        <v>1004</v>
      </c>
      <c r="E229" s="7">
        <v>1548</v>
      </c>
      <c r="F229" s="1">
        <v>4.4776949648575278E-4</v>
      </c>
      <c r="G229" s="1">
        <v>22648704</v>
      </c>
      <c r="H229" s="1">
        <v>0</v>
      </c>
      <c r="I229" s="7">
        <f t="shared" si="3"/>
        <v>26.213777777777775</v>
      </c>
      <c r="L229" s="5">
        <v>39091</v>
      </c>
      <c r="M229" s="7">
        <v>1.6123799999999998E-8</v>
      </c>
      <c r="N229" s="5" t="s">
        <v>979</v>
      </c>
      <c r="O229" s="5">
        <v>52</v>
      </c>
      <c r="P229" s="5">
        <v>39</v>
      </c>
      <c r="Q229" s="7">
        <v>5055264</v>
      </c>
      <c r="R229" s="7">
        <v>1.3711394312145624E-7</v>
      </c>
      <c r="S229" s="7">
        <v>22480533.737578016</v>
      </c>
      <c r="T229" s="7">
        <v>297787.37830407446</v>
      </c>
    </row>
    <row r="230" spans="2:20" x14ac:dyDescent="0.2">
      <c r="B230">
        <v>40085</v>
      </c>
      <c r="C230" s="9">
        <v>4.8860000000000005E-10</v>
      </c>
      <c r="D230" s="5" t="s">
        <v>1005</v>
      </c>
      <c r="E230" s="7">
        <v>471.6</v>
      </c>
      <c r="F230" s="1">
        <v>1.4697777365562876E-3</v>
      </c>
      <c r="G230" s="1">
        <v>6097728.0000000009</v>
      </c>
      <c r="H230" s="1">
        <v>0</v>
      </c>
      <c r="I230" s="7">
        <f t="shared" si="3"/>
        <v>7.057555555555556</v>
      </c>
      <c r="L230" s="5">
        <v>39092</v>
      </c>
      <c r="M230" s="7">
        <v>9.7580399999999999E-8</v>
      </c>
      <c r="N230" s="5" t="s">
        <v>980</v>
      </c>
      <c r="O230" s="5">
        <v>53</v>
      </c>
      <c r="P230" s="5">
        <v>39</v>
      </c>
      <c r="Q230" s="7">
        <v>12744</v>
      </c>
      <c r="R230" s="7">
        <v>5.4390080081602739E-5</v>
      </c>
      <c r="S230" s="7">
        <v>1217803392</v>
      </c>
      <c r="T230" s="7">
        <v>0</v>
      </c>
    </row>
    <row r="231" spans="2:20" x14ac:dyDescent="0.2">
      <c r="B231">
        <v>40086</v>
      </c>
      <c r="C231" s="9">
        <v>1.3959999999999999E-10</v>
      </c>
      <c r="D231" s="5" t="s">
        <v>1006</v>
      </c>
      <c r="E231" s="7">
        <v>59400</v>
      </c>
      <c r="F231" s="1">
        <v>1.1669144453871133E-5</v>
      </c>
      <c r="G231" s="1">
        <v>1742135.1412216676</v>
      </c>
      <c r="H231" s="1">
        <v>2.6394929528226289E-154</v>
      </c>
      <c r="I231" s="7">
        <f t="shared" si="3"/>
        <v>2.0163601171547079</v>
      </c>
      <c r="L231" s="5">
        <v>39093</v>
      </c>
      <c r="M231" s="7">
        <v>6.3720400000000002E-7</v>
      </c>
      <c r="N231" s="5" t="s">
        <v>981</v>
      </c>
      <c r="O231" s="5">
        <v>54</v>
      </c>
      <c r="P231" s="5">
        <v>39</v>
      </c>
      <c r="Q231" s="7">
        <v>36648</v>
      </c>
      <c r="R231" s="7">
        <v>1.891364277886775E-5</v>
      </c>
      <c r="S231" s="7">
        <v>7952305283.9097757</v>
      </c>
      <c r="T231" s="7">
        <v>7.2598725278525062E-250</v>
      </c>
    </row>
    <row r="232" spans="2:20" x14ac:dyDescent="0.2">
      <c r="B232">
        <v>40089</v>
      </c>
      <c r="C232" s="9">
        <v>1.3959999999999999E-10</v>
      </c>
      <c r="D232" s="5" t="s">
        <v>1009</v>
      </c>
      <c r="E232" s="7">
        <v>282276</v>
      </c>
      <c r="F232" s="1">
        <v>2.4555654060562899E-6</v>
      </c>
      <c r="G232" s="1">
        <v>1533424.0380577643</v>
      </c>
      <c r="H232" s="1">
        <v>3.5847390598106117E-28</v>
      </c>
      <c r="I232" s="7">
        <f t="shared" si="3"/>
        <v>1.7747963403446347</v>
      </c>
      <c r="L232" s="5">
        <v>39094</v>
      </c>
      <c r="M232" s="7">
        <v>2.2451899999999998E-6</v>
      </c>
      <c r="N232" s="5" t="s">
        <v>982</v>
      </c>
      <c r="O232" s="5">
        <v>55</v>
      </c>
      <c r="P232" s="5">
        <v>39</v>
      </c>
      <c r="Q232" s="7">
        <v>1122</v>
      </c>
      <c r="R232" s="7">
        <v>6.1777823579317766E-4</v>
      </c>
      <c r="S232" s="7">
        <v>28019971199.999996</v>
      </c>
      <c r="T232" s="7">
        <v>0</v>
      </c>
    </row>
    <row r="233" spans="2:20" x14ac:dyDescent="0.2">
      <c r="B233">
        <v>40093</v>
      </c>
      <c r="C233" s="9">
        <v>1.91601E-7</v>
      </c>
      <c r="D233" s="5" t="s">
        <v>1013</v>
      </c>
      <c r="E233" s="7">
        <v>50807736000000</v>
      </c>
      <c r="F233" s="1">
        <v>1.3642552003496973E-14</v>
      </c>
      <c r="G233" s="1">
        <v>28.185238649228133</v>
      </c>
      <c r="H233" s="1">
        <v>28.185226523052673</v>
      </c>
      <c r="I233" s="7">
        <f t="shared" si="3"/>
        <v>3.2621803992162192E-5</v>
      </c>
      <c r="L233" s="5">
        <v>39095</v>
      </c>
      <c r="M233" s="7">
        <v>8.2075700000000004E-6</v>
      </c>
      <c r="N233" s="5" t="s">
        <v>983</v>
      </c>
      <c r="O233" s="5">
        <v>56</v>
      </c>
      <c r="P233" s="5">
        <v>39</v>
      </c>
      <c r="Q233" s="7">
        <v>618</v>
      </c>
      <c r="R233" s="7">
        <v>1.1215973795468371E-3</v>
      </c>
      <c r="S233" s="7">
        <v>102430473600</v>
      </c>
      <c r="T233" s="7">
        <v>0</v>
      </c>
    </row>
    <row r="234" spans="2:20" x14ac:dyDescent="0.2">
      <c r="B234">
        <v>40095</v>
      </c>
      <c r="C234" s="9">
        <v>2.8452599999999998E-6</v>
      </c>
      <c r="D234" s="5" t="s">
        <v>1015</v>
      </c>
      <c r="E234" s="7">
        <v>5532364.7999999998</v>
      </c>
      <c r="F234" s="1">
        <v>1.2528949294159802E-7</v>
      </c>
      <c r="G234" s="1">
        <v>3643097108.4203691</v>
      </c>
      <c r="H234" s="1">
        <v>70067565.882841721</v>
      </c>
      <c r="I234" s="7">
        <f t="shared" si="3"/>
        <v>4216.5475791902418</v>
      </c>
      <c r="L234" s="5">
        <v>39096</v>
      </c>
      <c r="M234" s="7">
        <v>1.5322799999999998E-5</v>
      </c>
      <c r="N234" s="5" t="s">
        <v>984</v>
      </c>
      <c r="O234" s="5">
        <v>57</v>
      </c>
      <c r="P234" s="5">
        <v>39</v>
      </c>
      <c r="Q234" s="7">
        <v>5.34</v>
      </c>
      <c r="R234" s="7">
        <v>0.12980284280148788</v>
      </c>
      <c r="S234" s="7">
        <v>191228543999.99997</v>
      </c>
      <c r="T234" s="7">
        <v>0</v>
      </c>
    </row>
    <row r="235" spans="2:20" x14ac:dyDescent="0.2">
      <c r="B235">
        <v>40096</v>
      </c>
      <c r="C235" s="9">
        <v>8.3706299999999995E-6</v>
      </c>
      <c r="D235" s="5" t="s">
        <v>1016</v>
      </c>
      <c r="E235" s="7">
        <v>7.4160360000000004E+26</v>
      </c>
      <c r="F235" s="1">
        <v>9.3465994577149465E-28</v>
      </c>
      <c r="G235" s="1">
        <v>0</v>
      </c>
      <c r="H235" s="1">
        <v>0</v>
      </c>
      <c r="I235" s="7">
        <f t="shared" si="3"/>
        <v>0</v>
      </c>
      <c r="L235" s="5">
        <v>39097</v>
      </c>
      <c r="M235" s="7">
        <v>2.64968E-5</v>
      </c>
      <c r="N235" s="5" t="s">
        <v>985</v>
      </c>
      <c r="O235" s="5">
        <v>58</v>
      </c>
      <c r="P235" s="5">
        <v>39</v>
      </c>
      <c r="Q235" s="7">
        <v>3.75</v>
      </c>
      <c r="R235" s="7">
        <v>0.18483924814931874</v>
      </c>
      <c r="S235" s="7">
        <v>330680064000</v>
      </c>
      <c r="T235" s="7">
        <v>0</v>
      </c>
    </row>
    <row r="236" spans="2:20" x14ac:dyDescent="0.2">
      <c r="B236">
        <v>40097</v>
      </c>
      <c r="C236" s="9">
        <v>2.0043699999999999E-5</v>
      </c>
      <c r="D236" s="5" t="s">
        <v>1017</v>
      </c>
      <c r="E236" s="7">
        <v>60296.3999999999</v>
      </c>
      <c r="F236" s="1">
        <v>1.149566442706275E-5</v>
      </c>
      <c r="G236" s="1">
        <v>250133223396.01163</v>
      </c>
      <c r="H236" s="1">
        <v>9.0069347168478187E-147</v>
      </c>
      <c r="I236" s="7">
        <f t="shared" si="3"/>
        <v>289506.04559723567</v>
      </c>
      <c r="L236" s="5">
        <v>39098</v>
      </c>
      <c r="M236" s="7">
        <v>2.36196E-5</v>
      </c>
      <c r="N236" s="5" t="s">
        <v>986</v>
      </c>
      <c r="O236" s="5">
        <v>59</v>
      </c>
      <c r="P236" s="5">
        <v>39</v>
      </c>
      <c r="Q236" s="7">
        <v>0.54800000000000004</v>
      </c>
      <c r="R236" s="7">
        <v>1.264867117810119</v>
      </c>
      <c r="S236" s="7">
        <v>294772608000</v>
      </c>
      <c r="T236" s="7">
        <v>0</v>
      </c>
    </row>
    <row r="237" spans="2:20" x14ac:dyDescent="0.2">
      <c r="B237">
        <v>40098</v>
      </c>
      <c r="C237" s="9">
        <v>4.1214899999999997E-5</v>
      </c>
      <c r="D237" s="5" t="s">
        <v>1018</v>
      </c>
      <c r="E237" s="7">
        <v>30.7</v>
      </c>
      <c r="F237" s="1">
        <v>2.2578084057327207E-2</v>
      </c>
      <c r="G237" s="1">
        <v>514361951999.99994</v>
      </c>
      <c r="H237" s="1">
        <v>0</v>
      </c>
      <c r="I237" s="7">
        <f t="shared" si="3"/>
        <v>595326.33333333326</v>
      </c>
      <c r="L237" s="5">
        <v>39099</v>
      </c>
      <c r="M237" s="7">
        <v>2.86367E-5</v>
      </c>
      <c r="N237" s="5" t="s">
        <v>987</v>
      </c>
      <c r="O237" s="5">
        <v>60</v>
      </c>
      <c r="P237" s="5">
        <v>39</v>
      </c>
      <c r="Q237" s="7">
        <v>1.484</v>
      </c>
      <c r="R237" s="7">
        <v>0.46708031035036746</v>
      </c>
      <c r="S237" s="7">
        <v>357386016000</v>
      </c>
      <c r="T237" s="7">
        <v>0</v>
      </c>
    </row>
    <row r="238" spans="2:20" x14ac:dyDescent="0.2">
      <c r="B238">
        <v>40099</v>
      </c>
      <c r="C238" s="9">
        <v>6.3559599999999994E-5</v>
      </c>
      <c r="D238" s="5" t="s">
        <v>1019</v>
      </c>
      <c r="E238" s="7">
        <v>2.1</v>
      </c>
      <c r="F238" s="1">
        <v>0.3300700859809263</v>
      </c>
      <c r="G238" s="1">
        <v>793223807999.99988</v>
      </c>
      <c r="H238" s="1">
        <v>0</v>
      </c>
      <c r="I238" s="7">
        <f t="shared" si="3"/>
        <v>918083.11111111101</v>
      </c>
      <c r="L238" s="5">
        <v>39100</v>
      </c>
      <c r="M238" s="7">
        <v>1.96514E-5</v>
      </c>
      <c r="N238" s="5" t="s">
        <v>988</v>
      </c>
      <c r="O238" s="5">
        <v>61</v>
      </c>
      <c r="P238" s="5">
        <v>39</v>
      </c>
      <c r="Q238" s="7">
        <v>0.73499999999999999</v>
      </c>
      <c r="R238" s="7">
        <v>0.94305738851693233</v>
      </c>
      <c r="S238" s="7">
        <v>245249472000</v>
      </c>
      <c r="T238" s="7">
        <v>0</v>
      </c>
    </row>
    <row r="239" spans="2:20" x14ac:dyDescent="0.2">
      <c r="B239">
        <v>40100</v>
      </c>
      <c r="C239" s="9">
        <v>7.5980800000000003E-5</v>
      </c>
      <c r="D239" s="5" t="s">
        <v>1020</v>
      </c>
      <c r="E239" s="7">
        <v>7.1</v>
      </c>
      <c r="F239" s="1">
        <v>9.7626363459147228E-2</v>
      </c>
      <c r="G239" s="1">
        <v>948240384000</v>
      </c>
      <c r="H239" s="1">
        <v>0</v>
      </c>
      <c r="I239" s="7">
        <f t="shared" si="3"/>
        <v>1097500.4444444445</v>
      </c>
      <c r="L239" s="5">
        <v>39101</v>
      </c>
      <c r="M239" s="7">
        <v>1.24008E-5</v>
      </c>
      <c r="N239" s="5" t="s">
        <v>989</v>
      </c>
      <c r="O239" s="5">
        <v>62</v>
      </c>
      <c r="P239" s="5">
        <v>39</v>
      </c>
      <c r="Q239" s="7">
        <v>0.45</v>
      </c>
      <c r="R239" s="7">
        <v>1.5403270679109895</v>
      </c>
      <c r="S239" s="7">
        <v>154761984000</v>
      </c>
      <c r="T239" s="7">
        <v>0</v>
      </c>
    </row>
    <row r="240" spans="2:20" x14ac:dyDescent="0.2">
      <c r="B240">
        <v>40101</v>
      </c>
      <c r="C240" s="9">
        <v>6.0205099999999997E-5</v>
      </c>
      <c r="D240" s="5" t="s">
        <v>1021</v>
      </c>
      <c r="E240" s="7">
        <v>2.2999999999999998</v>
      </c>
      <c r="F240" s="1">
        <v>0.30136833937388929</v>
      </c>
      <c r="G240" s="1">
        <v>751359648000</v>
      </c>
      <c r="H240" s="1">
        <v>0</v>
      </c>
      <c r="I240" s="7">
        <f t="shared" si="3"/>
        <v>869629.22222222225</v>
      </c>
      <c r="L240" s="5">
        <v>39102</v>
      </c>
      <c r="M240" s="7">
        <v>6.2177800000000003E-6</v>
      </c>
      <c r="N240" s="5" t="s">
        <v>990</v>
      </c>
      <c r="O240" s="5">
        <v>63</v>
      </c>
      <c r="P240" s="5">
        <v>39</v>
      </c>
      <c r="Q240" s="7">
        <v>0.36</v>
      </c>
      <c r="R240" s="7">
        <v>1.925408834888737</v>
      </c>
      <c r="S240" s="7">
        <v>77597894400</v>
      </c>
      <c r="T240" s="7">
        <v>0</v>
      </c>
    </row>
    <row r="241" spans="2:20" x14ac:dyDescent="0.2">
      <c r="B241">
        <v>40102</v>
      </c>
      <c r="C241" s="9">
        <v>3.4218199999999997E-5</v>
      </c>
      <c r="D241" s="5" t="s">
        <v>1022</v>
      </c>
      <c r="E241" s="7">
        <v>2.9</v>
      </c>
      <c r="F241" s="1">
        <v>0.23901626915860183</v>
      </c>
      <c r="G241" s="1">
        <v>427043135999.99994</v>
      </c>
      <c r="H241" s="1">
        <v>0</v>
      </c>
      <c r="I241" s="7">
        <f t="shared" si="3"/>
        <v>494262.88888888882</v>
      </c>
      <c r="L241" s="5">
        <v>40081</v>
      </c>
      <c r="M241" s="7">
        <v>4.1241299999999996E-6</v>
      </c>
      <c r="N241" s="5" t="s">
        <v>1001</v>
      </c>
      <c r="O241" s="5">
        <v>41</v>
      </c>
      <c r="P241" s="5">
        <v>40</v>
      </c>
      <c r="Q241" s="7">
        <v>5.5</v>
      </c>
      <c r="R241" s="7">
        <v>0.12602676010180824</v>
      </c>
      <c r="S241" s="7">
        <v>51469142399.999992</v>
      </c>
      <c r="T241" s="7">
        <v>0</v>
      </c>
    </row>
    <row r="242" spans="2:20" x14ac:dyDescent="0.2">
      <c r="B242">
        <v>41084</v>
      </c>
      <c r="C242" s="9">
        <v>1.23821E-5</v>
      </c>
      <c r="D242" s="5" t="s">
        <v>1035</v>
      </c>
      <c r="E242" s="7">
        <v>9.8000000000000007</v>
      </c>
      <c r="F242" s="1">
        <v>7.0729304138769919E-2</v>
      </c>
      <c r="G242" s="1">
        <v>154528608000</v>
      </c>
      <c r="H242" s="1">
        <v>0</v>
      </c>
      <c r="I242" s="7">
        <f t="shared" si="3"/>
        <v>178852.55555555556</v>
      </c>
      <c r="L242" s="5">
        <v>40082</v>
      </c>
      <c r="M242" s="7">
        <v>5.1135500000000002E-7</v>
      </c>
      <c r="N242" s="5" t="s">
        <v>1002</v>
      </c>
      <c r="O242" s="5">
        <v>42</v>
      </c>
      <c r="P242" s="5">
        <v>40</v>
      </c>
      <c r="Q242" s="7">
        <v>32</v>
      </c>
      <c r="R242" s="7">
        <v>2.166084939249829E-2</v>
      </c>
      <c r="S242" s="7">
        <v>6381710400</v>
      </c>
      <c r="T242" s="7">
        <v>0</v>
      </c>
    </row>
    <row r="243" spans="2:20" x14ac:dyDescent="0.2">
      <c r="B243">
        <v>41085</v>
      </c>
      <c r="C243" s="9">
        <v>3.6280600000000002E-6</v>
      </c>
      <c r="D243" s="5" t="s">
        <v>1036</v>
      </c>
      <c r="E243" s="7">
        <v>20.5</v>
      </c>
      <c r="F243" s="1">
        <v>3.3812057588290013E-2</v>
      </c>
      <c r="G243" s="1">
        <v>45278188800</v>
      </c>
      <c r="H243" s="1">
        <v>0</v>
      </c>
      <c r="I243" s="7">
        <f t="shared" si="3"/>
        <v>52405.311111111114</v>
      </c>
      <c r="L243" s="5">
        <v>40083</v>
      </c>
      <c r="M243" s="7">
        <v>2.3711100000000001E-7</v>
      </c>
      <c r="N243" s="5" t="s">
        <v>1003</v>
      </c>
      <c r="O243" s="5">
        <v>43</v>
      </c>
      <c r="P243" s="5">
        <v>40</v>
      </c>
      <c r="Q243" s="7">
        <v>42</v>
      </c>
      <c r="R243" s="7">
        <v>1.6503504299046318E-2</v>
      </c>
      <c r="S243" s="7">
        <v>2959145280</v>
      </c>
      <c r="T243" s="7">
        <v>0</v>
      </c>
    </row>
    <row r="244" spans="2:20" x14ac:dyDescent="0.2">
      <c r="B244">
        <v>41086</v>
      </c>
      <c r="C244" s="9">
        <v>7.1531000000000002E-7</v>
      </c>
      <c r="D244" s="5" t="s">
        <v>1037</v>
      </c>
      <c r="E244" s="7">
        <v>88</v>
      </c>
      <c r="F244" s="1">
        <v>7.8766725063630152E-3</v>
      </c>
      <c r="G244" s="1">
        <v>8927068800</v>
      </c>
      <c r="H244" s="1">
        <v>0</v>
      </c>
      <c r="I244" s="7">
        <f t="shared" si="3"/>
        <v>10332.255555555555</v>
      </c>
      <c r="L244" s="5">
        <v>40084</v>
      </c>
      <c r="M244" s="7">
        <v>3.9576600000000002E-8</v>
      </c>
      <c r="N244" s="5" t="s">
        <v>1004</v>
      </c>
      <c r="O244" s="5">
        <v>44</v>
      </c>
      <c r="P244" s="5">
        <v>40</v>
      </c>
      <c r="Q244" s="7">
        <v>1548</v>
      </c>
      <c r="R244" s="7">
        <v>4.4776949648575278E-4</v>
      </c>
      <c r="S244" s="7">
        <v>493915968.00000006</v>
      </c>
      <c r="T244" s="7">
        <v>0</v>
      </c>
    </row>
    <row r="245" spans="2:20" x14ac:dyDescent="0.2">
      <c r="B245">
        <v>41087</v>
      </c>
      <c r="C245" s="9">
        <v>1.42252E-7</v>
      </c>
      <c r="D245" s="5" t="s">
        <v>1038</v>
      </c>
      <c r="E245" s="7">
        <v>222</v>
      </c>
      <c r="F245" s="1">
        <v>3.1222845971168706E-3</v>
      </c>
      <c r="G245" s="1">
        <v>1775304960</v>
      </c>
      <c r="H245" s="1">
        <v>0</v>
      </c>
      <c r="I245" s="7">
        <f t="shared" si="3"/>
        <v>2054.7511111111112</v>
      </c>
      <c r="L245" s="5">
        <v>40085</v>
      </c>
      <c r="M245" s="7">
        <v>1.34016E-8</v>
      </c>
      <c r="N245" s="5" t="s">
        <v>1005</v>
      </c>
      <c r="O245" s="5">
        <v>45</v>
      </c>
      <c r="P245" s="5">
        <v>40</v>
      </c>
      <c r="Q245" s="7">
        <v>471.6</v>
      </c>
      <c r="R245" s="7">
        <v>1.4697777365562876E-3</v>
      </c>
      <c r="S245" s="7">
        <v>167251968</v>
      </c>
      <c r="T245" s="7">
        <v>0</v>
      </c>
    </row>
    <row r="246" spans="2:20" x14ac:dyDescent="0.2">
      <c r="B246">
        <v>41088</v>
      </c>
      <c r="C246" s="9">
        <v>3.0711999999999997E-8</v>
      </c>
      <c r="D246" s="5" t="s">
        <v>1039</v>
      </c>
      <c r="E246" s="7">
        <v>873</v>
      </c>
      <c r="F246" s="1">
        <v>7.9398302469638638E-4</v>
      </c>
      <c r="G246" s="1">
        <v>383285759.99999994</v>
      </c>
      <c r="H246" s="1">
        <v>0</v>
      </c>
      <c r="I246" s="7">
        <f t="shared" si="3"/>
        <v>443.61777777777769</v>
      </c>
      <c r="L246" s="5">
        <v>40086</v>
      </c>
      <c r="M246" s="7">
        <v>1.8845999999999999E-9</v>
      </c>
      <c r="N246" s="5" t="s">
        <v>1006</v>
      </c>
      <c r="O246" s="5">
        <v>46</v>
      </c>
      <c r="P246" s="5">
        <v>40</v>
      </c>
      <c r="Q246" s="7">
        <v>59400</v>
      </c>
      <c r="R246" s="7">
        <v>1.1669144453871133E-5</v>
      </c>
      <c r="S246" s="7">
        <v>23518824.406492516</v>
      </c>
      <c r="T246" s="7">
        <v>3.5633154863105492E-153</v>
      </c>
    </row>
    <row r="247" spans="2:20" x14ac:dyDescent="0.2">
      <c r="B247">
        <v>41089</v>
      </c>
      <c r="C247" s="9">
        <v>1.10284E-8</v>
      </c>
      <c r="D247" s="5" t="s">
        <v>1040</v>
      </c>
      <c r="E247" s="7">
        <v>7307.99999999999</v>
      </c>
      <c r="F247" s="1">
        <v>9.4847725856588155E-5</v>
      </c>
      <c r="G247" s="1">
        <v>137634432</v>
      </c>
      <c r="H247" s="1">
        <v>0</v>
      </c>
      <c r="I247" s="7">
        <f t="shared" si="3"/>
        <v>159.2991111111111</v>
      </c>
      <c r="L247" s="5">
        <v>40087</v>
      </c>
      <c r="M247" s="7">
        <v>2.7919999999999998E-10</v>
      </c>
      <c r="N247" s="5" t="s">
        <v>1007</v>
      </c>
      <c r="O247" s="5">
        <v>47</v>
      </c>
      <c r="P247" s="5">
        <v>40</v>
      </c>
      <c r="Q247" s="7">
        <v>6048</v>
      </c>
      <c r="R247" s="7">
        <v>1.146076687433772E-4</v>
      </c>
      <c r="S247" s="7">
        <v>3484415.9999999995</v>
      </c>
      <c r="T247" s="7">
        <v>0</v>
      </c>
    </row>
    <row r="248" spans="2:20" x14ac:dyDescent="0.2">
      <c r="B248">
        <v>41090</v>
      </c>
      <c r="C248" s="9">
        <v>2.9316000000000001E-9</v>
      </c>
      <c r="D248" s="5" t="s">
        <v>1041</v>
      </c>
      <c r="E248" s="7">
        <v>52560</v>
      </c>
      <c r="F248" s="1">
        <v>1.3187731745813266E-5</v>
      </c>
      <c r="G248" s="1">
        <v>36585956.015370511</v>
      </c>
      <c r="H248" s="1">
        <v>8.8169222185218359E-174</v>
      </c>
      <c r="I248" s="7">
        <f t="shared" si="3"/>
        <v>42.344856499271422</v>
      </c>
      <c r="L248" s="5">
        <v>40093</v>
      </c>
      <c r="M248" s="7">
        <v>6.631E-9</v>
      </c>
      <c r="N248" s="5" t="s">
        <v>1013</v>
      </c>
      <c r="O248" s="5">
        <v>53</v>
      </c>
      <c r="P248" s="5">
        <v>40</v>
      </c>
      <c r="Q248" s="7">
        <v>50807736000000</v>
      </c>
      <c r="R248" s="7">
        <v>1.3642552003496973E-14</v>
      </c>
      <c r="S248" s="7">
        <v>0.97544541773284976</v>
      </c>
      <c r="T248" s="7">
        <v>0.97544499806557527</v>
      </c>
    </row>
    <row r="249" spans="2:20" x14ac:dyDescent="0.2">
      <c r="B249">
        <v>41091</v>
      </c>
      <c r="C249" s="9">
        <v>1.047E-9</v>
      </c>
      <c r="D249" s="5" t="s">
        <v>1042</v>
      </c>
      <c r="E249" s="7">
        <v>21459168000</v>
      </c>
      <c r="F249" s="1">
        <v>3.2300748125926655E-11</v>
      </c>
      <c r="G249" s="1">
        <v>364.65446082130939</v>
      </c>
      <c r="H249" s="1">
        <v>364.28319963886196</v>
      </c>
      <c r="I249" s="7">
        <f t="shared" si="3"/>
        <v>4.2205377409873773E-4</v>
      </c>
      <c r="L249" s="5">
        <v>40095</v>
      </c>
      <c r="M249" s="7">
        <v>3.2059100000000002E-7</v>
      </c>
      <c r="N249" s="5" t="s">
        <v>1015</v>
      </c>
      <c r="O249" s="5">
        <v>55</v>
      </c>
      <c r="P249" s="5">
        <v>40</v>
      </c>
      <c r="Q249" s="7">
        <v>5532364.7999999998</v>
      </c>
      <c r="R249" s="7">
        <v>1.2528949294159802E-7</v>
      </c>
      <c r="S249" s="7">
        <v>410487668.99530959</v>
      </c>
      <c r="T249" s="7">
        <v>7894895.7262064312</v>
      </c>
    </row>
    <row r="250" spans="2:20" x14ac:dyDescent="0.2">
      <c r="B250">
        <v>41092</v>
      </c>
      <c r="C250" s="9">
        <v>5.5839999999999995E-10</v>
      </c>
      <c r="D250" s="5" t="s">
        <v>1043</v>
      </c>
      <c r="E250" s="7">
        <v>1095048720000000</v>
      </c>
      <c r="F250" s="1">
        <v>6.3298296039279903E-16</v>
      </c>
      <c r="G250" s="1">
        <v>3.8112354413328826E-3</v>
      </c>
      <c r="H250" s="1">
        <v>3.8112353652539517E-3</v>
      </c>
      <c r="I250" s="7">
        <f t="shared" si="3"/>
        <v>4.4111521311723182E-9</v>
      </c>
      <c r="L250" s="5">
        <v>40096</v>
      </c>
      <c r="M250" s="7">
        <v>1.9395299999999998E-6</v>
      </c>
      <c r="N250" s="5" t="s">
        <v>1016</v>
      </c>
      <c r="O250" s="5">
        <v>56</v>
      </c>
      <c r="P250" s="5">
        <v>40</v>
      </c>
      <c r="Q250" s="7">
        <v>7.4160360000000004E+26</v>
      </c>
      <c r="R250" s="7">
        <v>9.3465994577149465E-28</v>
      </c>
      <c r="S250" s="7">
        <v>0</v>
      </c>
      <c r="T250" s="7">
        <v>0</v>
      </c>
    </row>
    <row r="251" spans="2:20" x14ac:dyDescent="0.2">
      <c r="B251">
        <v>41094</v>
      </c>
      <c r="C251" s="9">
        <v>9.4928000000000001E-9</v>
      </c>
      <c r="D251" s="5" t="s">
        <v>1045</v>
      </c>
      <c r="E251" s="7">
        <v>640619280000</v>
      </c>
      <c r="F251" s="1">
        <v>1.0819955037256219E-12</v>
      </c>
      <c r="G251" s="1">
        <v>110.75106517933671</v>
      </c>
      <c r="H251" s="1">
        <v>110.74728621698348</v>
      </c>
      <c r="I251" s="7">
        <f t="shared" si="3"/>
        <v>1.2818410321682489E-4</v>
      </c>
      <c r="L251" s="5">
        <v>40097</v>
      </c>
      <c r="M251" s="7">
        <v>5.0529600000000003E-6</v>
      </c>
      <c r="N251" s="5" t="s">
        <v>1017</v>
      </c>
      <c r="O251" s="5">
        <v>57</v>
      </c>
      <c r="P251" s="5">
        <v>40</v>
      </c>
      <c r="Q251" s="7">
        <v>60296.3999999999</v>
      </c>
      <c r="R251" s="7">
        <v>1.149566442706275E-5</v>
      </c>
      <c r="S251" s="7">
        <v>63057877162.954498</v>
      </c>
      <c r="T251" s="7">
        <v>2.2706227316734613E-147</v>
      </c>
    </row>
    <row r="252" spans="2:20" x14ac:dyDescent="0.2">
      <c r="B252">
        <v>41095</v>
      </c>
      <c r="C252" s="9">
        <v>5.4444000000000001E-8</v>
      </c>
      <c r="D252" s="5" t="s">
        <v>1046</v>
      </c>
      <c r="E252" s="7">
        <v>3023222.4</v>
      </c>
      <c r="F252" s="1">
        <v>2.2927429373371449E-7</v>
      </c>
      <c r="G252" s="1">
        <v>122103531.74538988</v>
      </c>
      <c r="H252" s="1">
        <v>88431.696009050589</v>
      </c>
      <c r="I252" s="7">
        <f t="shared" si="3"/>
        <v>141.32353211271979</v>
      </c>
      <c r="L252" s="5">
        <v>40098</v>
      </c>
      <c r="M252" s="7">
        <v>1.28967E-5</v>
      </c>
      <c r="N252" s="5" t="s">
        <v>1018</v>
      </c>
      <c r="O252" s="5">
        <v>58</v>
      </c>
      <c r="P252" s="5">
        <v>40</v>
      </c>
      <c r="Q252" s="7">
        <v>30.7</v>
      </c>
      <c r="R252" s="7">
        <v>2.2578084057327207E-2</v>
      </c>
      <c r="S252" s="7">
        <v>160950816000</v>
      </c>
      <c r="T252" s="7">
        <v>0</v>
      </c>
    </row>
    <row r="253" spans="2:20" x14ac:dyDescent="0.2">
      <c r="B253">
        <v>41096</v>
      </c>
      <c r="C253" s="9">
        <v>2.5281600000000001E-7</v>
      </c>
      <c r="D253" s="5" t="s">
        <v>1047</v>
      </c>
      <c r="E253" s="7">
        <v>84060</v>
      </c>
      <c r="F253" s="1">
        <v>8.2458622479175036E-6</v>
      </c>
      <c r="G253" s="1">
        <v>3152603171.3112259</v>
      </c>
      <c r="H253" s="1">
        <v>3.6650140655902868E-104</v>
      </c>
      <c r="I253" s="7">
        <f t="shared" si="3"/>
        <v>3648.8462630916965</v>
      </c>
      <c r="L253" s="5">
        <v>40099</v>
      </c>
      <c r="M253" s="7">
        <v>1.52091E-5</v>
      </c>
      <c r="N253" s="5" t="s">
        <v>1019</v>
      </c>
      <c r="O253" s="5">
        <v>59</v>
      </c>
      <c r="P253" s="5">
        <v>40</v>
      </c>
      <c r="Q253" s="7">
        <v>2.1</v>
      </c>
      <c r="R253" s="7">
        <v>0.3300700859809263</v>
      </c>
      <c r="S253" s="7">
        <v>189809568000</v>
      </c>
      <c r="T253" s="7">
        <v>0</v>
      </c>
    </row>
    <row r="254" spans="2:20" x14ac:dyDescent="0.2">
      <c r="B254">
        <v>41097</v>
      </c>
      <c r="C254" s="9">
        <v>1.08365E-6</v>
      </c>
      <c r="D254" s="5" t="s">
        <v>1048</v>
      </c>
      <c r="E254" s="7">
        <v>4326</v>
      </c>
      <c r="F254" s="1">
        <v>1.6022819707811958E-4</v>
      </c>
      <c r="G254" s="1">
        <v>13523952000</v>
      </c>
      <c r="H254" s="1">
        <v>0</v>
      </c>
      <c r="I254" s="7">
        <f t="shared" si="3"/>
        <v>15652.722222222223</v>
      </c>
      <c r="L254" s="5">
        <v>40100</v>
      </c>
      <c r="M254" s="7">
        <v>2.7160200000000001E-5</v>
      </c>
      <c r="N254" s="5" t="s">
        <v>1020</v>
      </c>
      <c r="O254" s="5">
        <v>60</v>
      </c>
      <c r="P254" s="5">
        <v>40</v>
      </c>
      <c r="Q254" s="7">
        <v>7.1</v>
      </c>
      <c r="R254" s="7">
        <v>9.7626363459147228E-2</v>
      </c>
      <c r="S254" s="7">
        <v>338959296000</v>
      </c>
      <c r="T254" s="7">
        <v>0</v>
      </c>
    </row>
    <row r="255" spans="2:20" x14ac:dyDescent="0.2">
      <c r="B255">
        <v>41098</v>
      </c>
      <c r="C255" s="9">
        <v>3.5865299999999999E-6</v>
      </c>
      <c r="D255" s="5" t="s">
        <v>1049</v>
      </c>
      <c r="E255" s="7">
        <v>2.86</v>
      </c>
      <c r="F255" s="1">
        <v>0.24235915404193892</v>
      </c>
      <c r="G255" s="1">
        <v>44759894400</v>
      </c>
      <c r="H255" s="1">
        <v>0</v>
      </c>
      <c r="I255" s="7">
        <f t="shared" si="3"/>
        <v>51805.433333333334</v>
      </c>
      <c r="L255" s="5">
        <v>40101</v>
      </c>
      <c r="M255" s="7">
        <v>1.9953300000000001E-5</v>
      </c>
      <c r="N255" s="5" t="s">
        <v>1021</v>
      </c>
      <c r="O255" s="5">
        <v>61</v>
      </c>
      <c r="P255" s="5">
        <v>40</v>
      </c>
      <c r="Q255" s="7">
        <v>2.2999999999999998</v>
      </c>
      <c r="R255" s="7">
        <v>0.30136833937388929</v>
      </c>
      <c r="S255" s="7">
        <v>249017184000</v>
      </c>
      <c r="T255" s="7">
        <v>0</v>
      </c>
    </row>
    <row r="256" spans="2:20" x14ac:dyDescent="0.2">
      <c r="B256">
        <v>41099</v>
      </c>
      <c r="C256" s="9">
        <v>1.1817100000000001E-5</v>
      </c>
      <c r="D256" s="5" t="s">
        <v>1050</v>
      </c>
      <c r="E256" s="7">
        <v>15</v>
      </c>
      <c r="F256" s="1">
        <v>4.6209812037329684E-2</v>
      </c>
      <c r="G256" s="1">
        <v>147477408000</v>
      </c>
      <c r="H256" s="1">
        <v>0</v>
      </c>
      <c r="I256" s="7">
        <f t="shared" si="3"/>
        <v>170691.44444444444</v>
      </c>
      <c r="L256" s="5">
        <v>40102</v>
      </c>
      <c r="M256" s="7">
        <v>1.7580100000000001E-5</v>
      </c>
      <c r="N256" s="5" t="s">
        <v>1022</v>
      </c>
      <c r="O256" s="5">
        <v>62</v>
      </c>
      <c r="P256" s="5">
        <v>40</v>
      </c>
      <c r="Q256" s="7">
        <v>2.9</v>
      </c>
      <c r="R256" s="7">
        <v>0.23901626915860183</v>
      </c>
      <c r="S256" s="7">
        <v>219399648000.00003</v>
      </c>
      <c r="T256" s="7">
        <v>0</v>
      </c>
    </row>
    <row r="257" spans="2:20" x14ac:dyDescent="0.2">
      <c r="B257">
        <v>41100</v>
      </c>
      <c r="C257" s="9">
        <v>2.34096E-5</v>
      </c>
      <c r="D257" s="5" t="s">
        <v>1051</v>
      </c>
      <c r="E257" s="7">
        <v>1.5</v>
      </c>
      <c r="F257" s="1">
        <v>0.46209812037329684</v>
      </c>
      <c r="G257" s="1">
        <v>292151808000</v>
      </c>
      <c r="H257" s="1">
        <v>0</v>
      </c>
      <c r="I257" s="7">
        <f t="shared" si="3"/>
        <v>338138.66666666669</v>
      </c>
      <c r="L257" s="5">
        <v>41084</v>
      </c>
      <c r="M257" s="7">
        <v>8.6783699999999994E-6</v>
      </c>
      <c r="N257" s="5" t="s">
        <v>1035</v>
      </c>
      <c r="O257" s="5">
        <v>43</v>
      </c>
      <c r="P257" s="5">
        <v>41</v>
      </c>
      <c r="Q257" s="7">
        <v>9.8000000000000007</v>
      </c>
      <c r="R257" s="7">
        <v>7.0729304138769919E-2</v>
      </c>
      <c r="S257" s="7">
        <v>108306057599.99998</v>
      </c>
      <c r="T257" s="7">
        <v>0</v>
      </c>
    </row>
    <row r="258" spans="2:20" x14ac:dyDescent="0.2">
      <c r="B258">
        <v>41101</v>
      </c>
      <c r="C258" s="9">
        <v>4.60276E-5</v>
      </c>
      <c r="D258" s="5" t="s">
        <v>1052</v>
      </c>
      <c r="E258" s="7">
        <v>7.1</v>
      </c>
      <c r="F258" s="1">
        <v>9.7626363459147228E-2</v>
      </c>
      <c r="G258" s="1">
        <v>574424448000</v>
      </c>
      <c r="H258" s="1">
        <v>0</v>
      </c>
      <c r="I258" s="7">
        <f t="shared" si="3"/>
        <v>664843.11111111112</v>
      </c>
      <c r="L258" s="5">
        <v>41085</v>
      </c>
      <c r="M258" s="7">
        <v>6.61243E-6</v>
      </c>
      <c r="N258" s="5" t="s">
        <v>1036</v>
      </c>
      <c r="O258" s="5">
        <v>44</v>
      </c>
      <c r="P258" s="5">
        <v>41</v>
      </c>
      <c r="Q258" s="7">
        <v>20.5</v>
      </c>
      <c r="R258" s="7">
        <v>3.3812057588290013E-2</v>
      </c>
      <c r="S258" s="7">
        <v>82523126400</v>
      </c>
      <c r="T258" s="7">
        <v>0</v>
      </c>
    </row>
    <row r="259" spans="2:20" x14ac:dyDescent="0.2">
      <c r="B259">
        <v>41102</v>
      </c>
      <c r="C259" s="9">
        <v>4.4322E-5</v>
      </c>
      <c r="D259" s="5" t="s">
        <v>1053</v>
      </c>
      <c r="E259" s="7">
        <v>4.3</v>
      </c>
      <c r="F259" s="1">
        <v>0.16119701873487099</v>
      </c>
      <c r="G259" s="1">
        <v>553138560000</v>
      </c>
      <c r="H259" s="1">
        <v>0</v>
      </c>
      <c r="I259" s="7">
        <f t="shared" si="3"/>
        <v>640206.66666666663</v>
      </c>
      <c r="L259" s="5">
        <v>41086</v>
      </c>
      <c r="M259" s="7">
        <v>3.0097799999999998E-6</v>
      </c>
      <c r="N259" s="5" t="s">
        <v>1037</v>
      </c>
      <c r="O259" s="5">
        <v>45</v>
      </c>
      <c r="P259" s="5">
        <v>41</v>
      </c>
      <c r="Q259" s="7">
        <v>88</v>
      </c>
      <c r="R259" s="7">
        <v>7.8766725063630152E-3</v>
      </c>
      <c r="S259" s="7">
        <v>37562054400</v>
      </c>
      <c r="T259" s="7">
        <v>0</v>
      </c>
    </row>
    <row r="260" spans="2:20" x14ac:dyDescent="0.2">
      <c r="B260">
        <v>41103</v>
      </c>
      <c r="C260" s="9">
        <v>3.9722999999999999E-5</v>
      </c>
      <c r="D260" s="5" t="s">
        <v>1054</v>
      </c>
      <c r="E260" s="7">
        <v>1.5</v>
      </c>
      <c r="F260" s="1">
        <v>0.46209812037329684</v>
      </c>
      <c r="G260" s="1">
        <v>495743040000</v>
      </c>
      <c r="H260" s="1">
        <v>0</v>
      </c>
      <c r="I260" s="7">
        <f t="shared" ref="I260:I323" si="4">G260/10/24/3600</f>
        <v>573776.66666666663</v>
      </c>
      <c r="L260" s="5">
        <v>41087</v>
      </c>
      <c r="M260" s="7">
        <v>7.1314700000000003E-7</v>
      </c>
      <c r="N260" s="5" t="s">
        <v>1038</v>
      </c>
      <c r="O260" s="5">
        <v>46</v>
      </c>
      <c r="P260" s="5">
        <v>41</v>
      </c>
      <c r="Q260" s="7">
        <v>222</v>
      </c>
      <c r="R260" s="7">
        <v>3.1222845971168706E-3</v>
      </c>
      <c r="S260" s="7">
        <v>8900074560</v>
      </c>
      <c r="T260" s="7">
        <v>0</v>
      </c>
    </row>
    <row r="261" spans="2:20" x14ac:dyDescent="0.2">
      <c r="B261">
        <v>41104</v>
      </c>
      <c r="C261" s="9">
        <v>1.87679E-5</v>
      </c>
      <c r="D261" s="5" t="s">
        <v>1055</v>
      </c>
      <c r="E261" s="7">
        <v>4.9000000000000004</v>
      </c>
      <c r="F261" s="1">
        <v>0.14145860827753984</v>
      </c>
      <c r="G261" s="1">
        <v>234223392000</v>
      </c>
      <c r="H261" s="1">
        <v>0</v>
      </c>
      <c r="I261" s="7">
        <f t="shared" si="4"/>
        <v>271091.88888888888</v>
      </c>
      <c r="L261" s="5">
        <v>41088</v>
      </c>
      <c r="M261" s="7">
        <v>1.3701699999999999E-7</v>
      </c>
      <c r="N261" s="5" t="s">
        <v>1039</v>
      </c>
      <c r="O261" s="5">
        <v>47</v>
      </c>
      <c r="P261" s="5">
        <v>41</v>
      </c>
      <c r="Q261" s="7">
        <v>873</v>
      </c>
      <c r="R261" s="7">
        <v>7.9398302469638638E-4</v>
      </c>
      <c r="S261" s="7">
        <v>1709972159.9999998</v>
      </c>
      <c r="T261" s="7">
        <v>0</v>
      </c>
    </row>
    <row r="262" spans="2:20" x14ac:dyDescent="0.2">
      <c r="B262">
        <v>41105</v>
      </c>
      <c r="C262" s="9">
        <v>8.94752E-6</v>
      </c>
      <c r="D262" s="5" t="s">
        <v>1056</v>
      </c>
      <c r="E262" s="7">
        <v>2.95</v>
      </c>
      <c r="F262" s="1">
        <v>0.23496514595252382</v>
      </c>
      <c r="G262" s="1">
        <v>111665049600</v>
      </c>
      <c r="H262" s="1">
        <v>0</v>
      </c>
      <c r="I262" s="7">
        <f t="shared" si="4"/>
        <v>129241.95555555556</v>
      </c>
      <c r="L262" s="5">
        <v>41089</v>
      </c>
      <c r="M262" s="7">
        <v>6.3797199999999996E-8</v>
      </c>
      <c r="N262" s="5" t="s">
        <v>1040</v>
      </c>
      <c r="O262" s="5">
        <v>48</v>
      </c>
      <c r="P262" s="5">
        <v>41</v>
      </c>
      <c r="Q262" s="7">
        <v>7307.99999999999</v>
      </c>
      <c r="R262" s="7">
        <v>9.4847725856588155E-5</v>
      </c>
      <c r="S262" s="7">
        <v>796189056</v>
      </c>
      <c r="T262" s="7">
        <v>0</v>
      </c>
    </row>
    <row r="263" spans="2:20" x14ac:dyDescent="0.2">
      <c r="B263">
        <v>41106</v>
      </c>
      <c r="C263" s="9">
        <v>2.97034E-6</v>
      </c>
      <c r="D263" s="5" t="s">
        <v>1057</v>
      </c>
      <c r="E263" s="7">
        <v>1.02</v>
      </c>
      <c r="F263" s="1">
        <v>0.67955605937249541</v>
      </c>
      <c r="G263" s="1">
        <v>37069843200</v>
      </c>
      <c r="H263" s="1">
        <v>0</v>
      </c>
      <c r="I263" s="7">
        <f t="shared" si="4"/>
        <v>42904.911111111112</v>
      </c>
      <c r="L263" s="5">
        <v>41090</v>
      </c>
      <c r="M263" s="7">
        <v>7.6082000000000003E-9</v>
      </c>
      <c r="N263" s="5" t="s">
        <v>1041</v>
      </c>
      <c r="O263" s="5">
        <v>49</v>
      </c>
      <c r="P263" s="5">
        <v>41</v>
      </c>
      <c r="Q263" s="7">
        <v>52560</v>
      </c>
      <c r="R263" s="7">
        <v>1.3187731745813266E-5</v>
      </c>
      <c r="S263" s="7">
        <v>94949266.801794887</v>
      </c>
      <c r="T263" s="7">
        <v>2.2882012424259049E-173</v>
      </c>
    </row>
    <row r="264" spans="2:20" x14ac:dyDescent="0.2">
      <c r="B264">
        <v>42087</v>
      </c>
      <c r="C264" s="9">
        <v>1.3649400000000001E-6</v>
      </c>
      <c r="D264" s="5" t="s">
        <v>1073</v>
      </c>
      <c r="E264" s="7">
        <v>14.02</v>
      </c>
      <c r="F264" s="1">
        <v>4.9439884490723632E-2</v>
      </c>
      <c r="G264" s="1">
        <v>17034451200.000002</v>
      </c>
      <c r="H264" s="1">
        <v>0</v>
      </c>
      <c r="I264" s="7">
        <f t="shared" si="4"/>
        <v>19715.800000000003</v>
      </c>
      <c r="L264" s="5">
        <v>41091</v>
      </c>
      <c r="M264" s="7">
        <v>2.9316000000000001E-9</v>
      </c>
      <c r="N264" s="5" t="s">
        <v>1042</v>
      </c>
      <c r="O264" s="5">
        <v>50</v>
      </c>
      <c r="P264" s="5">
        <v>41</v>
      </c>
      <c r="Q264" s="7">
        <v>21459168000</v>
      </c>
      <c r="R264" s="7">
        <v>3.2300748125926655E-11</v>
      </c>
      <c r="S264" s="7">
        <v>1021.0324902996663</v>
      </c>
      <c r="T264" s="7">
        <v>1019.9929589888134</v>
      </c>
    </row>
    <row r="265" spans="2:20" x14ac:dyDescent="0.2">
      <c r="B265">
        <v>42088</v>
      </c>
      <c r="C265" s="9">
        <v>4.94324E-7</v>
      </c>
      <c r="D265" s="5" t="s">
        <v>1074</v>
      </c>
      <c r="E265" s="7">
        <v>480</v>
      </c>
      <c r="F265" s="1">
        <v>1.4440566261665526E-3</v>
      </c>
      <c r="G265" s="1">
        <v>6169163520</v>
      </c>
      <c r="H265" s="1">
        <v>0</v>
      </c>
      <c r="I265" s="7">
        <f t="shared" si="4"/>
        <v>7140.2355555555559</v>
      </c>
      <c r="L265" s="5">
        <v>41092</v>
      </c>
      <c r="M265" s="7">
        <v>4.1879999999999999E-10</v>
      </c>
      <c r="N265" s="5" t="s">
        <v>1043</v>
      </c>
      <c r="O265" s="5">
        <v>51</v>
      </c>
      <c r="P265" s="5">
        <v>41</v>
      </c>
      <c r="Q265" s="7">
        <v>1095048720000000</v>
      </c>
      <c r="R265" s="7">
        <v>6.3298296039279903E-16</v>
      </c>
      <c r="S265" s="7">
        <v>2.8584265809996623E-3</v>
      </c>
      <c r="T265" s="7">
        <v>2.8584265239404642E-3</v>
      </c>
    </row>
    <row r="266" spans="2:20" x14ac:dyDescent="0.2">
      <c r="B266">
        <v>42089</v>
      </c>
      <c r="C266" s="9">
        <v>2.0577E-7</v>
      </c>
      <c r="D266" s="5" t="s">
        <v>1075</v>
      </c>
      <c r="E266" s="7">
        <v>126.6</v>
      </c>
      <c r="F266" s="1">
        <v>5.4750962129537541E-3</v>
      </c>
      <c r="G266" s="1">
        <v>2568009600</v>
      </c>
      <c r="H266" s="1">
        <v>0</v>
      </c>
      <c r="I266" s="7">
        <f t="shared" si="4"/>
        <v>2972.2333333333331</v>
      </c>
      <c r="L266" s="5">
        <v>41095</v>
      </c>
      <c r="M266" s="7">
        <v>1.6054000000000001E-9</v>
      </c>
      <c r="N266" s="5" t="s">
        <v>1046</v>
      </c>
      <c r="O266" s="5">
        <v>54</v>
      </c>
      <c r="P266" s="5">
        <v>41</v>
      </c>
      <c r="Q266" s="7">
        <v>3023222.4</v>
      </c>
      <c r="R266" s="7">
        <v>2.2927429373371449E-7</v>
      </c>
      <c r="S266" s="7">
        <v>3600488.7565948297</v>
      </c>
      <c r="T266" s="7">
        <v>2607.6012925745686</v>
      </c>
    </row>
    <row r="267" spans="2:20" x14ac:dyDescent="0.2">
      <c r="B267">
        <v>42090</v>
      </c>
      <c r="C267" s="9">
        <v>6.4774400000000003E-8</v>
      </c>
      <c r="D267" s="5" t="s">
        <v>1076</v>
      </c>
      <c r="E267" s="7">
        <v>20016</v>
      </c>
      <c r="F267" s="1">
        <v>3.4629655303754263E-5</v>
      </c>
      <c r="G267" s="1">
        <v>808384511.9999181</v>
      </c>
      <c r="H267" s="1">
        <v>0</v>
      </c>
      <c r="I267" s="7">
        <f t="shared" si="4"/>
        <v>935.63022222212737</v>
      </c>
      <c r="L267" s="5">
        <v>41096</v>
      </c>
      <c r="M267" s="7">
        <v>1.5844599999999999E-8</v>
      </c>
      <c r="N267" s="5" t="s">
        <v>1047</v>
      </c>
      <c r="O267" s="5">
        <v>55</v>
      </c>
      <c r="P267" s="5">
        <v>41</v>
      </c>
      <c r="Q267" s="7">
        <v>84060</v>
      </c>
      <c r="R267" s="7">
        <v>8.2458622479175036E-6</v>
      </c>
      <c r="S267" s="7">
        <v>197581388.07732838</v>
      </c>
      <c r="T267" s="7">
        <v>2.2969543804051906E-105</v>
      </c>
    </row>
    <row r="268" spans="2:20" x14ac:dyDescent="0.2">
      <c r="B268">
        <v>42091</v>
      </c>
      <c r="C268" s="9">
        <v>2.3034E-8</v>
      </c>
      <c r="D268" s="5" t="s">
        <v>1077</v>
      </c>
      <c r="E268" s="7">
        <v>929.4</v>
      </c>
      <c r="F268" s="1">
        <v>7.4580071073805177E-4</v>
      </c>
      <c r="G268" s="1">
        <v>287464320</v>
      </c>
      <c r="H268" s="1">
        <v>0</v>
      </c>
      <c r="I268" s="7">
        <f t="shared" si="4"/>
        <v>332.71333333333331</v>
      </c>
      <c r="L268" s="5">
        <v>41097</v>
      </c>
      <c r="M268" s="7">
        <v>1.4406699999999999E-7</v>
      </c>
      <c r="N268" s="5" t="s">
        <v>1048</v>
      </c>
      <c r="O268" s="5">
        <v>56</v>
      </c>
      <c r="P268" s="5">
        <v>41</v>
      </c>
      <c r="Q268" s="7">
        <v>4326</v>
      </c>
      <c r="R268" s="7">
        <v>1.6022819707811958E-4</v>
      </c>
      <c r="S268" s="7">
        <v>1797956159.9999998</v>
      </c>
      <c r="T268" s="7">
        <v>0</v>
      </c>
    </row>
    <row r="269" spans="2:20" x14ac:dyDescent="0.2">
      <c r="B269">
        <v>42093</v>
      </c>
      <c r="C269" s="9">
        <v>2.2335999999999998E-9</v>
      </c>
      <c r="D269" s="5" t="s">
        <v>1079</v>
      </c>
      <c r="E269" s="7">
        <v>126230400000</v>
      </c>
      <c r="F269" s="1">
        <v>5.4911271814075315E-12</v>
      </c>
      <c r="G269" s="1">
        <v>132.24954946087357</v>
      </c>
      <c r="H269" s="1">
        <v>132.22665002897301</v>
      </c>
      <c r="I269" s="7">
        <f t="shared" si="4"/>
        <v>1.5306660817230737E-4</v>
      </c>
      <c r="L269" s="5">
        <v>41098</v>
      </c>
      <c r="M269" s="7">
        <v>5.4011200000000004E-7</v>
      </c>
      <c r="N269" s="5" t="s">
        <v>1049</v>
      </c>
      <c r="O269" s="5">
        <v>57</v>
      </c>
      <c r="P269" s="5">
        <v>41</v>
      </c>
      <c r="Q269" s="7">
        <v>2.86</v>
      </c>
      <c r="R269" s="7">
        <v>0.24235915404193892</v>
      </c>
      <c r="S269" s="7">
        <v>6740597760.000001</v>
      </c>
      <c r="T269" s="7">
        <v>0</v>
      </c>
    </row>
    <row r="270" spans="2:20" x14ac:dyDescent="0.2">
      <c r="B270">
        <v>42099</v>
      </c>
      <c r="C270" s="9">
        <v>5.6489100000000005E-7</v>
      </c>
      <c r="D270" s="5" t="s">
        <v>1085</v>
      </c>
      <c r="E270" s="7">
        <v>237513.60000000001</v>
      </c>
      <c r="F270" s="1">
        <v>2.9183473306789393E-6</v>
      </c>
      <c r="G270" s="1">
        <v>6483435421.2019424</v>
      </c>
      <c r="H270" s="1">
        <v>6.9563354991143419E-31</v>
      </c>
      <c r="I270" s="7">
        <f t="shared" si="4"/>
        <v>7503.9761819466921</v>
      </c>
      <c r="L270" s="5">
        <v>41099</v>
      </c>
      <c r="M270" s="7">
        <v>2.3530300000000002E-6</v>
      </c>
      <c r="N270" s="5" t="s">
        <v>1050</v>
      </c>
      <c r="O270" s="5">
        <v>58</v>
      </c>
      <c r="P270" s="5">
        <v>41</v>
      </c>
      <c r="Q270" s="7">
        <v>15</v>
      </c>
      <c r="R270" s="7">
        <v>4.6209812037329684E-2</v>
      </c>
      <c r="S270" s="7">
        <v>29365814400.000004</v>
      </c>
      <c r="T270" s="7">
        <v>0</v>
      </c>
    </row>
    <row r="271" spans="2:20" x14ac:dyDescent="0.2">
      <c r="B271">
        <v>42100</v>
      </c>
      <c r="C271" s="9">
        <v>1.9744300000000001E-6</v>
      </c>
      <c r="D271" s="5" t="s">
        <v>1086</v>
      </c>
      <c r="E271" s="7">
        <v>2.3037048000000002E+26</v>
      </c>
      <c r="F271" s="1">
        <v>3.0088368117301542E-27</v>
      </c>
      <c r="G271" s="1">
        <v>0</v>
      </c>
      <c r="H271" s="1">
        <v>0</v>
      </c>
      <c r="I271" s="7">
        <f t="shared" si="4"/>
        <v>0</v>
      </c>
      <c r="L271" s="5">
        <v>41100</v>
      </c>
      <c r="M271" s="7">
        <v>5.5206899999999997E-6</v>
      </c>
      <c r="N271" s="5" t="s">
        <v>1051</v>
      </c>
      <c r="O271" s="5">
        <v>59</v>
      </c>
      <c r="P271" s="5">
        <v>41</v>
      </c>
      <c r="Q271" s="7">
        <v>1.5</v>
      </c>
      <c r="R271" s="7">
        <v>0.46209812037329684</v>
      </c>
      <c r="S271" s="7">
        <v>68898211200</v>
      </c>
      <c r="T271" s="7">
        <v>0</v>
      </c>
    </row>
    <row r="272" spans="2:20" x14ac:dyDescent="0.2">
      <c r="B272">
        <v>42101</v>
      </c>
      <c r="C272" s="9">
        <v>5.4125700000000001E-6</v>
      </c>
      <c r="D272" s="5" t="s">
        <v>1087</v>
      </c>
      <c r="E272" s="7">
        <v>876.599999999999</v>
      </c>
      <c r="F272" s="1">
        <v>7.9072231412268543E-4</v>
      </c>
      <c r="G272" s="1">
        <v>67548873600</v>
      </c>
      <c r="H272" s="1">
        <v>0</v>
      </c>
      <c r="I272" s="7">
        <f t="shared" si="4"/>
        <v>78181.566666666666</v>
      </c>
      <c r="L272" s="5">
        <v>41101</v>
      </c>
      <c r="M272" s="7">
        <v>1.2611300000000001E-5</v>
      </c>
      <c r="N272" s="5" t="s">
        <v>1052</v>
      </c>
      <c r="O272" s="5">
        <v>60</v>
      </c>
      <c r="P272" s="5">
        <v>41</v>
      </c>
      <c r="Q272" s="7">
        <v>7.1</v>
      </c>
      <c r="R272" s="7">
        <v>9.7626363459147228E-2</v>
      </c>
      <c r="S272" s="7">
        <v>157389024000</v>
      </c>
      <c r="T272" s="7">
        <v>0</v>
      </c>
    </row>
    <row r="273" spans="2:20" x14ac:dyDescent="0.2">
      <c r="B273">
        <v>42102</v>
      </c>
      <c r="C273" s="9">
        <v>1.28553E-5</v>
      </c>
      <c r="D273" s="5" t="s">
        <v>1088</v>
      </c>
      <c r="E273" s="7">
        <v>678</v>
      </c>
      <c r="F273" s="1">
        <v>1.0223409742772054E-3</v>
      </c>
      <c r="G273" s="1">
        <v>160434144000</v>
      </c>
      <c r="H273" s="1">
        <v>0</v>
      </c>
      <c r="I273" s="7">
        <f t="shared" si="4"/>
        <v>185687.66666666666</v>
      </c>
      <c r="L273" s="5">
        <v>41102</v>
      </c>
      <c r="M273" s="7">
        <v>1.44658E-5</v>
      </c>
      <c r="N273" s="5" t="s">
        <v>1053</v>
      </c>
      <c r="O273" s="5">
        <v>61</v>
      </c>
      <c r="P273" s="5">
        <v>41</v>
      </c>
      <c r="Q273" s="7">
        <v>4.3</v>
      </c>
      <c r="R273" s="7">
        <v>0.16119701873487099</v>
      </c>
      <c r="S273" s="7">
        <v>180533184000</v>
      </c>
      <c r="T273" s="7">
        <v>0</v>
      </c>
    </row>
    <row r="274" spans="2:20" x14ac:dyDescent="0.2">
      <c r="B274">
        <v>42103</v>
      </c>
      <c r="C274" s="9">
        <v>2.0372699999999999E-5</v>
      </c>
      <c r="D274" s="5" t="s">
        <v>1089</v>
      </c>
      <c r="E274" s="7">
        <v>67.5</v>
      </c>
      <c r="F274" s="1">
        <v>1.0268847119406597E-2</v>
      </c>
      <c r="G274" s="1">
        <v>254251296000</v>
      </c>
      <c r="H274" s="1">
        <v>0</v>
      </c>
      <c r="I274" s="7">
        <f t="shared" si="4"/>
        <v>294272.33333333331</v>
      </c>
      <c r="L274" s="5">
        <v>41103</v>
      </c>
      <c r="M274" s="7">
        <v>1.8581699999999999E-5</v>
      </c>
      <c r="N274" s="5" t="s">
        <v>1054</v>
      </c>
      <c r="O274" s="5">
        <v>62</v>
      </c>
      <c r="P274" s="5">
        <v>41</v>
      </c>
      <c r="Q274" s="7">
        <v>1.5</v>
      </c>
      <c r="R274" s="7">
        <v>0.46209812037329684</v>
      </c>
      <c r="S274" s="7">
        <v>231899615999.99997</v>
      </c>
      <c r="T274" s="7">
        <v>0</v>
      </c>
    </row>
    <row r="275" spans="2:20" x14ac:dyDescent="0.2">
      <c r="B275">
        <v>42104</v>
      </c>
      <c r="C275" s="9">
        <v>2.5771599999999999E-5</v>
      </c>
      <c r="D275" s="5" t="s">
        <v>1090</v>
      </c>
      <c r="E275" s="7">
        <v>60</v>
      </c>
      <c r="F275" s="1">
        <v>1.1552453009332421E-2</v>
      </c>
      <c r="G275" s="1">
        <v>321629568000</v>
      </c>
      <c r="H275" s="1">
        <v>0</v>
      </c>
      <c r="I275" s="7">
        <f t="shared" si="4"/>
        <v>372256.44444444444</v>
      </c>
      <c r="L275" s="5">
        <v>41104</v>
      </c>
      <c r="M275" s="7">
        <v>1.14173E-5</v>
      </c>
      <c r="N275" s="5" t="s">
        <v>1055</v>
      </c>
      <c r="O275" s="5">
        <v>63</v>
      </c>
      <c r="P275" s="5">
        <v>41</v>
      </c>
      <c r="Q275" s="7">
        <v>4.9000000000000004</v>
      </c>
      <c r="R275" s="7">
        <v>0.14145860827753984</v>
      </c>
      <c r="S275" s="7">
        <v>142487904000</v>
      </c>
      <c r="T275" s="7">
        <v>0</v>
      </c>
    </row>
    <row r="276" spans="2:20" x14ac:dyDescent="0.2">
      <c r="B276">
        <v>42105</v>
      </c>
      <c r="C276" s="9">
        <v>2.09034E-5</v>
      </c>
      <c r="D276" s="5" t="s">
        <v>1091</v>
      </c>
      <c r="E276" s="7">
        <v>35.6</v>
      </c>
      <c r="F276" s="1">
        <v>1.9470426420223182E-2</v>
      </c>
      <c r="G276" s="1">
        <v>260874432000</v>
      </c>
      <c r="H276" s="1">
        <v>0</v>
      </c>
      <c r="I276" s="7">
        <f t="shared" si="4"/>
        <v>301938</v>
      </c>
      <c r="L276" s="5">
        <v>41105</v>
      </c>
      <c r="M276" s="7">
        <v>9.5032000000000008E-6</v>
      </c>
      <c r="N276" s="5" t="s">
        <v>1056</v>
      </c>
      <c r="O276" s="5">
        <v>64</v>
      </c>
      <c r="P276" s="5">
        <v>41</v>
      </c>
      <c r="Q276" s="7">
        <v>2.95</v>
      </c>
      <c r="R276" s="7">
        <v>0.23496514595252382</v>
      </c>
      <c r="S276" s="7">
        <v>118599936000.00002</v>
      </c>
      <c r="T276" s="7">
        <v>0</v>
      </c>
    </row>
    <row r="277" spans="2:20" x14ac:dyDescent="0.2">
      <c r="B277">
        <v>42106</v>
      </c>
      <c r="C277" s="9">
        <v>1.37088E-5</v>
      </c>
      <c r="D277" s="5" t="s">
        <v>1092</v>
      </c>
      <c r="E277" s="7">
        <v>8.73</v>
      </c>
      <c r="F277" s="1">
        <v>7.9398302469638637E-2</v>
      </c>
      <c r="G277" s="1">
        <v>171085824000</v>
      </c>
      <c r="H277" s="1">
        <v>0</v>
      </c>
      <c r="I277" s="7">
        <f t="shared" si="4"/>
        <v>198016</v>
      </c>
      <c r="L277" s="5">
        <v>41106</v>
      </c>
      <c r="M277" s="7">
        <v>3.67253E-6</v>
      </c>
      <c r="N277" s="5" t="s">
        <v>1057</v>
      </c>
      <c r="O277" s="5">
        <v>65</v>
      </c>
      <c r="P277" s="5">
        <v>41</v>
      </c>
      <c r="Q277" s="7">
        <v>1.02</v>
      </c>
      <c r="R277" s="7">
        <v>0.67955605937249541</v>
      </c>
      <c r="S277" s="7">
        <v>45833174400</v>
      </c>
      <c r="T277" s="7">
        <v>0</v>
      </c>
    </row>
    <row r="278" spans="2:20" x14ac:dyDescent="0.2">
      <c r="B278">
        <v>42107</v>
      </c>
      <c r="C278" s="9">
        <v>6.7137099999999996E-6</v>
      </c>
      <c r="D278" s="5" t="s">
        <v>1093</v>
      </c>
      <c r="E278" s="7">
        <v>3.5</v>
      </c>
      <c r="F278" s="1">
        <v>0.19804205158855578</v>
      </c>
      <c r="G278" s="1">
        <v>83787100800</v>
      </c>
      <c r="H278" s="1">
        <v>0</v>
      </c>
      <c r="I278" s="7">
        <f t="shared" si="4"/>
        <v>96975.811111111107</v>
      </c>
      <c r="L278" s="5">
        <v>42087</v>
      </c>
      <c r="M278" s="7">
        <v>2.77825E-6</v>
      </c>
      <c r="N278" s="5" t="s">
        <v>1073</v>
      </c>
      <c r="O278" s="5">
        <v>45</v>
      </c>
      <c r="P278" s="5">
        <v>42</v>
      </c>
      <c r="Q278" s="7">
        <v>14.02</v>
      </c>
      <c r="R278" s="7">
        <v>4.9439884490723632E-2</v>
      </c>
      <c r="S278" s="7">
        <v>34672560000</v>
      </c>
      <c r="T278" s="7">
        <v>0</v>
      </c>
    </row>
    <row r="279" spans="2:20" x14ac:dyDescent="0.2">
      <c r="B279">
        <v>42108</v>
      </c>
      <c r="C279" s="9">
        <v>3.2891200000000001E-6</v>
      </c>
      <c r="D279" s="5" t="s">
        <v>1094</v>
      </c>
      <c r="E279" s="7">
        <v>1.0900000000000001</v>
      </c>
      <c r="F279" s="1">
        <v>0.63591484455040848</v>
      </c>
      <c r="G279" s="1">
        <v>41048217600</v>
      </c>
      <c r="H279" s="1">
        <v>0</v>
      </c>
      <c r="I279" s="7">
        <f t="shared" si="4"/>
        <v>47509.511111111111</v>
      </c>
      <c r="L279" s="5">
        <v>42088</v>
      </c>
      <c r="M279" s="7">
        <v>1.35824E-6</v>
      </c>
      <c r="N279" s="5" t="s">
        <v>1074</v>
      </c>
      <c r="O279" s="5">
        <v>46</v>
      </c>
      <c r="P279" s="5">
        <v>42</v>
      </c>
      <c r="Q279" s="7">
        <v>480</v>
      </c>
      <c r="R279" s="7">
        <v>1.4440566261665526E-3</v>
      </c>
      <c r="S279" s="7">
        <v>16950835200</v>
      </c>
      <c r="T279" s="7">
        <v>0</v>
      </c>
    </row>
    <row r="280" spans="2:20" x14ac:dyDescent="0.2">
      <c r="B280">
        <v>43090</v>
      </c>
      <c r="C280" s="9">
        <v>1.40403E-6</v>
      </c>
      <c r="D280" s="5" t="s">
        <v>1110</v>
      </c>
      <c r="E280" s="7">
        <v>8.6999999999999993</v>
      </c>
      <c r="F280" s="1">
        <v>7.9672089719533948E-2</v>
      </c>
      <c r="G280" s="1">
        <v>17522294400</v>
      </c>
      <c r="H280" s="1">
        <v>0</v>
      </c>
      <c r="I280" s="7">
        <f t="shared" si="4"/>
        <v>20280.433333333334</v>
      </c>
      <c r="L280" s="5">
        <v>42089</v>
      </c>
      <c r="M280" s="7">
        <v>2.7221999999999999E-7</v>
      </c>
      <c r="N280" s="5" t="s">
        <v>1075</v>
      </c>
      <c r="O280" s="5">
        <v>47</v>
      </c>
      <c r="P280" s="5">
        <v>42</v>
      </c>
      <c r="Q280" s="7">
        <v>126.6</v>
      </c>
      <c r="R280" s="7">
        <v>5.4750962129537541E-3</v>
      </c>
      <c r="S280" s="7">
        <v>3397305600</v>
      </c>
      <c r="T280" s="7">
        <v>0</v>
      </c>
    </row>
    <row r="281" spans="2:20" x14ac:dyDescent="0.2">
      <c r="B281">
        <v>43091</v>
      </c>
      <c r="C281" s="9">
        <v>6.1542699999999997E-7</v>
      </c>
      <c r="D281" s="5" t="s">
        <v>1111</v>
      </c>
      <c r="E281" s="7">
        <v>188.4</v>
      </c>
      <c r="F281" s="1">
        <v>3.6791251622077773E-3</v>
      </c>
      <c r="G281" s="1">
        <v>7680528960</v>
      </c>
      <c r="H281" s="1">
        <v>0</v>
      </c>
      <c r="I281" s="7">
        <f t="shared" si="4"/>
        <v>8889.5011111111107</v>
      </c>
      <c r="L281" s="5">
        <v>42090</v>
      </c>
      <c r="M281" s="7">
        <v>5.5909799999999998E-8</v>
      </c>
      <c r="N281" s="5" t="s">
        <v>1076</v>
      </c>
      <c r="O281" s="5">
        <v>48</v>
      </c>
      <c r="P281" s="5">
        <v>42</v>
      </c>
      <c r="Q281" s="7">
        <v>20016</v>
      </c>
      <c r="R281" s="7">
        <v>3.4629655303754263E-5</v>
      </c>
      <c r="S281" s="7">
        <v>697754303.99992931</v>
      </c>
      <c r="T281" s="7">
        <v>0</v>
      </c>
    </row>
    <row r="282" spans="2:20" x14ac:dyDescent="0.2">
      <c r="B282">
        <v>43092</v>
      </c>
      <c r="C282" s="9">
        <v>2.05352E-7</v>
      </c>
      <c r="D282" s="5" t="s">
        <v>1112</v>
      </c>
      <c r="E282" s="7">
        <v>255</v>
      </c>
      <c r="F282" s="1">
        <v>2.7182242374899817E-3</v>
      </c>
      <c r="G282" s="1">
        <v>2562792960</v>
      </c>
      <c r="H282" s="1">
        <v>0</v>
      </c>
      <c r="I282" s="7">
        <f t="shared" si="4"/>
        <v>2966.1955555555555</v>
      </c>
      <c r="L282" s="5">
        <v>42091</v>
      </c>
      <c r="M282" s="7">
        <v>2.10098E-8</v>
      </c>
      <c r="N282" s="5" t="s">
        <v>1077</v>
      </c>
      <c r="O282" s="5">
        <v>49</v>
      </c>
      <c r="P282" s="5">
        <v>42</v>
      </c>
      <c r="Q282" s="7">
        <v>929.4</v>
      </c>
      <c r="R282" s="7">
        <v>7.4580071073805177E-4</v>
      </c>
      <c r="S282" s="7">
        <v>262202304</v>
      </c>
      <c r="T282" s="7">
        <v>0</v>
      </c>
    </row>
    <row r="283" spans="2:20" x14ac:dyDescent="0.2">
      <c r="B283">
        <v>43093</v>
      </c>
      <c r="C283" s="9">
        <v>6.3866999999999999E-8</v>
      </c>
      <c r="D283" s="5" t="s">
        <v>1113</v>
      </c>
      <c r="E283" s="7">
        <v>9900</v>
      </c>
      <c r="F283" s="1">
        <v>7.0014866723226796E-5</v>
      </c>
      <c r="G283" s="1">
        <v>797060160</v>
      </c>
      <c r="H283" s="1">
        <v>0</v>
      </c>
      <c r="I283" s="7">
        <f t="shared" si="4"/>
        <v>922.52333333333331</v>
      </c>
      <c r="L283" s="5">
        <v>42093</v>
      </c>
      <c r="M283" s="7">
        <v>7.6779999999999997E-10</v>
      </c>
      <c r="N283" s="5" t="s">
        <v>1079</v>
      </c>
      <c r="O283" s="5">
        <v>51</v>
      </c>
      <c r="P283" s="5">
        <v>42</v>
      </c>
      <c r="Q283" s="7">
        <v>126230400000</v>
      </c>
      <c r="R283" s="7">
        <v>5.4911271814075315E-12</v>
      </c>
      <c r="S283" s="7">
        <v>45.460782627175298</v>
      </c>
      <c r="T283" s="7">
        <v>45.452910947459486</v>
      </c>
    </row>
    <row r="284" spans="2:20" x14ac:dyDescent="0.2">
      <c r="B284">
        <v>43094</v>
      </c>
      <c r="C284" s="9">
        <v>1.5355999999999999E-8</v>
      </c>
      <c r="D284" s="5" t="s">
        <v>1114</v>
      </c>
      <c r="E284" s="7">
        <v>17580</v>
      </c>
      <c r="F284" s="1">
        <v>3.9428167267346149E-5</v>
      </c>
      <c r="G284" s="1">
        <v>191642879.99999967</v>
      </c>
      <c r="H284" s="1">
        <v>0</v>
      </c>
      <c r="I284" s="7">
        <f t="shared" si="4"/>
        <v>221.8088888888885</v>
      </c>
      <c r="L284" s="5">
        <v>42099</v>
      </c>
      <c r="M284" s="7">
        <v>3.77618E-8</v>
      </c>
      <c r="N284" s="5" t="s">
        <v>1085</v>
      </c>
      <c r="O284" s="5">
        <v>57</v>
      </c>
      <c r="P284" s="5">
        <v>42</v>
      </c>
      <c r="Q284" s="7">
        <v>237513.60000000001</v>
      </c>
      <c r="R284" s="7">
        <v>2.9183473306789393E-6</v>
      </c>
      <c r="S284" s="7">
        <v>433404305.76579106</v>
      </c>
      <c r="T284" s="7">
        <v>4.6501670207253422E-32</v>
      </c>
    </row>
    <row r="285" spans="2:20" x14ac:dyDescent="0.2">
      <c r="B285">
        <v>43095</v>
      </c>
      <c r="C285" s="9">
        <v>5.1652000000000003E-9</v>
      </c>
      <c r="D285" s="5" t="s">
        <v>1115</v>
      </c>
      <c r="E285" s="7">
        <v>72000</v>
      </c>
      <c r="F285" s="1">
        <v>9.6270441744436842E-6</v>
      </c>
      <c r="G285" s="1">
        <v>64445958.281250007</v>
      </c>
      <c r="H285" s="1">
        <v>9.0794091005480105E-125</v>
      </c>
      <c r="I285" s="7">
        <f t="shared" si="4"/>
        <v>74.590229492187518</v>
      </c>
      <c r="L285" s="5">
        <v>42100</v>
      </c>
      <c r="M285" s="7">
        <v>2.7940900000000001E-7</v>
      </c>
      <c r="N285" s="5" t="s">
        <v>1086</v>
      </c>
      <c r="O285" s="5">
        <v>58</v>
      </c>
      <c r="P285" s="5">
        <v>42</v>
      </c>
      <c r="Q285" s="7">
        <v>2.3037048000000002E+26</v>
      </c>
      <c r="R285" s="7">
        <v>3.0088368117301542E-27</v>
      </c>
      <c r="S285" s="7">
        <v>0</v>
      </c>
      <c r="T285" s="7">
        <v>0</v>
      </c>
    </row>
    <row r="286" spans="2:20" x14ac:dyDescent="0.2">
      <c r="B286">
        <v>43096</v>
      </c>
      <c r="C286" s="9">
        <v>9.772000000000001E-10</v>
      </c>
      <c r="D286" s="5" t="s">
        <v>1116</v>
      </c>
      <c r="E286" s="7">
        <v>369792</v>
      </c>
      <c r="F286" s="1">
        <v>1.8744244887935522E-6</v>
      </c>
      <c r="G286" s="1">
        <v>9780790.7491194904</v>
      </c>
      <c r="H286" s="1">
        <v>2.0817252160713585E-19</v>
      </c>
      <c r="I286" s="7">
        <f t="shared" si="4"/>
        <v>11.320359663332743</v>
      </c>
      <c r="L286" s="5">
        <v>42101</v>
      </c>
      <c r="M286" s="7">
        <v>7.329E-7</v>
      </c>
      <c r="N286" s="5" t="s">
        <v>1087</v>
      </c>
      <c r="O286" s="5">
        <v>59</v>
      </c>
      <c r="P286" s="5">
        <v>42</v>
      </c>
      <c r="Q286" s="7">
        <v>876.599999999999</v>
      </c>
      <c r="R286" s="7">
        <v>7.9072231412268543E-4</v>
      </c>
      <c r="S286" s="7">
        <v>9146592000</v>
      </c>
      <c r="T286" s="7">
        <v>0</v>
      </c>
    </row>
    <row r="287" spans="2:20" x14ac:dyDescent="0.2">
      <c r="B287">
        <v>43097</v>
      </c>
      <c r="C287" s="9">
        <v>3.4899999999999998E-10</v>
      </c>
      <c r="D287" s="5" t="s">
        <v>1117</v>
      </c>
      <c r="E287" s="7">
        <v>132857496000000</v>
      </c>
      <c r="F287" s="1">
        <v>5.2172229752090563E-15</v>
      </c>
      <c r="G287" s="1">
        <v>1.9633293325611589E-2</v>
      </c>
      <c r="H287" s="1">
        <v>1.9633290095339356E-2</v>
      </c>
      <c r="I287" s="7">
        <f t="shared" si="4"/>
        <v>2.2723719126865265E-8</v>
      </c>
      <c r="L287" s="5">
        <v>42102</v>
      </c>
      <c r="M287" s="7">
        <v>3.9265999999999998E-6</v>
      </c>
      <c r="N287" s="5" t="s">
        <v>1088</v>
      </c>
      <c r="O287" s="5">
        <v>60</v>
      </c>
      <c r="P287" s="5">
        <v>42</v>
      </c>
      <c r="Q287" s="7">
        <v>678</v>
      </c>
      <c r="R287" s="7">
        <v>1.0223409742772054E-3</v>
      </c>
      <c r="S287" s="7">
        <v>49003968000</v>
      </c>
      <c r="T287" s="7">
        <v>0</v>
      </c>
    </row>
    <row r="288" spans="2:20" x14ac:dyDescent="0.2">
      <c r="B288">
        <v>43098</v>
      </c>
      <c r="C288" s="9">
        <v>4.1879999999999999E-10</v>
      </c>
      <c r="D288" s="5" t="s">
        <v>1118</v>
      </c>
      <c r="E288" s="7">
        <v>132541920000000</v>
      </c>
      <c r="F288" s="1">
        <v>5.2296449346738394E-15</v>
      </c>
      <c r="G288" s="1">
        <v>2.3616046868596641E-2</v>
      </c>
      <c r="H288" s="1">
        <v>2.3616042973789327E-2</v>
      </c>
      <c r="I288" s="7">
        <f t="shared" si="4"/>
        <v>2.7333387579394258E-8</v>
      </c>
      <c r="L288" s="5">
        <v>42103</v>
      </c>
      <c r="M288" s="7">
        <v>5.9638499999999997E-6</v>
      </c>
      <c r="N288" s="5" t="s">
        <v>1089</v>
      </c>
      <c r="O288" s="5">
        <v>61</v>
      </c>
      <c r="P288" s="5">
        <v>42</v>
      </c>
      <c r="Q288" s="7">
        <v>67.5</v>
      </c>
      <c r="R288" s="7">
        <v>1.0268847119406597E-2</v>
      </c>
      <c r="S288" s="7">
        <v>74428848000</v>
      </c>
      <c r="T288" s="7">
        <v>0</v>
      </c>
    </row>
    <row r="289" spans="2:20" x14ac:dyDescent="0.2">
      <c r="B289">
        <v>43099</v>
      </c>
      <c r="C289" s="9">
        <v>3.8389999999999997E-9</v>
      </c>
      <c r="D289" s="5" t="s">
        <v>1119</v>
      </c>
      <c r="E289" s="7">
        <v>6661809360000</v>
      </c>
      <c r="F289" s="1">
        <v>1.040478859575089E-13</v>
      </c>
      <c r="G289" s="1">
        <v>4.3070476958532913</v>
      </c>
      <c r="H289" s="1">
        <v>4.3070335633584307</v>
      </c>
      <c r="I289" s="7">
        <f t="shared" si="4"/>
        <v>4.9850089072376054E-6</v>
      </c>
      <c r="L289" s="5">
        <v>42104</v>
      </c>
      <c r="M289" s="7">
        <v>1.07374E-5</v>
      </c>
      <c r="N289" s="5" t="s">
        <v>1090</v>
      </c>
      <c r="O289" s="5">
        <v>62</v>
      </c>
      <c r="P289" s="5">
        <v>42</v>
      </c>
      <c r="Q289" s="7">
        <v>60</v>
      </c>
      <c r="R289" s="7">
        <v>1.1552453009332421E-2</v>
      </c>
      <c r="S289" s="7">
        <v>134002752000</v>
      </c>
      <c r="T289" s="7">
        <v>0</v>
      </c>
    </row>
    <row r="290" spans="2:20" x14ac:dyDescent="0.2">
      <c r="B290">
        <v>43100</v>
      </c>
      <c r="C290" s="9">
        <v>1.75198E-8</v>
      </c>
      <c r="D290" s="5" t="s">
        <v>1120</v>
      </c>
      <c r="E290" s="7">
        <v>15.46</v>
      </c>
      <c r="F290" s="1">
        <v>4.4834875844757129E-2</v>
      </c>
      <c r="G290" s="1">
        <v>218647104</v>
      </c>
      <c r="H290" s="1">
        <v>0</v>
      </c>
      <c r="I290" s="7">
        <f t="shared" si="4"/>
        <v>253.06377777777777</v>
      </c>
      <c r="L290" s="5">
        <v>42105</v>
      </c>
      <c r="M290" s="7">
        <v>8.3656E-6</v>
      </c>
      <c r="N290" s="5" t="s">
        <v>1091</v>
      </c>
      <c r="O290" s="5">
        <v>63</v>
      </c>
      <c r="P290" s="5">
        <v>42</v>
      </c>
      <c r="Q290" s="7">
        <v>35.6</v>
      </c>
      <c r="R290" s="7">
        <v>1.9470426420223182E-2</v>
      </c>
      <c r="S290" s="7">
        <v>104402688000</v>
      </c>
      <c r="T290" s="7">
        <v>0</v>
      </c>
    </row>
    <row r="291" spans="2:20" x14ac:dyDescent="0.2">
      <c r="B291">
        <v>43101</v>
      </c>
      <c r="C291" s="9">
        <v>8.9204400000000004E-8</v>
      </c>
      <c r="D291" s="5" t="s">
        <v>1121</v>
      </c>
      <c r="E291" s="7">
        <v>841.19999999999902</v>
      </c>
      <c r="F291" s="1">
        <v>8.239980748453948E-4</v>
      </c>
      <c r="G291" s="1">
        <v>1113270912</v>
      </c>
      <c r="H291" s="1">
        <v>0</v>
      </c>
      <c r="I291" s="7">
        <f t="shared" si="4"/>
        <v>1288.508</v>
      </c>
      <c r="L291" s="5">
        <v>42106</v>
      </c>
      <c r="M291" s="7">
        <v>9.7631399999999992E-6</v>
      </c>
      <c r="N291" s="5" t="s">
        <v>1092</v>
      </c>
      <c r="O291" s="5">
        <v>64</v>
      </c>
      <c r="P291" s="5">
        <v>42</v>
      </c>
      <c r="Q291" s="7">
        <v>8.73</v>
      </c>
      <c r="R291" s="7">
        <v>7.9398302469638637E-2</v>
      </c>
      <c r="S291" s="7">
        <v>121843987199.99998</v>
      </c>
      <c r="T291" s="7">
        <v>0</v>
      </c>
    </row>
    <row r="292" spans="2:20" x14ac:dyDescent="0.2">
      <c r="B292">
        <v>43102</v>
      </c>
      <c r="C292" s="9">
        <v>3.5444399999999999E-7</v>
      </c>
      <c r="D292" s="5" t="s">
        <v>1122</v>
      </c>
      <c r="E292" s="7">
        <v>5.28</v>
      </c>
      <c r="F292" s="1">
        <v>0.13127787510605024</v>
      </c>
      <c r="G292" s="1">
        <v>4423461120</v>
      </c>
      <c r="H292" s="1">
        <v>0</v>
      </c>
      <c r="I292" s="7">
        <f t="shared" si="4"/>
        <v>5119.7466666666669</v>
      </c>
      <c r="L292" s="5">
        <v>42107</v>
      </c>
      <c r="M292" s="7">
        <v>4.9592900000000003E-6</v>
      </c>
      <c r="N292" s="5" t="s">
        <v>1093</v>
      </c>
      <c r="O292" s="5">
        <v>65</v>
      </c>
      <c r="P292" s="5">
        <v>42</v>
      </c>
      <c r="Q292" s="7">
        <v>3.5</v>
      </c>
      <c r="R292" s="7">
        <v>0.19804205158855578</v>
      </c>
      <c r="S292" s="7">
        <v>61891939200</v>
      </c>
      <c r="T292" s="7">
        <v>0</v>
      </c>
    </row>
    <row r="293" spans="2:20" x14ac:dyDescent="0.2">
      <c r="B293">
        <v>43103</v>
      </c>
      <c r="C293" s="9">
        <v>1.2004899999999999E-6</v>
      </c>
      <c r="D293" s="5" t="s">
        <v>1123</v>
      </c>
      <c r="E293" s="7">
        <v>54.2</v>
      </c>
      <c r="F293" s="1">
        <v>1.2788693368264673E-2</v>
      </c>
      <c r="G293" s="1">
        <v>14982115199.999998</v>
      </c>
      <c r="H293" s="1">
        <v>0</v>
      </c>
      <c r="I293" s="7">
        <f t="shared" si="4"/>
        <v>17340.411111111109</v>
      </c>
      <c r="L293" s="5">
        <v>42108</v>
      </c>
      <c r="M293" s="7">
        <v>3.6742700000000001E-6</v>
      </c>
      <c r="N293" s="5" t="s">
        <v>1094</v>
      </c>
      <c r="O293" s="5">
        <v>66</v>
      </c>
      <c r="P293" s="5">
        <v>42</v>
      </c>
      <c r="Q293" s="7">
        <v>1.0900000000000001</v>
      </c>
      <c r="R293" s="7">
        <v>0.63591484455040848</v>
      </c>
      <c r="S293" s="7">
        <v>45854889600</v>
      </c>
      <c r="T293" s="7">
        <v>0</v>
      </c>
    </row>
    <row r="294" spans="2:20" x14ac:dyDescent="0.2">
      <c r="B294">
        <v>43104</v>
      </c>
      <c r="C294" s="9">
        <v>2.31192E-6</v>
      </c>
      <c r="D294" s="5" t="s">
        <v>1124</v>
      </c>
      <c r="E294" s="7">
        <v>1098</v>
      </c>
      <c r="F294" s="1">
        <v>6.3128158520942197E-4</v>
      </c>
      <c r="G294" s="1">
        <v>28852761600</v>
      </c>
      <c r="H294" s="1">
        <v>0</v>
      </c>
      <c r="I294" s="7">
        <f t="shared" si="4"/>
        <v>33394.400000000001</v>
      </c>
      <c r="L294" s="5">
        <v>43090</v>
      </c>
      <c r="M294" s="7">
        <v>1.3644499999999999E-6</v>
      </c>
      <c r="N294" s="5" t="s">
        <v>1110</v>
      </c>
      <c r="O294" s="5">
        <v>47</v>
      </c>
      <c r="P294" s="5">
        <v>43</v>
      </c>
      <c r="Q294" s="7">
        <v>8.6999999999999993</v>
      </c>
      <c r="R294" s="7">
        <v>7.9672089719533948E-2</v>
      </c>
      <c r="S294" s="7">
        <v>17028335999.999998</v>
      </c>
      <c r="T294" s="7">
        <v>0</v>
      </c>
    </row>
    <row r="295" spans="2:20" x14ac:dyDescent="0.2">
      <c r="B295">
        <v>43105</v>
      </c>
      <c r="C295" s="9">
        <v>4.2495599999999997E-6</v>
      </c>
      <c r="D295" s="5" t="s">
        <v>1125</v>
      </c>
      <c r="E295" s="7">
        <v>456</v>
      </c>
      <c r="F295" s="1">
        <v>1.520059606491108E-3</v>
      </c>
      <c r="G295" s="1">
        <v>53034508799.999992</v>
      </c>
      <c r="H295" s="1">
        <v>0</v>
      </c>
      <c r="I295" s="7">
        <f t="shared" si="4"/>
        <v>61382.533333333326</v>
      </c>
      <c r="L295" s="5">
        <v>43091</v>
      </c>
      <c r="M295" s="7">
        <v>9.4041500000000002E-7</v>
      </c>
      <c r="N295" s="5" t="s">
        <v>1111</v>
      </c>
      <c r="O295" s="5">
        <v>48</v>
      </c>
      <c r="P295" s="5">
        <v>43</v>
      </c>
      <c r="Q295" s="7">
        <v>188.4</v>
      </c>
      <c r="R295" s="7">
        <v>3.6791251622077773E-3</v>
      </c>
      <c r="S295" s="7">
        <v>11736379200</v>
      </c>
      <c r="T295" s="7">
        <v>0</v>
      </c>
    </row>
    <row r="296" spans="2:20" x14ac:dyDescent="0.2">
      <c r="B296">
        <v>43106</v>
      </c>
      <c r="C296" s="9">
        <v>3.7151100000000001E-6</v>
      </c>
      <c r="D296" s="5" t="s">
        <v>1126</v>
      </c>
      <c r="E296" s="7">
        <v>35.6</v>
      </c>
      <c r="F296" s="1">
        <v>1.9470426420223182E-2</v>
      </c>
      <c r="G296" s="1">
        <v>46364572800</v>
      </c>
      <c r="H296" s="1">
        <v>0</v>
      </c>
      <c r="I296" s="7">
        <f t="shared" si="4"/>
        <v>53662.7</v>
      </c>
      <c r="L296" s="5">
        <v>43092</v>
      </c>
      <c r="M296" s="7">
        <v>3.5381600000000002E-7</v>
      </c>
      <c r="N296" s="5" t="s">
        <v>1112</v>
      </c>
      <c r="O296" s="5">
        <v>49</v>
      </c>
      <c r="P296" s="5">
        <v>43</v>
      </c>
      <c r="Q296" s="7">
        <v>255</v>
      </c>
      <c r="R296" s="7">
        <v>2.7182242374899817E-3</v>
      </c>
      <c r="S296" s="7">
        <v>4415623680</v>
      </c>
      <c r="T296" s="7">
        <v>0</v>
      </c>
    </row>
    <row r="297" spans="2:20" x14ac:dyDescent="0.2">
      <c r="B297">
        <v>43107</v>
      </c>
      <c r="C297" s="9">
        <v>3.5595899999999999E-6</v>
      </c>
      <c r="D297" s="5" t="s">
        <v>1127</v>
      </c>
      <c r="E297" s="7">
        <v>21.2</v>
      </c>
      <c r="F297" s="1">
        <v>3.2695621724525725E-2</v>
      </c>
      <c r="G297" s="1">
        <v>44423683200</v>
      </c>
      <c r="H297" s="1">
        <v>0</v>
      </c>
      <c r="I297" s="7">
        <f t="shared" si="4"/>
        <v>51416.3</v>
      </c>
      <c r="L297" s="5">
        <v>43093</v>
      </c>
      <c r="M297" s="7">
        <v>6.4355600000000002E-8</v>
      </c>
      <c r="N297" s="5" t="s">
        <v>1113</v>
      </c>
      <c r="O297" s="5">
        <v>50</v>
      </c>
      <c r="P297" s="5">
        <v>43</v>
      </c>
      <c r="Q297" s="7">
        <v>9900</v>
      </c>
      <c r="R297" s="7">
        <v>7.0014866723226796E-5</v>
      </c>
      <c r="S297" s="7">
        <v>803157888</v>
      </c>
      <c r="T297" s="7">
        <v>0</v>
      </c>
    </row>
    <row r="298" spans="2:20" x14ac:dyDescent="0.2">
      <c r="B298">
        <v>43108</v>
      </c>
      <c r="C298" s="9">
        <v>1.99942E-6</v>
      </c>
      <c r="D298" s="5" t="s">
        <v>1128</v>
      </c>
      <c r="E298" s="7">
        <v>5.17</v>
      </c>
      <c r="F298" s="1">
        <v>0.13407102138490237</v>
      </c>
      <c r="G298" s="1">
        <v>24952761600</v>
      </c>
      <c r="H298" s="1">
        <v>0</v>
      </c>
      <c r="I298" s="7">
        <f t="shared" si="4"/>
        <v>28880.511111111111</v>
      </c>
      <c r="L298" s="5">
        <v>43094</v>
      </c>
      <c r="M298" s="7">
        <v>1.1935799999999999E-8</v>
      </c>
      <c r="N298" s="5" t="s">
        <v>1114</v>
      </c>
      <c r="O298" s="5">
        <v>51</v>
      </c>
      <c r="P298" s="5">
        <v>43</v>
      </c>
      <c r="Q298" s="7">
        <v>17580</v>
      </c>
      <c r="R298" s="7">
        <v>3.9428167267346149E-5</v>
      </c>
      <c r="S298" s="7">
        <v>148958783.99999976</v>
      </c>
      <c r="T298" s="7">
        <v>0</v>
      </c>
    </row>
    <row r="299" spans="2:20" x14ac:dyDescent="0.2">
      <c r="B299">
        <v>43109</v>
      </c>
      <c r="C299" s="9">
        <v>1.4637799999999999E-6</v>
      </c>
      <c r="D299" s="5" t="s">
        <v>1129</v>
      </c>
      <c r="E299" s="7">
        <v>0.86</v>
      </c>
      <c r="F299" s="1">
        <v>0.805985093674355</v>
      </c>
      <c r="G299" s="1">
        <v>18267974400</v>
      </c>
      <c r="H299" s="1">
        <v>0</v>
      </c>
      <c r="I299" s="7">
        <f t="shared" si="4"/>
        <v>21143.488888888889</v>
      </c>
      <c r="L299" s="5">
        <v>43095</v>
      </c>
      <c r="M299" s="7">
        <v>4.0484000000000002E-9</v>
      </c>
      <c r="N299" s="5" t="s">
        <v>1115</v>
      </c>
      <c r="O299" s="5">
        <v>52</v>
      </c>
      <c r="P299" s="5">
        <v>43</v>
      </c>
      <c r="Q299" s="7">
        <v>72000</v>
      </c>
      <c r="R299" s="7">
        <v>9.6270441744436842E-6</v>
      </c>
      <c r="S299" s="7">
        <v>50511697.03125</v>
      </c>
      <c r="T299" s="7">
        <v>7.1162936193484395E-125</v>
      </c>
    </row>
    <row r="300" spans="2:20" x14ac:dyDescent="0.2">
      <c r="B300">
        <v>43110</v>
      </c>
      <c r="C300" s="9">
        <v>8.9113699999999999E-7</v>
      </c>
      <c r="D300" s="5" t="s">
        <v>1130</v>
      </c>
      <c r="E300" s="7">
        <v>0.92</v>
      </c>
      <c r="F300" s="1">
        <v>0.75342084843472312</v>
      </c>
      <c r="G300" s="1">
        <v>11121389760</v>
      </c>
      <c r="H300" s="1">
        <v>0</v>
      </c>
      <c r="I300" s="7">
        <f t="shared" si="4"/>
        <v>12871.978888888889</v>
      </c>
      <c r="L300" s="5">
        <v>43096</v>
      </c>
      <c r="M300" s="7">
        <v>6.2819999999999996E-10</v>
      </c>
      <c r="N300" s="5" t="s">
        <v>1116</v>
      </c>
      <c r="O300" s="5">
        <v>53</v>
      </c>
      <c r="P300" s="5">
        <v>43</v>
      </c>
      <c r="Q300" s="7">
        <v>369792</v>
      </c>
      <c r="R300" s="7">
        <v>1.8744244887935522E-6</v>
      </c>
      <c r="S300" s="7">
        <v>6287651.1958625279</v>
      </c>
      <c r="T300" s="7">
        <v>1.3382519246173017E-19</v>
      </c>
    </row>
    <row r="301" spans="2:20" x14ac:dyDescent="0.2">
      <c r="B301">
        <v>44092</v>
      </c>
      <c r="C301" s="9">
        <v>6.6379800000000005E-7</v>
      </c>
      <c r="D301" s="5" t="s">
        <v>1149</v>
      </c>
      <c r="E301" s="7">
        <v>219</v>
      </c>
      <c r="F301" s="1">
        <v>3.1650556189951841E-3</v>
      </c>
      <c r="G301" s="1">
        <v>8284199040.000001</v>
      </c>
      <c r="H301" s="1">
        <v>0</v>
      </c>
      <c r="I301" s="7">
        <f t="shared" si="4"/>
        <v>9588.1933333333345</v>
      </c>
      <c r="L301" s="5">
        <v>43097</v>
      </c>
      <c r="M301" s="7">
        <v>1.3959999999999999E-10</v>
      </c>
      <c r="N301" s="5" t="s">
        <v>1117</v>
      </c>
      <c r="O301" s="5">
        <v>54</v>
      </c>
      <c r="P301" s="5">
        <v>43</v>
      </c>
      <c r="Q301" s="7">
        <v>132857496000000</v>
      </c>
      <c r="R301" s="7">
        <v>5.2172229752090563E-15</v>
      </c>
      <c r="S301" s="7">
        <v>7.853317330244634E-3</v>
      </c>
      <c r="T301" s="7">
        <v>7.8533160381357402E-3</v>
      </c>
    </row>
    <row r="302" spans="2:20" x14ac:dyDescent="0.2">
      <c r="B302">
        <v>44093</v>
      </c>
      <c r="C302" s="9">
        <v>3.0753899999999999E-7</v>
      </c>
      <c r="D302" s="5" t="s">
        <v>1150</v>
      </c>
      <c r="E302" s="7">
        <v>59.7</v>
      </c>
      <c r="F302" s="1">
        <v>1.1610505537017509E-2</v>
      </c>
      <c r="G302" s="1">
        <v>3838086720</v>
      </c>
      <c r="H302" s="1">
        <v>0</v>
      </c>
      <c r="I302" s="7">
        <f t="shared" si="4"/>
        <v>4442.2299999999996</v>
      </c>
      <c r="L302" s="5">
        <v>43098</v>
      </c>
      <c r="M302" s="7">
        <v>1.3959999999999999E-10</v>
      </c>
      <c r="N302" s="5" t="s">
        <v>1118</v>
      </c>
      <c r="O302" s="5">
        <v>55</v>
      </c>
      <c r="P302" s="5">
        <v>43</v>
      </c>
      <c r="Q302" s="7">
        <v>132541920000000</v>
      </c>
      <c r="R302" s="7">
        <v>5.2296449346738394E-15</v>
      </c>
      <c r="S302" s="7">
        <v>7.8720156228655452E-3</v>
      </c>
      <c r="T302" s="7">
        <v>7.8720143245964401E-3</v>
      </c>
    </row>
    <row r="303" spans="2:20" x14ac:dyDescent="0.2">
      <c r="B303">
        <v>44094</v>
      </c>
      <c r="C303" s="9">
        <v>1.8629599999999999E-7</v>
      </c>
      <c r="D303" s="5" t="s">
        <v>1151</v>
      </c>
      <c r="E303" s="7">
        <v>3108</v>
      </c>
      <c r="F303" s="1">
        <v>2.2302032836549077E-4</v>
      </c>
      <c r="G303" s="1">
        <v>2324974080</v>
      </c>
      <c r="H303" s="1">
        <v>0</v>
      </c>
      <c r="I303" s="7">
        <f t="shared" si="4"/>
        <v>2690.9422222222224</v>
      </c>
      <c r="L303" s="5">
        <v>43099</v>
      </c>
      <c r="M303" s="7">
        <v>6.9799999999999994E-11</v>
      </c>
      <c r="N303" s="5" t="s">
        <v>1119</v>
      </c>
      <c r="O303" s="5">
        <v>56</v>
      </c>
      <c r="P303" s="5">
        <v>43</v>
      </c>
      <c r="Q303" s="7">
        <v>6661809360000</v>
      </c>
      <c r="R303" s="7">
        <v>1.040478859575089E-13</v>
      </c>
      <c r="S303" s="7">
        <v>7.830995810642348E-2</v>
      </c>
      <c r="T303" s="7">
        <v>7.8309701151971473E-2</v>
      </c>
    </row>
    <row r="304" spans="2:20" x14ac:dyDescent="0.2">
      <c r="B304">
        <v>44095</v>
      </c>
      <c r="C304" s="9">
        <v>5.24896E-8</v>
      </c>
      <c r="D304" s="5" t="s">
        <v>1152</v>
      </c>
      <c r="E304" s="7">
        <v>5914.8</v>
      </c>
      <c r="F304" s="1">
        <v>1.171886083316334E-4</v>
      </c>
      <c r="G304" s="1">
        <v>655070208</v>
      </c>
      <c r="H304" s="1">
        <v>0</v>
      </c>
      <c r="I304" s="7">
        <f t="shared" si="4"/>
        <v>758.18311111111109</v>
      </c>
      <c r="L304" s="5">
        <v>43100</v>
      </c>
      <c r="M304" s="7">
        <v>9.772000000000001E-10</v>
      </c>
      <c r="N304" s="5" t="s">
        <v>1120</v>
      </c>
      <c r="O304" s="5">
        <v>57</v>
      </c>
      <c r="P304" s="5">
        <v>43</v>
      </c>
      <c r="Q304" s="7">
        <v>15.46</v>
      </c>
      <c r="R304" s="7">
        <v>4.4834875844757129E-2</v>
      </c>
      <c r="S304" s="7">
        <v>12195456.000000002</v>
      </c>
      <c r="T304" s="7">
        <v>0</v>
      </c>
    </row>
    <row r="305" spans="2:20" x14ac:dyDescent="0.2">
      <c r="B305">
        <v>44097</v>
      </c>
      <c r="C305" s="9">
        <v>5.2350000000000002E-9</v>
      </c>
      <c r="D305" s="5" t="s">
        <v>1154</v>
      </c>
      <c r="E305" s="7">
        <v>244512</v>
      </c>
      <c r="F305" s="1">
        <v>2.8348186614969625E-6</v>
      </c>
      <c r="G305" s="1">
        <v>59690956.44399929</v>
      </c>
      <c r="H305" s="1">
        <v>8.9224694315410922E-32</v>
      </c>
      <c r="I305" s="7">
        <f t="shared" si="4"/>
        <v>69.086755143517692</v>
      </c>
      <c r="L305" s="5">
        <v>43101</v>
      </c>
      <c r="M305" s="7">
        <v>1.04002E-8</v>
      </c>
      <c r="N305" s="5" t="s">
        <v>1121</v>
      </c>
      <c r="O305" s="5">
        <v>58</v>
      </c>
      <c r="P305" s="5">
        <v>43</v>
      </c>
      <c r="Q305" s="7">
        <v>841.19999999999902</v>
      </c>
      <c r="R305" s="7">
        <v>8.239980748453948E-4</v>
      </c>
      <c r="S305" s="7">
        <v>129794496</v>
      </c>
      <c r="T305" s="7">
        <v>0</v>
      </c>
    </row>
    <row r="306" spans="2:20" x14ac:dyDescent="0.2">
      <c r="B306">
        <v>44103</v>
      </c>
      <c r="C306" s="9">
        <v>1.0190799999999999E-8</v>
      </c>
      <c r="D306" s="5" t="s">
        <v>1160</v>
      </c>
      <c r="E306" s="7">
        <v>3390940.8</v>
      </c>
      <c r="F306" s="1">
        <v>2.0441146615120656E-7</v>
      </c>
      <c r="G306" s="1">
        <v>20589957.144158486</v>
      </c>
      <c r="H306" s="1">
        <v>32662.862269552141</v>
      </c>
      <c r="I306" s="7">
        <f t="shared" si="4"/>
        <v>23.830968916850104</v>
      </c>
      <c r="L306" s="5">
        <v>43102</v>
      </c>
      <c r="M306" s="7">
        <v>4.5579400000000002E-8</v>
      </c>
      <c r="N306" s="5" t="s">
        <v>1122</v>
      </c>
      <c r="O306" s="5">
        <v>59</v>
      </c>
      <c r="P306" s="5">
        <v>43</v>
      </c>
      <c r="Q306" s="7">
        <v>5.28</v>
      </c>
      <c r="R306" s="7">
        <v>0.13127787510605024</v>
      </c>
      <c r="S306" s="7">
        <v>568830912</v>
      </c>
      <c r="T306" s="7">
        <v>0</v>
      </c>
    </row>
    <row r="307" spans="2:20" x14ac:dyDescent="0.2">
      <c r="B307">
        <v>44105</v>
      </c>
      <c r="C307" s="9">
        <v>1.02676E-7</v>
      </c>
      <c r="D307" s="5" t="s">
        <v>1162</v>
      </c>
      <c r="E307" s="7">
        <v>15984</v>
      </c>
      <c r="F307" s="1">
        <v>4.3365063848845423E-5</v>
      </c>
      <c r="G307" s="1">
        <v>1281396480</v>
      </c>
      <c r="H307" s="1">
        <v>0</v>
      </c>
      <c r="I307" s="7">
        <f t="shared" si="4"/>
        <v>1483.0977777777778</v>
      </c>
      <c r="L307" s="5">
        <v>43103</v>
      </c>
      <c r="M307" s="7">
        <v>2.8548199999999999E-7</v>
      </c>
      <c r="N307" s="5" t="s">
        <v>1123</v>
      </c>
      <c r="O307" s="5">
        <v>60</v>
      </c>
      <c r="P307" s="5">
        <v>43</v>
      </c>
      <c r="Q307" s="7">
        <v>54.2</v>
      </c>
      <c r="R307" s="7">
        <v>1.2788693368264673E-2</v>
      </c>
      <c r="S307" s="7">
        <v>3562815360</v>
      </c>
      <c r="T307" s="7">
        <v>0</v>
      </c>
    </row>
    <row r="308" spans="2:20" x14ac:dyDescent="0.2">
      <c r="B308">
        <v>44106</v>
      </c>
      <c r="C308" s="9">
        <v>2.7277799999999998E-7</v>
      </c>
      <c r="D308" s="5" t="s">
        <v>1163</v>
      </c>
      <c r="E308" s="7">
        <v>32123520</v>
      </c>
      <c r="F308" s="1">
        <v>2.1577560010856383E-8</v>
      </c>
      <c r="G308" s="1">
        <v>62877897.65996509</v>
      </c>
      <c r="H308" s="1">
        <v>31840045.210367914</v>
      </c>
      <c r="I308" s="7">
        <f t="shared" si="4"/>
        <v>72.775344513848481</v>
      </c>
      <c r="L308" s="5">
        <v>43104</v>
      </c>
      <c r="M308" s="7">
        <v>8.6649700000000001E-7</v>
      </c>
      <c r="N308" s="5" t="s">
        <v>1124</v>
      </c>
      <c r="O308" s="5">
        <v>61</v>
      </c>
      <c r="P308" s="5">
        <v>43</v>
      </c>
      <c r="Q308" s="7">
        <v>1098</v>
      </c>
      <c r="R308" s="7">
        <v>6.3128158520942197E-4</v>
      </c>
      <c r="S308" s="7">
        <v>10813882560</v>
      </c>
      <c r="T308" s="7">
        <v>0</v>
      </c>
    </row>
    <row r="309" spans="2:20" x14ac:dyDescent="0.2">
      <c r="B309">
        <v>44107</v>
      </c>
      <c r="C309" s="9">
        <v>4.65915E-7</v>
      </c>
      <c r="D309" s="5" t="s">
        <v>1164</v>
      </c>
      <c r="E309" s="7">
        <v>225</v>
      </c>
      <c r="F309" s="1">
        <v>3.080654135821979E-3</v>
      </c>
      <c r="G309" s="1">
        <v>5814619200</v>
      </c>
      <c r="H309" s="1">
        <v>0</v>
      </c>
      <c r="I309" s="7">
        <f t="shared" si="4"/>
        <v>6729.8833333333332</v>
      </c>
      <c r="L309" s="5">
        <v>43105</v>
      </c>
      <c r="M309" s="7">
        <v>3.0029399999999999E-6</v>
      </c>
      <c r="N309" s="5" t="s">
        <v>1125</v>
      </c>
      <c r="O309" s="5">
        <v>62</v>
      </c>
      <c r="P309" s="5">
        <v>43</v>
      </c>
      <c r="Q309" s="7">
        <v>456</v>
      </c>
      <c r="R309" s="7">
        <v>1.520059606491108E-3</v>
      </c>
      <c r="S309" s="7">
        <v>37476691200</v>
      </c>
      <c r="T309" s="7">
        <v>0</v>
      </c>
    </row>
    <row r="310" spans="2:20" x14ac:dyDescent="0.2">
      <c r="B310">
        <v>44108</v>
      </c>
      <c r="C310" s="9">
        <v>8.6021500000000003E-7</v>
      </c>
      <c r="D310" s="5" t="s">
        <v>1165</v>
      </c>
      <c r="E310" s="7">
        <v>273</v>
      </c>
      <c r="F310" s="1">
        <v>2.5390006613917409E-3</v>
      </c>
      <c r="G310" s="1">
        <v>10735483200</v>
      </c>
      <c r="H310" s="1">
        <v>0</v>
      </c>
      <c r="I310" s="7">
        <f t="shared" si="4"/>
        <v>12425.327777777778</v>
      </c>
      <c r="L310" s="5">
        <v>43106</v>
      </c>
      <c r="M310" s="7">
        <v>3.7869300000000001E-6</v>
      </c>
      <c r="N310" s="5" t="s">
        <v>1126</v>
      </c>
      <c r="O310" s="5">
        <v>63</v>
      </c>
      <c r="P310" s="5">
        <v>43</v>
      </c>
      <c r="Q310" s="7">
        <v>35.6</v>
      </c>
      <c r="R310" s="7">
        <v>1.9470426420223182E-2</v>
      </c>
      <c r="S310" s="7">
        <v>47260886400</v>
      </c>
      <c r="T310" s="7">
        <v>0</v>
      </c>
    </row>
    <row r="311" spans="2:20" x14ac:dyDescent="0.2">
      <c r="B311">
        <v>44109</v>
      </c>
      <c r="C311" s="9">
        <v>9.19057E-7</v>
      </c>
      <c r="D311" s="5" t="s">
        <v>1166</v>
      </c>
      <c r="E311" s="7">
        <v>34.5</v>
      </c>
      <c r="F311" s="1">
        <v>2.009122262492595E-2</v>
      </c>
      <c r="G311" s="1">
        <v>11469831360</v>
      </c>
      <c r="H311" s="1">
        <v>0</v>
      </c>
      <c r="I311" s="7">
        <f t="shared" si="4"/>
        <v>13275.267777777777</v>
      </c>
      <c r="L311" s="5">
        <v>43107</v>
      </c>
      <c r="M311" s="7">
        <v>6.2084999999999999E-6</v>
      </c>
      <c r="N311" s="5" t="s">
        <v>1127</v>
      </c>
      <c r="O311" s="5">
        <v>64</v>
      </c>
      <c r="P311" s="5">
        <v>43</v>
      </c>
      <c r="Q311" s="7">
        <v>21.2</v>
      </c>
      <c r="R311" s="7">
        <v>3.2695621724525725E-2</v>
      </c>
      <c r="S311" s="7">
        <v>77482080000</v>
      </c>
      <c r="T311" s="7">
        <v>0</v>
      </c>
    </row>
    <row r="312" spans="2:20" x14ac:dyDescent="0.2">
      <c r="B312">
        <v>44110</v>
      </c>
      <c r="C312" s="9">
        <v>1.2280600000000001E-6</v>
      </c>
      <c r="D312" s="5" t="s">
        <v>1167</v>
      </c>
      <c r="E312" s="7">
        <v>11.6</v>
      </c>
      <c r="F312" s="1">
        <v>5.9754067289650457E-2</v>
      </c>
      <c r="G312" s="1">
        <v>15326188800.000002</v>
      </c>
      <c r="H312" s="1">
        <v>0</v>
      </c>
      <c r="I312" s="7">
        <f t="shared" si="4"/>
        <v>17738.644444444446</v>
      </c>
      <c r="L312" s="5">
        <v>43108</v>
      </c>
      <c r="M312" s="7">
        <v>4.3597099999999998E-6</v>
      </c>
      <c r="N312" s="5" t="s">
        <v>1128</v>
      </c>
      <c r="O312" s="5">
        <v>65</v>
      </c>
      <c r="P312" s="5">
        <v>43</v>
      </c>
      <c r="Q312" s="7">
        <v>5.17</v>
      </c>
      <c r="R312" s="7">
        <v>0.13407102138490237</v>
      </c>
      <c r="S312" s="7">
        <v>54409180800</v>
      </c>
      <c r="T312" s="7">
        <v>0</v>
      </c>
    </row>
    <row r="313" spans="2:20" x14ac:dyDescent="0.2">
      <c r="B313">
        <v>44111</v>
      </c>
      <c r="C313" s="9">
        <v>1.0775000000000001E-6</v>
      </c>
      <c r="D313" s="5" t="s">
        <v>1168</v>
      </c>
      <c r="E313" s="7">
        <v>2.12</v>
      </c>
      <c r="F313" s="1">
        <v>0.3269562172452572</v>
      </c>
      <c r="G313" s="1">
        <v>13447200000</v>
      </c>
      <c r="H313" s="1">
        <v>0</v>
      </c>
      <c r="I313" s="7">
        <f t="shared" si="4"/>
        <v>15563.888888888889</v>
      </c>
      <c r="L313" s="5">
        <v>43109</v>
      </c>
      <c r="M313" s="7">
        <v>4.1331399999999997E-6</v>
      </c>
      <c r="N313" s="5" t="s">
        <v>1129</v>
      </c>
      <c r="O313" s="5">
        <v>66</v>
      </c>
      <c r="P313" s="5">
        <v>43</v>
      </c>
      <c r="Q313" s="7">
        <v>0.86</v>
      </c>
      <c r="R313" s="7">
        <v>0.805985093674355</v>
      </c>
      <c r="S313" s="7">
        <v>51581587200</v>
      </c>
      <c r="T313" s="7">
        <v>0</v>
      </c>
    </row>
    <row r="314" spans="2:20" x14ac:dyDescent="0.2">
      <c r="B314">
        <v>44112</v>
      </c>
      <c r="C314" s="9">
        <v>1.1597300000000001E-6</v>
      </c>
      <c r="D314" s="5" t="s">
        <v>1169</v>
      </c>
      <c r="E314" s="7">
        <v>1.75</v>
      </c>
      <c r="F314" s="1">
        <v>0.39608410317711157</v>
      </c>
      <c r="G314" s="1">
        <v>14473430400</v>
      </c>
      <c r="H314" s="1">
        <v>0</v>
      </c>
      <c r="I314" s="7">
        <f t="shared" si="4"/>
        <v>16751.655555555557</v>
      </c>
      <c r="L314" s="5">
        <v>43110</v>
      </c>
      <c r="M314" s="7">
        <v>2.3925299999999999E-6</v>
      </c>
      <c r="N314" s="5" t="s">
        <v>1130</v>
      </c>
      <c r="O314" s="5">
        <v>67</v>
      </c>
      <c r="P314" s="5">
        <v>43</v>
      </c>
      <c r="Q314" s="7">
        <v>0.92</v>
      </c>
      <c r="R314" s="7">
        <v>0.75342084843472312</v>
      </c>
      <c r="S314" s="7">
        <v>29858774400</v>
      </c>
      <c r="T314" s="7">
        <v>0</v>
      </c>
    </row>
    <row r="315" spans="2:20" x14ac:dyDescent="0.2">
      <c r="B315">
        <v>44113</v>
      </c>
      <c r="C315" s="9">
        <v>8.3808899999999998E-7</v>
      </c>
      <c r="D315" s="5" t="s">
        <v>1170</v>
      </c>
      <c r="E315" s="7">
        <v>0.8</v>
      </c>
      <c r="F315" s="1">
        <v>0.86643397569993152</v>
      </c>
      <c r="G315" s="1">
        <v>10459350720</v>
      </c>
      <c r="H315" s="1">
        <v>0</v>
      </c>
      <c r="I315" s="7">
        <f t="shared" si="4"/>
        <v>12105.73</v>
      </c>
      <c r="L315" s="5">
        <v>44092</v>
      </c>
      <c r="M315" s="7">
        <v>1.8192000000000001E-6</v>
      </c>
      <c r="N315" s="5" t="s">
        <v>1149</v>
      </c>
      <c r="O315" s="5">
        <v>48</v>
      </c>
      <c r="P315" s="5">
        <v>44</v>
      </c>
      <c r="Q315" s="7">
        <v>219</v>
      </c>
      <c r="R315" s="7">
        <v>3.1650556189951841E-3</v>
      </c>
      <c r="S315" s="7">
        <v>22703616000</v>
      </c>
      <c r="T315" s="7">
        <v>0</v>
      </c>
    </row>
    <row r="316" spans="2:20" x14ac:dyDescent="0.2">
      <c r="B316">
        <v>45094</v>
      </c>
      <c r="C316" s="9">
        <v>6.1375099999999997E-7</v>
      </c>
      <c r="D316" s="5" t="s">
        <v>1187</v>
      </c>
      <c r="E316" s="7">
        <v>66</v>
      </c>
      <c r="F316" s="1">
        <v>1.050223000848402E-2</v>
      </c>
      <c r="G316" s="1">
        <v>7659612480</v>
      </c>
      <c r="H316" s="1">
        <v>0</v>
      </c>
      <c r="I316" s="7">
        <f t="shared" si="4"/>
        <v>8865.2922222222223</v>
      </c>
      <c r="L316" s="5">
        <v>44093</v>
      </c>
      <c r="M316" s="7">
        <v>7.3422599999999997E-7</v>
      </c>
      <c r="N316" s="5" t="s">
        <v>1150</v>
      </c>
      <c r="O316" s="5">
        <v>49</v>
      </c>
      <c r="P316" s="5">
        <v>44</v>
      </c>
      <c r="Q316" s="7">
        <v>59.7</v>
      </c>
      <c r="R316" s="7">
        <v>1.1610505537017509E-2</v>
      </c>
      <c r="S316" s="7">
        <v>9163140480</v>
      </c>
      <c r="T316" s="7">
        <v>0</v>
      </c>
    </row>
    <row r="317" spans="2:20" x14ac:dyDescent="0.2">
      <c r="B317">
        <v>45095</v>
      </c>
      <c r="C317" s="9">
        <v>3.2254599999999998E-7</v>
      </c>
      <c r="D317" s="5" t="s">
        <v>1188</v>
      </c>
      <c r="E317" s="7">
        <v>301.2</v>
      </c>
      <c r="F317" s="1">
        <v>2.3012854600263787E-3</v>
      </c>
      <c r="G317" s="1">
        <v>4025374080</v>
      </c>
      <c r="H317" s="1">
        <v>0</v>
      </c>
      <c r="I317" s="7">
        <f t="shared" si="4"/>
        <v>4658.9977777777776</v>
      </c>
      <c r="L317" s="5">
        <v>44094</v>
      </c>
      <c r="M317" s="7">
        <v>5.9595200000000004E-7</v>
      </c>
      <c r="N317" s="5" t="s">
        <v>1151</v>
      </c>
      <c r="O317" s="5">
        <v>50</v>
      </c>
      <c r="P317" s="5">
        <v>44</v>
      </c>
      <c r="Q317" s="7">
        <v>3108</v>
      </c>
      <c r="R317" s="7">
        <v>2.2302032836549077E-4</v>
      </c>
      <c r="S317" s="7">
        <v>7437480960.000001</v>
      </c>
      <c r="T317" s="7">
        <v>0</v>
      </c>
    </row>
    <row r="318" spans="2:20" x14ac:dyDescent="0.2">
      <c r="B318">
        <v>45096</v>
      </c>
      <c r="C318" s="9">
        <v>1.3143300000000001E-7</v>
      </c>
      <c r="D318" s="5" t="s">
        <v>1189</v>
      </c>
      <c r="E318" s="7">
        <v>594</v>
      </c>
      <c r="F318" s="1">
        <v>1.1669144453871133E-3</v>
      </c>
      <c r="G318" s="1">
        <v>1640283840.0000002</v>
      </c>
      <c r="H318" s="1">
        <v>0</v>
      </c>
      <c r="I318" s="7">
        <f t="shared" si="4"/>
        <v>1898.4766666666669</v>
      </c>
      <c r="L318" s="5">
        <v>44095</v>
      </c>
      <c r="M318" s="7">
        <v>6.5961000000000004E-8</v>
      </c>
      <c r="N318" s="5" t="s">
        <v>1152</v>
      </c>
      <c r="O318" s="5">
        <v>51</v>
      </c>
      <c r="P318" s="5">
        <v>44</v>
      </c>
      <c r="Q318" s="7">
        <v>5914.8</v>
      </c>
      <c r="R318" s="7">
        <v>1.171886083316334E-4</v>
      </c>
      <c r="S318" s="7">
        <v>823193280</v>
      </c>
      <c r="T318" s="7">
        <v>0</v>
      </c>
    </row>
    <row r="319" spans="2:20" x14ac:dyDescent="0.2">
      <c r="B319">
        <v>45097</v>
      </c>
      <c r="C319" s="9">
        <v>4.3485399999999997E-8</v>
      </c>
      <c r="D319" s="5" t="s">
        <v>1190</v>
      </c>
      <c r="E319" s="7">
        <v>1842</v>
      </c>
      <c r="F319" s="1">
        <v>3.7630140095545346E-4</v>
      </c>
      <c r="G319" s="1">
        <v>542697792</v>
      </c>
      <c r="H319" s="1">
        <v>0</v>
      </c>
      <c r="I319" s="7">
        <f t="shared" si="4"/>
        <v>628.12244444444457</v>
      </c>
      <c r="L319" s="5">
        <v>44097</v>
      </c>
      <c r="M319" s="7">
        <v>5.3048000000000001E-9</v>
      </c>
      <c r="N319" s="5" t="s">
        <v>1154</v>
      </c>
      <c r="O319" s="5">
        <v>53</v>
      </c>
      <c r="P319" s="5">
        <v>44</v>
      </c>
      <c r="Q319" s="7">
        <v>244512</v>
      </c>
      <c r="R319" s="7">
        <v>2.8348186614969625E-6</v>
      </c>
      <c r="S319" s="7">
        <v>60486835.86325261</v>
      </c>
      <c r="T319" s="7">
        <v>9.0414356906283064E-32</v>
      </c>
    </row>
    <row r="320" spans="2:20" x14ac:dyDescent="0.2">
      <c r="B320">
        <v>45098</v>
      </c>
      <c r="C320" s="9">
        <v>1.40996E-8</v>
      </c>
      <c r="D320" s="5" t="s">
        <v>1191</v>
      </c>
      <c r="E320" s="7">
        <v>523.20000000000005</v>
      </c>
      <c r="F320" s="1">
        <v>1.3248225928133509E-3</v>
      </c>
      <c r="G320" s="1">
        <v>175963008</v>
      </c>
      <c r="H320" s="1">
        <v>0</v>
      </c>
      <c r="I320" s="7">
        <f t="shared" si="4"/>
        <v>203.66088888888891</v>
      </c>
      <c r="L320" s="5">
        <v>44103</v>
      </c>
      <c r="M320" s="7">
        <v>1.7450000000000001E-9</v>
      </c>
      <c r="N320" s="5" t="s">
        <v>1160</v>
      </c>
      <c r="O320" s="5">
        <v>59</v>
      </c>
      <c r="P320" s="5">
        <v>44</v>
      </c>
      <c r="Q320" s="7">
        <v>3390940.8</v>
      </c>
      <c r="R320" s="7">
        <v>2.0441146615120656E-7</v>
      </c>
      <c r="S320" s="7">
        <v>3525677.5931778233</v>
      </c>
      <c r="T320" s="7">
        <v>5592.9558680739974</v>
      </c>
    </row>
    <row r="321" spans="2:20" x14ac:dyDescent="0.2">
      <c r="B321">
        <v>45099</v>
      </c>
      <c r="C321" s="9">
        <v>2.5826000000000002E-9</v>
      </c>
      <c r="D321" s="5" t="s">
        <v>1192</v>
      </c>
      <c r="E321" s="7">
        <v>1391040</v>
      </c>
      <c r="F321" s="1">
        <v>4.9829421192772694E-7</v>
      </c>
      <c r="G321" s="1">
        <v>11275417.87557948</v>
      </c>
      <c r="H321" s="1">
        <v>1.6886497370875471</v>
      </c>
      <c r="I321" s="7">
        <f t="shared" si="4"/>
        <v>13.050252170809584</v>
      </c>
      <c r="L321" s="5">
        <v>44105</v>
      </c>
      <c r="M321" s="7">
        <v>7.1475199999999994E-8</v>
      </c>
      <c r="N321" s="5" t="s">
        <v>1162</v>
      </c>
      <c r="O321" s="5">
        <v>61</v>
      </c>
      <c r="P321" s="5">
        <v>44</v>
      </c>
      <c r="Q321" s="7">
        <v>15984</v>
      </c>
      <c r="R321" s="7">
        <v>4.3365063848845423E-5</v>
      </c>
      <c r="S321" s="7">
        <v>892010495.99999988</v>
      </c>
      <c r="T321" s="7">
        <v>0</v>
      </c>
    </row>
    <row r="322" spans="2:20" x14ac:dyDescent="0.2">
      <c r="B322">
        <v>45100</v>
      </c>
      <c r="C322" s="9">
        <v>5.5839999999999995E-10</v>
      </c>
      <c r="D322" s="5" t="s">
        <v>1193</v>
      </c>
      <c r="E322" s="7">
        <v>74880</v>
      </c>
      <c r="F322" s="1">
        <v>9.2567732446573882E-6</v>
      </c>
      <c r="G322" s="1">
        <v>6966489.1905449731</v>
      </c>
      <c r="H322" s="1">
        <v>1.1563078819670181E-120</v>
      </c>
      <c r="I322" s="7">
        <f t="shared" si="4"/>
        <v>8.0630661927603846</v>
      </c>
      <c r="L322" s="5">
        <v>44106</v>
      </c>
      <c r="M322" s="7">
        <v>4.52793E-7</v>
      </c>
      <c r="N322" s="5" t="s">
        <v>1163</v>
      </c>
      <c r="O322" s="5">
        <v>62</v>
      </c>
      <c r="P322" s="5">
        <v>44</v>
      </c>
      <c r="Q322" s="7">
        <v>32123520</v>
      </c>
      <c r="R322" s="7">
        <v>2.1577560010856383E-8</v>
      </c>
      <c r="S322" s="7">
        <v>104373050.30152202</v>
      </c>
      <c r="T322" s="7">
        <v>52852317.968964212</v>
      </c>
    </row>
    <row r="323" spans="2:20" x14ac:dyDescent="0.2">
      <c r="B323">
        <v>45101</v>
      </c>
      <c r="C323" s="9">
        <v>6.9799999999999994E-11</v>
      </c>
      <c r="D323" s="5" t="s">
        <v>1194</v>
      </c>
      <c r="E323" s="7">
        <v>104140080</v>
      </c>
      <c r="F323" s="1">
        <v>6.6559117350394321E-9</v>
      </c>
      <c r="G323" s="1">
        <v>4995.0881025451408</v>
      </c>
      <c r="H323" s="1">
        <v>4049.3412663922472</v>
      </c>
      <c r="I323" s="7">
        <f t="shared" si="4"/>
        <v>5.7813519705383568E-3</v>
      </c>
      <c r="L323" s="5">
        <v>44107</v>
      </c>
      <c r="M323" s="7">
        <v>8.3411000000000005E-7</v>
      </c>
      <c r="N323" s="5" t="s">
        <v>1164</v>
      </c>
      <c r="O323" s="5">
        <v>63</v>
      </c>
      <c r="P323" s="5">
        <v>44</v>
      </c>
      <c r="Q323" s="7">
        <v>225</v>
      </c>
      <c r="R323" s="7">
        <v>3.080654135821979E-3</v>
      </c>
      <c r="S323" s="7">
        <v>10409692800</v>
      </c>
      <c r="T323" s="7">
        <v>0</v>
      </c>
    </row>
    <row r="324" spans="2:20" x14ac:dyDescent="0.2">
      <c r="B324">
        <v>45104</v>
      </c>
      <c r="C324" s="9">
        <v>6.9799999999999994E-11</v>
      </c>
      <c r="D324" s="5" t="s">
        <v>1197</v>
      </c>
      <c r="E324" s="7">
        <v>42.3</v>
      </c>
      <c r="F324" s="1">
        <v>1.6386458169265847E-2</v>
      </c>
      <c r="G324" s="1">
        <v>871103.99999999988</v>
      </c>
      <c r="H324" s="1">
        <v>0</v>
      </c>
      <c r="I324" s="7">
        <f t="shared" ref="I324:I387" si="5">G324/10/24/3600</f>
        <v>1.0082222222222221</v>
      </c>
      <c r="L324" s="5">
        <v>44108</v>
      </c>
      <c r="M324" s="7">
        <v>2.1219200000000001E-6</v>
      </c>
      <c r="N324" s="5" t="s">
        <v>1165</v>
      </c>
      <c r="O324" s="5">
        <v>64</v>
      </c>
      <c r="P324" s="5">
        <v>44</v>
      </c>
      <c r="Q324" s="7">
        <v>273</v>
      </c>
      <c r="R324" s="7">
        <v>2.5390006613917409E-3</v>
      </c>
      <c r="S324" s="7">
        <v>26481561600</v>
      </c>
      <c r="T324" s="7">
        <v>0</v>
      </c>
    </row>
    <row r="325" spans="2:20" x14ac:dyDescent="0.2">
      <c r="B325">
        <v>45105</v>
      </c>
      <c r="C325" s="9">
        <v>6.2819999999999996E-10</v>
      </c>
      <c r="D325" s="5" t="s">
        <v>1198</v>
      </c>
      <c r="E325" s="7">
        <v>127296</v>
      </c>
      <c r="F325" s="1">
        <v>5.4451607321514057E-6</v>
      </c>
      <c r="G325" s="1">
        <v>7768958.2052966896</v>
      </c>
      <c r="H325" s="1">
        <v>2.0602845590244225E-68</v>
      </c>
      <c r="I325" s="7">
        <f t="shared" si="5"/>
        <v>8.9918497746489461</v>
      </c>
      <c r="L325" s="5">
        <v>44109</v>
      </c>
      <c r="M325" s="7">
        <v>2.1755300000000002E-6</v>
      </c>
      <c r="N325" s="5" t="s">
        <v>1166</v>
      </c>
      <c r="O325" s="5">
        <v>65</v>
      </c>
      <c r="P325" s="5">
        <v>44</v>
      </c>
      <c r="Q325" s="7">
        <v>34.5</v>
      </c>
      <c r="R325" s="7">
        <v>2.009122262492595E-2</v>
      </c>
      <c r="S325" s="7">
        <v>27150614400.000004</v>
      </c>
      <c r="T325" s="7">
        <v>0</v>
      </c>
    </row>
    <row r="326" spans="2:20" x14ac:dyDescent="0.2">
      <c r="B326">
        <v>45106</v>
      </c>
      <c r="C326" s="9">
        <v>2.0242000000000001E-9</v>
      </c>
      <c r="D326" s="5" t="s">
        <v>1199</v>
      </c>
      <c r="E326" s="7">
        <v>30.07</v>
      </c>
      <c r="F326" s="1">
        <v>2.3051120071830571E-2</v>
      </c>
      <c r="G326" s="1">
        <v>25262016</v>
      </c>
      <c r="H326" s="1">
        <v>0</v>
      </c>
      <c r="I326" s="7">
        <f t="shared" si="5"/>
        <v>29.238444444444447</v>
      </c>
      <c r="L326" s="5">
        <v>44110</v>
      </c>
      <c r="M326" s="7">
        <v>3.2726400000000001E-6</v>
      </c>
      <c r="N326" s="5" t="s">
        <v>1167</v>
      </c>
      <c r="O326" s="5">
        <v>66</v>
      </c>
      <c r="P326" s="5">
        <v>44</v>
      </c>
      <c r="Q326" s="7">
        <v>11.6</v>
      </c>
      <c r="R326" s="7">
        <v>5.9754067289650457E-2</v>
      </c>
      <c r="S326" s="7">
        <v>40842547200</v>
      </c>
      <c r="T326" s="7">
        <v>0</v>
      </c>
    </row>
    <row r="327" spans="2:20" x14ac:dyDescent="0.2">
      <c r="B327">
        <v>45107</v>
      </c>
      <c r="C327" s="9">
        <v>1.1307599999999999E-8</v>
      </c>
      <c r="D327" s="5" t="s">
        <v>1200</v>
      </c>
      <c r="E327" s="7">
        <v>1302</v>
      </c>
      <c r="F327" s="1">
        <v>5.3237110642084893E-4</v>
      </c>
      <c r="G327" s="1">
        <v>141118848</v>
      </c>
      <c r="H327" s="1">
        <v>0</v>
      </c>
      <c r="I327" s="7">
        <f t="shared" si="5"/>
        <v>163.33200000000002</v>
      </c>
      <c r="L327" s="5">
        <v>44111</v>
      </c>
      <c r="M327" s="7">
        <v>1.89996E-6</v>
      </c>
      <c r="N327" s="5" t="s">
        <v>1168</v>
      </c>
      <c r="O327" s="5">
        <v>67</v>
      </c>
      <c r="P327" s="5">
        <v>44</v>
      </c>
      <c r="Q327" s="7">
        <v>2.12</v>
      </c>
      <c r="R327" s="7">
        <v>0.3269562172452572</v>
      </c>
      <c r="S327" s="7">
        <v>23711500800</v>
      </c>
      <c r="T327" s="7">
        <v>0</v>
      </c>
    </row>
    <row r="328" spans="2:20" x14ac:dyDescent="0.2">
      <c r="B328">
        <v>45108</v>
      </c>
      <c r="C328" s="9">
        <v>3.5458400000000001E-8</v>
      </c>
      <c r="D328" s="5" t="s">
        <v>1201</v>
      </c>
      <c r="E328" s="7">
        <v>16.8</v>
      </c>
      <c r="F328" s="1">
        <v>4.1258760747615787E-2</v>
      </c>
      <c r="G328" s="1">
        <v>442520832</v>
      </c>
      <c r="H328" s="1">
        <v>0</v>
      </c>
      <c r="I328" s="7">
        <f t="shared" si="5"/>
        <v>512.17688888888893</v>
      </c>
      <c r="L328" s="5">
        <v>44112</v>
      </c>
      <c r="M328" s="7">
        <v>2.14042E-6</v>
      </c>
      <c r="N328" s="5" t="s">
        <v>1169</v>
      </c>
      <c r="O328" s="5">
        <v>68</v>
      </c>
      <c r="P328" s="5">
        <v>44</v>
      </c>
      <c r="Q328" s="7">
        <v>1.75</v>
      </c>
      <c r="R328" s="7">
        <v>0.39608410317711157</v>
      </c>
      <c r="S328" s="7">
        <v>26712441600</v>
      </c>
      <c r="T328" s="7">
        <v>0</v>
      </c>
    </row>
    <row r="329" spans="2:20" x14ac:dyDescent="0.2">
      <c r="B329">
        <v>45109</v>
      </c>
      <c r="C329" s="9">
        <v>1.1845100000000001E-7</v>
      </c>
      <c r="D329" s="5" t="s">
        <v>1202</v>
      </c>
      <c r="E329" s="7">
        <v>80</v>
      </c>
      <c r="F329" s="1">
        <v>8.6643397569993157E-3</v>
      </c>
      <c r="G329" s="1">
        <v>1478268480</v>
      </c>
      <c r="H329" s="1">
        <v>0</v>
      </c>
      <c r="I329" s="7">
        <f t="shared" si="5"/>
        <v>1710.9588888888889</v>
      </c>
      <c r="L329" s="5">
        <v>44113</v>
      </c>
      <c r="M329" s="7">
        <v>9.75315E-7</v>
      </c>
      <c r="N329" s="5" t="s">
        <v>1170</v>
      </c>
      <c r="O329" s="5">
        <v>69</v>
      </c>
      <c r="P329" s="5">
        <v>44</v>
      </c>
      <c r="Q329" s="7">
        <v>0.8</v>
      </c>
      <c r="R329" s="7">
        <v>0.86643397569993152</v>
      </c>
      <c r="S329" s="7">
        <v>12171931200</v>
      </c>
      <c r="T329" s="7">
        <v>0</v>
      </c>
    </row>
    <row r="330" spans="2:20" x14ac:dyDescent="0.2">
      <c r="B330">
        <v>45110</v>
      </c>
      <c r="C330" s="9">
        <v>2.3075900000000001E-7</v>
      </c>
      <c r="D330" s="5" t="s">
        <v>1203</v>
      </c>
      <c r="E330" s="7">
        <v>28.5</v>
      </c>
      <c r="F330" s="1">
        <v>2.4320953703857728E-2</v>
      </c>
      <c r="G330" s="1">
        <v>2879872320</v>
      </c>
      <c r="H330" s="1">
        <v>0</v>
      </c>
      <c r="I330" s="7">
        <f t="shared" si="5"/>
        <v>3333.1855555555558</v>
      </c>
      <c r="L330" s="5">
        <v>45094</v>
      </c>
      <c r="M330" s="7">
        <v>8.05352E-7</v>
      </c>
      <c r="N330" s="5" t="s">
        <v>1187</v>
      </c>
      <c r="O330" s="5">
        <v>49</v>
      </c>
      <c r="P330" s="5">
        <v>45</v>
      </c>
      <c r="Q330" s="7">
        <v>66</v>
      </c>
      <c r="R330" s="7">
        <v>1.050223000848402E-2</v>
      </c>
      <c r="S330" s="7">
        <v>10050792960</v>
      </c>
      <c r="T330" s="7">
        <v>0</v>
      </c>
    </row>
    <row r="331" spans="2:20" x14ac:dyDescent="0.2">
      <c r="B331">
        <v>45111</v>
      </c>
      <c r="C331" s="9">
        <v>5.2454700000000004E-7</v>
      </c>
      <c r="D331" s="5" t="s">
        <v>1204</v>
      </c>
      <c r="E331" s="7">
        <v>11</v>
      </c>
      <c r="F331" s="1">
        <v>6.3013380050904122E-2</v>
      </c>
      <c r="G331" s="1">
        <v>6546346560.000001</v>
      </c>
      <c r="H331" s="1">
        <v>0</v>
      </c>
      <c r="I331" s="7">
        <f t="shared" si="5"/>
        <v>7576.7900000000009</v>
      </c>
      <c r="L331" s="5">
        <v>45095</v>
      </c>
      <c r="M331" s="7">
        <v>3.7461700000000003E-7</v>
      </c>
      <c r="N331" s="5" t="s">
        <v>1188</v>
      </c>
      <c r="O331" s="5">
        <v>50</v>
      </c>
      <c r="P331" s="5">
        <v>45</v>
      </c>
      <c r="Q331" s="7">
        <v>301.2</v>
      </c>
      <c r="R331" s="7">
        <v>2.3012854600263787E-3</v>
      </c>
      <c r="S331" s="7">
        <v>4675220160</v>
      </c>
      <c r="T331" s="7">
        <v>0</v>
      </c>
    </row>
    <row r="332" spans="2:20" x14ac:dyDescent="0.2">
      <c r="B332">
        <v>45112</v>
      </c>
      <c r="C332" s="9">
        <v>7.0169899999999996E-7</v>
      </c>
      <c r="D332" s="5" t="s">
        <v>1205</v>
      </c>
      <c r="E332" s="7">
        <v>3.6</v>
      </c>
      <c r="F332" s="1">
        <v>0.19254088348887369</v>
      </c>
      <c r="G332" s="1">
        <v>8757203520</v>
      </c>
      <c r="H332" s="1">
        <v>0</v>
      </c>
      <c r="I332" s="7">
        <f t="shared" si="5"/>
        <v>10135.652222222223</v>
      </c>
      <c r="L332" s="5">
        <v>45096</v>
      </c>
      <c r="M332" s="7">
        <v>1.0100100000000001E-7</v>
      </c>
      <c r="N332" s="5" t="s">
        <v>1189</v>
      </c>
      <c r="O332" s="5">
        <v>51</v>
      </c>
      <c r="P332" s="5">
        <v>45</v>
      </c>
      <c r="Q332" s="7">
        <v>594</v>
      </c>
      <c r="R332" s="7">
        <v>1.1669144453871133E-3</v>
      </c>
      <c r="S332" s="7">
        <v>1260492480</v>
      </c>
      <c r="T332" s="7">
        <v>0</v>
      </c>
    </row>
    <row r="333" spans="2:20" x14ac:dyDescent="0.2">
      <c r="B333">
        <v>45113</v>
      </c>
      <c r="C333" s="9">
        <v>1.12546E-6</v>
      </c>
      <c r="D333" s="5" t="s">
        <v>1206</v>
      </c>
      <c r="E333" s="7">
        <v>2.8</v>
      </c>
      <c r="F333" s="1">
        <v>0.24755256448569476</v>
      </c>
      <c r="G333" s="1">
        <v>14045740800</v>
      </c>
      <c r="H333" s="1">
        <v>0</v>
      </c>
      <c r="I333" s="7">
        <f t="shared" si="5"/>
        <v>16256.644444444444</v>
      </c>
      <c r="L333" s="5">
        <v>45097</v>
      </c>
      <c r="M333" s="7">
        <v>2.25454E-8</v>
      </c>
      <c r="N333" s="5" t="s">
        <v>1190</v>
      </c>
      <c r="O333" s="5">
        <v>52</v>
      </c>
      <c r="P333" s="5">
        <v>45</v>
      </c>
      <c r="Q333" s="7">
        <v>1842</v>
      </c>
      <c r="R333" s="7">
        <v>3.7630140095545346E-4</v>
      </c>
      <c r="S333" s="7">
        <v>281366592</v>
      </c>
      <c r="T333" s="7">
        <v>0</v>
      </c>
    </row>
    <row r="334" spans="2:20" x14ac:dyDescent="0.2">
      <c r="B334">
        <v>45114</v>
      </c>
      <c r="C334" s="9">
        <v>9.5535299999999997E-7</v>
      </c>
      <c r="D334" s="5" t="s">
        <v>1207</v>
      </c>
      <c r="E334" s="7">
        <v>1.85</v>
      </c>
      <c r="F334" s="1">
        <v>0.37467415165402446</v>
      </c>
      <c r="G334" s="1">
        <v>11922805440</v>
      </c>
      <c r="H334" s="1">
        <v>0</v>
      </c>
      <c r="I334" s="7">
        <f t="shared" si="5"/>
        <v>13799.543333333333</v>
      </c>
      <c r="L334" s="5">
        <v>45098</v>
      </c>
      <c r="M334" s="7">
        <v>1.1307599999999999E-8</v>
      </c>
      <c r="N334" s="5" t="s">
        <v>1191</v>
      </c>
      <c r="O334" s="5">
        <v>53</v>
      </c>
      <c r="P334" s="5">
        <v>45</v>
      </c>
      <c r="Q334" s="7">
        <v>523.20000000000005</v>
      </c>
      <c r="R334" s="7">
        <v>1.3248225928133509E-3</v>
      </c>
      <c r="S334" s="7">
        <v>141118848</v>
      </c>
      <c r="T334" s="7">
        <v>0</v>
      </c>
    </row>
    <row r="335" spans="2:20" x14ac:dyDescent="0.2">
      <c r="B335">
        <v>46096</v>
      </c>
      <c r="C335" s="9">
        <v>1.01678E-6</v>
      </c>
      <c r="D335" s="5" t="s">
        <v>1226</v>
      </c>
      <c r="E335" s="7">
        <v>122</v>
      </c>
      <c r="F335" s="1">
        <v>5.6815342668847975E-3</v>
      </c>
      <c r="G335" s="1">
        <v>12689414400</v>
      </c>
      <c r="H335" s="1">
        <v>0</v>
      </c>
      <c r="I335" s="7">
        <f t="shared" si="5"/>
        <v>14686.822222222223</v>
      </c>
      <c r="L335" s="5">
        <v>45099</v>
      </c>
      <c r="M335" s="7">
        <v>2.1637999999999999E-9</v>
      </c>
      <c r="N335" s="5" t="s">
        <v>1192</v>
      </c>
      <c r="O335" s="5">
        <v>54</v>
      </c>
      <c r="P335" s="5">
        <v>45</v>
      </c>
      <c r="Q335" s="7">
        <v>1391040</v>
      </c>
      <c r="R335" s="7">
        <v>4.9829421192772694E-7</v>
      </c>
      <c r="S335" s="7">
        <v>9446971.7335936185</v>
      </c>
      <c r="T335" s="7">
        <v>1.4148146445868639</v>
      </c>
    </row>
    <row r="336" spans="2:20" x14ac:dyDescent="0.2">
      <c r="B336">
        <v>46097</v>
      </c>
      <c r="C336" s="9">
        <v>6.3483099999999995E-7</v>
      </c>
      <c r="D336" s="5" t="s">
        <v>1227</v>
      </c>
      <c r="E336" s="7">
        <v>186</v>
      </c>
      <c r="F336" s="1">
        <v>3.7265977449459425E-3</v>
      </c>
      <c r="G336" s="1">
        <v>7922690879.999999</v>
      </c>
      <c r="H336" s="1">
        <v>0</v>
      </c>
      <c r="I336" s="7">
        <f t="shared" si="5"/>
        <v>9169.7811111111096</v>
      </c>
      <c r="L336" s="5">
        <v>45100</v>
      </c>
      <c r="M336" s="7">
        <v>1.4658E-9</v>
      </c>
      <c r="N336" s="5" t="s">
        <v>1193</v>
      </c>
      <c r="O336" s="5">
        <v>55</v>
      </c>
      <c r="P336" s="5">
        <v>45</v>
      </c>
      <c r="Q336" s="7">
        <v>74880</v>
      </c>
      <c r="R336" s="7">
        <v>9.2567732446573882E-6</v>
      </c>
      <c r="S336" s="7">
        <v>18287034.125180557</v>
      </c>
      <c r="T336" s="7">
        <v>3.035308190163423E-120</v>
      </c>
    </row>
    <row r="337" spans="2:20" x14ac:dyDescent="0.2">
      <c r="B337">
        <v>46098</v>
      </c>
      <c r="C337" s="9">
        <v>4.7254599999999998E-7</v>
      </c>
      <c r="D337" s="5" t="s">
        <v>1228</v>
      </c>
      <c r="E337" s="7">
        <v>1062</v>
      </c>
      <c r="F337" s="1">
        <v>6.5268096097923281E-4</v>
      </c>
      <c r="G337" s="1">
        <v>5897374080</v>
      </c>
      <c r="H337" s="1">
        <v>0</v>
      </c>
      <c r="I337" s="7">
        <f t="shared" si="5"/>
        <v>6825.6644444444446</v>
      </c>
      <c r="L337" s="5">
        <v>45101</v>
      </c>
      <c r="M337" s="7">
        <v>4.1879999999999999E-10</v>
      </c>
      <c r="N337" s="5" t="s">
        <v>1194</v>
      </c>
      <c r="O337" s="5">
        <v>56</v>
      </c>
      <c r="P337" s="5">
        <v>45</v>
      </c>
      <c r="Q337" s="7">
        <v>104140080</v>
      </c>
      <c r="R337" s="7">
        <v>6.6559117350394321E-9</v>
      </c>
      <c r="S337" s="7">
        <v>29970.528615270847</v>
      </c>
      <c r="T337" s="7">
        <v>24296.047598353485</v>
      </c>
    </row>
    <row r="338" spans="2:20" x14ac:dyDescent="0.2">
      <c r="B338">
        <v>46099</v>
      </c>
      <c r="C338" s="9">
        <v>2.3006100000000001E-7</v>
      </c>
      <c r="D338" s="5" t="s">
        <v>1229</v>
      </c>
      <c r="E338" s="7">
        <v>1284</v>
      </c>
      <c r="F338" s="1">
        <v>5.3983425277254302E-4</v>
      </c>
      <c r="G338" s="1">
        <v>2871161280</v>
      </c>
      <c r="H338" s="1">
        <v>0</v>
      </c>
      <c r="I338" s="7">
        <f t="shared" si="5"/>
        <v>3323.1033333333335</v>
      </c>
      <c r="L338" s="5">
        <v>45105</v>
      </c>
      <c r="M338" s="7">
        <v>2.094E-10</v>
      </c>
      <c r="N338" s="5" t="s">
        <v>1198</v>
      </c>
      <c r="O338" s="5">
        <v>60</v>
      </c>
      <c r="P338" s="5">
        <v>45</v>
      </c>
      <c r="Q338" s="7">
        <v>127296</v>
      </c>
      <c r="R338" s="7">
        <v>5.4451607321514057E-6</v>
      </c>
      <c r="S338" s="7">
        <v>2589652.735098897</v>
      </c>
      <c r="T338" s="7">
        <v>6.8676151967480764E-69</v>
      </c>
    </row>
    <row r="339" spans="2:20" x14ac:dyDescent="0.2">
      <c r="B339">
        <v>46100</v>
      </c>
      <c r="C339" s="9">
        <v>1.0449100000000001E-7</v>
      </c>
      <c r="D339" s="5" t="s">
        <v>1230</v>
      </c>
      <c r="E339" s="7">
        <v>313632</v>
      </c>
      <c r="F339" s="1">
        <v>2.2100652374755931E-6</v>
      </c>
      <c r="G339" s="1">
        <v>1110846517.0719934</v>
      </c>
      <c r="H339" s="1">
        <v>5.9813297319699164E-22</v>
      </c>
      <c r="I339" s="7">
        <f t="shared" si="5"/>
        <v>1285.7019873518443</v>
      </c>
      <c r="L339" s="5">
        <v>45106</v>
      </c>
      <c r="M339" s="7">
        <v>1.3959999999999999E-9</v>
      </c>
      <c r="N339" s="5" t="s">
        <v>1199</v>
      </c>
      <c r="O339" s="5">
        <v>61</v>
      </c>
      <c r="P339" s="5">
        <v>45</v>
      </c>
      <c r="Q339" s="7">
        <v>30.07</v>
      </c>
      <c r="R339" s="7">
        <v>2.3051120071830571E-2</v>
      </c>
      <c r="S339" s="7">
        <v>17422080</v>
      </c>
      <c r="T339" s="7">
        <v>0</v>
      </c>
    </row>
    <row r="340" spans="2:20" x14ac:dyDescent="0.2">
      <c r="B340">
        <v>46101</v>
      </c>
      <c r="C340" s="9">
        <v>3.1898599999999998E-8</v>
      </c>
      <c r="D340" s="5" t="s">
        <v>1231</v>
      </c>
      <c r="E340" s="7">
        <v>30492</v>
      </c>
      <c r="F340" s="1">
        <v>2.2732099585463247E-5</v>
      </c>
      <c r="G340" s="1">
        <v>398094526.82453245</v>
      </c>
      <c r="H340" s="1">
        <v>1.8330673104675574E-303</v>
      </c>
      <c r="I340" s="7">
        <f t="shared" si="5"/>
        <v>460.75755419506072</v>
      </c>
      <c r="L340" s="5">
        <v>45107</v>
      </c>
      <c r="M340" s="7">
        <v>1.5705000000000001E-8</v>
      </c>
      <c r="N340" s="5" t="s">
        <v>1200</v>
      </c>
      <c r="O340" s="5">
        <v>62</v>
      </c>
      <c r="P340" s="5">
        <v>45</v>
      </c>
      <c r="Q340" s="7">
        <v>1302</v>
      </c>
      <c r="R340" s="7">
        <v>5.3237110642084893E-4</v>
      </c>
      <c r="S340" s="7">
        <v>195998400</v>
      </c>
      <c r="T340" s="7">
        <v>0</v>
      </c>
    </row>
    <row r="341" spans="2:20" x14ac:dyDescent="0.2">
      <c r="B341">
        <v>46103</v>
      </c>
      <c r="C341" s="9">
        <v>2.094E-9</v>
      </c>
      <c r="D341" s="5" t="s">
        <v>1233</v>
      </c>
      <c r="E341" s="7">
        <v>1468022.4</v>
      </c>
      <c r="F341" s="1">
        <v>4.7216389924291711E-7</v>
      </c>
      <c r="G341" s="1">
        <v>8754271.4458350055</v>
      </c>
      <c r="H341" s="1">
        <v>2.9888586075986727</v>
      </c>
      <c r="I341" s="7">
        <f t="shared" si="5"/>
        <v>10.13225861786459</v>
      </c>
      <c r="L341" s="5">
        <v>45108</v>
      </c>
      <c r="M341" s="7">
        <v>5.73058E-8</v>
      </c>
      <c r="N341" s="5" t="s">
        <v>1201</v>
      </c>
      <c r="O341" s="5">
        <v>63</v>
      </c>
      <c r="P341" s="5">
        <v>45</v>
      </c>
      <c r="Q341" s="7">
        <v>16.8</v>
      </c>
      <c r="R341" s="7">
        <v>4.1258760747615787E-2</v>
      </c>
      <c r="S341" s="7">
        <v>715176384</v>
      </c>
      <c r="T341" s="7">
        <v>0</v>
      </c>
    </row>
    <row r="342" spans="2:20" x14ac:dyDescent="0.2">
      <c r="B342">
        <v>46107</v>
      </c>
      <c r="C342" s="9">
        <v>6.9799999999999994E-11</v>
      </c>
      <c r="D342" s="5" t="s">
        <v>1237</v>
      </c>
      <c r="E342" s="7">
        <v>205124400000000</v>
      </c>
      <c r="F342" s="1">
        <v>3.3791551885584809E-15</v>
      </c>
      <c r="G342" s="1">
        <v>2.5432666364366692E-3</v>
      </c>
      <c r="H342" s="1">
        <v>2.5432663654133777E-3</v>
      </c>
      <c r="I342" s="7">
        <f t="shared" si="5"/>
        <v>2.9435956440239227E-9</v>
      </c>
      <c r="L342" s="5">
        <v>45109</v>
      </c>
      <c r="M342" s="7">
        <v>2.6607800000000001E-7</v>
      </c>
      <c r="N342" s="5" t="s">
        <v>1202</v>
      </c>
      <c r="O342" s="5">
        <v>64</v>
      </c>
      <c r="P342" s="5">
        <v>45</v>
      </c>
      <c r="Q342" s="7">
        <v>80</v>
      </c>
      <c r="R342" s="7">
        <v>8.6643397569993157E-3</v>
      </c>
      <c r="S342" s="7">
        <v>3320653440</v>
      </c>
      <c r="T342" s="7">
        <v>0</v>
      </c>
    </row>
    <row r="343" spans="2:20" x14ac:dyDescent="0.2">
      <c r="B343">
        <v>46109</v>
      </c>
      <c r="C343" s="9">
        <v>2.094E-9</v>
      </c>
      <c r="D343" s="5" t="s">
        <v>1239</v>
      </c>
      <c r="E343" s="7">
        <v>49324.32</v>
      </c>
      <c r="F343" s="1">
        <v>1.4052848180369142E-5</v>
      </c>
      <c r="G343" s="1">
        <v>26132980.641018379</v>
      </c>
      <c r="H343" s="1">
        <v>8.9255306408282401E-186</v>
      </c>
      <c r="I343" s="7">
        <f t="shared" si="5"/>
        <v>30.246505371549052</v>
      </c>
      <c r="L343" s="5">
        <v>45110</v>
      </c>
      <c r="M343" s="7">
        <v>5.1610100000000005E-7</v>
      </c>
      <c r="N343" s="5" t="s">
        <v>1203</v>
      </c>
      <c r="O343" s="5">
        <v>65</v>
      </c>
      <c r="P343" s="5">
        <v>45</v>
      </c>
      <c r="Q343" s="7">
        <v>28.5</v>
      </c>
      <c r="R343" s="7">
        <v>2.4320953703857728E-2</v>
      </c>
      <c r="S343" s="7">
        <v>6440940480.000001</v>
      </c>
      <c r="T343" s="7">
        <v>0</v>
      </c>
    </row>
    <row r="344" spans="2:20" x14ac:dyDescent="0.2">
      <c r="B344">
        <v>46111</v>
      </c>
      <c r="C344" s="9">
        <v>4.62774E-8</v>
      </c>
      <c r="D344" s="5" t="s">
        <v>1241</v>
      </c>
      <c r="E344" s="7">
        <v>1404</v>
      </c>
      <c r="F344" s="1">
        <v>4.9369457304839404E-4</v>
      </c>
      <c r="G344" s="1">
        <v>577541952</v>
      </c>
      <c r="H344" s="1">
        <v>0</v>
      </c>
      <c r="I344" s="7">
        <f t="shared" si="5"/>
        <v>668.45133333333342</v>
      </c>
      <c r="L344" s="5">
        <v>45111</v>
      </c>
      <c r="M344" s="7">
        <v>1.0692000000000001E-6</v>
      </c>
      <c r="N344" s="5" t="s">
        <v>1204</v>
      </c>
      <c r="O344" s="5">
        <v>66</v>
      </c>
      <c r="P344" s="5">
        <v>45</v>
      </c>
      <c r="Q344" s="7">
        <v>11</v>
      </c>
      <c r="R344" s="7">
        <v>6.3013380050904122E-2</v>
      </c>
      <c r="S344" s="7">
        <v>13343616000</v>
      </c>
      <c r="T344" s="7">
        <v>0</v>
      </c>
    </row>
    <row r="345" spans="2:20" x14ac:dyDescent="0.2">
      <c r="B345">
        <v>46112</v>
      </c>
      <c r="C345" s="9">
        <v>1.7121899999999999E-7</v>
      </c>
      <c r="D345" s="5" t="s">
        <v>1242</v>
      </c>
      <c r="E345" s="7">
        <v>75744</v>
      </c>
      <c r="F345" s="1">
        <v>9.151182675326696E-6</v>
      </c>
      <c r="G345" s="1">
        <v>2136026138.8870792</v>
      </c>
      <c r="H345" s="1">
        <v>9.9043299130294282E-117</v>
      </c>
      <c r="I345" s="7">
        <f t="shared" si="5"/>
        <v>2472.2524755637492</v>
      </c>
      <c r="L345" s="5">
        <v>45112</v>
      </c>
      <c r="M345" s="7">
        <v>1.32885E-6</v>
      </c>
      <c r="N345" s="5" t="s">
        <v>1205</v>
      </c>
      <c r="O345" s="5">
        <v>67</v>
      </c>
      <c r="P345" s="5">
        <v>45</v>
      </c>
      <c r="Q345" s="7">
        <v>3.6</v>
      </c>
      <c r="R345" s="7">
        <v>0.19254088348887369</v>
      </c>
      <c r="S345" s="7">
        <v>16584048000</v>
      </c>
      <c r="T345" s="7">
        <v>0</v>
      </c>
    </row>
    <row r="346" spans="2:20" x14ac:dyDescent="0.2">
      <c r="B346">
        <v>46113</v>
      </c>
      <c r="C346" s="9">
        <v>3.0083799999999998E-7</v>
      </c>
      <c r="D346" s="5" t="s">
        <v>1243</v>
      </c>
      <c r="E346" s="7">
        <v>93</v>
      </c>
      <c r="F346" s="1">
        <v>7.453195489891885E-3</v>
      </c>
      <c r="G346" s="1">
        <v>3754458240</v>
      </c>
      <c r="H346" s="1">
        <v>0</v>
      </c>
      <c r="I346" s="7">
        <f t="shared" si="5"/>
        <v>4345.4377777777781</v>
      </c>
      <c r="L346" s="5">
        <v>45113</v>
      </c>
      <c r="M346" s="7">
        <v>1.9180999999999999E-6</v>
      </c>
      <c r="N346" s="5" t="s">
        <v>1206</v>
      </c>
      <c r="O346" s="5">
        <v>68</v>
      </c>
      <c r="P346" s="5">
        <v>45</v>
      </c>
      <c r="Q346" s="7">
        <v>2.8</v>
      </c>
      <c r="R346" s="7">
        <v>0.24755256448569476</v>
      </c>
      <c r="S346" s="7">
        <v>23937888000</v>
      </c>
      <c r="T346" s="7">
        <v>0</v>
      </c>
    </row>
    <row r="347" spans="2:20" x14ac:dyDescent="0.2">
      <c r="B347">
        <v>46114</v>
      </c>
      <c r="C347" s="9">
        <v>6.9681299999999998E-7</v>
      </c>
      <c r="D347" s="5" t="s">
        <v>1244</v>
      </c>
      <c r="E347" s="7">
        <v>145.19999999999999</v>
      </c>
      <c r="F347" s="1">
        <v>4.7737409129472823E-3</v>
      </c>
      <c r="G347" s="1">
        <v>8696226240</v>
      </c>
      <c r="H347" s="1">
        <v>0</v>
      </c>
      <c r="I347" s="7">
        <f t="shared" si="5"/>
        <v>10065.076666666666</v>
      </c>
      <c r="L347" s="5">
        <v>45114</v>
      </c>
      <c r="M347" s="7">
        <v>1.32948E-6</v>
      </c>
      <c r="N347" s="5" t="s">
        <v>1207</v>
      </c>
      <c r="O347" s="5">
        <v>69</v>
      </c>
      <c r="P347" s="5">
        <v>45</v>
      </c>
      <c r="Q347" s="7">
        <v>1.85</v>
      </c>
      <c r="R347" s="7">
        <v>0.37467415165402446</v>
      </c>
      <c r="S347" s="7">
        <v>16591910400</v>
      </c>
      <c r="T347" s="7">
        <v>0</v>
      </c>
    </row>
    <row r="348" spans="2:20" x14ac:dyDescent="0.2">
      <c r="B348">
        <v>46115</v>
      </c>
      <c r="C348" s="9">
        <v>8.6586900000000004E-7</v>
      </c>
      <c r="D348" s="5" t="s">
        <v>1245</v>
      </c>
      <c r="E348" s="7">
        <v>25</v>
      </c>
      <c r="F348" s="1">
        <v>2.7725887222397813E-2</v>
      </c>
      <c r="G348" s="1">
        <v>10806045120</v>
      </c>
      <c r="H348" s="1">
        <v>0</v>
      </c>
      <c r="I348" s="7">
        <f t="shared" si="5"/>
        <v>12506.996666666666</v>
      </c>
      <c r="L348" s="5">
        <v>46096</v>
      </c>
      <c r="M348" s="7">
        <v>1.2134000000000001E-6</v>
      </c>
      <c r="N348" s="5" t="s">
        <v>1226</v>
      </c>
      <c r="O348" s="5">
        <v>50</v>
      </c>
      <c r="P348" s="5">
        <v>46</v>
      </c>
      <c r="Q348" s="7">
        <v>122</v>
      </c>
      <c r="R348" s="7">
        <v>5.6815342668847975E-3</v>
      </c>
      <c r="S348" s="7">
        <v>15143232000.000002</v>
      </c>
      <c r="T348" s="7">
        <v>0</v>
      </c>
    </row>
    <row r="349" spans="2:20" x14ac:dyDescent="0.2">
      <c r="B349">
        <v>46116</v>
      </c>
      <c r="C349" s="9">
        <v>1.26596E-6</v>
      </c>
      <c r="D349" s="5" t="s">
        <v>1246</v>
      </c>
      <c r="E349" s="7">
        <v>11.8</v>
      </c>
      <c r="F349" s="1">
        <v>5.8741286488130956E-2</v>
      </c>
      <c r="G349" s="1">
        <v>15799180800</v>
      </c>
      <c r="H349" s="1">
        <v>0</v>
      </c>
      <c r="I349" s="7">
        <f t="shared" si="5"/>
        <v>18286.088888888888</v>
      </c>
      <c r="L349" s="5">
        <v>46097</v>
      </c>
      <c r="M349" s="7">
        <v>6.0237399999999996E-7</v>
      </c>
      <c r="N349" s="5" t="s">
        <v>1227</v>
      </c>
      <c r="O349" s="5">
        <v>51</v>
      </c>
      <c r="P349" s="5">
        <v>46</v>
      </c>
      <c r="Q349" s="7">
        <v>186</v>
      </c>
      <c r="R349" s="7">
        <v>3.7265977449459425E-3</v>
      </c>
      <c r="S349" s="7">
        <v>7517627520</v>
      </c>
      <c r="T349" s="7">
        <v>0</v>
      </c>
    </row>
    <row r="350" spans="2:20" x14ac:dyDescent="0.2">
      <c r="B350">
        <v>46117</v>
      </c>
      <c r="C350" s="9">
        <v>1.0788299999999999E-6</v>
      </c>
      <c r="D350" s="5" t="s">
        <v>1247</v>
      </c>
      <c r="E350" s="7">
        <v>4.3</v>
      </c>
      <c r="F350" s="1">
        <v>0.16119701873487099</v>
      </c>
      <c r="G350" s="1">
        <v>13463798400</v>
      </c>
      <c r="H350" s="1">
        <v>0</v>
      </c>
      <c r="I350" s="7">
        <f t="shared" si="5"/>
        <v>15583.1</v>
      </c>
      <c r="L350" s="5">
        <v>46098</v>
      </c>
      <c r="M350" s="7">
        <v>4.8413300000000001E-7</v>
      </c>
      <c r="N350" s="5" t="s">
        <v>1228</v>
      </c>
      <c r="O350" s="5">
        <v>52</v>
      </c>
      <c r="P350" s="5">
        <v>46</v>
      </c>
      <c r="Q350" s="7">
        <v>1062</v>
      </c>
      <c r="R350" s="7">
        <v>6.5268096097923281E-4</v>
      </c>
      <c r="S350" s="7">
        <v>6041979840</v>
      </c>
      <c r="T350" s="7">
        <v>0</v>
      </c>
    </row>
    <row r="351" spans="2:20" x14ac:dyDescent="0.2">
      <c r="B351">
        <v>46118</v>
      </c>
      <c r="C351" s="9">
        <v>1.07506E-6</v>
      </c>
      <c r="D351" s="5" t="s">
        <v>1248</v>
      </c>
      <c r="E351" s="7">
        <v>1.9</v>
      </c>
      <c r="F351" s="1">
        <v>0.36481430555786598</v>
      </c>
      <c r="G351" s="1">
        <v>13416748800</v>
      </c>
      <c r="H351" s="1">
        <v>0</v>
      </c>
      <c r="I351" s="7">
        <f t="shared" si="5"/>
        <v>15528.644444444444</v>
      </c>
      <c r="L351" s="5">
        <v>46099</v>
      </c>
      <c r="M351" s="7">
        <v>2.46324E-7</v>
      </c>
      <c r="N351" s="5" t="s">
        <v>1229</v>
      </c>
      <c r="O351" s="5">
        <v>53</v>
      </c>
      <c r="P351" s="5">
        <v>46</v>
      </c>
      <c r="Q351" s="7">
        <v>1284</v>
      </c>
      <c r="R351" s="7">
        <v>5.3983425277254302E-4</v>
      </c>
      <c r="S351" s="7">
        <v>3074123520</v>
      </c>
      <c r="T351" s="7">
        <v>0</v>
      </c>
    </row>
    <row r="352" spans="2:20" x14ac:dyDescent="0.2">
      <c r="B352">
        <v>47096</v>
      </c>
      <c r="C352" s="9">
        <v>6.9409100000000002E-7</v>
      </c>
      <c r="D352" s="5" t="s">
        <v>1261</v>
      </c>
      <c r="E352" s="7">
        <v>4.4000000000000004</v>
      </c>
      <c r="F352" s="1">
        <v>0.15753345012726028</v>
      </c>
      <c r="G352" s="1">
        <v>8662255680</v>
      </c>
      <c r="H352" s="1">
        <v>0</v>
      </c>
      <c r="I352" s="7">
        <f t="shared" si="5"/>
        <v>10025.758888888889</v>
      </c>
      <c r="L352" s="5">
        <v>46100</v>
      </c>
      <c r="M352" s="7">
        <v>9.0391000000000005E-8</v>
      </c>
      <c r="N352" s="5" t="s">
        <v>1230</v>
      </c>
      <c r="O352" s="5">
        <v>54</v>
      </c>
      <c r="P352" s="5">
        <v>46</v>
      </c>
      <c r="Q352" s="7">
        <v>313632</v>
      </c>
      <c r="R352" s="7">
        <v>2.2100652374755931E-6</v>
      </c>
      <c r="S352" s="7">
        <v>960949053.26443958</v>
      </c>
      <c r="T352" s="7">
        <v>5.1742099874868912E-22</v>
      </c>
    </row>
    <row r="353" spans="2:20" x14ac:dyDescent="0.2">
      <c r="B353">
        <v>47097</v>
      </c>
      <c r="C353" s="9">
        <v>4.5321099999999999E-7</v>
      </c>
      <c r="D353" s="5" t="s">
        <v>1262</v>
      </c>
      <c r="E353" s="7">
        <v>25.5</v>
      </c>
      <c r="F353" s="1">
        <v>2.7182242374899815E-2</v>
      </c>
      <c r="G353" s="1">
        <v>5656073280</v>
      </c>
      <c r="H353" s="1">
        <v>0</v>
      </c>
      <c r="I353" s="7">
        <f t="shared" si="5"/>
        <v>6546.3811111111108</v>
      </c>
      <c r="L353" s="5">
        <v>46101</v>
      </c>
      <c r="M353" s="7">
        <v>2.4569599999999999E-8</v>
      </c>
      <c r="N353" s="5" t="s">
        <v>1231</v>
      </c>
      <c r="O353" s="5">
        <v>55</v>
      </c>
      <c r="P353" s="5">
        <v>46</v>
      </c>
      <c r="Q353" s="7">
        <v>30492</v>
      </c>
      <c r="R353" s="7">
        <v>2.2732099585463247E-5</v>
      </c>
      <c r="S353" s="7">
        <v>306628607.09460706</v>
      </c>
      <c r="T353" s="7">
        <v>1.4119030487627577E-303</v>
      </c>
    </row>
    <row r="354" spans="2:20" x14ac:dyDescent="0.2">
      <c r="B354">
        <v>47098</v>
      </c>
      <c r="C354" s="9">
        <v>1.9509100000000001E-7</v>
      </c>
      <c r="D354" s="5" t="s">
        <v>1263</v>
      </c>
      <c r="E354" s="7">
        <v>47.5</v>
      </c>
      <c r="F354" s="1">
        <v>1.4592572222314637E-2</v>
      </c>
      <c r="G354" s="1">
        <v>2434735680</v>
      </c>
      <c r="H354" s="1">
        <v>0</v>
      </c>
      <c r="I354" s="7">
        <f t="shared" si="5"/>
        <v>2817.9811111111112</v>
      </c>
      <c r="L354" s="5">
        <v>46103</v>
      </c>
      <c r="M354" s="7">
        <v>3.0014E-9</v>
      </c>
      <c r="N354" s="5" t="s">
        <v>1233</v>
      </c>
      <c r="O354" s="5">
        <v>57</v>
      </c>
      <c r="P354" s="5">
        <v>46</v>
      </c>
      <c r="Q354" s="7">
        <v>1468022.4</v>
      </c>
      <c r="R354" s="7">
        <v>4.7216389924291711E-7</v>
      </c>
      <c r="S354" s="7">
        <v>12547789.072363509</v>
      </c>
      <c r="T354" s="7">
        <v>4.2840306708914309</v>
      </c>
    </row>
    <row r="355" spans="2:20" x14ac:dyDescent="0.2">
      <c r="B355">
        <v>47099</v>
      </c>
      <c r="C355" s="9">
        <v>7.4057800000000003E-8</v>
      </c>
      <c r="D355" s="5" t="s">
        <v>1264</v>
      </c>
      <c r="E355" s="7">
        <v>124</v>
      </c>
      <c r="F355" s="1">
        <v>5.5898966174189133E-3</v>
      </c>
      <c r="G355" s="1">
        <v>924241344</v>
      </c>
      <c r="H355" s="1">
        <v>0</v>
      </c>
      <c r="I355" s="7">
        <f t="shared" si="5"/>
        <v>1069.7237777777777</v>
      </c>
      <c r="L355" s="5">
        <v>46107</v>
      </c>
      <c r="M355" s="7">
        <v>6.9799999999999994E-11</v>
      </c>
      <c r="N355" s="5" t="s">
        <v>1237</v>
      </c>
      <c r="O355" s="5">
        <v>61</v>
      </c>
      <c r="P355" s="5">
        <v>46</v>
      </c>
      <c r="Q355" s="7">
        <v>205124400000000</v>
      </c>
      <c r="R355" s="7">
        <v>3.3791551885584809E-15</v>
      </c>
      <c r="S355" s="7">
        <v>2.5432666364366692E-3</v>
      </c>
      <c r="T355" s="7">
        <v>2.5432663654133777E-3</v>
      </c>
    </row>
    <row r="356" spans="2:20" x14ac:dyDescent="0.2">
      <c r="B356">
        <v>47100</v>
      </c>
      <c r="C356" s="9">
        <v>2.0940000000000001E-8</v>
      </c>
      <c r="D356" s="5" t="s">
        <v>1265</v>
      </c>
      <c r="E356" s="7">
        <v>120.6</v>
      </c>
      <c r="F356" s="1">
        <v>5.7474890593693642E-3</v>
      </c>
      <c r="G356" s="1">
        <v>261331200</v>
      </c>
      <c r="H356" s="1">
        <v>0</v>
      </c>
      <c r="I356" s="7">
        <f t="shared" si="5"/>
        <v>302.46666666666664</v>
      </c>
      <c r="L356" s="5">
        <v>46109</v>
      </c>
      <c r="M356" s="7">
        <v>3.6296E-9</v>
      </c>
      <c r="N356" s="5" t="s">
        <v>1239</v>
      </c>
      <c r="O356" s="5">
        <v>63</v>
      </c>
      <c r="P356" s="5">
        <v>46</v>
      </c>
      <c r="Q356" s="7">
        <v>49324.32</v>
      </c>
      <c r="R356" s="7">
        <v>1.4052848180369142E-5</v>
      </c>
      <c r="S356" s="7">
        <v>45297166.444431856</v>
      </c>
      <c r="T356" s="7">
        <v>1.5470919777435614E-185</v>
      </c>
    </row>
    <row r="357" spans="2:20" x14ac:dyDescent="0.2">
      <c r="B357">
        <v>47101</v>
      </c>
      <c r="C357" s="9">
        <v>5.7934000000000003E-9</v>
      </c>
      <c r="D357" s="5" t="s">
        <v>1266</v>
      </c>
      <c r="E357" s="7">
        <v>666</v>
      </c>
      <c r="F357" s="1">
        <v>1.0407615323722902E-3</v>
      </c>
      <c r="G357" s="1">
        <v>72301632</v>
      </c>
      <c r="H357" s="1">
        <v>0</v>
      </c>
      <c r="I357" s="7">
        <f t="shared" si="5"/>
        <v>83.682444444444442</v>
      </c>
      <c r="L357" s="5">
        <v>46111</v>
      </c>
      <c r="M357" s="7">
        <v>7.5314200000000006E-8</v>
      </c>
      <c r="N357" s="5" t="s">
        <v>1241</v>
      </c>
      <c r="O357" s="5">
        <v>65</v>
      </c>
      <c r="P357" s="5">
        <v>46</v>
      </c>
      <c r="Q357" s="7">
        <v>1404</v>
      </c>
      <c r="R357" s="7">
        <v>4.9369457304839404E-4</v>
      </c>
      <c r="S357" s="7">
        <v>939921216.00000012</v>
      </c>
      <c r="T357" s="7">
        <v>0</v>
      </c>
    </row>
    <row r="358" spans="2:20" x14ac:dyDescent="0.2">
      <c r="B358">
        <v>47102</v>
      </c>
      <c r="C358" s="9">
        <v>1.1866E-9</v>
      </c>
      <c r="D358" s="5" t="s">
        <v>1267</v>
      </c>
      <c r="E358" s="7">
        <v>774</v>
      </c>
      <c r="F358" s="1">
        <v>8.9553899297150556E-4</v>
      </c>
      <c r="G358" s="1">
        <v>14808768</v>
      </c>
      <c r="H358" s="1">
        <v>0</v>
      </c>
      <c r="I358" s="7">
        <f t="shared" si="5"/>
        <v>17.13977777777778</v>
      </c>
      <c r="L358" s="5">
        <v>46112</v>
      </c>
      <c r="M358" s="7">
        <v>3.0181500000000001E-7</v>
      </c>
      <c r="N358" s="5" t="s">
        <v>1242</v>
      </c>
      <c r="O358" s="5">
        <v>66</v>
      </c>
      <c r="P358" s="5">
        <v>46</v>
      </c>
      <c r="Q358" s="7">
        <v>75744</v>
      </c>
      <c r="R358" s="7">
        <v>9.151182675326696E-6</v>
      </c>
      <c r="S358" s="7">
        <v>3765263954.9828224</v>
      </c>
      <c r="T358" s="7">
        <v>1.7458782802732038E-116</v>
      </c>
    </row>
    <row r="359" spans="2:20" x14ac:dyDescent="0.2">
      <c r="B359">
        <v>47103</v>
      </c>
      <c r="C359" s="9">
        <v>2.7919999999999998E-10</v>
      </c>
      <c r="D359" s="5" t="s">
        <v>1268</v>
      </c>
      <c r="E359" s="7">
        <v>3942</v>
      </c>
      <c r="F359" s="1">
        <v>1.7583642327751023E-4</v>
      </c>
      <c r="G359" s="1">
        <v>3484415.9999999995</v>
      </c>
      <c r="H359" s="1">
        <v>0</v>
      </c>
      <c r="I359" s="7">
        <f t="shared" si="5"/>
        <v>4.0328888888888885</v>
      </c>
      <c r="L359" s="5">
        <v>46113</v>
      </c>
      <c r="M359" s="7">
        <v>4.3967000000000002E-7</v>
      </c>
      <c r="N359" s="5" t="s">
        <v>1243</v>
      </c>
      <c r="O359" s="5">
        <v>67</v>
      </c>
      <c r="P359" s="5">
        <v>46</v>
      </c>
      <c r="Q359" s="7">
        <v>93</v>
      </c>
      <c r="R359" s="7">
        <v>7.453195489891885E-3</v>
      </c>
      <c r="S359" s="7">
        <v>5487081600</v>
      </c>
      <c r="T359" s="7">
        <v>0</v>
      </c>
    </row>
    <row r="360" spans="2:20" x14ac:dyDescent="0.2">
      <c r="B360">
        <v>47111</v>
      </c>
      <c r="C360" s="9">
        <v>4.8860000000000005E-10</v>
      </c>
      <c r="D360" s="5" t="s">
        <v>1276</v>
      </c>
      <c r="E360" s="7">
        <v>643680</v>
      </c>
      <c r="F360" s="1">
        <v>1.0768505787968328E-6</v>
      </c>
      <c r="G360" s="1">
        <v>3692806.3075823574</v>
      </c>
      <c r="H360" s="1">
        <v>6.5903287136106237E-9</v>
      </c>
      <c r="I360" s="7">
        <f t="shared" si="5"/>
        <v>4.2740813745166175</v>
      </c>
      <c r="L360" s="5">
        <v>46114</v>
      </c>
      <c r="M360" s="7">
        <v>1.04833E-6</v>
      </c>
      <c r="N360" s="5" t="s">
        <v>1244</v>
      </c>
      <c r="O360" s="5">
        <v>68</v>
      </c>
      <c r="P360" s="5">
        <v>46</v>
      </c>
      <c r="Q360" s="7">
        <v>145.19999999999999</v>
      </c>
      <c r="R360" s="7">
        <v>4.7737409129472823E-3</v>
      </c>
      <c r="S360" s="7">
        <v>13083158400</v>
      </c>
      <c r="T360" s="7">
        <v>0</v>
      </c>
    </row>
    <row r="361" spans="2:20" x14ac:dyDescent="0.2">
      <c r="B361">
        <v>47112</v>
      </c>
      <c r="C361" s="9">
        <v>3.3503999999999999E-9</v>
      </c>
      <c r="D361" s="5" t="s">
        <v>1277</v>
      </c>
      <c r="E361" s="7">
        <v>11268</v>
      </c>
      <c r="F361" s="1">
        <v>6.1514659261620983E-5</v>
      </c>
      <c r="G361" s="1">
        <v>41812992</v>
      </c>
      <c r="H361" s="1">
        <v>0</v>
      </c>
      <c r="I361" s="7">
        <f t="shared" si="5"/>
        <v>48.394666666666673</v>
      </c>
      <c r="L361" s="5">
        <v>46115</v>
      </c>
      <c r="M361" s="7">
        <v>9.4181100000000002E-7</v>
      </c>
      <c r="N361" s="5" t="s">
        <v>1245</v>
      </c>
      <c r="O361" s="5">
        <v>69</v>
      </c>
      <c r="P361" s="5">
        <v>46</v>
      </c>
      <c r="Q361" s="7">
        <v>25</v>
      </c>
      <c r="R361" s="7">
        <v>2.7725887222397813E-2</v>
      </c>
      <c r="S361" s="7">
        <v>11753801280</v>
      </c>
      <c r="T361" s="7">
        <v>0</v>
      </c>
    </row>
    <row r="362" spans="2:20" x14ac:dyDescent="0.2">
      <c r="B362">
        <v>47113</v>
      </c>
      <c r="C362" s="9">
        <v>2.3801799999999999E-8</v>
      </c>
      <c r="D362" s="5" t="s">
        <v>1278</v>
      </c>
      <c r="E362" s="7">
        <v>19332</v>
      </c>
      <c r="F362" s="1">
        <v>3.5854913126419684E-5</v>
      </c>
      <c r="G362" s="1">
        <v>297046463.99998957</v>
      </c>
      <c r="H362" s="1">
        <v>0</v>
      </c>
      <c r="I362" s="7">
        <f t="shared" si="5"/>
        <v>343.80377777776573</v>
      </c>
      <c r="L362" s="5">
        <v>46116</v>
      </c>
      <c r="M362" s="7">
        <v>1.4684500000000001E-6</v>
      </c>
      <c r="N362" s="5" t="s">
        <v>1246</v>
      </c>
      <c r="O362" s="5">
        <v>70</v>
      </c>
      <c r="P362" s="5">
        <v>46</v>
      </c>
      <c r="Q362" s="7">
        <v>11.8</v>
      </c>
      <c r="R362" s="7">
        <v>5.8741286488130956E-2</v>
      </c>
      <c r="S362" s="7">
        <v>18326256000</v>
      </c>
      <c r="T362" s="7">
        <v>0</v>
      </c>
    </row>
    <row r="363" spans="2:20" x14ac:dyDescent="0.2">
      <c r="B363">
        <v>47114</v>
      </c>
      <c r="C363" s="9">
        <v>5.8562200000000003E-8</v>
      </c>
      <c r="D363" s="5" t="s">
        <v>1279</v>
      </c>
      <c r="E363" s="7">
        <v>4.5999999999999996</v>
      </c>
      <c r="F363" s="1">
        <v>0.15068416968694465</v>
      </c>
      <c r="G363" s="1">
        <v>730856256</v>
      </c>
      <c r="H363" s="1">
        <v>0</v>
      </c>
      <c r="I363" s="7">
        <f t="shared" si="5"/>
        <v>845.89844444444441</v>
      </c>
      <c r="L363" s="5">
        <v>46117</v>
      </c>
      <c r="M363" s="7">
        <v>8.7878199999999999E-7</v>
      </c>
      <c r="N363" s="5" t="s">
        <v>1247</v>
      </c>
      <c r="O363" s="5">
        <v>71</v>
      </c>
      <c r="P363" s="5">
        <v>46</v>
      </c>
      <c r="Q363" s="7">
        <v>4.3</v>
      </c>
      <c r="R363" s="7">
        <v>0.16119701873487099</v>
      </c>
      <c r="S363" s="7">
        <v>10967199360</v>
      </c>
      <c r="T363" s="7">
        <v>0</v>
      </c>
    </row>
    <row r="364" spans="2:20" x14ac:dyDescent="0.2">
      <c r="B364">
        <v>47115</v>
      </c>
      <c r="C364" s="9">
        <v>2.05421E-7</v>
      </c>
      <c r="D364" s="5" t="s">
        <v>1280</v>
      </c>
      <c r="E364" s="7">
        <v>1200</v>
      </c>
      <c r="F364" s="1">
        <v>5.7762265046662107E-4</v>
      </c>
      <c r="G364" s="1">
        <v>2563654080</v>
      </c>
      <c r="H364" s="1">
        <v>0</v>
      </c>
      <c r="I364" s="7">
        <f t="shared" si="5"/>
        <v>2967.1922222222224</v>
      </c>
      <c r="L364" s="5">
        <v>46118</v>
      </c>
      <c r="M364" s="7">
        <v>1.05203E-6</v>
      </c>
      <c r="N364" s="5" t="s">
        <v>1248</v>
      </c>
      <c r="O364" s="5">
        <v>72</v>
      </c>
      <c r="P364" s="5">
        <v>46</v>
      </c>
      <c r="Q364" s="7">
        <v>1.9</v>
      </c>
      <c r="R364" s="7">
        <v>0.36481430555786598</v>
      </c>
      <c r="S364" s="7">
        <v>13129334400</v>
      </c>
      <c r="T364" s="7">
        <v>0</v>
      </c>
    </row>
    <row r="365" spans="2:20" x14ac:dyDescent="0.2">
      <c r="B365">
        <v>47116</v>
      </c>
      <c r="C365" s="9">
        <v>3.3845999999999997E-7</v>
      </c>
      <c r="D365" s="5" t="s">
        <v>1281</v>
      </c>
      <c r="E365" s="7">
        <v>237</v>
      </c>
      <c r="F365" s="1">
        <v>2.9246716479322584E-3</v>
      </c>
      <c r="G365" s="1">
        <v>4223980799.9999995</v>
      </c>
      <c r="H365" s="1">
        <v>0</v>
      </c>
      <c r="I365" s="7">
        <f t="shared" si="5"/>
        <v>4888.8666666666659</v>
      </c>
      <c r="L365" s="5">
        <v>47096</v>
      </c>
      <c r="M365" s="7">
        <v>4.92997E-7</v>
      </c>
      <c r="N365" s="5" t="s">
        <v>1261</v>
      </c>
      <c r="O365" s="5">
        <v>49</v>
      </c>
      <c r="P365" s="5">
        <v>47</v>
      </c>
      <c r="Q365" s="7">
        <v>4.4000000000000004</v>
      </c>
      <c r="R365" s="7">
        <v>0.15753345012726028</v>
      </c>
      <c r="S365" s="7">
        <v>6152602560</v>
      </c>
      <c r="T365" s="7">
        <v>0</v>
      </c>
    </row>
    <row r="366" spans="2:20" x14ac:dyDescent="0.2">
      <c r="B366">
        <v>47117</v>
      </c>
      <c r="C366" s="9">
        <v>7.5090799999999999E-7</v>
      </c>
      <c r="D366" s="5" t="s">
        <v>1282</v>
      </c>
      <c r="E366" s="7">
        <v>72.8</v>
      </c>
      <c r="F366" s="1">
        <v>9.5212524802190286E-3</v>
      </c>
      <c r="G366" s="1">
        <v>9371331840</v>
      </c>
      <c r="H366" s="1">
        <v>0</v>
      </c>
      <c r="I366" s="7">
        <f t="shared" si="5"/>
        <v>10846.448888888888</v>
      </c>
      <c r="L366" s="5">
        <v>47097</v>
      </c>
      <c r="M366" s="7">
        <v>4.5802799999999998E-7</v>
      </c>
      <c r="N366" s="5" t="s">
        <v>1262</v>
      </c>
      <c r="O366" s="5">
        <v>50</v>
      </c>
      <c r="P366" s="5">
        <v>47</v>
      </c>
      <c r="Q366" s="7">
        <v>25.5</v>
      </c>
      <c r="R366" s="7">
        <v>2.7182242374899815E-2</v>
      </c>
      <c r="S366" s="7">
        <v>5716189440</v>
      </c>
      <c r="T366" s="7">
        <v>0</v>
      </c>
    </row>
    <row r="367" spans="2:20" x14ac:dyDescent="0.2">
      <c r="B367">
        <v>47118</v>
      </c>
      <c r="C367" s="9">
        <v>8.1540399999999996E-7</v>
      </c>
      <c r="D367" s="5" t="s">
        <v>1283</v>
      </c>
      <c r="E367" s="7">
        <v>3.76</v>
      </c>
      <c r="F367" s="1">
        <v>0.18434765440424078</v>
      </c>
      <c r="G367" s="1">
        <v>10176241920</v>
      </c>
      <c r="H367" s="1">
        <v>0</v>
      </c>
      <c r="I367" s="7">
        <f t="shared" si="5"/>
        <v>11778.057777777778</v>
      </c>
      <c r="L367" s="5">
        <v>47098</v>
      </c>
      <c r="M367" s="7">
        <v>1.8629599999999999E-7</v>
      </c>
      <c r="N367" s="5" t="s">
        <v>1263</v>
      </c>
      <c r="O367" s="5">
        <v>51</v>
      </c>
      <c r="P367" s="5">
        <v>47</v>
      </c>
      <c r="Q367" s="7">
        <v>47.5</v>
      </c>
      <c r="R367" s="7">
        <v>1.4592572222314637E-2</v>
      </c>
      <c r="S367" s="7">
        <v>2324974080</v>
      </c>
      <c r="T367" s="7">
        <v>0</v>
      </c>
    </row>
    <row r="368" spans="2:20" x14ac:dyDescent="0.2">
      <c r="B368">
        <v>47119</v>
      </c>
      <c r="C368" s="9">
        <v>1.1639800000000001E-6</v>
      </c>
      <c r="D368" s="5" t="s">
        <v>1284</v>
      </c>
      <c r="E368" s="7">
        <v>6</v>
      </c>
      <c r="F368" s="1">
        <v>0.11552453009332421</v>
      </c>
      <c r="G368" s="1">
        <v>14526470400.000002</v>
      </c>
      <c r="H368" s="1">
        <v>0</v>
      </c>
      <c r="I368" s="7">
        <f t="shared" si="5"/>
        <v>16813.044444444447</v>
      </c>
      <c r="L368" s="5">
        <v>47099</v>
      </c>
      <c r="M368" s="7">
        <v>1.06585E-7</v>
      </c>
      <c r="N368" s="5" t="s">
        <v>1264</v>
      </c>
      <c r="O368" s="5">
        <v>52</v>
      </c>
      <c r="P368" s="5">
        <v>47</v>
      </c>
      <c r="Q368" s="7">
        <v>124</v>
      </c>
      <c r="R368" s="7">
        <v>5.5898966174189133E-3</v>
      </c>
      <c r="S368" s="7">
        <v>1330180800</v>
      </c>
      <c r="T368" s="7">
        <v>0</v>
      </c>
    </row>
    <row r="369" spans="2:20" x14ac:dyDescent="0.2">
      <c r="B369">
        <v>47120</v>
      </c>
      <c r="C369" s="9">
        <v>8.9993099999999996E-7</v>
      </c>
      <c r="D369" s="5" t="s">
        <v>1285</v>
      </c>
      <c r="E369" s="7">
        <v>1.23</v>
      </c>
      <c r="F369" s="1">
        <v>0.56353429313816694</v>
      </c>
      <c r="G369" s="1">
        <v>11231138880</v>
      </c>
      <c r="H369" s="1">
        <v>0</v>
      </c>
      <c r="I369" s="7">
        <f t="shared" si="5"/>
        <v>12999.003333333334</v>
      </c>
      <c r="L369" s="5">
        <v>47100</v>
      </c>
      <c r="M369" s="7">
        <v>2.9874400000000002E-8</v>
      </c>
      <c r="N369" s="5" t="s">
        <v>1265</v>
      </c>
      <c r="O369" s="5">
        <v>53</v>
      </c>
      <c r="P369" s="5">
        <v>47</v>
      </c>
      <c r="Q369" s="7">
        <v>120.6</v>
      </c>
      <c r="R369" s="7">
        <v>5.7474890593693642E-3</v>
      </c>
      <c r="S369" s="7">
        <v>372832512</v>
      </c>
      <c r="T369" s="7">
        <v>0</v>
      </c>
    </row>
    <row r="370" spans="2:20" x14ac:dyDescent="0.2">
      <c r="B370">
        <v>47121</v>
      </c>
      <c r="C370" s="9">
        <v>8.7536200000000003E-7</v>
      </c>
      <c r="D370" s="5" t="s">
        <v>1286</v>
      </c>
      <c r="E370" s="7">
        <v>0.78</v>
      </c>
      <c r="F370" s="1">
        <v>0.88865023148710931</v>
      </c>
      <c r="G370" s="1">
        <v>10924517760</v>
      </c>
      <c r="H370" s="1">
        <v>0</v>
      </c>
      <c r="I370" s="7">
        <f t="shared" si="5"/>
        <v>12644.117777777778</v>
      </c>
      <c r="L370" s="5">
        <v>47101</v>
      </c>
      <c r="M370" s="7">
        <v>1.82876E-8</v>
      </c>
      <c r="N370" s="5" t="s">
        <v>1266</v>
      </c>
      <c r="O370" s="5">
        <v>54</v>
      </c>
      <c r="P370" s="5">
        <v>47</v>
      </c>
      <c r="Q370" s="7">
        <v>666</v>
      </c>
      <c r="R370" s="7">
        <v>1.0407615323722902E-3</v>
      </c>
      <c r="S370" s="7">
        <v>228229248</v>
      </c>
      <c r="T370" s="7">
        <v>0</v>
      </c>
    </row>
    <row r="371" spans="2:20" x14ac:dyDescent="0.2">
      <c r="B371">
        <v>47122</v>
      </c>
      <c r="C371" s="9">
        <v>4.9013600000000002E-7</v>
      </c>
      <c r="D371" s="5" t="s">
        <v>1287</v>
      </c>
      <c r="E371" s="7">
        <v>0.52900000000000003</v>
      </c>
      <c r="F371" s="1">
        <v>1.3102971277125619</v>
      </c>
      <c r="G371" s="1">
        <v>6116897280</v>
      </c>
      <c r="H371" s="1">
        <v>0</v>
      </c>
      <c r="I371" s="7">
        <f t="shared" si="5"/>
        <v>7079.7422222222222</v>
      </c>
      <c r="L371" s="5">
        <v>47102</v>
      </c>
      <c r="M371" s="7">
        <v>4.188E-9</v>
      </c>
      <c r="N371" s="5" t="s">
        <v>1267</v>
      </c>
      <c r="O371" s="5">
        <v>55</v>
      </c>
      <c r="P371" s="5">
        <v>47</v>
      </c>
      <c r="Q371" s="7">
        <v>774</v>
      </c>
      <c r="R371" s="7">
        <v>8.9553899297150556E-4</v>
      </c>
      <c r="S371" s="7">
        <v>52266240</v>
      </c>
      <c r="T371" s="7">
        <v>0</v>
      </c>
    </row>
    <row r="372" spans="2:20" x14ac:dyDescent="0.2">
      <c r="B372">
        <v>47123</v>
      </c>
      <c r="C372" s="9">
        <v>3.1395999999999999E-7</v>
      </c>
      <c r="D372" s="5" t="s">
        <v>1288</v>
      </c>
      <c r="E372" s="7">
        <v>0.3</v>
      </c>
      <c r="F372" s="1">
        <v>2.3104906018664844</v>
      </c>
      <c r="G372" s="1">
        <v>3918220800</v>
      </c>
      <c r="H372" s="1">
        <v>0</v>
      </c>
      <c r="I372" s="7">
        <f t="shared" si="5"/>
        <v>4534.9777777777781</v>
      </c>
      <c r="L372" s="5">
        <v>47103</v>
      </c>
      <c r="M372" s="7">
        <v>1.8845999999999999E-9</v>
      </c>
      <c r="N372" s="5" t="s">
        <v>1268</v>
      </c>
      <c r="O372" s="5">
        <v>56</v>
      </c>
      <c r="P372" s="5">
        <v>47</v>
      </c>
      <c r="Q372" s="7">
        <v>3942</v>
      </c>
      <c r="R372" s="7">
        <v>1.7583642327751023E-4</v>
      </c>
      <c r="S372" s="7">
        <v>23519808</v>
      </c>
      <c r="T372" s="7">
        <v>0</v>
      </c>
    </row>
    <row r="373" spans="2:20" x14ac:dyDescent="0.2">
      <c r="B373">
        <v>48097</v>
      </c>
      <c r="C373" s="9">
        <v>1.47627E-7</v>
      </c>
      <c r="D373" s="5" t="s">
        <v>1299</v>
      </c>
      <c r="E373" s="7">
        <v>1.1000000000000001</v>
      </c>
      <c r="F373" s="1">
        <v>0.63013380050904111</v>
      </c>
      <c r="G373" s="1">
        <v>1842384960</v>
      </c>
      <c r="H373" s="1">
        <v>0</v>
      </c>
      <c r="I373" s="7">
        <f t="shared" si="5"/>
        <v>2132.39</v>
      </c>
      <c r="L373" s="5">
        <v>47104</v>
      </c>
      <c r="M373" s="7">
        <v>4.1879999999999999E-10</v>
      </c>
      <c r="N373" s="5" t="s">
        <v>1269</v>
      </c>
      <c r="O373" s="5">
        <v>57</v>
      </c>
      <c r="P373" s="5">
        <v>47</v>
      </c>
      <c r="Q373" s="7">
        <v>4152</v>
      </c>
      <c r="R373" s="7">
        <v>1.6694296256260726E-4</v>
      </c>
      <c r="S373" s="7">
        <v>5226624</v>
      </c>
      <c r="T373" s="7">
        <v>0</v>
      </c>
    </row>
    <row r="374" spans="2:20" x14ac:dyDescent="0.2">
      <c r="B374">
        <v>48098</v>
      </c>
      <c r="C374" s="9">
        <v>8.3550599999999996E-8</v>
      </c>
      <c r="D374" s="5" t="s">
        <v>1300</v>
      </c>
      <c r="E374" s="7">
        <v>9.1999999999999993</v>
      </c>
      <c r="F374" s="1">
        <v>7.5342084843472323E-2</v>
      </c>
      <c r="G374" s="1">
        <v>1042711488</v>
      </c>
      <c r="H374" s="1">
        <v>0</v>
      </c>
      <c r="I374" s="7">
        <f t="shared" si="5"/>
        <v>1206.8420000000001</v>
      </c>
      <c r="L374" s="5">
        <v>47105</v>
      </c>
      <c r="M374" s="7">
        <v>6.9799999999999994E-11</v>
      </c>
      <c r="N374" s="5" t="s">
        <v>1270</v>
      </c>
      <c r="O374" s="5">
        <v>58</v>
      </c>
      <c r="P374" s="5">
        <v>47</v>
      </c>
      <c r="Q374" s="7">
        <v>3567456</v>
      </c>
      <c r="R374" s="7">
        <v>1.9429733136440794E-7</v>
      </c>
      <c r="S374" s="7">
        <v>134619.28773413473</v>
      </c>
      <c r="T374" s="7">
        <v>293.78415783989243</v>
      </c>
    </row>
    <row r="375" spans="2:20" x14ac:dyDescent="0.2">
      <c r="B375">
        <v>48099</v>
      </c>
      <c r="C375" s="9">
        <v>2.4220600000000001E-8</v>
      </c>
      <c r="D375" s="5" t="s">
        <v>1301</v>
      </c>
      <c r="E375" s="7">
        <v>16</v>
      </c>
      <c r="F375" s="1">
        <v>4.332169878499658E-2</v>
      </c>
      <c r="G375" s="1">
        <v>302273088</v>
      </c>
      <c r="H375" s="1">
        <v>0</v>
      </c>
      <c r="I375" s="7">
        <f t="shared" si="5"/>
        <v>349.8531111111111</v>
      </c>
      <c r="L375" s="5">
        <v>47110</v>
      </c>
      <c r="M375" s="7">
        <v>6.9799999999999994E-11</v>
      </c>
      <c r="N375" s="5" t="s">
        <v>1275</v>
      </c>
      <c r="O375" s="5">
        <v>63</v>
      </c>
      <c r="P375" s="5">
        <v>47</v>
      </c>
      <c r="Q375" s="7">
        <v>24.6</v>
      </c>
      <c r="R375" s="7">
        <v>2.8176714656908342E-2</v>
      </c>
      <c r="S375" s="7">
        <v>871103.99999999988</v>
      </c>
      <c r="T375" s="7">
        <v>0</v>
      </c>
    </row>
    <row r="376" spans="2:20" x14ac:dyDescent="0.2">
      <c r="B376">
        <v>48100</v>
      </c>
      <c r="C376" s="9">
        <v>1.10982E-8</v>
      </c>
      <c r="D376" s="5" t="s">
        <v>1302</v>
      </c>
      <c r="E376" s="7">
        <v>49.1</v>
      </c>
      <c r="F376" s="1">
        <v>1.4117050520569149E-2</v>
      </c>
      <c r="G376" s="1">
        <v>138505536</v>
      </c>
      <c r="H376" s="1">
        <v>0</v>
      </c>
      <c r="I376" s="7">
        <f t="shared" si="5"/>
        <v>160.30733333333333</v>
      </c>
      <c r="L376" s="5">
        <v>47111</v>
      </c>
      <c r="M376" s="7">
        <v>8.3759999999999998E-10</v>
      </c>
      <c r="N376" s="5" t="s">
        <v>1276</v>
      </c>
      <c r="O376" s="5">
        <v>64</v>
      </c>
      <c r="P376" s="5">
        <v>47</v>
      </c>
      <c r="Q376" s="7">
        <v>643680</v>
      </c>
      <c r="R376" s="7">
        <v>1.0768505787968328E-6</v>
      </c>
      <c r="S376" s="7">
        <v>6330525.0987126119</v>
      </c>
      <c r="T376" s="7">
        <v>1.129770636618964E-8</v>
      </c>
    </row>
    <row r="377" spans="2:20" x14ac:dyDescent="0.2">
      <c r="B377">
        <v>48101</v>
      </c>
      <c r="C377" s="9">
        <v>2.8618000000000002E-9</v>
      </c>
      <c r="D377" s="5" t="s">
        <v>1303</v>
      </c>
      <c r="E377" s="7">
        <v>81.599999999999994</v>
      </c>
      <c r="F377" s="1">
        <v>8.494450742156193E-3</v>
      </c>
      <c r="G377" s="1">
        <v>35715264</v>
      </c>
      <c r="H377" s="1">
        <v>0</v>
      </c>
      <c r="I377" s="7">
        <f t="shared" si="5"/>
        <v>41.337111111111113</v>
      </c>
      <c r="L377" s="5">
        <v>47112</v>
      </c>
      <c r="M377" s="7">
        <v>4.7464000000000001E-9</v>
      </c>
      <c r="N377" s="5" t="s">
        <v>1277</v>
      </c>
      <c r="O377" s="5">
        <v>65</v>
      </c>
      <c r="P377" s="5">
        <v>47</v>
      </c>
      <c r="Q377" s="7">
        <v>11268</v>
      </c>
      <c r="R377" s="7">
        <v>6.1514659261620983E-5</v>
      </c>
      <c r="S377" s="7">
        <v>59235072</v>
      </c>
      <c r="T377" s="7">
        <v>0</v>
      </c>
    </row>
    <row r="378" spans="2:20" x14ac:dyDescent="0.2">
      <c r="B378">
        <v>48102</v>
      </c>
      <c r="C378" s="9">
        <v>8.3759999999999998E-10</v>
      </c>
      <c r="D378" s="5" t="s">
        <v>1304</v>
      </c>
      <c r="E378" s="7">
        <v>330</v>
      </c>
      <c r="F378" s="1">
        <v>2.1004460016968039E-3</v>
      </c>
      <c r="G378" s="1">
        <v>10453248</v>
      </c>
      <c r="H378" s="1">
        <v>0</v>
      </c>
      <c r="I378" s="7">
        <f t="shared" si="5"/>
        <v>12.098666666666668</v>
      </c>
      <c r="L378" s="5">
        <v>47113</v>
      </c>
      <c r="M378" s="7">
        <v>3.07818E-8</v>
      </c>
      <c r="N378" s="5" t="s">
        <v>1278</v>
      </c>
      <c r="O378" s="5">
        <v>66</v>
      </c>
      <c r="P378" s="5">
        <v>47</v>
      </c>
      <c r="Q378" s="7">
        <v>19332</v>
      </c>
      <c r="R378" s="7">
        <v>3.5854913126419684E-5</v>
      </c>
      <c r="S378" s="7">
        <v>384156863.99998647</v>
      </c>
      <c r="T378" s="7">
        <v>0</v>
      </c>
    </row>
    <row r="379" spans="2:20" x14ac:dyDescent="0.2">
      <c r="B379">
        <v>48103</v>
      </c>
      <c r="C379" s="9">
        <v>2.094E-10</v>
      </c>
      <c r="D379" s="5" t="s">
        <v>1305</v>
      </c>
      <c r="E379" s="7">
        <v>438</v>
      </c>
      <c r="F379" s="1">
        <v>1.582527809497592E-3</v>
      </c>
      <c r="G379" s="1">
        <v>2613312</v>
      </c>
      <c r="H379" s="1">
        <v>0</v>
      </c>
      <c r="I379" s="7">
        <f t="shared" si="5"/>
        <v>3.0246666666666671</v>
      </c>
      <c r="L379" s="5">
        <v>47114</v>
      </c>
      <c r="M379" s="7">
        <v>7.8385400000000005E-8</v>
      </c>
      <c r="N379" s="5" t="s">
        <v>1279</v>
      </c>
      <c r="O379" s="5">
        <v>67</v>
      </c>
      <c r="P379" s="5">
        <v>47</v>
      </c>
      <c r="Q379" s="7">
        <v>4.5999999999999996</v>
      </c>
      <c r="R379" s="7">
        <v>0.15068416968694465</v>
      </c>
      <c r="S379" s="7">
        <v>978249792.00000012</v>
      </c>
      <c r="T379" s="7">
        <v>0</v>
      </c>
    </row>
    <row r="380" spans="2:20" x14ac:dyDescent="0.2">
      <c r="B380">
        <v>48104</v>
      </c>
      <c r="C380" s="9">
        <v>6.9799999999999994E-11</v>
      </c>
      <c r="D380" s="5" t="s">
        <v>1306</v>
      </c>
      <c r="E380" s="7">
        <v>3462</v>
      </c>
      <c r="F380" s="1">
        <v>2.002158233853106E-4</v>
      </c>
      <c r="G380" s="1">
        <v>871103.99999999988</v>
      </c>
      <c r="H380" s="1">
        <v>0</v>
      </c>
      <c r="I380" s="7">
        <f t="shared" si="5"/>
        <v>1.0082222222222221</v>
      </c>
      <c r="L380" s="5">
        <v>47115</v>
      </c>
      <c r="M380" s="7">
        <v>2.8590100000000001E-7</v>
      </c>
      <c r="N380" s="5" t="s">
        <v>1280</v>
      </c>
      <c r="O380" s="5">
        <v>68</v>
      </c>
      <c r="P380" s="5">
        <v>47</v>
      </c>
      <c r="Q380" s="7">
        <v>1200</v>
      </c>
      <c r="R380" s="7">
        <v>5.7762265046662107E-4</v>
      </c>
      <c r="S380" s="7">
        <v>3568044480</v>
      </c>
      <c r="T380" s="7">
        <v>0</v>
      </c>
    </row>
    <row r="381" spans="2:20" x14ac:dyDescent="0.2">
      <c r="B381">
        <v>48113</v>
      </c>
      <c r="C381" s="9">
        <v>1.3959999999999999E-10</v>
      </c>
      <c r="D381" s="5" t="s">
        <v>1315</v>
      </c>
      <c r="E381" s="7">
        <v>2.5246080000000001E+23</v>
      </c>
      <c r="F381" s="1">
        <v>2.7455635907037657E-24</v>
      </c>
      <c r="G381" s="1">
        <v>0</v>
      </c>
      <c r="H381" s="1">
        <v>0</v>
      </c>
      <c r="I381" s="7">
        <f t="shared" si="5"/>
        <v>0</v>
      </c>
      <c r="L381" s="5">
        <v>47116</v>
      </c>
      <c r="M381" s="7">
        <v>4.50908E-7</v>
      </c>
      <c r="N381" s="5" t="s">
        <v>1281</v>
      </c>
      <c r="O381" s="5">
        <v>69</v>
      </c>
      <c r="P381" s="5">
        <v>47</v>
      </c>
      <c r="Q381" s="7">
        <v>237</v>
      </c>
      <c r="R381" s="7">
        <v>2.9246716479322584E-3</v>
      </c>
      <c r="S381" s="7">
        <v>5627331840</v>
      </c>
      <c r="T381" s="7">
        <v>0</v>
      </c>
    </row>
    <row r="382" spans="2:20" x14ac:dyDescent="0.2">
      <c r="B382">
        <v>48114</v>
      </c>
      <c r="C382" s="9">
        <v>2.3732E-9</v>
      </c>
      <c r="D382" s="5" t="s">
        <v>1316</v>
      </c>
      <c r="E382" s="7">
        <v>6.627096E+25</v>
      </c>
      <c r="F382" s="1">
        <v>1.045928986934768E-26</v>
      </c>
      <c r="G382" s="1">
        <v>0</v>
      </c>
      <c r="H382" s="1">
        <v>0</v>
      </c>
      <c r="I382" s="7">
        <f t="shared" si="5"/>
        <v>0</v>
      </c>
      <c r="L382" s="5">
        <v>47117</v>
      </c>
      <c r="M382" s="7">
        <v>9.8180700000000005E-7</v>
      </c>
      <c r="N382" s="5" t="s">
        <v>1282</v>
      </c>
      <c r="O382" s="5">
        <v>70</v>
      </c>
      <c r="P382" s="5">
        <v>47</v>
      </c>
      <c r="Q382" s="7">
        <v>72.8</v>
      </c>
      <c r="R382" s="7">
        <v>9.5212524802190286E-3</v>
      </c>
      <c r="S382" s="7">
        <v>12252951360</v>
      </c>
      <c r="T382" s="7">
        <v>0</v>
      </c>
    </row>
    <row r="383" spans="2:20" x14ac:dyDescent="0.2">
      <c r="B383">
        <v>48115</v>
      </c>
      <c r="C383" s="9">
        <v>8.3061999999999993E-9</v>
      </c>
      <c r="D383" s="5" t="s">
        <v>1317</v>
      </c>
      <c r="E383" s="7">
        <v>192456</v>
      </c>
      <c r="F383" s="1">
        <v>3.6015877944046708E-6</v>
      </c>
      <c r="G383" s="1">
        <v>99046164.330392852</v>
      </c>
      <c r="H383" s="1">
        <v>4.6645801357011972E-42</v>
      </c>
      <c r="I383" s="7">
        <f t="shared" si="5"/>
        <v>114.63676427128803</v>
      </c>
      <c r="L383" s="5">
        <v>47118</v>
      </c>
      <c r="M383" s="7">
        <v>9.9367300000000001E-7</v>
      </c>
      <c r="N383" s="5" t="s">
        <v>1283</v>
      </c>
      <c r="O383" s="5">
        <v>71</v>
      </c>
      <c r="P383" s="5">
        <v>47</v>
      </c>
      <c r="Q383" s="7">
        <v>3.76</v>
      </c>
      <c r="R383" s="7">
        <v>0.18434765440424078</v>
      </c>
      <c r="S383" s="7">
        <v>12401039040</v>
      </c>
      <c r="T383" s="7">
        <v>0</v>
      </c>
    </row>
    <row r="384" spans="2:20" x14ac:dyDescent="0.2">
      <c r="B384">
        <v>48116</v>
      </c>
      <c r="C384" s="9">
        <v>4.6975399999999997E-8</v>
      </c>
      <c r="D384" s="5" t="s">
        <v>1318</v>
      </c>
      <c r="E384" s="7">
        <v>1.0414008E+27</v>
      </c>
      <c r="F384" s="1">
        <v>6.6559117350394328E-28</v>
      </c>
      <c r="G384" s="1">
        <v>0</v>
      </c>
      <c r="H384" s="1">
        <v>0</v>
      </c>
      <c r="I384" s="7">
        <f t="shared" si="5"/>
        <v>0</v>
      </c>
      <c r="L384" s="5">
        <v>47119</v>
      </c>
      <c r="M384" s="7">
        <v>1.52045E-6</v>
      </c>
      <c r="N384" s="5" t="s">
        <v>1284</v>
      </c>
      <c r="O384" s="5">
        <v>72</v>
      </c>
      <c r="P384" s="5">
        <v>47</v>
      </c>
      <c r="Q384" s="7">
        <v>6</v>
      </c>
      <c r="R384" s="7">
        <v>0.11552453009332421</v>
      </c>
      <c r="S384" s="7">
        <v>18975216000</v>
      </c>
      <c r="T384" s="7">
        <v>0</v>
      </c>
    </row>
    <row r="385" spans="2:20" x14ac:dyDescent="0.2">
      <c r="B385">
        <v>48117</v>
      </c>
      <c r="C385" s="9">
        <v>1.03513E-7</v>
      </c>
      <c r="D385" s="5" t="s">
        <v>1319</v>
      </c>
      <c r="E385" s="7">
        <v>8964</v>
      </c>
      <c r="F385" s="1">
        <v>7.7325656019627993E-5</v>
      </c>
      <c r="G385" s="1">
        <v>1291842240</v>
      </c>
      <c r="H385" s="1">
        <v>0</v>
      </c>
      <c r="I385" s="7">
        <f t="shared" si="5"/>
        <v>1495.1877777777777</v>
      </c>
      <c r="L385" s="5">
        <v>47120</v>
      </c>
      <c r="M385" s="7">
        <v>1.26903E-6</v>
      </c>
      <c r="N385" s="5" t="s">
        <v>1285</v>
      </c>
      <c r="O385" s="5">
        <v>73</v>
      </c>
      <c r="P385" s="5">
        <v>47</v>
      </c>
      <c r="Q385" s="7">
        <v>1.23</v>
      </c>
      <c r="R385" s="7">
        <v>0.56353429313816694</v>
      </c>
      <c r="S385" s="7">
        <v>15837494400</v>
      </c>
      <c r="T385" s="7">
        <v>0</v>
      </c>
    </row>
    <row r="386" spans="2:20" x14ac:dyDescent="0.2">
      <c r="B386">
        <v>48118</v>
      </c>
      <c r="C386" s="9">
        <v>3.1500699999999998E-7</v>
      </c>
      <c r="D386" s="5" t="s">
        <v>1320</v>
      </c>
      <c r="E386" s="7">
        <v>3018</v>
      </c>
      <c r="F386" s="1">
        <v>2.2967103398275192E-4</v>
      </c>
      <c r="G386" s="1">
        <v>3931287360</v>
      </c>
      <c r="H386" s="1">
        <v>0</v>
      </c>
      <c r="I386" s="7">
        <f t="shared" si="5"/>
        <v>4550.1011111111111</v>
      </c>
      <c r="L386" s="5">
        <v>47121</v>
      </c>
      <c r="M386" s="7">
        <v>1.5272899999999999E-6</v>
      </c>
      <c r="N386" s="5" t="s">
        <v>1286</v>
      </c>
      <c r="O386" s="5">
        <v>74</v>
      </c>
      <c r="P386" s="5">
        <v>47</v>
      </c>
      <c r="Q386" s="7">
        <v>0.78</v>
      </c>
      <c r="R386" s="7">
        <v>0.88865023148710931</v>
      </c>
      <c r="S386" s="7">
        <v>19060579200</v>
      </c>
      <c r="T386" s="7">
        <v>0</v>
      </c>
    </row>
    <row r="387" spans="2:20" x14ac:dyDescent="0.2">
      <c r="B387">
        <v>48119</v>
      </c>
      <c r="C387" s="9">
        <v>4.4804599999999999E-7</v>
      </c>
      <c r="D387" s="5" t="s">
        <v>1321</v>
      </c>
      <c r="E387" s="7">
        <v>161.4</v>
      </c>
      <c r="F387" s="1">
        <v>4.2945921967778517E-3</v>
      </c>
      <c r="G387" s="1">
        <v>5591614080</v>
      </c>
      <c r="H387" s="1">
        <v>0</v>
      </c>
      <c r="I387" s="7">
        <f t="shared" si="5"/>
        <v>6471.7755555555559</v>
      </c>
      <c r="L387" s="5">
        <v>47122</v>
      </c>
      <c r="M387" s="7">
        <v>7.83435E-7</v>
      </c>
      <c r="N387" s="5" t="s">
        <v>1287</v>
      </c>
      <c r="O387" s="5">
        <v>75</v>
      </c>
      <c r="P387" s="5">
        <v>47</v>
      </c>
      <c r="Q387" s="7">
        <v>0.52900000000000003</v>
      </c>
      <c r="R387" s="7">
        <v>1.3102971277125619</v>
      </c>
      <c r="S387" s="7">
        <v>9777268800</v>
      </c>
      <c r="T387" s="7">
        <v>0</v>
      </c>
    </row>
    <row r="388" spans="2:20" x14ac:dyDescent="0.2">
      <c r="B388">
        <v>48120</v>
      </c>
      <c r="C388" s="9">
        <v>9.0083900000000004E-7</v>
      </c>
      <c r="D388" s="5" t="s">
        <v>1322</v>
      </c>
      <c r="E388" s="7">
        <v>50.8</v>
      </c>
      <c r="F388" s="1">
        <v>1.3644629538581601E-2</v>
      </c>
      <c r="G388" s="1">
        <v>11242470720</v>
      </c>
      <c r="H388" s="1">
        <v>0</v>
      </c>
      <c r="I388" s="7">
        <f t="shared" ref="I388:I451" si="6">G388/10/24/3600</f>
        <v>13012.118888888888</v>
      </c>
      <c r="L388" s="5">
        <v>47123</v>
      </c>
      <c r="M388" s="7">
        <v>6.77758E-7</v>
      </c>
      <c r="N388" s="5" t="s">
        <v>1288</v>
      </c>
      <c r="O388" s="5">
        <v>76</v>
      </c>
      <c r="P388" s="5">
        <v>47</v>
      </c>
      <c r="Q388" s="7">
        <v>0.3</v>
      </c>
      <c r="R388" s="7">
        <v>2.3104906018664844</v>
      </c>
      <c r="S388" s="7">
        <v>8458419840</v>
      </c>
      <c r="T388" s="7">
        <v>0</v>
      </c>
    </row>
    <row r="389" spans="2:20" x14ac:dyDescent="0.2">
      <c r="B389">
        <v>48121</v>
      </c>
      <c r="C389" s="9">
        <v>9.6463599999999998E-7</v>
      </c>
      <c r="D389" s="5" t="s">
        <v>1323</v>
      </c>
      <c r="E389" s="7">
        <v>13.5</v>
      </c>
      <c r="F389" s="1">
        <v>5.1344235597032988E-2</v>
      </c>
      <c r="G389" s="1">
        <v>12038657280</v>
      </c>
      <c r="H389" s="1">
        <v>0</v>
      </c>
      <c r="I389" s="7">
        <f t="shared" si="6"/>
        <v>13933.631111111112</v>
      </c>
      <c r="L389" s="5">
        <v>48097</v>
      </c>
      <c r="M389" s="7">
        <v>2.81503E-7</v>
      </c>
      <c r="N389" s="5" t="s">
        <v>1299</v>
      </c>
      <c r="O389" s="5">
        <v>49</v>
      </c>
      <c r="P389" s="5">
        <v>48</v>
      </c>
      <c r="Q389" s="7">
        <v>1.1000000000000001</v>
      </c>
      <c r="R389" s="7">
        <v>0.63013380050904111</v>
      </c>
      <c r="S389" s="7">
        <v>3513157440</v>
      </c>
      <c r="T389" s="7">
        <v>0</v>
      </c>
    </row>
    <row r="390" spans="2:20" x14ac:dyDescent="0.2">
      <c r="B390">
        <v>48122</v>
      </c>
      <c r="C390" s="9">
        <v>1.2531900000000001E-6</v>
      </c>
      <c r="D390" s="5" t="s">
        <v>1324</v>
      </c>
      <c r="E390" s="7">
        <v>5.24</v>
      </c>
      <c r="F390" s="1">
        <v>0.1322799962900659</v>
      </c>
      <c r="G390" s="1">
        <v>15639811200</v>
      </c>
      <c r="H390" s="1">
        <v>0</v>
      </c>
      <c r="I390" s="7">
        <f t="shared" si="6"/>
        <v>18101.633333333335</v>
      </c>
      <c r="L390" s="5">
        <v>48098</v>
      </c>
      <c r="M390" s="7">
        <v>1.9460200000000001E-7</v>
      </c>
      <c r="N390" s="5" t="s">
        <v>1300</v>
      </c>
      <c r="O390" s="5">
        <v>50</v>
      </c>
      <c r="P390" s="5">
        <v>48</v>
      </c>
      <c r="Q390" s="7">
        <v>9.1999999999999993</v>
      </c>
      <c r="R390" s="7">
        <v>7.5342084843472323E-2</v>
      </c>
      <c r="S390" s="7">
        <v>2428632960</v>
      </c>
      <c r="T390" s="7">
        <v>0</v>
      </c>
    </row>
    <row r="391" spans="2:20" x14ac:dyDescent="0.2">
      <c r="B391">
        <v>48123</v>
      </c>
      <c r="C391" s="9">
        <v>1.0122400000000001E-6</v>
      </c>
      <c r="D391" s="5" t="s">
        <v>1325</v>
      </c>
      <c r="E391" s="7">
        <v>2.1</v>
      </c>
      <c r="F391" s="1">
        <v>0.3300700859809263</v>
      </c>
      <c r="G391" s="1">
        <v>12632755200</v>
      </c>
      <c r="H391" s="1">
        <v>0</v>
      </c>
      <c r="I391" s="7">
        <f t="shared" si="6"/>
        <v>14621.244444444445</v>
      </c>
      <c r="L391" s="5">
        <v>48099</v>
      </c>
      <c r="M391" s="7">
        <v>5.8911200000000001E-8</v>
      </c>
      <c r="N391" s="5" t="s">
        <v>1301</v>
      </c>
      <c r="O391" s="5">
        <v>51</v>
      </c>
      <c r="P391" s="5">
        <v>48</v>
      </c>
      <c r="Q391" s="7">
        <v>16</v>
      </c>
      <c r="R391" s="7">
        <v>4.332169878499658E-2</v>
      </c>
      <c r="S391" s="7">
        <v>735211776</v>
      </c>
      <c r="T391" s="7">
        <v>0</v>
      </c>
    </row>
    <row r="392" spans="2:20" x14ac:dyDescent="0.2">
      <c r="B392">
        <v>48124</v>
      </c>
      <c r="C392" s="9">
        <v>9.6309999999999994E-7</v>
      </c>
      <c r="D392" s="5" t="s">
        <v>1326</v>
      </c>
      <c r="E392" s="7">
        <v>1.25</v>
      </c>
      <c r="F392" s="1">
        <v>0.55451774444795621</v>
      </c>
      <c r="G392" s="1">
        <v>12019488000</v>
      </c>
      <c r="H392" s="1">
        <v>0</v>
      </c>
      <c r="I392" s="7">
        <f t="shared" si="6"/>
        <v>13911.444444444445</v>
      </c>
      <c r="L392" s="5">
        <v>48100</v>
      </c>
      <c r="M392" s="7">
        <v>3.2107999999999999E-8</v>
      </c>
      <c r="N392" s="5" t="s">
        <v>1302</v>
      </c>
      <c r="O392" s="5">
        <v>52</v>
      </c>
      <c r="P392" s="5">
        <v>48</v>
      </c>
      <c r="Q392" s="7">
        <v>49.1</v>
      </c>
      <c r="R392" s="7">
        <v>1.4117050520569149E-2</v>
      </c>
      <c r="S392" s="7">
        <v>400707840</v>
      </c>
      <c r="T392" s="7">
        <v>0</v>
      </c>
    </row>
    <row r="393" spans="2:20" x14ac:dyDescent="0.2">
      <c r="B393">
        <v>48125</v>
      </c>
      <c r="C393" s="9">
        <v>6.6617100000000002E-7</v>
      </c>
      <c r="D393" s="5" t="s">
        <v>1327</v>
      </c>
      <c r="E393" s="7">
        <v>0.68</v>
      </c>
      <c r="F393" s="1">
        <v>1.019334089058743</v>
      </c>
      <c r="G393" s="1">
        <v>8313814080</v>
      </c>
      <c r="H393" s="1">
        <v>0</v>
      </c>
      <c r="I393" s="7">
        <f t="shared" si="6"/>
        <v>9622.4699999999993</v>
      </c>
      <c r="L393" s="5">
        <v>48101</v>
      </c>
      <c r="M393" s="7">
        <v>6.9800000000000003E-9</v>
      </c>
      <c r="N393" s="5" t="s">
        <v>1303</v>
      </c>
      <c r="O393" s="5">
        <v>53</v>
      </c>
      <c r="P393" s="5">
        <v>48</v>
      </c>
      <c r="Q393" s="7">
        <v>81.599999999999994</v>
      </c>
      <c r="R393" s="7">
        <v>8.494450742156193E-3</v>
      </c>
      <c r="S393" s="7">
        <v>87110400</v>
      </c>
      <c r="T393" s="7">
        <v>0</v>
      </c>
    </row>
    <row r="394" spans="2:20" x14ac:dyDescent="0.2">
      <c r="B394">
        <v>48126</v>
      </c>
      <c r="C394" s="9">
        <v>5.5749299999999997E-7</v>
      </c>
      <c r="D394" s="5" t="s">
        <v>1328</v>
      </c>
      <c r="E394" s="7">
        <v>0.51500000000000001</v>
      </c>
      <c r="F394" s="1">
        <v>1.3459168554562044</v>
      </c>
      <c r="G394" s="1">
        <v>6957512640</v>
      </c>
      <c r="H394" s="1">
        <v>0</v>
      </c>
      <c r="I394" s="7">
        <f t="shared" si="6"/>
        <v>8052.6766666666663</v>
      </c>
      <c r="L394" s="5">
        <v>48102</v>
      </c>
      <c r="M394" s="7">
        <v>3.2806E-9</v>
      </c>
      <c r="N394" s="5" t="s">
        <v>1304</v>
      </c>
      <c r="O394" s="5">
        <v>54</v>
      </c>
      <c r="P394" s="5">
        <v>48</v>
      </c>
      <c r="Q394" s="7">
        <v>330</v>
      </c>
      <c r="R394" s="7">
        <v>2.1004460016968039E-3</v>
      </c>
      <c r="S394" s="7">
        <v>40941888</v>
      </c>
      <c r="T394" s="7">
        <v>0</v>
      </c>
    </row>
    <row r="395" spans="2:20" x14ac:dyDescent="0.2">
      <c r="B395">
        <v>49100</v>
      </c>
      <c r="C395" s="9">
        <v>3.8620299999999998E-7</v>
      </c>
      <c r="D395" s="5" t="s">
        <v>1339</v>
      </c>
      <c r="E395" s="7">
        <v>5.8</v>
      </c>
      <c r="F395" s="1">
        <v>0.11950813457930091</v>
      </c>
      <c r="G395" s="1">
        <v>4819813440</v>
      </c>
      <c r="H395" s="1">
        <v>0</v>
      </c>
      <c r="I395" s="7">
        <f t="shared" si="6"/>
        <v>5578.4877777777774</v>
      </c>
      <c r="L395" s="5">
        <v>48103</v>
      </c>
      <c r="M395" s="7">
        <v>3.4899999999999998E-10</v>
      </c>
      <c r="N395" s="5" t="s">
        <v>1305</v>
      </c>
      <c r="O395" s="5">
        <v>55</v>
      </c>
      <c r="P395" s="5">
        <v>48</v>
      </c>
      <c r="Q395" s="7">
        <v>438</v>
      </c>
      <c r="R395" s="7">
        <v>1.582527809497592E-3</v>
      </c>
      <c r="S395" s="7">
        <v>4355520</v>
      </c>
      <c r="T395" s="7">
        <v>0</v>
      </c>
    </row>
    <row r="396" spans="2:20" x14ac:dyDescent="0.2">
      <c r="B396">
        <v>49101</v>
      </c>
      <c r="C396" s="9">
        <v>2.7843199999999999E-7</v>
      </c>
      <c r="D396" s="5" t="s">
        <v>1340</v>
      </c>
      <c r="E396" s="7">
        <v>15.1</v>
      </c>
      <c r="F396" s="1">
        <v>4.5903786792049359E-2</v>
      </c>
      <c r="G396" s="1">
        <v>3474831360</v>
      </c>
      <c r="H396" s="1">
        <v>0</v>
      </c>
      <c r="I396" s="7">
        <f t="shared" si="6"/>
        <v>4021.7955555555554</v>
      </c>
      <c r="L396" s="5">
        <v>48113</v>
      </c>
      <c r="M396" s="7">
        <v>6.9799999999999994E-11</v>
      </c>
      <c r="N396" s="5" t="s">
        <v>1315</v>
      </c>
      <c r="O396" s="5">
        <v>65</v>
      </c>
      <c r="P396" s="5">
        <v>48</v>
      </c>
      <c r="Q396" s="7">
        <v>2.5246080000000001E+23</v>
      </c>
      <c r="R396" s="7">
        <v>2.7455635907037657E-24</v>
      </c>
      <c r="S396" s="7">
        <v>0</v>
      </c>
      <c r="T396" s="7">
        <v>0</v>
      </c>
    </row>
    <row r="397" spans="2:20" x14ac:dyDescent="0.2">
      <c r="B397">
        <v>49102</v>
      </c>
      <c r="C397" s="9">
        <v>1.26129E-7</v>
      </c>
      <c r="D397" s="5" t="s">
        <v>1341</v>
      </c>
      <c r="E397" s="7">
        <v>23.3</v>
      </c>
      <c r="F397" s="1">
        <v>2.9748806032615677E-2</v>
      </c>
      <c r="G397" s="1">
        <v>1574089920</v>
      </c>
      <c r="H397" s="1">
        <v>0</v>
      </c>
      <c r="I397" s="7">
        <f t="shared" si="6"/>
        <v>1821.8633333333332</v>
      </c>
      <c r="L397" s="5">
        <v>48114</v>
      </c>
      <c r="M397" s="7">
        <v>2.3034000000000001E-9</v>
      </c>
      <c r="N397" s="5" t="s">
        <v>1316</v>
      </c>
      <c r="O397" s="5">
        <v>66</v>
      </c>
      <c r="P397" s="5">
        <v>48</v>
      </c>
      <c r="Q397" s="7">
        <v>6.627096E+25</v>
      </c>
      <c r="R397" s="7">
        <v>1.045928986934768E-26</v>
      </c>
      <c r="S397" s="7">
        <v>0</v>
      </c>
      <c r="T397" s="7">
        <v>0</v>
      </c>
    </row>
    <row r="398" spans="2:20" x14ac:dyDescent="0.2">
      <c r="B398">
        <v>49103</v>
      </c>
      <c r="C398" s="9">
        <v>5.5281600000000003E-8</v>
      </c>
      <c r="D398" s="5" t="s">
        <v>1342</v>
      </c>
      <c r="E398" s="7">
        <v>65</v>
      </c>
      <c r="F398" s="1">
        <v>1.0663802777845312E-2</v>
      </c>
      <c r="G398" s="1">
        <v>689914368</v>
      </c>
      <c r="H398" s="1">
        <v>0</v>
      </c>
      <c r="I398" s="7">
        <f t="shared" si="6"/>
        <v>798.51199999999994</v>
      </c>
      <c r="L398" s="5">
        <v>48115</v>
      </c>
      <c r="M398" s="7">
        <v>1.05398E-8</v>
      </c>
      <c r="N398" s="5" t="s">
        <v>1317</v>
      </c>
      <c r="O398" s="5">
        <v>67</v>
      </c>
      <c r="P398" s="5">
        <v>48</v>
      </c>
      <c r="Q398" s="7">
        <v>192456</v>
      </c>
      <c r="R398" s="7">
        <v>3.6015877944046708E-6</v>
      </c>
      <c r="S398" s="7">
        <v>125680427.0074733</v>
      </c>
      <c r="T398" s="7">
        <v>5.9189210125284106E-42</v>
      </c>
    </row>
    <row r="399" spans="2:20" x14ac:dyDescent="0.2">
      <c r="B399">
        <v>49104</v>
      </c>
      <c r="C399" s="9">
        <v>1.3052599999999999E-8</v>
      </c>
      <c r="D399" s="5" t="s">
        <v>1343</v>
      </c>
      <c r="E399" s="7">
        <v>108</v>
      </c>
      <c r="F399" s="1">
        <v>6.4180294496291234E-3</v>
      </c>
      <c r="G399" s="1">
        <v>162896448</v>
      </c>
      <c r="H399" s="1">
        <v>0</v>
      </c>
      <c r="I399" s="7">
        <f t="shared" si="6"/>
        <v>188.53755555555557</v>
      </c>
      <c r="L399" s="5">
        <v>48116</v>
      </c>
      <c r="M399" s="7">
        <v>6.1005199999999994E-8</v>
      </c>
      <c r="N399" s="5" t="s">
        <v>1318</v>
      </c>
      <c r="O399" s="5">
        <v>68</v>
      </c>
      <c r="P399" s="5">
        <v>48</v>
      </c>
      <c r="Q399" s="7">
        <v>1.0414008E+27</v>
      </c>
      <c r="R399" s="7">
        <v>6.6559117350394328E-28</v>
      </c>
      <c r="S399" s="7">
        <v>0</v>
      </c>
      <c r="T399" s="7">
        <v>0</v>
      </c>
    </row>
    <row r="400" spans="2:20" x14ac:dyDescent="0.2">
      <c r="B400">
        <v>49105</v>
      </c>
      <c r="C400" s="9">
        <v>3.4201999999999998E-9</v>
      </c>
      <c r="D400" s="5" t="s">
        <v>1344</v>
      </c>
      <c r="E400" s="7">
        <v>304.2</v>
      </c>
      <c r="F400" s="1">
        <v>2.2785903371464341E-3</v>
      </c>
      <c r="G400" s="1">
        <v>42684096</v>
      </c>
      <c r="H400" s="1">
        <v>0</v>
      </c>
      <c r="I400" s="7">
        <f t="shared" si="6"/>
        <v>49.402888888888889</v>
      </c>
      <c r="L400" s="5">
        <v>48117</v>
      </c>
      <c r="M400" s="7">
        <v>1.35203E-7</v>
      </c>
      <c r="N400" s="5" t="s">
        <v>1319</v>
      </c>
      <c r="O400" s="5">
        <v>69</v>
      </c>
      <c r="P400" s="5">
        <v>48</v>
      </c>
      <c r="Q400" s="7">
        <v>8964</v>
      </c>
      <c r="R400" s="7">
        <v>7.7325656019627993E-5</v>
      </c>
      <c r="S400" s="7">
        <v>1687333440</v>
      </c>
      <c r="T400" s="7">
        <v>0</v>
      </c>
    </row>
    <row r="401" spans="2:20" x14ac:dyDescent="0.2">
      <c r="B401">
        <v>49106</v>
      </c>
      <c r="C401" s="9">
        <v>6.2819999999999996E-10</v>
      </c>
      <c r="D401" s="5" t="s">
        <v>1345</v>
      </c>
      <c r="E401" s="7">
        <v>372</v>
      </c>
      <c r="F401" s="1">
        <v>1.8632988724729713E-3</v>
      </c>
      <c r="G401" s="1">
        <v>7839935.9999999991</v>
      </c>
      <c r="H401" s="1">
        <v>0</v>
      </c>
      <c r="I401" s="7">
        <f t="shared" si="6"/>
        <v>9.0739999999999981</v>
      </c>
      <c r="L401" s="5">
        <v>48118</v>
      </c>
      <c r="M401" s="7">
        <v>4.9048500000000001E-7</v>
      </c>
      <c r="N401" s="5" t="s">
        <v>1320</v>
      </c>
      <c r="O401" s="5">
        <v>70</v>
      </c>
      <c r="P401" s="5">
        <v>48</v>
      </c>
      <c r="Q401" s="7">
        <v>3018</v>
      </c>
      <c r="R401" s="7">
        <v>2.2967103398275192E-4</v>
      </c>
      <c r="S401" s="7">
        <v>6121252800</v>
      </c>
      <c r="T401" s="7">
        <v>0</v>
      </c>
    </row>
    <row r="402" spans="2:20" x14ac:dyDescent="0.2">
      <c r="B402">
        <v>49107</v>
      </c>
      <c r="C402" s="9">
        <v>1.3959999999999999E-10</v>
      </c>
      <c r="D402" s="5" t="s">
        <v>1346</v>
      </c>
      <c r="E402" s="7">
        <v>1944</v>
      </c>
      <c r="F402" s="1">
        <v>3.5655719164606238E-4</v>
      </c>
      <c r="G402" s="1">
        <v>1742207.9999999998</v>
      </c>
      <c r="H402" s="1">
        <v>0</v>
      </c>
      <c r="I402" s="7">
        <f t="shared" si="6"/>
        <v>2.0164444444444443</v>
      </c>
      <c r="L402" s="5">
        <v>48119</v>
      </c>
      <c r="M402" s="7">
        <v>6.4481199999999996E-7</v>
      </c>
      <c r="N402" s="5" t="s">
        <v>1321</v>
      </c>
      <c r="O402" s="5">
        <v>71</v>
      </c>
      <c r="P402" s="5">
        <v>48</v>
      </c>
      <c r="Q402" s="7">
        <v>161.4</v>
      </c>
      <c r="R402" s="7">
        <v>4.2945921967778517E-3</v>
      </c>
      <c r="S402" s="7">
        <v>8047253760</v>
      </c>
      <c r="T402" s="7">
        <v>0</v>
      </c>
    </row>
    <row r="403" spans="2:20" x14ac:dyDescent="0.2">
      <c r="B403">
        <v>49108</v>
      </c>
      <c r="C403" s="9">
        <v>6.9799999999999994E-11</v>
      </c>
      <c r="D403" s="5" t="s">
        <v>1347</v>
      </c>
      <c r="E403" s="7">
        <v>3480</v>
      </c>
      <c r="F403" s="1">
        <v>1.9918022429883485E-4</v>
      </c>
      <c r="G403" s="1">
        <v>871103.99999999988</v>
      </c>
      <c r="H403" s="1">
        <v>0</v>
      </c>
      <c r="I403" s="7">
        <f t="shared" si="6"/>
        <v>1.0082222222222221</v>
      </c>
      <c r="L403" s="5">
        <v>48120</v>
      </c>
      <c r="M403" s="7">
        <v>1.5927E-6</v>
      </c>
      <c r="N403" s="5" t="s">
        <v>1322</v>
      </c>
      <c r="O403" s="5">
        <v>72</v>
      </c>
      <c r="P403" s="5">
        <v>48</v>
      </c>
      <c r="Q403" s="7">
        <v>50.8</v>
      </c>
      <c r="R403" s="7">
        <v>1.3644629538581601E-2</v>
      </c>
      <c r="S403" s="7">
        <v>19876896000</v>
      </c>
      <c r="T403" s="7">
        <v>0</v>
      </c>
    </row>
    <row r="404" spans="2:20" x14ac:dyDescent="0.2">
      <c r="B404">
        <v>49116</v>
      </c>
      <c r="C404" s="9">
        <v>5.5839999999999995E-10</v>
      </c>
      <c r="D404" s="5" t="s">
        <v>1355</v>
      </c>
      <c r="E404" s="7">
        <v>14.1</v>
      </c>
      <c r="F404" s="1">
        <v>4.9159374507797539E-2</v>
      </c>
      <c r="G404" s="1">
        <v>6968831.9999999991</v>
      </c>
      <c r="H404" s="1">
        <v>0</v>
      </c>
      <c r="I404" s="7">
        <f t="shared" si="6"/>
        <v>8.065777777777777</v>
      </c>
      <c r="L404" s="5">
        <v>48121</v>
      </c>
      <c r="M404" s="7">
        <v>1.5565400000000001E-6</v>
      </c>
      <c r="N404" s="5" t="s">
        <v>1323</v>
      </c>
      <c r="O404" s="5">
        <v>73</v>
      </c>
      <c r="P404" s="5">
        <v>48</v>
      </c>
      <c r="Q404" s="7">
        <v>13.5</v>
      </c>
      <c r="R404" s="7">
        <v>5.1344235597032988E-2</v>
      </c>
      <c r="S404" s="7">
        <v>19425619200</v>
      </c>
      <c r="T404" s="7">
        <v>0</v>
      </c>
    </row>
    <row r="405" spans="2:20" x14ac:dyDescent="0.2">
      <c r="B405">
        <v>49117</v>
      </c>
      <c r="C405" s="9">
        <v>4.0484000000000002E-9</v>
      </c>
      <c r="D405" s="5" t="s">
        <v>1356</v>
      </c>
      <c r="E405" s="7">
        <v>2592</v>
      </c>
      <c r="F405" s="1">
        <v>2.6741789373454681E-4</v>
      </c>
      <c r="G405" s="1">
        <v>50524032</v>
      </c>
      <c r="H405" s="1">
        <v>0</v>
      </c>
      <c r="I405" s="7">
        <f t="shared" si="6"/>
        <v>58.476888888888894</v>
      </c>
      <c r="L405" s="5">
        <v>48122</v>
      </c>
      <c r="M405" s="7">
        <v>2.84798E-6</v>
      </c>
      <c r="N405" s="5" t="s">
        <v>1324</v>
      </c>
      <c r="O405" s="5">
        <v>74</v>
      </c>
      <c r="P405" s="5">
        <v>48</v>
      </c>
      <c r="Q405" s="7">
        <v>5.24</v>
      </c>
      <c r="R405" s="7">
        <v>0.1322799962900659</v>
      </c>
      <c r="S405" s="7">
        <v>35542790400</v>
      </c>
      <c r="T405" s="7">
        <v>0</v>
      </c>
    </row>
    <row r="406" spans="2:20" x14ac:dyDescent="0.2">
      <c r="B406">
        <v>49118</v>
      </c>
      <c r="C406" s="9">
        <v>1.3820400000000001E-8</v>
      </c>
      <c r="D406" s="5" t="s">
        <v>1357</v>
      </c>
      <c r="E406" s="7">
        <v>5</v>
      </c>
      <c r="F406" s="1">
        <v>0.13862943611198905</v>
      </c>
      <c r="G406" s="1">
        <v>172478592</v>
      </c>
      <c r="H406" s="1">
        <v>0</v>
      </c>
      <c r="I406" s="7">
        <f t="shared" si="6"/>
        <v>199.62799999999999</v>
      </c>
      <c r="L406" s="5">
        <v>48123</v>
      </c>
      <c r="M406" s="7">
        <v>2.0535899999999998E-6</v>
      </c>
      <c r="N406" s="5" t="s">
        <v>1325</v>
      </c>
      <c r="O406" s="5">
        <v>75</v>
      </c>
      <c r="P406" s="5">
        <v>48</v>
      </c>
      <c r="Q406" s="7">
        <v>2.1</v>
      </c>
      <c r="R406" s="7">
        <v>0.3300700859809263</v>
      </c>
      <c r="S406" s="7">
        <v>25628803200</v>
      </c>
      <c r="T406" s="7">
        <v>0</v>
      </c>
    </row>
    <row r="407" spans="2:20" x14ac:dyDescent="0.2">
      <c r="B407">
        <v>49119</v>
      </c>
      <c r="C407" s="9">
        <v>5.8911200000000001E-8</v>
      </c>
      <c r="D407" s="5" t="s">
        <v>1358</v>
      </c>
      <c r="E407" s="7">
        <v>144</v>
      </c>
      <c r="F407" s="1">
        <v>4.8135220872218424E-3</v>
      </c>
      <c r="G407" s="1">
        <v>735211776</v>
      </c>
      <c r="H407" s="1">
        <v>0</v>
      </c>
      <c r="I407" s="7">
        <f t="shared" si="6"/>
        <v>850.93955555555556</v>
      </c>
      <c r="L407" s="5">
        <v>48124</v>
      </c>
      <c r="M407" s="7">
        <v>2.6906499999999998E-6</v>
      </c>
      <c r="N407" s="5" t="s">
        <v>1326</v>
      </c>
      <c r="O407" s="5">
        <v>76</v>
      </c>
      <c r="P407" s="5">
        <v>48</v>
      </c>
      <c r="Q407" s="7">
        <v>1.25</v>
      </c>
      <c r="R407" s="7">
        <v>0.55451774444795621</v>
      </c>
      <c r="S407" s="7">
        <v>33579311999.999996</v>
      </c>
      <c r="T407" s="7">
        <v>0</v>
      </c>
    </row>
    <row r="408" spans="2:20" x14ac:dyDescent="0.2">
      <c r="B408">
        <v>49120</v>
      </c>
      <c r="C408" s="9">
        <v>1.2466300000000001E-7</v>
      </c>
      <c r="D408" s="5" t="s">
        <v>1359</v>
      </c>
      <c r="E408" s="7">
        <v>3.08</v>
      </c>
      <c r="F408" s="1">
        <v>0.22504778589608612</v>
      </c>
      <c r="G408" s="1">
        <v>1555794240</v>
      </c>
      <c r="H408" s="1">
        <v>0</v>
      </c>
      <c r="I408" s="7">
        <f t="shared" si="6"/>
        <v>1800.6877777777777</v>
      </c>
      <c r="L408" s="5">
        <v>48125</v>
      </c>
      <c r="M408" s="7">
        <v>1.3319900000000001E-6</v>
      </c>
      <c r="N408" s="5" t="s">
        <v>1327</v>
      </c>
      <c r="O408" s="5">
        <v>77</v>
      </c>
      <c r="P408" s="5">
        <v>48</v>
      </c>
      <c r="Q408" s="7">
        <v>0.68</v>
      </c>
      <c r="R408" s="7">
        <v>1.019334089058743</v>
      </c>
      <c r="S408" s="7">
        <v>16623235200</v>
      </c>
      <c r="T408" s="7">
        <v>0</v>
      </c>
    </row>
    <row r="409" spans="2:20" x14ac:dyDescent="0.2">
      <c r="B409">
        <v>49121</v>
      </c>
      <c r="C409" s="9">
        <v>3.4516099999999998E-7</v>
      </c>
      <c r="D409" s="5" t="s">
        <v>1360</v>
      </c>
      <c r="E409" s="7">
        <v>23.1</v>
      </c>
      <c r="F409" s="1">
        <v>3.0006371452811483E-2</v>
      </c>
      <c r="G409" s="1">
        <v>4307609280</v>
      </c>
      <c r="H409" s="1">
        <v>0</v>
      </c>
      <c r="I409" s="7">
        <f t="shared" si="6"/>
        <v>4985.6588888888891</v>
      </c>
      <c r="L409" s="5">
        <v>48126</v>
      </c>
      <c r="M409" s="7">
        <v>1.1639800000000001E-6</v>
      </c>
      <c r="N409" s="5" t="s">
        <v>1328</v>
      </c>
      <c r="O409" s="5">
        <v>78</v>
      </c>
      <c r="P409" s="5">
        <v>48</v>
      </c>
      <c r="Q409" s="7">
        <v>0.51500000000000001</v>
      </c>
      <c r="R409" s="7">
        <v>1.3459168554562044</v>
      </c>
      <c r="S409" s="7">
        <v>14526470400.000002</v>
      </c>
      <c r="T409" s="7">
        <v>0</v>
      </c>
    </row>
    <row r="410" spans="2:20" x14ac:dyDescent="0.2">
      <c r="B410">
        <v>49122</v>
      </c>
      <c r="C410" s="9">
        <v>4.7289499999999997E-7</v>
      </c>
      <c r="D410" s="5" t="s">
        <v>1361</v>
      </c>
      <c r="E410" s="7">
        <v>1.5</v>
      </c>
      <c r="F410" s="1">
        <v>0.46209812037329684</v>
      </c>
      <c r="G410" s="1">
        <v>5901729600</v>
      </c>
      <c r="H410" s="1">
        <v>0</v>
      </c>
      <c r="I410" s="7">
        <f t="shared" si="6"/>
        <v>6830.7055555555553</v>
      </c>
      <c r="L410" s="5">
        <v>49100</v>
      </c>
      <c r="M410" s="7">
        <v>4.0358400000000002E-7</v>
      </c>
      <c r="N410" s="5" t="s">
        <v>1339</v>
      </c>
      <c r="O410" s="5">
        <v>51</v>
      </c>
      <c r="P410" s="5">
        <v>49</v>
      </c>
      <c r="Q410" s="7">
        <v>5.8</v>
      </c>
      <c r="R410" s="7">
        <v>0.11950813457930091</v>
      </c>
      <c r="S410" s="7">
        <v>5036728320</v>
      </c>
      <c r="T410" s="7">
        <v>0</v>
      </c>
    </row>
    <row r="411" spans="2:20" x14ac:dyDescent="0.2">
      <c r="B411">
        <v>49123</v>
      </c>
      <c r="C411" s="9">
        <v>9.5437500000000007E-7</v>
      </c>
      <c r="D411" s="5" t="s">
        <v>1362</v>
      </c>
      <c r="E411" s="7">
        <v>6.17</v>
      </c>
      <c r="F411" s="1">
        <v>0.11234152035007217</v>
      </c>
      <c r="G411" s="1">
        <v>11910600000</v>
      </c>
      <c r="H411" s="1">
        <v>0</v>
      </c>
      <c r="I411" s="7">
        <f t="shared" si="6"/>
        <v>13785.416666666666</v>
      </c>
      <c r="L411" s="5">
        <v>49101</v>
      </c>
      <c r="M411" s="7">
        <v>2.4960499999999999E-7</v>
      </c>
      <c r="N411" s="5" t="s">
        <v>1340</v>
      </c>
      <c r="O411" s="5">
        <v>52</v>
      </c>
      <c r="P411" s="5">
        <v>49</v>
      </c>
      <c r="Q411" s="7">
        <v>15.1</v>
      </c>
      <c r="R411" s="7">
        <v>4.5903786792049359E-2</v>
      </c>
      <c r="S411" s="7">
        <v>3115070400</v>
      </c>
      <c r="T411" s="7">
        <v>0</v>
      </c>
    </row>
    <row r="412" spans="2:20" x14ac:dyDescent="0.2">
      <c r="B412">
        <v>49124</v>
      </c>
      <c r="C412" s="9">
        <v>9.8082999999999998E-7</v>
      </c>
      <c r="D412" s="5" t="s">
        <v>1363</v>
      </c>
      <c r="E412" s="7">
        <v>3.12</v>
      </c>
      <c r="F412" s="1">
        <v>0.22216255787177733</v>
      </c>
      <c r="G412" s="1">
        <v>12240758400</v>
      </c>
      <c r="H412" s="1">
        <v>0</v>
      </c>
      <c r="I412" s="7">
        <f t="shared" si="6"/>
        <v>14167.544444444444</v>
      </c>
      <c r="L412" s="5">
        <v>49102</v>
      </c>
      <c r="M412" s="7">
        <v>4.12518E-8</v>
      </c>
      <c r="N412" s="5" t="s">
        <v>1341</v>
      </c>
      <c r="O412" s="5">
        <v>53</v>
      </c>
      <c r="P412" s="5">
        <v>49</v>
      </c>
      <c r="Q412" s="7">
        <v>23.3</v>
      </c>
      <c r="R412" s="7">
        <v>2.9748806032615677E-2</v>
      </c>
      <c r="S412" s="7">
        <v>514822464</v>
      </c>
      <c r="T412" s="7">
        <v>0</v>
      </c>
    </row>
    <row r="413" spans="2:20" x14ac:dyDescent="0.2">
      <c r="B413">
        <v>49125</v>
      </c>
      <c r="C413" s="9">
        <v>1.4791299999999999E-6</v>
      </c>
      <c r="D413" s="5" t="s">
        <v>1364</v>
      </c>
      <c r="E413" s="7">
        <v>2.36</v>
      </c>
      <c r="F413" s="1">
        <v>0.29370643244065481</v>
      </c>
      <c r="G413" s="1">
        <v>18459542400</v>
      </c>
      <c r="H413" s="1">
        <v>0</v>
      </c>
      <c r="I413" s="7">
        <f t="shared" si="6"/>
        <v>21365.211111111112</v>
      </c>
      <c r="L413" s="5">
        <v>49104</v>
      </c>
      <c r="M413" s="7">
        <v>6.3518000000000003E-9</v>
      </c>
      <c r="N413" s="5" t="s">
        <v>1343</v>
      </c>
      <c r="O413" s="5">
        <v>55</v>
      </c>
      <c r="P413" s="5">
        <v>49</v>
      </c>
      <c r="Q413" s="7">
        <v>108</v>
      </c>
      <c r="R413" s="7">
        <v>6.4180294496291234E-3</v>
      </c>
      <c r="S413" s="7">
        <v>79270464</v>
      </c>
      <c r="T413" s="7">
        <v>0</v>
      </c>
    </row>
    <row r="414" spans="2:20" x14ac:dyDescent="0.2">
      <c r="B414">
        <v>49126</v>
      </c>
      <c r="C414" s="9">
        <v>1.58404E-6</v>
      </c>
      <c r="D414" s="5" t="s">
        <v>1365</v>
      </c>
      <c r="E414" s="7">
        <v>1.53</v>
      </c>
      <c r="F414" s="1">
        <v>0.45303737291499691</v>
      </c>
      <c r="G414" s="1">
        <v>19768819200</v>
      </c>
      <c r="H414" s="1">
        <v>0</v>
      </c>
      <c r="I414" s="7">
        <f t="shared" si="6"/>
        <v>22880.577777777777</v>
      </c>
      <c r="L414" s="5">
        <v>49105</v>
      </c>
      <c r="M414" s="7">
        <v>2.4429999999999999E-9</v>
      </c>
      <c r="N414" s="5" t="s">
        <v>1344</v>
      </c>
      <c r="O414" s="5">
        <v>56</v>
      </c>
      <c r="P414" s="5">
        <v>49</v>
      </c>
      <c r="Q414" s="7">
        <v>304.2</v>
      </c>
      <c r="R414" s="7">
        <v>2.2785903371464341E-3</v>
      </c>
      <c r="S414" s="7">
        <v>30488640</v>
      </c>
      <c r="T414" s="7">
        <v>0</v>
      </c>
    </row>
    <row r="415" spans="2:20" x14ac:dyDescent="0.2">
      <c r="B415">
        <v>49127</v>
      </c>
      <c r="C415" s="9">
        <v>2.5987199999999999E-6</v>
      </c>
      <c r="D415" s="5" t="s">
        <v>1366</v>
      </c>
      <c r="E415" s="7">
        <v>1.0900000000000001</v>
      </c>
      <c r="F415" s="1">
        <v>0.63591484455040848</v>
      </c>
      <c r="G415" s="1">
        <v>32432025600</v>
      </c>
      <c r="H415" s="1">
        <v>0</v>
      </c>
      <c r="I415" s="7">
        <f t="shared" si="6"/>
        <v>37537.066666666666</v>
      </c>
      <c r="L415" s="5">
        <v>49106</v>
      </c>
      <c r="M415" s="7">
        <v>3.4899999999999998E-10</v>
      </c>
      <c r="N415" s="5" t="s">
        <v>1345</v>
      </c>
      <c r="O415" s="5">
        <v>57</v>
      </c>
      <c r="P415" s="5">
        <v>49</v>
      </c>
      <c r="Q415" s="7">
        <v>372</v>
      </c>
      <c r="R415" s="7">
        <v>1.8632988724729713E-3</v>
      </c>
      <c r="S415" s="7">
        <v>4355520</v>
      </c>
      <c r="T415" s="7">
        <v>0</v>
      </c>
    </row>
    <row r="416" spans="2:20" x14ac:dyDescent="0.2">
      <c r="B416">
        <v>49128</v>
      </c>
      <c r="C416" s="9">
        <v>2.9635699999999999E-6</v>
      </c>
      <c r="D416" s="5" t="s">
        <v>1367</v>
      </c>
      <c r="E416" s="7">
        <v>0.84</v>
      </c>
      <c r="F416" s="1">
        <v>0.82517521495231583</v>
      </c>
      <c r="G416" s="1">
        <v>36985353600</v>
      </c>
      <c r="H416" s="1">
        <v>0</v>
      </c>
      <c r="I416" s="7">
        <f t="shared" si="6"/>
        <v>42807.12222222222</v>
      </c>
      <c r="L416" s="5">
        <v>49107</v>
      </c>
      <c r="M416" s="7">
        <v>2.094E-10</v>
      </c>
      <c r="N416" s="5" t="s">
        <v>1346</v>
      </c>
      <c r="O416" s="5">
        <v>58</v>
      </c>
      <c r="P416" s="5">
        <v>49</v>
      </c>
      <c r="Q416" s="7">
        <v>1944</v>
      </c>
      <c r="R416" s="7">
        <v>3.5655719164606238E-4</v>
      </c>
      <c r="S416" s="7">
        <v>2613312</v>
      </c>
      <c r="T416" s="7">
        <v>0</v>
      </c>
    </row>
    <row r="417" spans="2:20" x14ac:dyDescent="0.2">
      <c r="B417">
        <v>49129</v>
      </c>
      <c r="C417" s="9">
        <v>3.9897000000000001E-6</v>
      </c>
      <c r="D417" s="5" t="s">
        <v>1368</v>
      </c>
      <c r="E417" s="7">
        <v>0.61099999999999999</v>
      </c>
      <c r="F417" s="1">
        <v>1.1344471040260971</v>
      </c>
      <c r="G417" s="1">
        <v>49791456000</v>
      </c>
      <c r="H417" s="1">
        <v>0</v>
      </c>
      <c r="I417" s="7">
        <f t="shared" si="6"/>
        <v>57629</v>
      </c>
      <c r="L417" s="5">
        <v>49116</v>
      </c>
      <c r="M417" s="7">
        <v>2.7919999999999998E-10</v>
      </c>
      <c r="N417" s="5" t="s">
        <v>1355</v>
      </c>
      <c r="O417" s="5">
        <v>67</v>
      </c>
      <c r="P417" s="5">
        <v>49</v>
      </c>
      <c r="Q417" s="7">
        <v>14.1</v>
      </c>
      <c r="R417" s="7">
        <v>4.9159374507797539E-2</v>
      </c>
      <c r="S417" s="7">
        <v>3484415.9999999995</v>
      </c>
      <c r="T417" s="7">
        <v>0</v>
      </c>
    </row>
    <row r="418" spans="2:20" x14ac:dyDescent="0.2">
      <c r="B418">
        <v>49130</v>
      </c>
      <c r="C418" s="9">
        <v>2.80645E-6</v>
      </c>
      <c r="D418" s="5" t="s">
        <v>1369</v>
      </c>
      <c r="E418" s="7">
        <v>0.28999999999999998</v>
      </c>
      <c r="F418" s="1">
        <v>2.3901626915860184</v>
      </c>
      <c r="G418" s="1">
        <v>35024496000</v>
      </c>
      <c r="H418" s="1">
        <v>0</v>
      </c>
      <c r="I418" s="7">
        <f t="shared" si="6"/>
        <v>40537.611111111109</v>
      </c>
      <c r="L418" s="5">
        <v>49117</v>
      </c>
      <c r="M418" s="7">
        <v>4.9557999999999998E-9</v>
      </c>
      <c r="N418" s="5" t="s">
        <v>1356</v>
      </c>
      <c r="O418" s="5">
        <v>68</v>
      </c>
      <c r="P418" s="5">
        <v>49</v>
      </c>
      <c r="Q418" s="7">
        <v>2592</v>
      </c>
      <c r="R418" s="7">
        <v>2.6741789373454681E-4</v>
      </c>
      <c r="S418" s="7">
        <v>61848384</v>
      </c>
      <c r="T418" s="7">
        <v>0</v>
      </c>
    </row>
    <row r="419" spans="2:20" x14ac:dyDescent="0.2">
      <c r="B419">
        <v>49131</v>
      </c>
      <c r="C419" s="9">
        <v>1.9545399999999999E-6</v>
      </c>
      <c r="D419" s="5" t="s">
        <v>1370</v>
      </c>
      <c r="E419" s="7">
        <v>0.28000000000000003</v>
      </c>
      <c r="F419" s="1">
        <v>2.4755256448569471</v>
      </c>
      <c r="G419" s="1">
        <v>24392659200</v>
      </c>
      <c r="H419" s="1">
        <v>0</v>
      </c>
      <c r="I419" s="7">
        <f t="shared" si="6"/>
        <v>28232.244444444445</v>
      </c>
      <c r="L419" s="5">
        <v>49118</v>
      </c>
      <c r="M419" s="7">
        <v>1.8078199999999999E-8</v>
      </c>
      <c r="N419" s="5" t="s">
        <v>1357</v>
      </c>
      <c r="O419" s="5">
        <v>69</v>
      </c>
      <c r="P419" s="5">
        <v>49</v>
      </c>
      <c r="Q419" s="7">
        <v>5</v>
      </c>
      <c r="R419" s="7">
        <v>0.13862943611198905</v>
      </c>
      <c r="S419" s="7">
        <v>225615936</v>
      </c>
      <c r="T419" s="7">
        <v>0</v>
      </c>
    </row>
    <row r="420" spans="2:20" x14ac:dyDescent="0.2">
      <c r="B420">
        <v>49132</v>
      </c>
      <c r="C420" s="9">
        <v>5.43114E-7</v>
      </c>
      <c r="D420" s="5" t="s">
        <v>1371</v>
      </c>
      <c r="E420" s="7">
        <v>0.20699999999999999</v>
      </c>
      <c r="F420" s="1">
        <v>3.348537104154325</v>
      </c>
      <c r="G420" s="1">
        <v>6778062720</v>
      </c>
      <c r="H420" s="1">
        <v>0</v>
      </c>
      <c r="I420" s="7">
        <f t="shared" si="6"/>
        <v>7844.98</v>
      </c>
      <c r="L420" s="5">
        <v>49119</v>
      </c>
      <c r="M420" s="7">
        <v>8.8994999999999997E-8</v>
      </c>
      <c r="N420" s="5" t="s">
        <v>1358</v>
      </c>
      <c r="O420" s="5">
        <v>70</v>
      </c>
      <c r="P420" s="5">
        <v>49</v>
      </c>
      <c r="Q420" s="7">
        <v>144</v>
      </c>
      <c r="R420" s="7">
        <v>4.8135220872218424E-3</v>
      </c>
      <c r="S420" s="7">
        <v>1110657600</v>
      </c>
      <c r="T420" s="7">
        <v>0</v>
      </c>
    </row>
    <row r="421" spans="2:20" x14ac:dyDescent="0.2">
      <c r="B421">
        <v>50103</v>
      </c>
      <c r="C421" s="9">
        <v>1.7791999999999999E-7</v>
      </c>
      <c r="D421" s="5" t="s">
        <v>1380</v>
      </c>
      <c r="E421" s="7">
        <v>7</v>
      </c>
      <c r="F421" s="1">
        <v>9.9021025794277892E-2</v>
      </c>
      <c r="G421" s="1">
        <v>2220441600</v>
      </c>
      <c r="H421" s="1">
        <v>0</v>
      </c>
      <c r="I421" s="7">
        <f t="shared" si="6"/>
        <v>2569.9555555555557</v>
      </c>
      <c r="L421" s="5">
        <v>49120</v>
      </c>
      <c r="M421" s="7">
        <v>2.11983E-7</v>
      </c>
      <c r="N421" s="5" t="s">
        <v>1359</v>
      </c>
      <c r="O421" s="5">
        <v>71</v>
      </c>
      <c r="P421" s="5">
        <v>49</v>
      </c>
      <c r="Q421" s="7">
        <v>3.08</v>
      </c>
      <c r="R421" s="7">
        <v>0.22504778589608612</v>
      </c>
      <c r="S421" s="7">
        <v>2645547840</v>
      </c>
      <c r="T421" s="7">
        <v>0</v>
      </c>
    </row>
    <row r="422" spans="2:20" x14ac:dyDescent="0.2">
      <c r="B422">
        <v>50104</v>
      </c>
      <c r="C422" s="9">
        <v>3.5458400000000001E-8</v>
      </c>
      <c r="D422" s="5" t="s">
        <v>1381</v>
      </c>
      <c r="E422" s="7">
        <v>20.8</v>
      </c>
      <c r="F422" s="1">
        <v>3.3324383680766602E-2</v>
      </c>
      <c r="G422" s="1">
        <v>442520832</v>
      </c>
      <c r="H422" s="1">
        <v>0</v>
      </c>
      <c r="I422" s="7">
        <f t="shared" si="6"/>
        <v>512.17688888888893</v>
      </c>
      <c r="L422" s="5">
        <v>49121</v>
      </c>
      <c r="M422" s="7">
        <v>7.48745E-7</v>
      </c>
      <c r="N422" s="5" t="s">
        <v>1360</v>
      </c>
      <c r="O422" s="5">
        <v>72</v>
      </c>
      <c r="P422" s="5">
        <v>49</v>
      </c>
      <c r="Q422" s="7">
        <v>23.1</v>
      </c>
      <c r="R422" s="7">
        <v>3.0006371452811483E-2</v>
      </c>
      <c r="S422" s="7">
        <v>9344337600</v>
      </c>
      <c r="T422" s="7">
        <v>0</v>
      </c>
    </row>
    <row r="423" spans="2:20" x14ac:dyDescent="0.2">
      <c r="B423">
        <v>50105</v>
      </c>
      <c r="C423" s="9">
        <v>5.6537999999999996E-9</v>
      </c>
      <c r="D423" s="5" t="s">
        <v>1382</v>
      </c>
      <c r="E423" s="7">
        <v>32.700000000000003</v>
      </c>
      <c r="F423" s="1">
        <v>2.1197161485013615E-2</v>
      </c>
      <c r="G423" s="1">
        <v>70559424</v>
      </c>
      <c r="H423" s="1">
        <v>0</v>
      </c>
      <c r="I423" s="7">
        <f t="shared" si="6"/>
        <v>81.666000000000011</v>
      </c>
      <c r="L423" s="5">
        <v>49122</v>
      </c>
      <c r="M423" s="7">
        <v>1.18772E-6</v>
      </c>
      <c r="N423" s="5" t="s">
        <v>1361</v>
      </c>
      <c r="O423" s="5">
        <v>73</v>
      </c>
      <c r="P423" s="5">
        <v>49</v>
      </c>
      <c r="Q423" s="7">
        <v>1.5</v>
      </c>
      <c r="R423" s="7">
        <v>0.46209812037329684</v>
      </c>
      <c r="S423" s="7">
        <v>14822745600</v>
      </c>
      <c r="T423" s="7">
        <v>0</v>
      </c>
    </row>
    <row r="424" spans="2:20" x14ac:dyDescent="0.2">
      <c r="B424">
        <v>50106</v>
      </c>
      <c r="C424" s="9">
        <v>6.9799999999999997E-10</v>
      </c>
      <c r="D424" s="5" t="s">
        <v>1383</v>
      </c>
      <c r="E424" s="7">
        <v>115</v>
      </c>
      <c r="F424" s="1">
        <v>6.0273667874777854E-3</v>
      </c>
      <c r="G424" s="1">
        <v>8711040</v>
      </c>
      <c r="H424" s="1">
        <v>0</v>
      </c>
      <c r="I424" s="7">
        <f t="shared" si="6"/>
        <v>10.082222222222223</v>
      </c>
      <c r="L424" s="5">
        <v>49123</v>
      </c>
      <c r="M424" s="7">
        <v>2.8019799999999999E-6</v>
      </c>
      <c r="N424" s="5" t="s">
        <v>1362</v>
      </c>
      <c r="O424" s="5">
        <v>74</v>
      </c>
      <c r="P424" s="5">
        <v>49</v>
      </c>
      <c r="Q424" s="7">
        <v>6.17</v>
      </c>
      <c r="R424" s="7">
        <v>0.11234152035007217</v>
      </c>
      <c r="S424" s="7">
        <v>34968710400</v>
      </c>
      <c r="T424" s="7">
        <v>0</v>
      </c>
    </row>
    <row r="425" spans="2:20" x14ac:dyDescent="0.2">
      <c r="B425">
        <v>50121</v>
      </c>
      <c r="C425" s="9">
        <v>3.3364400000000002E-8</v>
      </c>
      <c r="D425" s="5" t="s">
        <v>1397</v>
      </c>
      <c r="E425" s="7">
        <v>97308</v>
      </c>
      <c r="F425" s="1">
        <v>7.1232291338835997E-6</v>
      </c>
      <c r="G425" s="1">
        <v>415503318.46976709</v>
      </c>
      <c r="H425" s="1">
        <v>1.1467369440271672E-89</v>
      </c>
      <c r="I425" s="7">
        <f t="shared" si="6"/>
        <v>480.90661859926746</v>
      </c>
      <c r="L425" s="5">
        <v>49124</v>
      </c>
      <c r="M425" s="7">
        <v>3.2506599999999998E-6</v>
      </c>
      <c r="N425" s="5" t="s">
        <v>1363</v>
      </c>
      <c r="O425" s="5">
        <v>75</v>
      </c>
      <c r="P425" s="5">
        <v>49</v>
      </c>
      <c r="Q425" s="7">
        <v>3.12</v>
      </c>
      <c r="R425" s="7">
        <v>0.22216255787177733</v>
      </c>
      <c r="S425" s="7">
        <v>40568236800</v>
      </c>
      <c r="T425" s="7">
        <v>0</v>
      </c>
    </row>
    <row r="426" spans="2:20" x14ac:dyDescent="0.2">
      <c r="B426">
        <v>50123</v>
      </c>
      <c r="C426" s="9">
        <v>2.9993099999999999E-7</v>
      </c>
      <c r="D426" s="5" t="s">
        <v>1399</v>
      </c>
      <c r="E426" s="7">
        <v>11162879.999999899</v>
      </c>
      <c r="F426" s="1">
        <v>6.2093938173656935E-8</v>
      </c>
      <c r="G426" s="1">
        <v>195524508.43366456</v>
      </c>
      <c r="H426" s="1">
        <v>27591046.009881824</v>
      </c>
      <c r="I426" s="7">
        <f t="shared" si="6"/>
        <v>226.30151439081544</v>
      </c>
      <c r="L426" s="5">
        <v>49125</v>
      </c>
      <c r="M426" s="7">
        <v>5.6286699999999996E-6</v>
      </c>
      <c r="N426" s="5" t="s">
        <v>1364</v>
      </c>
      <c r="O426" s="5">
        <v>76</v>
      </c>
      <c r="P426" s="5">
        <v>49</v>
      </c>
      <c r="Q426" s="7">
        <v>2.36</v>
      </c>
      <c r="R426" s="7">
        <v>0.29370643244065481</v>
      </c>
      <c r="S426" s="7">
        <v>70245801600</v>
      </c>
      <c r="T426" s="7">
        <v>0</v>
      </c>
    </row>
    <row r="427" spans="2:20" x14ac:dyDescent="0.2">
      <c r="B427">
        <v>50124</v>
      </c>
      <c r="C427" s="9">
        <v>8.3606399999999999E-7</v>
      </c>
      <c r="D427" s="5" t="s">
        <v>1400</v>
      </c>
      <c r="E427" s="7">
        <v>3.786912E+28</v>
      </c>
      <c r="F427" s="1">
        <v>1.8303757271358439E-29</v>
      </c>
      <c r="G427" s="1">
        <v>0</v>
      </c>
      <c r="H427" s="1">
        <v>0</v>
      </c>
      <c r="I427" s="7">
        <f t="shared" si="6"/>
        <v>0</v>
      </c>
      <c r="L427" s="5">
        <v>49126</v>
      </c>
      <c r="M427" s="7">
        <v>4.4563099999999999E-6</v>
      </c>
      <c r="N427" s="5" t="s">
        <v>1365</v>
      </c>
      <c r="O427" s="5">
        <v>77</v>
      </c>
      <c r="P427" s="5">
        <v>49</v>
      </c>
      <c r="Q427" s="7">
        <v>1.53</v>
      </c>
      <c r="R427" s="7">
        <v>0.45303737291499691</v>
      </c>
      <c r="S427" s="7">
        <v>55614748800</v>
      </c>
      <c r="T427" s="7">
        <v>0</v>
      </c>
    </row>
    <row r="428" spans="2:20" x14ac:dyDescent="0.2">
      <c r="B428">
        <v>50125</v>
      </c>
      <c r="C428" s="9">
        <v>1.4695700000000001E-6</v>
      </c>
      <c r="D428" s="5" t="s">
        <v>1401</v>
      </c>
      <c r="E428" s="7">
        <v>832896</v>
      </c>
      <c r="F428" s="1">
        <v>8.3221336224444019E-7</v>
      </c>
      <c r="G428" s="1">
        <v>9404440937.9263363</v>
      </c>
      <c r="H428" s="1">
        <v>3.7619500343174059E-2</v>
      </c>
      <c r="I428" s="7">
        <f t="shared" si="6"/>
        <v>10884.769604081408</v>
      </c>
      <c r="L428" s="5">
        <v>49127</v>
      </c>
      <c r="M428" s="7">
        <v>4.80734E-6</v>
      </c>
      <c r="N428" s="5" t="s">
        <v>1366</v>
      </c>
      <c r="O428" s="5">
        <v>78</v>
      </c>
      <c r="P428" s="5">
        <v>49</v>
      </c>
      <c r="Q428" s="7">
        <v>1.0900000000000001</v>
      </c>
      <c r="R428" s="7">
        <v>0.63591484455040848</v>
      </c>
      <c r="S428" s="7">
        <v>59995603200</v>
      </c>
      <c r="T428" s="7">
        <v>0</v>
      </c>
    </row>
    <row r="429" spans="2:20" x14ac:dyDescent="0.2">
      <c r="B429">
        <v>50126</v>
      </c>
      <c r="C429" s="9">
        <v>3.19907E-6</v>
      </c>
      <c r="D429" s="5" t="s">
        <v>1402</v>
      </c>
      <c r="E429" s="7">
        <v>7258248000000</v>
      </c>
      <c r="F429" s="1">
        <v>9.5497864024478811E-14</v>
      </c>
      <c r="G429" s="1">
        <v>3294.1677507436948</v>
      </c>
      <c r="H429" s="1">
        <v>3294.1578299750445</v>
      </c>
      <c r="I429" s="7">
        <f t="shared" si="6"/>
        <v>3.8126941559533502E-3</v>
      </c>
      <c r="L429" s="5">
        <v>49128</v>
      </c>
      <c r="M429" s="7">
        <v>2.69951E-6</v>
      </c>
      <c r="N429" s="5" t="s">
        <v>1367</v>
      </c>
      <c r="O429" s="5">
        <v>79</v>
      </c>
      <c r="P429" s="5">
        <v>49</v>
      </c>
      <c r="Q429" s="7">
        <v>0.84</v>
      </c>
      <c r="R429" s="7">
        <v>0.82517521495231583</v>
      </c>
      <c r="S429" s="7">
        <v>33689884800</v>
      </c>
      <c r="T429" s="7">
        <v>0</v>
      </c>
    </row>
    <row r="430" spans="2:20" x14ac:dyDescent="0.2">
      <c r="B430">
        <v>50127</v>
      </c>
      <c r="C430" s="9">
        <v>5.3452799999999998E-6</v>
      </c>
      <c r="D430" s="5" t="s">
        <v>1403</v>
      </c>
      <c r="E430" s="7">
        <v>7560</v>
      </c>
      <c r="F430" s="1">
        <v>9.1686134994701753E-5</v>
      </c>
      <c r="G430" s="1">
        <v>66709094400</v>
      </c>
      <c r="H430" s="1">
        <v>0</v>
      </c>
      <c r="I430" s="7">
        <f t="shared" si="6"/>
        <v>77209.600000000006</v>
      </c>
      <c r="L430" s="5">
        <v>49129</v>
      </c>
      <c r="M430" s="7">
        <v>1.7629399999999999E-6</v>
      </c>
      <c r="N430" s="5" t="s">
        <v>1368</v>
      </c>
      <c r="O430" s="5">
        <v>80</v>
      </c>
      <c r="P430" s="5">
        <v>49</v>
      </c>
      <c r="Q430" s="7">
        <v>0.61099999999999999</v>
      </c>
      <c r="R430" s="7">
        <v>1.1344471040260971</v>
      </c>
      <c r="S430" s="7">
        <v>22001491200</v>
      </c>
      <c r="T430" s="7">
        <v>0</v>
      </c>
    </row>
    <row r="431" spans="2:20" x14ac:dyDescent="0.2">
      <c r="B431">
        <v>50128</v>
      </c>
      <c r="C431" s="9">
        <v>1.02392E-5</v>
      </c>
      <c r="D431" s="5" t="s">
        <v>1404</v>
      </c>
      <c r="E431" s="7">
        <v>3544.2</v>
      </c>
      <c r="F431" s="1">
        <v>1.9557225341683464E-4</v>
      </c>
      <c r="G431" s="1">
        <v>127785216000</v>
      </c>
      <c r="H431" s="1">
        <v>0</v>
      </c>
      <c r="I431" s="7">
        <f t="shared" si="6"/>
        <v>147899.55555555556</v>
      </c>
      <c r="L431" s="5">
        <v>49130</v>
      </c>
      <c r="M431" s="7">
        <v>5.3222500000000002E-7</v>
      </c>
      <c r="N431" s="5" t="s">
        <v>1369</v>
      </c>
      <c r="O431" s="5">
        <v>81</v>
      </c>
      <c r="P431" s="5">
        <v>49</v>
      </c>
      <c r="Q431" s="7">
        <v>0.28999999999999998</v>
      </c>
      <c r="R431" s="7">
        <v>2.3901626915860184</v>
      </c>
      <c r="S431" s="7">
        <v>6642168000</v>
      </c>
      <c r="T431" s="7">
        <v>0</v>
      </c>
    </row>
    <row r="432" spans="2:20" x14ac:dyDescent="0.2">
      <c r="B432">
        <v>50129</v>
      </c>
      <c r="C432" s="9">
        <v>1.5143000000000001E-5</v>
      </c>
      <c r="D432" s="5" t="s">
        <v>1405</v>
      </c>
      <c r="E432" s="7">
        <v>133.80000000000001</v>
      </c>
      <c r="F432" s="1">
        <v>5.1804722014943587E-3</v>
      </c>
      <c r="G432" s="1">
        <v>188984640000</v>
      </c>
      <c r="H432" s="1">
        <v>0</v>
      </c>
      <c r="I432" s="7">
        <f t="shared" si="6"/>
        <v>218732.22222222222</v>
      </c>
      <c r="L432" s="5">
        <v>49131</v>
      </c>
      <c r="M432" s="7">
        <v>8.7459399999999998E-8</v>
      </c>
      <c r="N432" s="5" t="s">
        <v>1370</v>
      </c>
      <c r="O432" s="5">
        <v>82</v>
      </c>
      <c r="P432" s="5">
        <v>49</v>
      </c>
      <c r="Q432" s="7">
        <v>0.28000000000000003</v>
      </c>
      <c r="R432" s="7">
        <v>2.4755256448569471</v>
      </c>
      <c r="S432" s="7">
        <v>1091493312</v>
      </c>
      <c r="T432" s="7">
        <v>0</v>
      </c>
    </row>
    <row r="433" spans="2:20" x14ac:dyDescent="0.2">
      <c r="B433">
        <v>50130</v>
      </c>
      <c r="C433" s="9">
        <v>2.2957200000000001E-5</v>
      </c>
      <c r="D433" s="5" t="s">
        <v>1406</v>
      </c>
      <c r="E433" s="7">
        <v>223.2</v>
      </c>
      <c r="F433" s="1">
        <v>3.1054981207882856E-3</v>
      </c>
      <c r="G433" s="1">
        <v>286505856000</v>
      </c>
      <c r="H433" s="1">
        <v>0</v>
      </c>
      <c r="I433" s="7">
        <f t="shared" si="6"/>
        <v>331604</v>
      </c>
      <c r="L433" s="5">
        <v>50103</v>
      </c>
      <c r="M433" s="7">
        <v>4.8092200000000002E-8</v>
      </c>
      <c r="N433" s="5" t="s">
        <v>1380</v>
      </c>
      <c r="O433" s="5">
        <v>53</v>
      </c>
      <c r="P433" s="5">
        <v>50</v>
      </c>
      <c r="Q433" s="7">
        <v>7</v>
      </c>
      <c r="R433" s="7">
        <v>9.9021025794277892E-2</v>
      </c>
      <c r="S433" s="7">
        <v>600190656</v>
      </c>
      <c r="T433" s="7">
        <v>0</v>
      </c>
    </row>
    <row r="434" spans="2:20" x14ac:dyDescent="0.2">
      <c r="B434">
        <v>50131</v>
      </c>
      <c r="C434" s="9">
        <v>2.2952800000000002E-5</v>
      </c>
      <c r="D434" s="5" t="s">
        <v>1407</v>
      </c>
      <c r="E434" s="7">
        <v>56</v>
      </c>
      <c r="F434" s="1">
        <v>1.2377628224284737E-2</v>
      </c>
      <c r="G434" s="1">
        <v>286450944000</v>
      </c>
      <c r="H434" s="1">
        <v>0</v>
      </c>
      <c r="I434" s="7">
        <f t="shared" si="6"/>
        <v>331540.44444444444</v>
      </c>
      <c r="L434" s="5">
        <v>50104</v>
      </c>
      <c r="M434" s="7">
        <v>7.3987999999999997E-9</v>
      </c>
      <c r="N434" s="5" t="s">
        <v>1381</v>
      </c>
      <c r="O434" s="5">
        <v>54</v>
      </c>
      <c r="P434" s="5">
        <v>50</v>
      </c>
      <c r="Q434" s="7">
        <v>20.8</v>
      </c>
      <c r="R434" s="7">
        <v>3.3324383680766602E-2</v>
      </c>
      <c r="S434" s="7">
        <v>92337024</v>
      </c>
      <c r="T434" s="7">
        <v>0</v>
      </c>
    </row>
    <row r="435" spans="2:20" x14ac:dyDescent="0.2">
      <c r="B435">
        <v>50132</v>
      </c>
      <c r="C435" s="9">
        <v>2.00485E-5</v>
      </c>
      <c r="D435" s="5" t="s">
        <v>1408</v>
      </c>
      <c r="E435" s="7">
        <v>39.700000000000003</v>
      </c>
      <c r="F435" s="1">
        <v>1.7459626714356302E-2</v>
      </c>
      <c r="G435" s="1">
        <v>250205280000</v>
      </c>
      <c r="H435" s="1">
        <v>0</v>
      </c>
      <c r="I435" s="7">
        <f t="shared" si="6"/>
        <v>289589.44444444444</v>
      </c>
      <c r="L435" s="5">
        <v>50105</v>
      </c>
      <c r="M435" s="7">
        <v>3.3503999999999999E-9</v>
      </c>
      <c r="N435" s="5" t="s">
        <v>1382</v>
      </c>
      <c r="O435" s="5">
        <v>55</v>
      </c>
      <c r="P435" s="5">
        <v>50</v>
      </c>
      <c r="Q435" s="7">
        <v>32.700000000000003</v>
      </c>
      <c r="R435" s="7">
        <v>2.1197161485013615E-2</v>
      </c>
      <c r="S435" s="7">
        <v>41812992</v>
      </c>
      <c r="T435" s="7">
        <v>0</v>
      </c>
    </row>
    <row r="436" spans="2:20" x14ac:dyDescent="0.2">
      <c r="B436">
        <v>50133</v>
      </c>
      <c r="C436" s="9">
        <v>7.7809599999999994E-6</v>
      </c>
      <c r="D436" s="5" t="s">
        <v>1409</v>
      </c>
      <c r="E436" s="7">
        <v>1.46</v>
      </c>
      <c r="F436" s="1">
        <v>0.47475834284927759</v>
      </c>
      <c r="G436" s="1">
        <v>97106380800</v>
      </c>
      <c r="H436" s="1">
        <v>0</v>
      </c>
      <c r="I436" s="7">
        <f t="shared" si="6"/>
        <v>112391.64444444445</v>
      </c>
      <c r="L436" s="5">
        <v>50106</v>
      </c>
      <c r="M436" s="7">
        <v>2.7919999999999998E-10</v>
      </c>
      <c r="N436" s="5" t="s">
        <v>1383</v>
      </c>
      <c r="O436" s="5">
        <v>56</v>
      </c>
      <c r="P436" s="5">
        <v>50</v>
      </c>
      <c r="Q436" s="7">
        <v>115</v>
      </c>
      <c r="R436" s="7">
        <v>6.0273667874777854E-3</v>
      </c>
      <c r="S436" s="7">
        <v>3484415.9999999995</v>
      </c>
      <c r="T436" s="7">
        <v>0</v>
      </c>
    </row>
    <row r="437" spans="2:20" x14ac:dyDescent="0.2">
      <c r="B437">
        <v>50134</v>
      </c>
      <c r="C437" s="9">
        <v>2.86354E-6</v>
      </c>
      <c r="D437" s="5" t="s">
        <v>1410</v>
      </c>
      <c r="E437" s="7">
        <v>1.05</v>
      </c>
      <c r="F437" s="1">
        <v>0.6601401719618526</v>
      </c>
      <c r="G437" s="1">
        <v>35736979200</v>
      </c>
      <c r="H437" s="1">
        <v>0</v>
      </c>
      <c r="I437" s="7">
        <f t="shared" si="6"/>
        <v>41362.244444444441</v>
      </c>
      <c r="L437" s="5">
        <v>50107</v>
      </c>
      <c r="M437" s="7">
        <v>6.9799999999999994E-11</v>
      </c>
      <c r="N437" s="5" t="s">
        <v>1384</v>
      </c>
      <c r="O437" s="5">
        <v>57</v>
      </c>
      <c r="P437" s="5">
        <v>50</v>
      </c>
      <c r="Q437" s="7">
        <v>174</v>
      </c>
      <c r="R437" s="7">
        <v>3.9836044859766972E-3</v>
      </c>
      <c r="S437" s="7">
        <v>871103.99999999988</v>
      </c>
      <c r="T437" s="7">
        <v>0</v>
      </c>
    </row>
    <row r="438" spans="2:20" x14ac:dyDescent="0.2">
      <c r="B438">
        <v>51108</v>
      </c>
      <c r="C438" s="9">
        <v>5.9937300000000003E-7</v>
      </c>
      <c r="D438" s="5" t="s">
        <v>1421</v>
      </c>
      <c r="E438" s="7">
        <v>7.4</v>
      </c>
      <c r="F438" s="1">
        <v>9.3668537913506114E-2</v>
      </c>
      <c r="G438" s="1">
        <v>7480175040</v>
      </c>
      <c r="H438" s="1">
        <v>0</v>
      </c>
      <c r="I438" s="7">
        <f t="shared" si="6"/>
        <v>8657.61</v>
      </c>
      <c r="L438" s="5">
        <v>50108</v>
      </c>
      <c r="M438" s="7">
        <v>6.9799999999999994E-11</v>
      </c>
      <c r="N438" s="5" t="s">
        <v>1385</v>
      </c>
      <c r="O438" s="5">
        <v>58</v>
      </c>
      <c r="P438" s="5">
        <v>50</v>
      </c>
      <c r="Q438" s="7">
        <v>618</v>
      </c>
      <c r="R438" s="7">
        <v>1.1215973795468371E-3</v>
      </c>
      <c r="S438" s="7">
        <v>871103.99999999988</v>
      </c>
      <c r="T438" s="7">
        <v>0</v>
      </c>
    </row>
    <row r="439" spans="2:20" x14ac:dyDescent="0.2">
      <c r="B439">
        <v>51109</v>
      </c>
      <c r="C439" s="9">
        <v>1.1126100000000001E-7</v>
      </c>
      <c r="D439" s="5" t="s">
        <v>1422</v>
      </c>
      <c r="E439" s="7">
        <v>17</v>
      </c>
      <c r="F439" s="1">
        <v>4.0773363562349722E-2</v>
      </c>
      <c r="G439" s="1">
        <v>1388537280</v>
      </c>
      <c r="H439" s="1">
        <v>0</v>
      </c>
      <c r="I439" s="7">
        <f t="shared" si="6"/>
        <v>1607.1033333333332</v>
      </c>
      <c r="L439" s="5">
        <v>50121</v>
      </c>
      <c r="M439" s="7">
        <v>4.2647800000000002E-8</v>
      </c>
      <c r="N439" s="5" t="s">
        <v>1397</v>
      </c>
      <c r="O439" s="5">
        <v>71</v>
      </c>
      <c r="P439" s="5">
        <v>50</v>
      </c>
      <c r="Q439" s="7">
        <v>97308</v>
      </c>
      <c r="R439" s="7">
        <v>7.1232291338835997E-6</v>
      </c>
      <c r="S439" s="7">
        <v>531114074.44566464</v>
      </c>
      <c r="T439" s="7">
        <v>1.4658081020933036E-89</v>
      </c>
    </row>
    <row r="440" spans="2:20" x14ac:dyDescent="0.2">
      <c r="B440">
        <v>51110</v>
      </c>
      <c r="C440" s="9">
        <v>1.34016E-8</v>
      </c>
      <c r="D440" s="5" t="s">
        <v>1423</v>
      </c>
      <c r="E440" s="7">
        <v>23</v>
      </c>
      <c r="F440" s="1">
        <v>3.0136833937388925E-2</v>
      </c>
      <c r="G440" s="1">
        <v>167251968</v>
      </c>
      <c r="H440" s="1">
        <v>0</v>
      </c>
      <c r="I440" s="7">
        <f t="shared" si="6"/>
        <v>193.57866666666669</v>
      </c>
      <c r="L440" s="5">
        <v>50123</v>
      </c>
      <c r="M440" s="7">
        <v>5.71034E-7</v>
      </c>
      <c r="N440" s="5" t="s">
        <v>1399</v>
      </c>
      <c r="O440" s="5">
        <v>73</v>
      </c>
      <c r="P440" s="5">
        <v>50</v>
      </c>
      <c r="Q440" s="7">
        <v>11162879.999999899</v>
      </c>
      <c r="R440" s="7">
        <v>6.2093938173656935E-8</v>
      </c>
      <c r="S440" s="7">
        <v>372256092.73102552</v>
      </c>
      <c r="T440" s="7">
        <v>52530166.495650195</v>
      </c>
    </row>
    <row r="441" spans="2:20" x14ac:dyDescent="0.2">
      <c r="B441">
        <v>51111</v>
      </c>
      <c r="C441" s="9">
        <v>1.6054000000000001E-9</v>
      </c>
      <c r="D441" s="5" t="s">
        <v>1424</v>
      </c>
      <c r="E441" s="7">
        <v>75</v>
      </c>
      <c r="F441" s="1">
        <v>9.2419624074659371E-3</v>
      </c>
      <c r="G441" s="1">
        <v>20035392</v>
      </c>
      <c r="H441" s="1">
        <v>0</v>
      </c>
      <c r="I441" s="7">
        <f t="shared" si="6"/>
        <v>23.189111111111114</v>
      </c>
      <c r="L441" s="5">
        <v>50124</v>
      </c>
      <c r="M441" s="7">
        <v>2.1162000000000002E-6</v>
      </c>
      <c r="N441" s="5" t="s">
        <v>1400</v>
      </c>
      <c r="O441" s="5">
        <v>74</v>
      </c>
      <c r="P441" s="5">
        <v>50</v>
      </c>
      <c r="Q441" s="7">
        <v>3.786912E+28</v>
      </c>
      <c r="R441" s="7">
        <v>1.8303757271358439E-29</v>
      </c>
      <c r="S441" s="7">
        <v>0</v>
      </c>
      <c r="T441" s="7">
        <v>0</v>
      </c>
    </row>
    <row r="442" spans="2:20" x14ac:dyDescent="0.2">
      <c r="B442">
        <v>51119</v>
      </c>
      <c r="C442" s="9">
        <v>1.3959999999999999E-10</v>
      </c>
      <c r="D442" s="5" t="s">
        <v>1432</v>
      </c>
      <c r="E442" s="7">
        <v>137484</v>
      </c>
      <c r="F442" s="1">
        <v>5.0416570696222494E-6</v>
      </c>
      <c r="G442" s="1">
        <v>1719855.9766957629</v>
      </c>
      <c r="H442" s="1">
        <v>1.5325218122183738E-63</v>
      </c>
      <c r="I442" s="7">
        <f t="shared" si="6"/>
        <v>1.9905740471015776</v>
      </c>
      <c r="L442" s="5">
        <v>50125</v>
      </c>
      <c r="M442" s="7">
        <v>3.0897700000000001E-6</v>
      </c>
      <c r="N442" s="5" t="s">
        <v>1401</v>
      </c>
      <c r="O442" s="5">
        <v>75</v>
      </c>
      <c r="P442" s="5">
        <v>50</v>
      </c>
      <c r="Q442" s="7">
        <v>832896</v>
      </c>
      <c r="R442" s="7">
        <v>8.3221336224444019E-7</v>
      </c>
      <c r="S442" s="7">
        <v>19772831152.498119</v>
      </c>
      <c r="T442" s="7">
        <v>7.9094975792462371E-2</v>
      </c>
    </row>
    <row r="443" spans="2:20" x14ac:dyDescent="0.2">
      <c r="B443">
        <v>51120</v>
      </c>
      <c r="C443" s="9">
        <v>4.8860000000000005E-10</v>
      </c>
      <c r="D443" s="5" t="s">
        <v>1433</v>
      </c>
      <c r="E443" s="7">
        <v>953.4</v>
      </c>
      <c r="F443" s="1">
        <v>7.2702662110336197E-4</v>
      </c>
      <c r="G443" s="1">
        <v>6097728.0000000009</v>
      </c>
      <c r="H443" s="1">
        <v>0</v>
      </c>
      <c r="I443" s="7">
        <f t="shared" si="6"/>
        <v>7.057555555555556</v>
      </c>
      <c r="L443" s="5">
        <v>50126</v>
      </c>
      <c r="M443" s="7">
        <v>7.5391000000000004E-6</v>
      </c>
      <c r="N443" s="5" t="s">
        <v>1402</v>
      </c>
      <c r="O443" s="5">
        <v>76</v>
      </c>
      <c r="P443" s="5">
        <v>50</v>
      </c>
      <c r="Q443" s="7">
        <v>7258248000000</v>
      </c>
      <c r="R443" s="7">
        <v>9.5497864024478811E-14</v>
      </c>
      <c r="S443" s="7">
        <v>7763.2124616315959</v>
      </c>
      <c r="T443" s="7">
        <v>7763.18908181592</v>
      </c>
    </row>
    <row r="444" spans="2:20" x14ac:dyDescent="0.2">
      <c r="B444">
        <v>51122</v>
      </c>
      <c r="C444" s="9">
        <v>5.3746E-9</v>
      </c>
      <c r="D444" s="5" t="s">
        <v>1435</v>
      </c>
      <c r="E444" s="7">
        <v>235336.32000000001</v>
      </c>
      <c r="F444" s="1">
        <v>2.9453472398988192E-6</v>
      </c>
      <c r="G444" s="1">
        <v>61810269.375897221</v>
      </c>
      <c r="H444" s="1">
        <v>2.8303987169375437E-33</v>
      </c>
      <c r="I444" s="7">
        <f t="shared" si="6"/>
        <v>71.53966362951067</v>
      </c>
      <c r="L444" s="5">
        <v>50127</v>
      </c>
      <c r="M444" s="7">
        <v>7.5761600000000002E-6</v>
      </c>
      <c r="N444" s="5" t="s">
        <v>1403</v>
      </c>
      <c r="O444" s="5">
        <v>77</v>
      </c>
      <c r="P444" s="5">
        <v>50</v>
      </c>
      <c r="Q444" s="7">
        <v>7560</v>
      </c>
      <c r="R444" s="7">
        <v>9.1686134994701753E-5</v>
      </c>
      <c r="S444" s="7">
        <v>94550476800</v>
      </c>
      <c r="T444" s="7">
        <v>0</v>
      </c>
    </row>
    <row r="445" spans="2:20" x14ac:dyDescent="0.2">
      <c r="B445">
        <v>51124</v>
      </c>
      <c r="C445" s="9">
        <v>7.28014E-8</v>
      </c>
      <c r="D445" s="5" t="s">
        <v>1437</v>
      </c>
      <c r="E445" s="7">
        <v>5201280</v>
      </c>
      <c r="F445" s="1">
        <v>1.3326473109695023E-7</v>
      </c>
      <c r="G445" s="1">
        <v>98814498.02277568</v>
      </c>
      <c r="H445" s="1">
        <v>1477878.7390802731</v>
      </c>
      <c r="I445" s="7">
        <f t="shared" si="6"/>
        <v>114.3686319708052</v>
      </c>
      <c r="L445" s="5">
        <v>50128</v>
      </c>
      <c r="M445" s="7">
        <v>1.1311000000000001E-5</v>
      </c>
      <c r="N445" s="5" t="s">
        <v>1404</v>
      </c>
      <c r="O445" s="5">
        <v>78</v>
      </c>
      <c r="P445" s="5">
        <v>50</v>
      </c>
      <c r="Q445" s="7">
        <v>3544.2</v>
      </c>
      <c r="R445" s="7">
        <v>1.9557225341683464E-4</v>
      </c>
      <c r="S445" s="7">
        <v>141161280000</v>
      </c>
      <c r="T445" s="7">
        <v>0</v>
      </c>
    </row>
    <row r="446" spans="2:20" x14ac:dyDescent="0.2">
      <c r="B446">
        <v>51125</v>
      </c>
      <c r="C446" s="9">
        <v>2.6831100000000003E-7</v>
      </c>
      <c r="D446" s="5" t="s">
        <v>1438</v>
      </c>
      <c r="E446" s="7">
        <v>87053533.055999994</v>
      </c>
      <c r="F446" s="1">
        <v>7.9623095838517667E-9</v>
      </c>
      <c r="G446" s="1">
        <v>22956880.37273977</v>
      </c>
      <c r="H446" s="1">
        <v>17859191.308003314</v>
      </c>
      <c r="I446" s="7">
        <f t="shared" si="6"/>
        <v>26.570463394374734</v>
      </c>
      <c r="L446" s="5">
        <v>50129</v>
      </c>
      <c r="M446" s="7">
        <v>7.2390999999999999E-6</v>
      </c>
      <c r="N446" s="5" t="s">
        <v>1405</v>
      </c>
      <c r="O446" s="5">
        <v>79</v>
      </c>
      <c r="P446" s="5">
        <v>50</v>
      </c>
      <c r="Q446" s="7">
        <v>133.80000000000001</v>
      </c>
      <c r="R446" s="7">
        <v>5.1804722014943587E-3</v>
      </c>
      <c r="S446" s="7">
        <v>90343968000</v>
      </c>
      <c r="T446" s="7">
        <v>0</v>
      </c>
    </row>
    <row r="447" spans="2:20" x14ac:dyDescent="0.2">
      <c r="B447">
        <v>51126</v>
      </c>
      <c r="C447" s="9">
        <v>5.6084300000000001E-7</v>
      </c>
      <c r="D447" s="5" t="s">
        <v>1439</v>
      </c>
      <c r="E447" s="7">
        <v>1067040</v>
      </c>
      <c r="F447" s="1">
        <v>6.4959812243209751E-7</v>
      </c>
      <c r="G447" s="1">
        <v>3006250813.5807314</v>
      </c>
      <c r="H447" s="1">
        <v>3.8123018752263529</v>
      </c>
      <c r="I447" s="7">
        <f t="shared" si="6"/>
        <v>3479.4569601628832</v>
      </c>
      <c r="L447" s="5">
        <v>50130</v>
      </c>
      <c r="M447" s="7">
        <v>7.3581099999999998E-6</v>
      </c>
      <c r="N447" s="5" t="s">
        <v>1406</v>
      </c>
      <c r="O447" s="5">
        <v>80</v>
      </c>
      <c r="P447" s="5">
        <v>50</v>
      </c>
      <c r="Q447" s="7">
        <v>223.2</v>
      </c>
      <c r="R447" s="7">
        <v>3.1054981207882856E-3</v>
      </c>
      <c r="S447" s="7">
        <v>91829212800</v>
      </c>
      <c r="T447" s="7">
        <v>0</v>
      </c>
    </row>
    <row r="448" spans="2:20" x14ac:dyDescent="0.2">
      <c r="B448">
        <v>51127</v>
      </c>
      <c r="C448" s="9">
        <v>1.5382500000000001E-6</v>
      </c>
      <c r="D448" s="5" t="s">
        <v>1440</v>
      </c>
      <c r="E448" s="7">
        <v>332640</v>
      </c>
      <c r="F448" s="1">
        <v>2.083775795334131E-6</v>
      </c>
      <c r="G448" s="1">
        <v>16025270616.099474</v>
      </c>
      <c r="H448" s="1">
        <v>4.6301812396293282E-19</v>
      </c>
      <c r="I448" s="7">
        <f t="shared" si="6"/>
        <v>18547.766916781798</v>
      </c>
      <c r="L448" s="5">
        <v>50131</v>
      </c>
      <c r="M448" s="7">
        <v>2.7944400000000001E-6</v>
      </c>
      <c r="N448" s="5" t="s">
        <v>1407</v>
      </c>
      <c r="O448" s="5">
        <v>81</v>
      </c>
      <c r="P448" s="5">
        <v>50</v>
      </c>
      <c r="Q448" s="7">
        <v>56</v>
      </c>
      <c r="R448" s="7">
        <v>1.2377628224284737E-2</v>
      </c>
      <c r="S448" s="7">
        <v>34874611200</v>
      </c>
      <c r="T448" s="7">
        <v>0</v>
      </c>
    </row>
    <row r="449" spans="2:20" x14ac:dyDescent="0.2">
      <c r="B449">
        <v>51128</v>
      </c>
      <c r="C449" s="9">
        <v>2.82515E-6</v>
      </c>
      <c r="D449" s="5" t="s">
        <v>1441</v>
      </c>
      <c r="E449" s="7">
        <v>32580</v>
      </c>
      <c r="F449" s="1">
        <v>2.1275235744626926E-5</v>
      </c>
      <c r="G449" s="1">
        <v>35257871633.444122</v>
      </c>
      <c r="H449" s="1">
        <v>1.4572212062685626E-281</v>
      </c>
      <c r="I449" s="7">
        <f t="shared" si="6"/>
        <v>40807.721797967737</v>
      </c>
      <c r="L449" s="5">
        <v>50132</v>
      </c>
      <c r="M449" s="7">
        <v>1.12671E-6</v>
      </c>
      <c r="N449" s="5" t="s">
        <v>1408</v>
      </c>
      <c r="O449" s="5">
        <v>82</v>
      </c>
      <c r="P449" s="5">
        <v>50</v>
      </c>
      <c r="Q449" s="7">
        <v>39.700000000000003</v>
      </c>
      <c r="R449" s="7">
        <v>1.7459626714356302E-2</v>
      </c>
      <c r="S449" s="7">
        <v>14061340800</v>
      </c>
      <c r="T449" s="7">
        <v>0</v>
      </c>
    </row>
    <row r="450" spans="2:20" x14ac:dyDescent="0.2">
      <c r="B450">
        <v>51129</v>
      </c>
      <c r="C450" s="9">
        <v>6.9429400000000003E-6</v>
      </c>
      <c r="D450" s="5" t="s">
        <v>1442</v>
      </c>
      <c r="E450" s="7">
        <v>15717.5999999999</v>
      </c>
      <c r="F450" s="1">
        <v>4.4100064931029528E-5</v>
      </c>
      <c r="G450" s="1">
        <v>86647891200</v>
      </c>
      <c r="H450" s="1">
        <v>0</v>
      </c>
      <c r="I450" s="7">
        <f t="shared" si="6"/>
        <v>100286.91111111111</v>
      </c>
      <c r="L450" s="5">
        <v>50133</v>
      </c>
      <c r="M450" s="7">
        <v>2.6872999999999999E-8</v>
      </c>
      <c r="N450" s="5" t="s">
        <v>1409</v>
      </c>
      <c r="O450" s="5">
        <v>83</v>
      </c>
      <c r="P450" s="5">
        <v>50</v>
      </c>
      <c r="Q450" s="7">
        <v>1.46</v>
      </c>
      <c r="R450" s="7">
        <v>0.47475834284927759</v>
      </c>
      <c r="S450" s="7">
        <v>335375040</v>
      </c>
      <c r="T450" s="7">
        <v>0</v>
      </c>
    </row>
    <row r="451" spans="2:20" x14ac:dyDescent="0.2">
      <c r="B451">
        <v>51130</v>
      </c>
      <c r="C451" s="9">
        <v>1.3030999999999999E-5</v>
      </c>
      <c r="D451" s="5" t="s">
        <v>1443</v>
      </c>
      <c r="E451" s="7">
        <v>2370</v>
      </c>
      <c r="F451" s="1">
        <v>2.9246716479322586E-4</v>
      </c>
      <c r="G451" s="1">
        <v>162626880000</v>
      </c>
      <c r="H451" s="1">
        <v>0</v>
      </c>
      <c r="I451" s="7">
        <f t="shared" si="6"/>
        <v>188225.55555555556</v>
      </c>
      <c r="L451" s="5">
        <v>50134</v>
      </c>
      <c r="M451" s="7">
        <v>1.3959999999999999E-10</v>
      </c>
      <c r="N451" s="5" t="s">
        <v>1410</v>
      </c>
      <c r="O451" s="5">
        <v>84</v>
      </c>
      <c r="P451" s="5">
        <v>50</v>
      </c>
      <c r="Q451" s="7">
        <v>1.05</v>
      </c>
      <c r="R451" s="7">
        <v>0.6601401719618526</v>
      </c>
      <c r="S451" s="7">
        <v>1742207.9999999998</v>
      </c>
      <c r="T451" s="7">
        <v>0</v>
      </c>
    </row>
    <row r="452" spans="2:20" x14ac:dyDescent="0.2">
      <c r="B452">
        <v>51131</v>
      </c>
      <c r="C452" s="9">
        <v>2.8943100000000001E-5</v>
      </c>
      <c r="D452" s="5" t="s">
        <v>1444</v>
      </c>
      <c r="E452" s="7">
        <v>1381.8</v>
      </c>
      <c r="F452" s="1">
        <v>5.0162627048773E-4</v>
      </c>
      <c r="G452" s="1">
        <v>361209888000</v>
      </c>
      <c r="H452" s="1">
        <v>0</v>
      </c>
      <c r="I452" s="7">
        <f t="shared" ref="I452:I515" si="7">G452/10/24/3600</f>
        <v>418067</v>
      </c>
      <c r="L452" s="5">
        <v>51108</v>
      </c>
      <c r="M452" s="7">
        <v>8.0339800000000006E-8</v>
      </c>
      <c r="N452" s="5" t="s">
        <v>1421</v>
      </c>
      <c r="O452" s="5">
        <v>57</v>
      </c>
      <c r="P452" s="5">
        <v>51</v>
      </c>
      <c r="Q452" s="7">
        <v>7.4</v>
      </c>
      <c r="R452" s="7">
        <v>9.3668537913506114E-2</v>
      </c>
      <c r="S452" s="7">
        <v>1002640704.0000001</v>
      </c>
      <c r="T452" s="7">
        <v>0</v>
      </c>
    </row>
    <row r="453" spans="2:20" x14ac:dyDescent="0.2">
      <c r="B453">
        <v>51132</v>
      </c>
      <c r="C453" s="9">
        <v>4.0145699999999997E-5</v>
      </c>
      <c r="D453" s="5" t="s">
        <v>1445</v>
      </c>
      <c r="E453" s="7">
        <v>167.4</v>
      </c>
      <c r="F453" s="1">
        <v>4.1406641610510471E-3</v>
      </c>
      <c r="G453" s="1">
        <v>501018335999.99994</v>
      </c>
      <c r="H453" s="1">
        <v>0</v>
      </c>
      <c r="I453" s="7">
        <f t="shared" si="7"/>
        <v>579882.33333333326</v>
      </c>
      <c r="L453" s="5">
        <v>51109</v>
      </c>
      <c r="M453" s="7">
        <v>3.7063800000000003E-8</v>
      </c>
      <c r="N453" s="5" t="s">
        <v>1422</v>
      </c>
      <c r="O453" s="5">
        <v>58</v>
      </c>
      <c r="P453" s="5">
        <v>51</v>
      </c>
      <c r="Q453" s="7">
        <v>17</v>
      </c>
      <c r="R453" s="7">
        <v>4.0773363562349722E-2</v>
      </c>
      <c r="S453" s="7">
        <v>462556224.00000006</v>
      </c>
      <c r="T453" s="7">
        <v>0</v>
      </c>
    </row>
    <row r="454" spans="2:20" x14ac:dyDescent="0.2">
      <c r="B454">
        <v>51133</v>
      </c>
      <c r="C454" s="9">
        <v>5.31325E-5</v>
      </c>
      <c r="D454" s="5" t="s">
        <v>1446</v>
      </c>
      <c r="E454" s="7">
        <v>140.39999999999901</v>
      </c>
      <c r="F454" s="1">
        <v>4.9369457304839753E-3</v>
      </c>
      <c r="G454" s="1">
        <v>663093600000</v>
      </c>
      <c r="H454" s="1">
        <v>0</v>
      </c>
      <c r="I454" s="7">
        <f t="shared" si="7"/>
        <v>767469.4444444445</v>
      </c>
      <c r="L454" s="5">
        <v>51110</v>
      </c>
      <c r="M454" s="7">
        <v>5.7236000000000004E-9</v>
      </c>
      <c r="N454" s="5" t="s">
        <v>1423</v>
      </c>
      <c r="O454" s="5">
        <v>59</v>
      </c>
      <c r="P454" s="5">
        <v>51</v>
      </c>
      <c r="Q454" s="7">
        <v>23</v>
      </c>
      <c r="R454" s="7">
        <v>3.0136833937388925E-2</v>
      </c>
      <c r="S454" s="7">
        <v>71430528</v>
      </c>
      <c r="T454" s="7">
        <v>0</v>
      </c>
    </row>
    <row r="455" spans="2:20" x14ac:dyDescent="0.2">
      <c r="B455">
        <v>51134</v>
      </c>
      <c r="C455" s="9">
        <v>2.96874E-5</v>
      </c>
      <c r="D455" s="5" t="s">
        <v>1447</v>
      </c>
      <c r="E455" s="7">
        <v>0.78</v>
      </c>
      <c r="F455" s="1">
        <v>0.88865023148710931</v>
      </c>
      <c r="G455" s="1">
        <v>370498752000</v>
      </c>
      <c r="H455" s="1">
        <v>0</v>
      </c>
      <c r="I455" s="7">
        <f t="shared" si="7"/>
        <v>428818</v>
      </c>
      <c r="L455" s="5">
        <v>51111</v>
      </c>
      <c r="M455" s="7">
        <v>1.8148E-9</v>
      </c>
      <c r="N455" s="5" t="s">
        <v>1424</v>
      </c>
      <c r="O455" s="5">
        <v>60</v>
      </c>
      <c r="P455" s="5">
        <v>51</v>
      </c>
      <c r="Q455" s="7">
        <v>75</v>
      </c>
      <c r="R455" s="7">
        <v>9.2419624074659371E-3</v>
      </c>
      <c r="S455" s="7">
        <v>22648704</v>
      </c>
      <c r="T455" s="7">
        <v>0</v>
      </c>
    </row>
    <row r="456" spans="2:20" x14ac:dyDescent="0.2">
      <c r="B456">
        <v>51135</v>
      </c>
      <c r="C456" s="9">
        <v>1.80646E-5</v>
      </c>
      <c r="D456" s="5" t="s">
        <v>1448</v>
      </c>
      <c r="E456" s="7">
        <v>1.679</v>
      </c>
      <c r="F456" s="1">
        <v>0.41283334160806745</v>
      </c>
      <c r="G456" s="1">
        <v>225446208000</v>
      </c>
      <c r="H456" s="1">
        <v>0</v>
      </c>
      <c r="I456" s="7">
        <f t="shared" si="7"/>
        <v>260933.11111111112</v>
      </c>
      <c r="L456" s="5">
        <v>51112</v>
      </c>
      <c r="M456" s="7">
        <v>6.9799999999999994E-11</v>
      </c>
      <c r="N456" s="5" t="s">
        <v>1425</v>
      </c>
      <c r="O456" s="5">
        <v>61</v>
      </c>
      <c r="P456" s="5">
        <v>51</v>
      </c>
      <c r="Q456" s="7">
        <v>53.5</v>
      </c>
      <c r="R456" s="7">
        <v>1.2956022066541034E-2</v>
      </c>
      <c r="S456" s="7">
        <v>871103.99999999988</v>
      </c>
      <c r="T456" s="7">
        <v>0</v>
      </c>
    </row>
    <row r="457" spans="2:20" x14ac:dyDescent="0.2">
      <c r="B457">
        <v>51136</v>
      </c>
      <c r="C457" s="9">
        <v>5.6405399999999999E-6</v>
      </c>
      <c r="D457" s="5" t="s">
        <v>1449</v>
      </c>
      <c r="E457" s="7">
        <v>0.92300000000000004</v>
      </c>
      <c r="F457" s="1">
        <v>0.75097202660882478</v>
      </c>
      <c r="G457" s="1">
        <v>70393939200</v>
      </c>
      <c r="H457" s="1">
        <v>0</v>
      </c>
      <c r="I457" s="7">
        <f t="shared" si="7"/>
        <v>81474.46666666666</v>
      </c>
      <c r="L457" s="5">
        <v>51122</v>
      </c>
      <c r="M457" s="7">
        <v>2.3034000000000001E-9</v>
      </c>
      <c r="N457" s="5" t="s">
        <v>1435</v>
      </c>
      <c r="O457" s="5">
        <v>71</v>
      </c>
      <c r="P457" s="5">
        <v>51</v>
      </c>
      <c r="Q457" s="7">
        <v>235336.32000000001</v>
      </c>
      <c r="R457" s="7">
        <v>2.9453472398988192E-6</v>
      </c>
      <c r="S457" s="7">
        <v>26490115.446813095</v>
      </c>
      <c r="T457" s="7">
        <v>1.2130280215446616E-33</v>
      </c>
    </row>
    <row r="458" spans="2:20" x14ac:dyDescent="0.2">
      <c r="B458">
        <v>52106</v>
      </c>
      <c r="C458" s="9">
        <v>1.8392300000000001E-6</v>
      </c>
      <c r="D458" s="5" t="s">
        <v>1455</v>
      </c>
      <c r="E458" s="7">
        <v>6.9999999999999994E-5</v>
      </c>
      <c r="F458" s="1">
        <v>9902.1025794277903</v>
      </c>
      <c r="G458" s="1">
        <v>22953590400</v>
      </c>
      <c r="H458" s="1">
        <v>0</v>
      </c>
      <c r="I458" s="7">
        <f t="shared" si="7"/>
        <v>26566.655555555557</v>
      </c>
      <c r="L458" s="5">
        <v>51124</v>
      </c>
      <c r="M458" s="7">
        <v>9.5207199999999998E-8</v>
      </c>
      <c r="N458" s="5" t="s">
        <v>1437</v>
      </c>
      <c r="O458" s="5">
        <v>73</v>
      </c>
      <c r="P458" s="5">
        <v>51</v>
      </c>
      <c r="Q458" s="7">
        <v>5201280</v>
      </c>
      <c r="R458" s="7">
        <v>1.3326473109695023E-7</v>
      </c>
      <c r="S458" s="7">
        <v>129226246.69517356</v>
      </c>
      <c r="T458" s="7">
        <v>1932719.6549429456</v>
      </c>
    </row>
    <row r="459" spans="2:20" x14ac:dyDescent="0.2">
      <c r="B459">
        <v>52107</v>
      </c>
      <c r="C459" s="9">
        <v>3.4209000000000001E-7</v>
      </c>
      <c r="D459" s="5" t="s">
        <v>1456</v>
      </c>
      <c r="E459" s="7">
        <v>3.0999999999999999E-3</v>
      </c>
      <c r="F459" s="1">
        <v>223.59586469675656</v>
      </c>
      <c r="G459" s="1">
        <v>4269283200</v>
      </c>
      <c r="H459" s="1">
        <v>0</v>
      </c>
      <c r="I459" s="7">
        <f t="shared" si="7"/>
        <v>4941.3</v>
      </c>
      <c r="L459" s="5">
        <v>51125</v>
      </c>
      <c r="M459" s="7">
        <v>5.4576600000000004E-7</v>
      </c>
      <c r="N459" s="5" t="s">
        <v>1438</v>
      </c>
      <c r="O459" s="5">
        <v>74</v>
      </c>
      <c r="P459" s="5">
        <v>51</v>
      </c>
      <c r="Q459" s="7">
        <v>87053533.055999994</v>
      </c>
      <c r="R459" s="7">
        <v>7.9623095838517667E-9</v>
      </c>
      <c r="S459" s="7">
        <v>46696127.901982009</v>
      </c>
      <c r="T459" s="7">
        <v>36327021.267871007</v>
      </c>
    </row>
    <row r="460" spans="2:20" x14ac:dyDescent="0.2">
      <c r="B460">
        <v>52108</v>
      </c>
      <c r="C460" s="9">
        <v>6.2122000000000005E-8</v>
      </c>
      <c r="D460" s="5" t="s">
        <v>1457</v>
      </c>
      <c r="E460" s="7">
        <v>2.1</v>
      </c>
      <c r="F460" s="1">
        <v>0.3300700859809263</v>
      </c>
      <c r="G460" s="1">
        <v>775282560.00000012</v>
      </c>
      <c r="H460" s="1">
        <v>0</v>
      </c>
      <c r="I460" s="7">
        <f t="shared" si="7"/>
        <v>897.31777777777791</v>
      </c>
      <c r="L460" s="5">
        <v>51126</v>
      </c>
      <c r="M460" s="7">
        <v>1.3797399999999999E-6</v>
      </c>
      <c r="N460" s="5" t="s">
        <v>1439</v>
      </c>
      <c r="O460" s="5">
        <v>75</v>
      </c>
      <c r="P460" s="5">
        <v>51</v>
      </c>
      <c r="Q460" s="7">
        <v>1067040</v>
      </c>
      <c r="R460" s="7">
        <v>6.4959812243209751E-7</v>
      </c>
      <c r="S460" s="7">
        <v>7395731956.2335243</v>
      </c>
      <c r="T460" s="7">
        <v>9.3787127401515367</v>
      </c>
    </row>
    <row r="461" spans="2:20" x14ac:dyDescent="0.2">
      <c r="B461">
        <v>52109</v>
      </c>
      <c r="C461" s="9">
        <v>7.1196000000000001E-9</v>
      </c>
      <c r="D461" s="5" t="s">
        <v>1458</v>
      </c>
      <c r="E461" s="7">
        <v>4.5999999999999996</v>
      </c>
      <c r="F461" s="1">
        <v>0.15068416968694465</v>
      </c>
      <c r="G461" s="1">
        <v>88852608</v>
      </c>
      <c r="H461" s="1">
        <v>0</v>
      </c>
      <c r="I461" s="7">
        <f t="shared" si="7"/>
        <v>102.83866666666667</v>
      </c>
      <c r="L461" s="5">
        <v>51127</v>
      </c>
      <c r="M461" s="7">
        <v>4.6081300000000004E-6</v>
      </c>
      <c r="N461" s="5" t="s">
        <v>1440</v>
      </c>
      <c r="O461" s="5">
        <v>76</v>
      </c>
      <c r="P461" s="5">
        <v>51</v>
      </c>
      <c r="Q461" s="7">
        <v>332640</v>
      </c>
      <c r="R461" s="7">
        <v>2.083775795334131E-6</v>
      </c>
      <c r="S461" s="7">
        <v>48006845625.981781</v>
      </c>
      <c r="T461" s="7">
        <v>1.3870617309132519E-18</v>
      </c>
    </row>
    <row r="462" spans="2:20" x14ac:dyDescent="0.2">
      <c r="B462">
        <v>52110</v>
      </c>
      <c r="C462" s="9">
        <v>7.6779999999999997E-10</v>
      </c>
      <c r="D462" s="5" t="s">
        <v>1459</v>
      </c>
      <c r="E462" s="7">
        <v>18.600000000000001</v>
      </c>
      <c r="F462" s="1">
        <v>3.726597744945942E-2</v>
      </c>
      <c r="G462" s="1">
        <v>9582144</v>
      </c>
      <c r="H462" s="1">
        <v>0</v>
      </c>
      <c r="I462" s="7">
        <f t="shared" si="7"/>
        <v>11.090444444444444</v>
      </c>
      <c r="L462" s="5">
        <v>51128</v>
      </c>
      <c r="M462" s="7">
        <v>6.5655299999999996E-6</v>
      </c>
      <c r="N462" s="5" t="s">
        <v>1441</v>
      </c>
      <c r="O462" s="5">
        <v>77</v>
      </c>
      <c r="P462" s="5">
        <v>51</v>
      </c>
      <c r="Q462" s="7">
        <v>32580</v>
      </c>
      <c r="R462" s="7">
        <v>2.1275235744626926E-5</v>
      </c>
      <c r="S462" s="7">
        <v>81937813548.139526</v>
      </c>
      <c r="T462" s="7">
        <v>3.3865209091171918E-281</v>
      </c>
    </row>
    <row r="463" spans="2:20" x14ac:dyDescent="0.2">
      <c r="B463">
        <v>52121</v>
      </c>
      <c r="C463" s="9">
        <v>1.3959999999999999E-10</v>
      </c>
      <c r="D463" s="5" t="s">
        <v>1470</v>
      </c>
      <c r="E463" s="7">
        <v>1656288</v>
      </c>
      <c r="F463" s="1">
        <v>4.1849435639209198E-7</v>
      </c>
      <c r="G463" s="1">
        <v>528628.62943185691</v>
      </c>
      <c r="H463" s="1">
        <v>0.98059418224695105</v>
      </c>
      <c r="I463" s="7">
        <f t="shared" si="7"/>
        <v>0.61183869147205661</v>
      </c>
      <c r="L463" s="5">
        <v>51129</v>
      </c>
      <c r="M463" s="7">
        <v>1.40092E-5</v>
      </c>
      <c r="N463" s="5" t="s">
        <v>1442</v>
      </c>
      <c r="O463" s="5">
        <v>78</v>
      </c>
      <c r="P463" s="5">
        <v>51</v>
      </c>
      <c r="Q463" s="7">
        <v>15717.5999999999</v>
      </c>
      <c r="R463" s="7">
        <v>4.4100064931029528E-5</v>
      </c>
      <c r="S463" s="7">
        <v>174834816000</v>
      </c>
      <c r="T463" s="7">
        <v>0</v>
      </c>
    </row>
    <row r="464" spans="2:20" x14ac:dyDescent="0.2">
      <c r="B464">
        <v>52123</v>
      </c>
      <c r="C464" s="9">
        <v>3.4899999999999998E-10</v>
      </c>
      <c r="D464" s="5" t="s">
        <v>1472</v>
      </c>
      <c r="E464" s="7">
        <v>2.9032991999999999E+24</v>
      </c>
      <c r="F464" s="1">
        <v>2.3874466006119702E-25</v>
      </c>
      <c r="G464" s="1">
        <v>0</v>
      </c>
      <c r="H464" s="1">
        <v>0</v>
      </c>
      <c r="I464" s="7">
        <f t="shared" si="7"/>
        <v>0</v>
      </c>
      <c r="L464" s="5">
        <v>51130</v>
      </c>
      <c r="M464" s="7">
        <v>1.4266200000000001E-5</v>
      </c>
      <c r="N464" s="5" t="s">
        <v>1443</v>
      </c>
      <c r="O464" s="5">
        <v>79</v>
      </c>
      <c r="P464" s="5">
        <v>51</v>
      </c>
      <c r="Q464" s="7">
        <v>2370</v>
      </c>
      <c r="R464" s="7">
        <v>2.9246716479322586E-4</v>
      </c>
      <c r="S464" s="7">
        <v>178042176000</v>
      </c>
      <c r="T464" s="7">
        <v>0</v>
      </c>
    </row>
    <row r="465" spans="2:20" x14ac:dyDescent="0.2">
      <c r="B465">
        <v>52127</v>
      </c>
      <c r="C465" s="9">
        <v>1.2982799999999999E-7</v>
      </c>
      <c r="D465" s="5" t="s">
        <v>1476</v>
      </c>
      <c r="E465" s="7">
        <v>33660</v>
      </c>
      <c r="F465" s="1">
        <v>2.0592607859772586E-5</v>
      </c>
      <c r="G465" s="1">
        <v>1620253409.6184585</v>
      </c>
      <c r="H465" s="1">
        <v>1.4964525211832479E-273</v>
      </c>
      <c r="I465" s="7">
        <f t="shared" si="7"/>
        <v>1875.2932981695121</v>
      </c>
      <c r="L465" s="5">
        <v>51131</v>
      </c>
      <c r="M465" s="7">
        <v>1.8558100000000001E-5</v>
      </c>
      <c r="N465" s="5" t="s">
        <v>1444</v>
      </c>
      <c r="O465" s="5">
        <v>80</v>
      </c>
      <c r="P465" s="5">
        <v>51</v>
      </c>
      <c r="Q465" s="7">
        <v>1381.8</v>
      </c>
      <c r="R465" s="7">
        <v>5.0162627048773E-4</v>
      </c>
      <c r="S465" s="7">
        <v>231605088000</v>
      </c>
      <c r="T465" s="7">
        <v>0</v>
      </c>
    </row>
    <row r="466" spans="2:20" x14ac:dyDescent="0.2">
      <c r="B466">
        <v>52128</v>
      </c>
      <c r="C466" s="9">
        <v>5.3620399999999995E-7</v>
      </c>
      <c r="D466" s="5" t="s">
        <v>1477</v>
      </c>
      <c r="E466" s="7">
        <v>7.6053815999999996E+31</v>
      </c>
      <c r="F466" s="1">
        <v>9.1139040355311737E-33</v>
      </c>
      <c r="G466" s="1">
        <v>0</v>
      </c>
      <c r="H466" s="1">
        <v>0</v>
      </c>
      <c r="I466" s="7">
        <f t="shared" si="7"/>
        <v>0</v>
      </c>
      <c r="L466" s="5">
        <v>51132</v>
      </c>
      <c r="M466" s="7">
        <v>1.19459E-5</v>
      </c>
      <c r="N466" s="5" t="s">
        <v>1445</v>
      </c>
      <c r="O466" s="5">
        <v>81</v>
      </c>
      <c r="P466" s="5">
        <v>51</v>
      </c>
      <c r="Q466" s="7">
        <v>167.4</v>
      </c>
      <c r="R466" s="7">
        <v>4.1406641610510471E-3</v>
      </c>
      <c r="S466" s="7">
        <v>149084832000</v>
      </c>
      <c r="T466" s="7">
        <v>0</v>
      </c>
    </row>
    <row r="467" spans="2:20" x14ac:dyDescent="0.2">
      <c r="B467">
        <v>52129</v>
      </c>
      <c r="C467" s="9">
        <v>1.3836500000000001E-6</v>
      </c>
      <c r="D467" s="5" t="s">
        <v>1478</v>
      </c>
      <c r="E467" s="7">
        <v>4194</v>
      </c>
      <c r="F467" s="1">
        <v>1.6527114462564266E-4</v>
      </c>
      <c r="G467" s="1">
        <v>17267952000</v>
      </c>
      <c r="H467" s="1">
        <v>0</v>
      </c>
      <c r="I467" s="7">
        <f t="shared" si="7"/>
        <v>19986.055555555555</v>
      </c>
      <c r="L467" s="5">
        <v>51133</v>
      </c>
      <c r="M467" s="7">
        <v>8.0660899999999999E-6</v>
      </c>
      <c r="N467" s="5" t="s">
        <v>1446</v>
      </c>
      <c r="O467" s="5">
        <v>82</v>
      </c>
      <c r="P467" s="5">
        <v>51</v>
      </c>
      <c r="Q467" s="7">
        <v>140.39999999999901</v>
      </c>
      <c r="R467" s="7">
        <v>4.9369457304839753E-3</v>
      </c>
      <c r="S467" s="7">
        <v>100664803200</v>
      </c>
      <c r="T467" s="7">
        <v>0</v>
      </c>
    </row>
    <row r="468" spans="2:20" x14ac:dyDescent="0.2">
      <c r="B468">
        <v>52130</v>
      </c>
      <c r="C468" s="9">
        <v>4.09768E-6</v>
      </c>
      <c r="D468" s="5" t="s">
        <v>1479</v>
      </c>
      <c r="E468" s="7">
        <v>9.46728E+31</v>
      </c>
      <c r="F468" s="1">
        <v>7.321502908543376E-33</v>
      </c>
      <c r="G468" s="1">
        <v>0</v>
      </c>
      <c r="H468" s="1">
        <v>0</v>
      </c>
      <c r="I468" s="7">
        <f t="shared" si="7"/>
        <v>0</v>
      </c>
      <c r="L468" s="5">
        <v>51134</v>
      </c>
      <c r="M468" s="7">
        <v>1.8650600000000001E-6</v>
      </c>
      <c r="N468" s="5" t="s">
        <v>1447</v>
      </c>
      <c r="O468" s="5">
        <v>83</v>
      </c>
      <c r="P468" s="5">
        <v>51</v>
      </c>
      <c r="Q468" s="7">
        <v>0.78</v>
      </c>
      <c r="R468" s="7">
        <v>0.88865023148710931</v>
      </c>
      <c r="S468" s="7">
        <v>23275948800</v>
      </c>
      <c r="T468" s="7">
        <v>0</v>
      </c>
    </row>
    <row r="469" spans="2:20" x14ac:dyDescent="0.2">
      <c r="B469">
        <v>52131</v>
      </c>
      <c r="C469" s="9">
        <v>9.6286999999999998E-6</v>
      </c>
      <c r="D469" s="5" t="s">
        <v>1480</v>
      </c>
      <c r="E469" s="7">
        <v>1500</v>
      </c>
      <c r="F469" s="1">
        <v>4.6209812037329687E-4</v>
      </c>
      <c r="G469" s="1">
        <v>120166176000</v>
      </c>
      <c r="H469" s="1">
        <v>0</v>
      </c>
      <c r="I469" s="7">
        <f t="shared" si="7"/>
        <v>139081.22222222222</v>
      </c>
      <c r="L469" s="5">
        <v>51135</v>
      </c>
      <c r="M469" s="7">
        <v>1.02096E-6</v>
      </c>
      <c r="N469" s="5" t="s">
        <v>1448</v>
      </c>
      <c r="O469" s="5">
        <v>84</v>
      </c>
      <c r="P469" s="5">
        <v>51</v>
      </c>
      <c r="Q469" s="7">
        <v>1.679</v>
      </c>
      <c r="R469" s="7">
        <v>0.41283334160806745</v>
      </c>
      <c r="S469" s="7">
        <v>12741580800</v>
      </c>
      <c r="T469" s="7">
        <v>0</v>
      </c>
    </row>
    <row r="470" spans="2:20" x14ac:dyDescent="0.2">
      <c r="B470">
        <v>52132</v>
      </c>
      <c r="C470" s="9">
        <v>2.2436400000000001E-5</v>
      </c>
      <c r="D470" s="5" t="s">
        <v>1481</v>
      </c>
      <c r="E470" s="7">
        <v>276825.59999999998</v>
      </c>
      <c r="F470" s="1">
        <v>2.5039128626830225E-6</v>
      </c>
      <c r="G470" s="1">
        <v>247823499638.07358</v>
      </c>
      <c r="H470" s="1">
        <v>1.2611748863918894E-23</v>
      </c>
      <c r="I470" s="7">
        <f t="shared" si="7"/>
        <v>286832.75421073328</v>
      </c>
      <c r="L470" s="5">
        <v>51136</v>
      </c>
      <c r="M470" s="7">
        <v>2.5714300000000001E-7</v>
      </c>
      <c r="N470" s="5" t="s">
        <v>1449</v>
      </c>
      <c r="O470" s="5">
        <v>85</v>
      </c>
      <c r="P470" s="5">
        <v>51</v>
      </c>
      <c r="Q470" s="7">
        <v>0.92300000000000004</v>
      </c>
      <c r="R470" s="7">
        <v>0.75097202660882478</v>
      </c>
      <c r="S470" s="7">
        <v>3209144640</v>
      </c>
      <c r="T470" s="7">
        <v>0</v>
      </c>
    </row>
    <row r="471" spans="2:20" x14ac:dyDescent="0.2">
      <c r="B471">
        <v>52133</v>
      </c>
      <c r="C471" s="9">
        <v>4.2425999999999997E-5</v>
      </c>
      <c r="D471" s="5" t="s">
        <v>1482</v>
      </c>
      <c r="E471" s="7">
        <v>750</v>
      </c>
      <c r="F471" s="1">
        <v>9.2419624074659373E-4</v>
      </c>
      <c r="G471" s="1">
        <v>529476479999.99994</v>
      </c>
      <c r="H471" s="1">
        <v>0</v>
      </c>
      <c r="I471" s="7">
        <f t="shared" si="7"/>
        <v>612819.99999999988</v>
      </c>
      <c r="L471" s="5">
        <v>52106</v>
      </c>
      <c r="M471" s="7">
        <v>2.7919999999999998E-10</v>
      </c>
      <c r="N471" s="5" t="s">
        <v>1455</v>
      </c>
      <c r="O471" s="5">
        <v>54</v>
      </c>
      <c r="P471" s="5">
        <v>52</v>
      </c>
      <c r="Q471" s="7">
        <v>6.9999999999999994E-5</v>
      </c>
      <c r="R471" s="7">
        <v>9902.1025794277903</v>
      </c>
      <c r="S471" s="7">
        <v>3484415.9999999995</v>
      </c>
      <c r="T471" s="7">
        <v>0</v>
      </c>
    </row>
    <row r="472" spans="2:20" x14ac:dyDescent="0.2">
      <c r="B472">
        <v>52134</v>
      </c>
      <c r="C472" s="9">
        <v>7.2801799999999998E-5</v>
      </c>
      <c r="D472" s="5" t="s">
        <v>1483</v>
      </c>
      <c r="E472" s="7">
        <v>2508</v>
      </c>
      <c r="F472" s="1">
        <v>2.7637447390747421E-4</v>
      </c>
      <c r="G472" s="1">
        <v>908566464000</v>
      </c>
      <c r="H472" s="1">
        <v>0</v>
      </c>
      <c r="I472" s="7">
        <f t="shared" si="7"/>
        <v>1051581.5555555555</v>
      </c>
      <c r="L472" s="5">
        <v>52107</v>
      </c>
      <c r="M472" s="7">
        <v>8.1875400000000005E-8</v>
      </c>
      <c r="N472" s="5" t="s">
        <v>1456</v>
      </c>
      <c r="O472" s="5">
        <v>55</v>
      </c>
      <c r="P472" s="5">
        <v>52</v>
      </c>
      <c r="Q472" s="7">
        <v>3.0999999999999999E-3</v>
      </c>
      <c r="R472" s="7">
        <v>223.59586469675656</v>
      </c>
      <c r="S472" s="7">
        <v>1021804992.0000001</v>
      </c>
      <c r="T472" s="7">
        <v>0</v>
      </c>
    </row>
    <row r="473" spans="2:20" x14ac:dyDescent="0.2">
      <c r="B473">
        <v>52135</v>
      </c>
      <c r="C473" s="9">
        <v>6.9629100000000001E-5</v>
      </c>
      <c r="D473" s="5" t="s">
        <v>1484</v>
      </c>
      <c r="E473" s="7">
        <v>19</v>
      </c>
      <c r="F473" s="1">
        <v>3.6481430555786593E-2</v>
      </c>
      <c r="G473" s="1">
        <v>868971168000</v>
      </c>
      <c r="H473" s="1">
        <v>0</v>
      </c>
      <c r="I473" s="7">
        <f t="shared" si="7"/>
        <v>1005753.6666666666</v>
      </c>
      <c r="L473" s="5">
        <v>52108</v>
      </c>
      <c r="M473" s="7">
        <v>2.9176400000000001E-8</v>
      </c>
      <c r="N473" s="5" t="s">
        <v>1457</v>
      </c>
      <c r="O473" s="5">
        <v>56</v>
      </c>
      <c r="P473" s="5">
        <v>52</v>
      </c>
      <c r="Q473" s="7">
        <v>2.1</v>
      </c>
      <c r="R473" s="7">
        <v>0.3300700859809263</v>
      </c>
      <c r="S473" s="7">
        <v>364121472</v>
      </c>
      <c r="T473" s="7">
        <v>0</v>
      </c>
    </row>
    <row r="474" spans="2:20" x14ac:dyDescent="0.2">
      <c r="B474">
        <v>52136</v>
      </c>
      <c r="C474" s="9">
        <v>5.66803E-5</v>
      </c>
      <c r="D474" s="5" t="s">
        <v>1485</v>
      </c>
      <c r="E474" s="7">
        <v>17.63</v>
      </c>
      <c r="F474" s="1">
        <v>3.9316346032895369E-2</v>
      </c>
      <c r="G474" s="1">
        <v>707370144000</v>
      </c>
      <c r="H474" s="1">
        <v>0</v>
      </c>
      <c r="I474" s="7">
        <f t="shared" si="7"/>
        <v>818715.4444444445</v>
      </c>
      <c r="L474" s="5">
        <v>52109</v>
      </c>
      <c r="M474" s="7">
        <v>3.9786000000000003E-9</v>
      </c>
      <c r="N474" s="5" t="s">
        <v>1458</v>
      </c>
      <c r="O474" s="5">
        <v>57</v>
      </c>
      <c r="P474" s="5">
        <v>52</v>
      </c>
      <c r="Q474" s="7">
        <v>4.5999999999999996</v>
      </c>
      <c r="R474" s="7">
        <v>0.15068416968694465</v>
      </c>
      <c r="S474" s="7">
        <v>49652928.000000007</v>
      </c>
      <c r="T474" s="7">
        <v>0</v>
      </c>
    </row>
    <row r="475" spans="2:20" x14ac:dyDescent="0.2">
      <c r="B475">
        <v>52137</v>
      </c>
      <c r="C475" s="9">
        <v>2.8348200000000001E-5</v>
      </c>
      <c r="D475" s="5" t="s">
        <v>1486</v>
      </c>
      <c r="E475" s="7">
        <v>2.4900000000000002</v>
      </c>
      <c r="F475" s="1">
        <v>0.27837236167066071</v>
      </c>
      <c r="G475" s="1">
        <v>353785536000</v>
      </c>
      <c r="H475" s="1">
        <v>0</v>
      </c>
      <c r="I475" s="7">
        <f t="shared" si="7"/>
        <v>409474</v>
      </c>
      <c r="L475" s="5">
        <v>52110</v>
      </c>
      <c r="M475" s="7">
        <v>6.9799999999999997E-10</v>
      </c>
      <c r="N475" s="5" t="s">
        <v>1459</v>
      </c>
      <c r="O475" s="5">
        <v>58</v>
      </c>
      <c r="P475" s="5">
        <v>52</v>
      </c>
      <c r="Q475" s="7">
        <v>18.600000000000001</v>
      </c>
      <c r="R475" s="7">
        <v>3.726597744945942E-2</v>
      </c>
      <c r="S475" s="7">
        <v>8711040</v>
      </c>
      <c r="T475" s="7">
        <v>0</v>
      </c>
    </row>
    <row r="476" spans="2:20" x14ac:dyDescent="0.2">
      <c r="B476">
        <v>52138</v>
      </c>
      <c r="C476" s="9">
        <v>1.2497099999999999E-5</v>
      </c>
      <c r="D476" s="5" t="s">
        <v>1487</v>
      </c>
      <c r="E476" s="7">
        <v>1.4</v>
      </c>
      <c r="F476" s="1">
        <v>0.49510512897138953</v>
      </c>
      <c r="G476" s="1">
        <v>155963808000</v>
      </c>
      <c r="H476" s="1">
        <v>0</v>
      </c>
      <c r="I476" s="7">
        <f t="shared" si="7"/>
        <v>180513.66666666666</v>
      </c>
      <c r="L476" s="5">
        <v>52123</v>
      </c>
      <c r="M476" s="7">
        <v>2.094E-10</v>
      </c>
      <c r="N476" s="5" t="s">
        <v>1472</v>
      </c>
      <c r="O476" s="5">
        <v>71</v>
      </c>
      <c r="P476" s="5">
        <v>52</v>
      </c>
      <c r="Q476" s="7">
        <v>2.9032991999999999E+24</v>
      </c>
      <c r="R476" s="7">
        <v>2.3874466006119702E-25</v>
      </c>
      <c r="S476" s="7">
        <v>0</v>
      </c>
      <c r="T476" s="7">
        <v>0</v>
      </c>
    </row>
    <row r="477" spans="2:20" x14ac:dyDescent="0.2">
      <c r="B477">
        <v>53110</v>
      </c>
      <c r="C477" s="9">
        <v>2.92804E-6</v>
      </c>
      <c r="D477" s="5" t="s">
        <v>1494</v>
      </c>
      <c r="E477" s="7">
        <v>0.65</v>
      </c>
      <c r="F477" s="1">
        <v>1.0663802777845313</v>
      </c>
      <c r="G477" s="1">
        <v>36541939200</v>
      </c>
      <c r="H477" s="1">
        <v>0</v>
      </c>
      <c r="I477" s="7">
        <f t="shared" si="7"/>
        <v>42293.911111111112</v>
      </c>
      <c r="L477" s="5">
        <v>52127</v>
      </c>
      <c r="M477" s="7">
        <v>3.3915800000000003E-7</v>
      </c>
      <c r="N477" s="5" t="s">
        <v>1476</v>
      </c>
      <c r="O477" s="5">
        <v>75</v>
      </c>
      <c r="P477" s="5">
        <v>52</v>
      </c>
      <c r="Q477" s="7">
        <v>33660</v>
      </c>
      <c r="R477" s="7">
        <v>2.0592607859772586E-5</v>
      </c>
      <c r="S477" s="7">
        <v>4232691760.6323543</v>
      </c>
      <c r="T477" s="7">
        <v>3.9092787702149626E-273</v>
      </c>
    </row>
    <row r="478" spans="2:20" x14ac:dyDescent="0.2">
      <c r="B478">
        <v>53111</v>
      </c>
      <c r="C478" s="9">
        <v>7.1195999999999998E-7</v>
      </c>
      <c r="D478" s="5" t="s">
        <v>1495</v>
      </c>
      <c r="E478" s="7">
        <v>2.5</v>
      </c>
      <c r="F478" s="1">
        <v>0.2772588722239781</v>
      </c>
      <c r="G478" s="1">
        <v>8885260800</v>
      </c>
      <c r="H478" s="1">
        <v>0</v>
      </c>
      <c r="I478" s="7">
        <f t="shared" si="7"/>
        <v>10283.866666666667</v>
      </c>
      <c r="L478" s="5">
        <v>52128</v>
      </c>
      <c r="M478" s="7">
        <v>1.87532E-6</v>
      </c>
      <c r="N478" s="5" t="s">
        <v>1477</v>
      </c>
      <c r="O478" s="5">
        <v>76</v>
      </c>
      <c r="P478" s="5">
        <v>52</v>
      </c>
      <c r="Q478" s="7">
        <v>7.6053815999999996E+31</v>
      </c>
      <c r="R478" s="7">
        <v>9.1139040355311737E-33</v>
      </c>
      <c r="S478" s="7">
        <v>0</v>
      </c>
      <c r="T478" s="7">
        <v>0</v>
      </c>
    </row>
    <row r="479" spans="2:20" x14ac:dyDescent="0.2">
      <c r="B479">
        <v>53112</v>
      </c>
      <c r="C479" s="9">
        <v>9.6742799999999997E-8</v>
      </c>
      <c r="D479" s="5" t="s">
        <v>1496</v>
      </c>
      <c r="E479" s="7">
        <v>3.34</v>
      </c>
      <c r="F479" s="1">
        <v>0.20752909597603153</v>
      </c>
      <c r="G479" s="1">
        <v>1207350144</v>
      </c>
      <c r="H479" s="1">
        <v>0</v>
      </c>
      <c r="I479" s="7">
        <f t="shared" si="7"/>
        <v>1397.3960000000002</v>
      </c>
      <c r="L479" s="5">
        <v>52129</v>
      </c>
      <c r="M479" s="7">
        <v>3.9155699999999998E-6</v>
      </c>
      <c r="N479" s="5" t="s">
        <v>1478</v>
      </c>
      <c r="O479" s="5">
        <v>77</v>
      </c>
      <c r="P479" s="5">
        <v>52</v>
      </c>
      <c r="Q479" s="7">
        <v>4194</v>
      </c>
      <c r="R479" s="7">
        <v>1.6527114462564266E-4</v>
      </c>
      <c r="S479" s="7">
        <v>48866313600</v>
      </c>
      <c r="T479" s="7">
        <v>0</v>
      </c>
    </row>
    <row r="480" spans="2:20" x14ac:dyDescent="0.2">
      <c r="B480">
        <v>53113</v>
      </c>
      <c r="C480" s="9">
        <v>1.1167999999999999E-8</v>
      </c>
      <c r="D480" s="5" t="s">
        <v>1497</v>
      </c>
      <c r="E480" s="7">
        <v>6.6</v>
      </c>
      <c r="F480" s="1">
        <v>0.1050223000848402</v>
      </c>
      <c r="G480" s="1">
        <v>139376640</v>
      </c>
      <c r="H480" s="1">
        <v>0</v>
      </c>
      <c r="I480" s="7">
        <f t="shared" si="7"/>
        <v>161.31555555555556</v>
      </c>
      <c r="L480" s="5">
        <v>52130</v>
      </c>
      <c r="M480" s="7">
        <v>1.12652E-5</v>
      </c>
      <c r="N480" s="5" t="s">
        <v>1479</v>
      </c>
      <c r="O480" s="5">
        <v>78</v>
      </c>
      <c r="P480" s="5">
        <v>52</v>
      </c>
      <c r="Q480" s="7">
        <v>9.46728E+31</v>
      </c>
      <c r="R480" s="7">
        <v>7.321502908543376E-33</v>
      </c>
      <c r="S480" s="7">
        <v>0</v>
      </c>
      <c r="T480" s="7">
        <v>0</v>
      </c>
    </row>
    <row r="481" spans="2:20" x14ac:dyDescent="0.2">
      <c r="B481">
        <v>53114</v>
      </c>
      <c r="C481" s="9">
        <v>5.5839999999999995E-10</v>
      </c>
      <c r="D481" s="5" t="s">
        <v>1498</v>
      </c>
      <c r="E481" s="7">
        <v>2.1</v>
      </c>
      <c r="F481" s="1">
        <v>0.3300700859809263</v>
      </c>
      <c r="G481" s="1">
        <v>6968831.9999999991</v>
      </c>
      <c r="H481" s="1">
        <v>0</v>
      </c>
      <c r="I481" s="7">
        <f t="shared" si="7"/>
        <v>8.065777777777777</v>
      </c>
      <c r="L481" s="5">
        <v>52131</v>
      </c>
      <c r="M481" s="7">
        <v>1.4110900000000001E-5</v>
      </c>
      <c r="N481" s="5" t="s">
        <v>1480</v>
      </c>
      <c r="O481" s="5">
        <v>79</v>
      </c>
      <c r="P481" s="5">
        <v>52</v>
      </c>
      <c r="Q481" s="7">
        <v>1500</v>
      </c>
      <c r="R481" s="7">
        <v>4.6209812037329687E-4</v>
      </c>
      <c r="S481" s="7">
        <v>176104032000</v>
      </c>
      <c r="T481" s="7">
        <v>0</v>
      </c>
    </row>
    <row r="482" spans="2:20" x14ac:dyDescent="0.2">
      <c r="B482">
        <v>53126</v>
      </c>
      <c r="C482" s="9">
        <v>2.094E-10</v>
      </c>
      <c r="D482" s="5" t="s">
        <v>1510</v>
      </c>
      <c r="E482" s="7">
        <v>1117152</v>
      </c>
      <c r="F482" s="1">
        <v>6.2045915019616423E-7</v>
      </c>
      <c r="G482" s="1">
        <v>1084422.4667498721</v>
      </c>
      <c r="H482" s="1">
        <v>3.4470322137172596E-3</v>
      </c>
      <c r="I482" s="7">
        <f t="shared" si="7"/>
        <v>1.255118595775315</v>
      </c>
      <c r="L482" s="5">
        <v>52132</v>
      </c>
      <c r="M482" s="7">
        <v>2.69122E-5</v>
      </c>
      <c r="N482" s="5" t="s">
        <v>1481</v>
      </c>
      <c r="O482" s="5">
        <v>80</v>
      </c>
      <c r="P482" s="5">
        <v>52</v>
      </c>
      <c r="Q482" s="7">
        <v>276825.59999999998</v>
      </c>
      <c r="R482" s="7">
        <v>2.5039128626830225E-6</v>
      </c>
      <c r="S482" s="7">
        <v>297261396077.79163</v>
      </c>
      <c r="T482" s="7">
        <v>1.5127645601591971E-23</v>
      </c>
    </row>
    <row r="483" spans="2:20" x14ac:dyDescent="0.2">
      <c r="B483">
        <v>53128</v>
      </c>
      <c r="C483" s="9">
        <v>1.2424399999999999E-8</v>
      </c>
      <c r="D483" s="5" t="s">
        <v>1512</v>
      </c>
      <c r="E483" s="7">
        <v>1499.3999999999901</v>
      </c>
      <c r="F483" s="1">
        <v>4.622830335867346E-4</v>
      </c>
      <c r="G483" s="1">
        <v>155056512</v>
      </c>
      <c r="H483" s="1">
        <v>0</v>
      </c>
      <c r="I483" s="7">
        <f t="shared" si="7"/>
        <v>179.46355555555553</v>
      </c>
      <c r="L483" s="5">
        <v>52133</v>
      </c>
      <c r="M483" s="7">
        <v>2.2688999999999999E-5</v>
      </c>
      <c r="N483" s="5" t="s">
        <v>1482</v>
      </c>
      <c r="O483" s="5">
        <v>81</v>
      </c>
      <c r="P483" s="5">
        <v>52</v>
      </c>
      <c r="Q483" s="7">
        <v>750</v>
      </c>
      <c r="R483" s="7">
        <v>9.2419624074659373E-4</v>
      </c>
      <c r="S483" s="7">
        <v>283158720000</v>
      </c>
      <c r="T483" s="7">
        <v>0</v>
      </c>
    </row>
    <row r="484" spans="2:20" x14ac:dyDescent="0.2">
      <c r="B484">
        <v>53129</v>
      </c>
      <c r="C484" s="9">
        <v>6.9800000000000003E-8</v>
      </c>
      <c r="D484" s="5" t="s">
        <v>1513</v>
      </c>
      <c r="E484" s="7">
        <v>495454320000000</v>
      </c>
      <c r="F484" s="1">
        <v>1.3990132946261228E-15</v>
      </c>
      <c r="G484" s="1">
        <v>1.0529447260338998</v>
      </c>
      <c r="H484" s="1">
        <v>1.0529446795787341</v>
      </c>
      <c r="I484" s="7">
        <f t="shared" si="7"/>
        <v>1.2186860255021987E-6</v>
      </c>
      <c r="L484" s="5">
        <v>52134</v>
      </c>
      <c r="M484" s="7">
        <v>2.2263799999999998E-5</v>
      </c>
      <c r="N484" s="5" t="s">
        <v>1483</v>
      </c>
      <c r="O484" s="5">
        <v>82</v>
      </c>
      <c r="P484" s="5">
        <v>52</v>
      </c>
      <c r="Q484" s="7">
        <v>2508</v>
      </c>
      <c r="R484" s="7">
        <v>2.7637447390747421E-4</v>
      </c>
      <c r="S484" s="7">
        <v>277852224000</v>
      </c>
      <c r="T484" s="7">
        <v>0</v>
      </c>
    </row>
    <row r="485" spans="2:20" x14ac:dyDescent="0.2">
      <c r="B485">
        <v>53130</v>
      </c>
      <c r="C485" s="9">
        <v>2.2838599999999999E-7</v>
      </c>
      <c r="D485" s="5" t="s">
        <v>1514</v>
      </c>
      <c r="E485" s="7">
        <v>44496</v>
      </c>
      <c r="F485" s="1">
        <v>1.5577741382594957E-5</v>
      </c>
      <c r="G485" s="1">
        <v>2850253209.5593257</v>
      </c>
      <c r="H485" s="1">
        <v>1.2691919041590231E-204</v>
      </c>
      <c r="I485" s="7">
        <f t="shared" si="7"/>
        <v>3298.9041777307007</v>
      </c>
      <c r="L485" s="5">
        <v>52135</v>
      </c>
      <c r="M485" s="7">
        <v>7.4746000000000004E-6</v>
      </c>
      <c r="N485" s="5" t="s">
        <v>1484</v>
      </c>
      <c r="O485" s="5">
        <v>83</v>
      </c>
      <c r="P485" s="5">
        <v>52</v>
      </c>
      <c r="Q485" s="7">
        <v>19</v>
      </c>
      <c r="R485" s="7">
        <v>3.6481430555786593E-2</v>
      </c>
      <c r="S485" s="7">
        <v>93283008000</v>
      </c>
      <c r="T485" s="7">
        <v>0</v>
      </c>
    </row>
    <row r="486" spans="2:20" x14ac:dyDescent="0.2">
      <c r="B486">
        <v>53131</v>
      </c>
      <c r="C486" s="9">
        <v>9.0132699999999996E-7</v>
      </c>
      <c r="D486" s="5" t="s">
        <v>1515</v>
      </c>
      <c r="E486" s="7">
        <v>693377.28</v>
      </c>
      <c r="F486" s="1">
        <v>9.9966814684199819E-7</v>
      </c>
      <c r="G486" s="1">
        <v>6506238780.9555178</v>
      </c>
      <c r="H486" s="1">
        <v>1.3242325169718531E-4</v>
      </c>
      <c r="I486" s="7">
        <f t="shared" si="7"/>
        <v>7530.3689594392563</v>
      </c>
      <c r="L486" s="5">
        <v>52136</v>
      </c>
      <c r="M486" s="7">
        <v>5.4134800000000002E-6</v>
      </c>
      <c r="N486" s="5" t="s">
        <v>1485</v>
      </c>
      <c r="O486" s="5">
        <v>84</v>
      </c>
      <c r="P486" s="5">
        <v>52</v>
      </c>
      <c r="Q486" s="7">
        <v>17.63</v>
      </c>
      <c r="R486" s="7">
        <v>3.9316346032895369E-2</v>
      </c>
      <c r="S486" s="7">
        <v>67560230400</v>
      </c>
      <c r="T486" s="7">
        <v>0</v>
      </c>
    </row>
    <row r="487" spans="2:20" x14ac:dyDescent="0.2">
      <c r="B487">
        <v>53132</v>
      </c>
      <c r="C487" s="9">
        <v>2.3850699999999998E-6</v>
      </c>
      <c r="D487" s="5" t="s">
        <v>1516</v>
      </c>
      <c r="E487" s="7">
        <v>8262</v>
      </c>
      <c r="F487" s="1">
        <v>8.389580979907351E-5</v>
      </c>
      <c r="G487" s="1">
        <v>29765673600</v>
      </c>
      <c r="H487" s="1">
        <v>0</v>
      </c>
      <c r="I487" s="7">
        <f t="shared" si="7"/>
        <v>34451.011111111111</v>
      </c>
      <c r="L487" s="5">
        <v>52137</v>
      </c>
      <c r="M487" s="7">
        <v>1.8727300000000001E-6</v>
      </c>
      <c r="N487" s="5" t="s">
        <v>1486</v>
      </c>
      <c r="O487" s="5">
        <v>85</v>
      </c>
      <c r="P487" s="5">
        <v>52</v>
      </c>
      <c r="Q487" s="7">
        <v>2.4900000000000002</v>
      </c>
      <c r="R487" s="7">
        <v>0.27837236167066071</v>
      </c>
      <c r="S487" s="7">
        <v>23371670400</v>
      </c>
      <c r="T487" s="7">
        <v>0</v>
      </c>
    </row>
    <row r="488" spans="2:20" x14ac:dyDescent="0.2">
      <c r="B488">
        <v>53133</v>
      </c>
      <c r="C488" s="9">
        <v>7.7290899999999996E-6</v>
      </c>
      <c r="D488" s="5" t="s">
        <v>1517</v>
      </c>
      <c r="E488" s="7">
        <v>74988</v>
      </c>
      <c r="F488" s="1">
        <v>9.2434413580832301E-6</v>
      </c>
      <c r="G488" s="1">
        <v>96426239528.632813</v>
      </c>
      <c r="H488" s="1">
        <v>2.4369525763407833E-116</v>
      </c>
      <c r="I488" s="7">
        <f t="shared" si="7"/>
        <v>111604.44389888056</v>
      </c>
      <c r="L488" s="5">
        <v>52138</v>
      </c>
      <c r="M488" s="7">
        <v>9.1075000000000003E-7</v>
      </c>
      <c r="N488" s="5" t="s">
        <v>1487</v>
      </c>
      <c r="O488" s="5">
        <v>86</v>
      </c>
      <c r="P488" s="5">
        <v>52</v>
      </c>
      <c r="Q488" s="7">
        <v>1.4</v>
      </c>
      <c r="R488" s="7">
        <v>0.49510512897138953</v>
      </c>
      <c r="S488" s="7">
        <v>11366160000</v>
      </c>
      <c r="T488" s="7">
        <v>0</v>
      </c>
    </row>
    <row r="489" spans="2:20" x14ac:dyDescent="0.2">
      <c r="B489">
        <v>53134</v>
      </c>
      <c r="C489" s="9">
        <v>1.9100700000000002E-5</v>
      </c>
      <c r="D489" s="5" t="s">
        <v>1518</v>
      </c>
      <c r="E489" s="7">
        <v>3150</v>
      </c>
      <c r="F489" s="1">
        <v>2.2004672398728421E-4</v>
      </c>
      <c r="G489" s="1">
        <v>238376736000.00003</v>
      </c>
      <c r="H489" s="1">
        <v>0</v>
      </c>
      <c r="I489" s="7">
        <f t="shared" si="7"/>
        <v>275899.00000000006</v>
      </c>
      <c r="L489" s="5">
        <v>53110</v>
      </c>
      <c r="M489" s="7">
        <v>2.7919999999999998E-10</v>
      </c>
      <c r="N489" s="5" t="s">
        <v>1494</v>
      </c>
      <c r="O489" s="5">
        <v>57</v>
      </c>
      <c r="P489" s="5">
        <v>53</v>
      </c>
      <c r="Q489" s="7">
        <v>0.65</v>
      </c>
      <c r="R489" s="7">
        <v>1.0663802777845313</v>
      </c>
      <c r="S489" s="7">
        <v>3484415.9999999995</v>
      </c>
      <c r="T489" s="7">
        <v>0</v>
      </c>
    </row>
    <row r="490" spans="2:20" x14ac:dyDescent="0.2">
      <c r="B490">
        <v>53135</v>
      </c>
      <c r="C490" s="9">
        <v>4.9772399999999998E-5</v>
      </c>
      <c r="D490" s="5" t="s">
        <v>1519</v>
      </c>
      <c r="E490" s="7">
        <v>23688</v>
      </c>
      <c r="F490" s="1">
        <v>2.9261532445117581E-5</v>
      </c>
      <c r="G490" s="1">
        <v>621159551993.49292</v>
      </c>
      <c r="H490" s="1">
        <v>0</v>
      </c>
      <c r="I490" s="7">
        <f t="shared" si="7"/>
        <v>718934.66665913526</v>
      </c>
      <c r="L490" s="5">
        <v>53111</v>
      </c>
      <c r="M490" s="7">
        <v>2.25733E-7</v>
      </c>
      <c r="N490" s="5" t="s">
        <v>1495</v>
      </c>
      <c r="O490" s="5">
        <v>58</v>
      </c>
      <c r="P490" s="5">
        <v>53</v>
      </c>
      <c r="Q490" s="7">
        <v>2.5</v>
      </c>
      <c r="R490" s="7">
        <v>0.2772588722239781</v>
      </c>
      <c r="S490" s="7">
        <v>2817147840</v>
      </c>
      <c r="T490" s="7">
        <v>0</v>
      </c>
    </row>
    <row r="491" spans="2:20" x14ac:dyDescent="0.2">
      <c r="B491">
        <v>53136</v>
      </c>
      <c r="C491" s="9">
        <v>5.83337E-5</v>
      </c>
      <c r="D491" s="5" t="s">
        <v>1520</v>
      </c>
      <c r="E491" s="7">
        <v>83.4</v>
      </c>
      <c r="F491" s="1">
        <v>8.3111172729010228E-3</v>
      </c>
      <c r="G491" s="1">
        <v>728004576000</v>
      </c>
      <c r="H491" s="1">
        <v>0</v>
      </c>
      <c r="I491" s="7">
        <f t="shared" si="7"/>
        <v>842597.88888888888</v>
      </c>
      <c r="L491" s="5">
        <v>53112</v>
      </c>
      <c r="M491" s="7">
        <v>3.4551000000000003E-8</v>
      </c>
      <c r="N491" s="5" t="s">
        <v>1496</v>
      </c>
      <c r="O491" s="5">
        <v>59</v>
      </c>
      <c r="P491" s="5">
        <v>53</v>
      </c>
      <c r="Q491" s="7">
        <v>3.34</v>
      </c>
      <c r="R491" s="7">
        <v>0.20752909597603153</v>
      </c>
      <c r="S491" s="7">
        <v>431196480.00000006</v>
      </c>
      <c r="T491" s="7">
        <v>0</v>
      </c>
    </row>
    <row r="492" spans="2:20" x14ac:dyDescent="0.2">
      <c r="B492">
        <v>53137</v>
      </c>
      <c r="C492" s="9">
        <v>7.1020700000000003E-5</v>
      </c>
      <c r="D492" s="5" t="s">
        <v>1521</v>
      </c>
      <c r="E492" s="7">
        <v>24.5</v>
      </c>
      <c r="F492" s="1">
        <v>2.829172165550797E-2</v>
      </c>
      <c r="G492" s="1">
        <v>886338336000</v>
      </c>
      <c r="H492" s="1">
        <v>0</v>
      </c>
      <c r="I492" s="7">
        <f t="shared" si="7"/>
        <v>1025854.5555555555</v>
      </c>
      <c r="L492" s="5">
        <v>53113</v>
      </c>
      <c r="M492" s="7">
        <v>1.4937200000000001E-8</v>
      </c>
      <c r="N492" s="5" t="s">
        <v>1497</v>
      </c>
      <c r="O492" s="5">
        <v>60</v>
      </c>
      <c r="P492" s="5">
        <v>53</v>
      </c>
      <c r="Q492" s="7">
        <v>6.6</v>
      </c>
      <c r="R492" s="7">
        <v>0.1050223000848402</v>
      </c>
      <c r="S492" s="7">
        <v>186416256</v>
      </c>
      <c r="T492" s="7">
        <v>0</v>
      </c>
    </row>
    <row r="493" spans="2:20" x14ac:dyDescent="0.2">
      <c r="B493">
        <v>53138</v>
      </c>
      <c r="C493" s="9">
        <v>4.5197200000000002E-5</v>
      </c>
      <c r="D493" s="5" t="s">
        <v>1522</v>
      </c>
      <c r="E493" s="7">
        <v>6.23</v>
      </c>
      <c r="F493" s="1">
        <v>0.11125957954413246</v>
      </c>
      <c r="G493" s="1">
        <v>564061056000</v>
      </c>
      <c r="H493" s="1">
        <v>0</v>
      </c>
      <c r="I493" s="7">
        <f t="shared" si="7"/>
        <v>652848.4444444445</v>
      </c>
      <c r="L493" s="5">
        <v>53114</v>
      </c>
      <c r="M493" s="7">
        <v>7.6779999999999997E-10</v>
      </c>
      <c r="N493" s="5" t="s">
        <v>1498</v>
      </c>
      <c r="O493" s="5">
        <v>61</v>
      </c>
      <c r="P493" s="5">
        <v>53</v>
      </c>
      <c r="Q493" s="7">
        <v>2.1</v>
      </c>
      <c r="R493" s="7">
        <v>0.3300700859809263</v>
      </c>
      <c r="S493" s="7">
        <v>9582144</v>
      </c>
      <c r="T493" s="7">
        <v>0</v>
      </c>
    </row>
    <row r="494" spans="2:20" x14ac:dyDescent="0.2">
      <c r="B494">
        <v>53139</v>
      </c>
      <c r="C494" s="9">
        <v>3.6078300000000003E-5</v>
      </c>
      <c r="D494" s="5" t="s">
        <v>1523</v>
      </c>
      <c r="E494" s="7">
        <v>2.2799999999999998</v>
      </c>
      <c r="F494" s="1">
        <v>0.30401192129822163</v>
      </c>
      <c r="G494" s="1">
        <v>450257184000.00006</v>
      </c>
      <c r="H494" s="1">
        <v>0</v>
      </c>
      <c r="I494" s="7">
        <f t="shared" si="7"/>
        <v>521131.00000000006</v>
      </c>
      <c r="L494" s="5">
        <v>53115</v>
      </c>
      <c r="M494" s="7">
        <v>3.4899999999999998E-10</v>
      </c>
      <c r="N494" s="5" t="s">
        <v>1499</v>
      </c>
      <c r="O494" s="5">
        <v>62</v>
      </c>
      <c r="P494" s="5">
        <v>53</v>
      </c>
      <c r="Q494" s="7">
        <v>78</v>
      </c>
      <c r="R494" s="7">
        <v>8.8865023148710937E-3</v>
      </c>
      <c r="S494" s="7">
        <v>4355520</v>
      </c>
      <c r="T494" s="7">
        <v>0</v>
      </c>
    </row>
    <row r="495" spans="2:20" x14ac:dyDescent="0.2">
      <c r="B495">
        <v>53140</v>
      </c>
      <c r="C495" s="9">
        <v>1.4052299999999999E-5</v>
      </c>
      <c r="D495" s="5" t="s">
        <v>1524</v>
      </c>
      <c r="E495" s="7">
        <v>0.86</v>
      </c>
      <c r="F495" s="1">
        <v>0.805985093674355</v>
      </c>
      <c r="G495" s="1">
        <v>175372704000</v>
      </c>
      <c r="H495" s="1">
        <v>0</v>
      </c>
      <c r="I495" s="7">
        <f t="shared" si="7"/>
        <v>202977.66666666666</v>
      </c>
      <c r="L495" s="5">
        <v>53116</v>
      </c>
      <c r="M495" s="7">
        <v>6.9799999999999994E-11</v>
      </c>
      <c r="N495" s="5" t="s">
        <v>1500</v>
      </c>
      <c r="O495" s="5">
        <v>63</v>
      </c>
      <c r="P495" s="5">
        <v>53</v>
      </c>
      <c r="Q495" s="7">
        <v>2.91</v>
      </c>
      <c r="R495" s="7">
        <v>0.23819490740891588</v>
      </c>
      <c r="S495" s="7">
        <v>871103.99999999988</v>
      </c>
      <c r="T495" s="7">
        <v>0</v>
      </c>
    </row>
    <row r="496" spans="2:20" x14ac:dyDescent="0.2">
      <c r="B496">
        <v>53141</v>
      </c>
      <c r="C496" s="9">
        <v>5.9477300000000002E-6</v>
      </c>
      <c r="D496" s="5" t="s">
        <v>1525</v>
      </c>
      <c r="E496" s="7">
        <v>0.43</v>
      </c>
      <c r="F496" s="1">
        <v>1.61197018734871</v>
      </c>
      <c r="G496" s="1">
        <v>74227670400</v>
      </c>
      <c r="H496" s="1">
        <v>0</v>
      </c>
      <c r="I496" s="7">
        <f t="shared" si="7"/>
        <v>85911.655555555553</v>
      </c>
      <c r="L496" s="5">
        <v>53125</v>
      </c>
      <c r="M496" s="7">
        <v>1.3959999999999999E-10</v>
      </c>
      <c r="N496" s="5" t="s">
        <v>1509</v>
      </c>
      <c r="O496" s="5">
        <v>72</v>
      </c>
      <c r="P496" s="5">
        <v>53</v>
      </c>
      <c r="Q496" s="7">
        <v>5132764.8</v>
      </c>
      <c r="R496" s="7">
        <v>1.3504362805791244E-7</v>
      </c>
      <c r="S496" s="7">
        <v>191865.95675863815</v>
      </c>
      <c r="T496" s="7">
        <v>2713.0165445214116</v>
      </c>
    </row>
    <row r="497" spans="2:20" x14ac:dyDescent="0.2">
      <c r="B497">
        <v>53142</v>
      </c>
      <c r="C497" s="9">
        <v>1.31119E-6</v>
      </c>
      <c r="D497" s="5" t="s">
        <v>1526</v>
      </c>
      <c r="E497" s="7">
        <v>0.222</v>
      </c>
      <c r="F497" s="1">
        <v>3.1222845971168707</v>
      </c>
      <c r="G497" s="1">
        <v>16363651200</v>
      </c>
      <c r="H497" s="1">
        <v>0</v>
      </c>
      <c r="I497" s="7">
        <f t="shared" si="7"/>
        <v>18939.411111111112</v>
      </c>
      <c r="L497" s="5">
        <v>53126</v>
      </c>
      <c r="M497" s="7">
        <v>2.7919999999999998E-10</v>
      </c>
      <c r="N497" s="5" t="s">
        <v>1510</v>
      </c>
      <c r="O497" s="5">
        <v>73</v>
      </c>
      <c r="P497" s="5">
        <v>53</v>
      </c>
      <c r="Q497" s="7">
        <v>1117152</v>
      </c>
      <c r="R497" s="7">
        <v>6.2045915019616423E-7</v>
      </c>
      <c r="S497" s="7">
        <v>1445896.6223331625</v>
      </c>
      <c r="T497" s="7">
        <v>4.596042951623012E-3</v>
      </c>
    </row>
    <row r="498" spans="2:20" x14ac:dyDescent="0.2">
      <c r="B498">
        <v>54110</v>
      </c>
      <c r="C498" s="9">
        <v>3.0872500000000001E-7</v>
      </c>
      <c r="D498" s="5" t="s">
        <v>1531</v>
      </c>
      <c r="E498" s="7">
        <v>9.2999999999999999E-2</v>
      </c>
      <c r="F498" s="1">
        <v>7.4531954898918853</v>
      </c>
      <c r="G498" s="1">
        <v>3852888000</v>
      </c>
      <c r="H498" s="1">
        <v>0</v>
      </c>
      <c r="I498" s="7">
        <f t="shared" si="7"/>
        <v>4459.3611111111113</v>
      </c>
      <c r="L498" s="5">
        <v>53128</v>
      </c>
      <c r="M498" s="7">
        <v>2.6105199999999999E-8</v>
      </c>
      <c r="N498" s="5" t="s">
        <v>1512</v>
      </c>
      <c r="O498" s="5">
        <v>75</v>
      </c>
      <c r="P498" s="5">
        <v>53</v>
      </c>
      <c r="Q498" s="7">
        <v>1499.3999999999901</v>
      </c>
      <c r="R498" s="7">
        <v>4.622830335867346E-4</v>
      </c>
      <c r="S498" s="7">
        <v>325792896</v>
      </c>
      <c r="T498" s="7">
        <v>0</v>
      </c>
    </row>
    <row r="499" spans="2:20" x14ac:dyDescent="0.2">
      <c r="B499">
        <v>54111</v>
      </c>
      <c r="C499" s="9">
        <v>4.2577999999999999E-8</v>
      </c>
      <c r="D499" s="5" t="s">
        <v>1532</v>
      </c>
      <c r="E499" s="7">
        <v>0.81</v>
      </c>
      <c r="F499" s="1">
        <v>0.85573725995054972</v>
      </c>
      <c r="G499" s="1">
        <v>531373440</v>
      </c>
      <c r="H499" s="1">
        <v>0</v>
      </c>
      <c r="I499" s="7">
        <f t="shared" si="7"/>
        <v>615.01555555555558</v>
      </c>
      <c r="L499" s="5">
        <v>53129</v>
      </c>
      <c r="M499" s="7">
        <v>2.12681E-7</v>
      </c>
      <c r="N499" s="5" t="s">
        <v>1513</v>
      </c>
      <c r="O499" s="5">
        <v>76</v>
      </c>
      <c r="P499" s="5">
        <v>53</v>
      </c>
      <c r="Q499" s="7">
        <v>495454320000000</v>
      </c>
      <c r="R499" s="7">
        <v>1.3990132946261228E-15</v>
      </c>
      <c r="S499" s="7">
        <v>3.2083286142924905</v>
      </c>
      <c r="T499" s="7">
        <v>3.2083284727433345</v>
      </c>
    </row>
    <row r="500" spans="2:20" x14ac:dyDescent="0.2">
      <c r="B500">
        <v>54112</v>
      </c>
      <c r="C500" s="9">
        <v>5.1652000000000003E-9</v>
      </c>
      <c r="D500" s="5" t="s">
        <v>1533</v>
      </c>
      <c r="E500" s="7">
        <v>2.7</v>
      </c>
      <c r="F500" s="1">
        <v>0.25672117798516492</v>
      </c>
      <c r="G500" s="1">
        <v>64461696.000000007</v>
      </c>
      <c r="H500" s="1">
        <v>0</v>
      </c>
      <c r="I500" s="7">
        <f t="shared" si="7"/>
        <v>74.608444444444444</v>
      </c>
      <c r="L500" s="5">
        <v>53130</v>
      </c>
      <c r="M500" s="7">
        <v>7.3073599999999999E-7</v>
      </c>
      <c r="N500" s="5" t="s">
        <v>1514</v>
      </c>
      <c r="O500" s="5">
        <v>77</v>
      </c>
      <c r="P500" s="5">
        <v>53</v>
      </c>
      <c r="Q500" s="7">
        <v>44496</v>
      </c>
      <c r="R500" s="7">
        <v>1.5577741382594957E-5</v>
      </c>
      <c r="S500" s="7">
        <v>9119572256.3578491</v>
      </c>
      <c r="T500" s="7">
        <v>4.0608628167994012E-204</v>
      </c>
    </row>
    <row r="501" spans="2:20" x14ac:dyDescent="0.2">
      <c r="B501">
        <v>54113</v>
      </c>
      <c r="C501" s="9">
        <v>4.1879999999999999E-10</v>
      </c>
      <c r="D501" s="5" t="s">
        <v>1534</v>
      </c>
      <c r="E501" s="7">
        <v>2.74</v>
      </c>
      <c r="F501" s="1">
        <v>0.25297342356202379</v>
      </c>
      <c r="G501" s="1">
        <v>5226624</v>
      </c>
      <c r="H501" s="1">
        <v>0</v>
      </c>
      <c r="I501" s="7">
        <f t="shared" si="7"/>
        <v>6.0493333333333341</v>
      </c>
      <c r="L501" s="5">
        <v>53131</v>
      </c>
      <c r="M501" s="7">
        <v>3.51171E-6</v>
      </c>
      <c r="N501" s="5" t="s">
        <v>1515</v>
      </c>
      <c r="O501" s="5">
        <v>78</v>
      </c>
      <c r="P501" s="5">
        <v>53</v>
      </c>
      <c r="Q501" s="7">
        <v>693377.28</v>
      </c>
      <c r="R501" s="7">
        <v>9.9966814684199819E-7</v>
      </c>
      <c r="S501" s="7">
        <v>25349316939.877872</v>
      </c>
      <c r="T501" s="7">
        <v>5.1594155863246376E-4</v>
      </c>
    </row>
    <row r="502" spans="2:20" x14ac:dyDescent="0.2">
      <c r="B502">
        <v>54114</v>
      </c>
      <c r="C502" s="9">
        <v>6.9799999999999994E-11</v>
      </c>
      <c r="D502" s="5" t="s">
        <v>1535</v>
      </c>
      <c r="E502" s="7">
        <v>10</v>
      </c>
      <c r="F502" s="1">
        <v>6.9314718055994526E-2</v>
      </c>
      <c r="G502" s="1">
        <v>871103.99999999988</v>
      </c>
      <c r="H502" s="1">
        <v>0</v>
      </c>
      <c r="I502" s="7">
        <f t="shared" si="7"/>
        <v>1.0082222222222221</v>
      </c>
      <c r="L502" s="5">
        <v>53132</v>
      </c>
      <c r="M502" s="7">
        <v>7.0228599999999999E-6</v>
      </c>
      <c r="N502" s="5" t="s">
        <v>1516</v>
      </c>
      <c r="O502" s="5">
        <v>79</v>
      </c>
      <c r="P502" s="5">
        <v>53</v>
      </c>
      <c r="Q502" s="7">
        <v>8262</v>
      </c>
      <c r="R502" s="7">
        <v>8.389580979907351E-5</v>
      </c>
      <c r="S502" s="7">
        <v>87645292800</v>
      </c>
      <c r="T502" s="7">
        <v>0</v>
      </c>
    </row>
    <row r="503" spans="2:20" x14ac:dyDescent="0.2">
      <c r="B503">
        <v>54133</v>
      </c>
      <c r="C503" s="9">
        <v>7.68917E-7</v>
      </c>
      <c r="D503" s="5" t="s">
        <v>1554</v>
      </c>
      <c r="E503" s="7">
        <v>453383.99999999901</v>
      </c>
      <c r="F503" s="1">
        <v>1.5288302643232817E-6</v>
      </c>
      <c r="G503" s="1">
        <v>7034961332.3468037</v>
      </c>
      <c r="H503" s="1">
        <v>8.101003405747985E-12</v>
      </c>
      <c r="I503" s="7">
        <f t="shared" si="7"/>
        <v>8142.316356882875</v>
      </c>
      <c r="L503" s="5">
        <v>53133</v>
      </c>
      <c r="M503" s="7">
        <v>1.8415099999999999E-5</v>
      </c>
      <c r="N503" s="5" t="s">
        <v>1517</v>
      </c>
      <c r="O503" s="5">
        <v>80</v>
      </c>
      <c r="P503" s="5">
        <v>53</v>
      </c>
      <c r="Q503" s="7">
        <v>74988</v>
      </c>
      <c r="R503" s="7">
        <v>9.2434413580832301E-6</v>
      </c>
      <c r="S503" s="7">
        <v>229742290948.05807</v>
      </c>
      <c r="T503" s="7">
        <v>5.8062107426065888E-116</v>
      </c>
    </row>
    <row r="504" spans="2:20" x14ac:dyDescent="0.2">
      <c r="B504">
        <v>54134</v>
      </c>
      <c r="C504" s="9">
        <v>2.70922E-6</v>
      </c>
      <c r="D504" s="5" t="s">
        <v>1555</v>
      </c>
      <c r="E504" s="7">
        <v>1.8303407999999899E+30</v>
      </c>
      <c r="F504" s="1">
        <v>3.7869842630396979E-31</v>
      </c>
      <c r="G504" s="1">
        <v>0</v>
      </c>
      <c r="H504" s="1">
        <v>0</v>
      </c>
      <c r="I504" s="7">
        <f t="shared" si="7"/>
        <v>0</v>
      </c>
      <c r="L504" s="5">
        <v>53134</v>
      </c>
      <c r="M504" s="7">
        <v>2.4316900000000001E-5</v>
      </c>
      <c r="N504" s="5" t="s">
        <v>1518</v>
      </c>
      <c r="O504" s="5">
        <v>81</v>
      </c>
      <c r="P504" s="5">
        <v>53</v>
      </c>
      <c r="Q504" s="7">
        <v>3150</v>
      </c>
      <c r="R504" s="7">
        <v>2.2004672398728421E-4</v>
      </c>
      <c r="S504" s="7">
        <v>303474912000</v>
      </c>
      <c r="T504" s="7">
        <v>0</v>
      </c>
    </row>
    <row r="505" spans="2:20" x14ac:dyDescent="0.2">
      <c r="B505">
        <v>54135</v>
      </c>
      <c r="C505" s="9">
        <v>7.2907499999999996E-6</v>
      </c>
      <c r="D505" s="5" t="s">
        <v>1556</v>
      </c>
      <c r="E505" s="7">
        <v>32904</v>
      </c>
      <c r="F505" s="1">
        <v>2.1065742176025568E-5</v>
      </c>
      <c r="G505" s="1">
        <v>90988558866.349335</v>
      </c>
      <c r="H505" s="1">
        <v>2.7826680509633579E-278</v>
      </c>
      <c r="I505" s="7">
        <f t="shared" si="7"/>
        <v>105310.83202123766</v>
      </c>
      <c r="L505" s="5">
        <v>53135</v>
      </c>
      <c r="M505" s="7">
        <v>3.85706E-5</v>
      </c>
      <c r="N505" s="5" t="s">
        <v>1519</v>
      </c>
      <c r="O505" s="5">
        <v>82</v>
      </c>
      <c r="P505" s="5">
        <v>53</v>
      </c>
      <c r="Q505" s="7">
        <v>23688</v>
      </c>
      <c r="R505" s="7">
        <v>2.9261532445117581E-5</v>
      </c>
      <c r="S505" s="7">
        <v>481361087994.9574</v>
      </c>
      <c r="T505" s="7">
        <v>0</v>
      </c>
    </row>
    <row r="506" spans="2:20" x14ac:dyDescent="0.2">
      <c r="B506">
        <v>54136</v>
      </c>
      <c r="C506" s="9">
        <v>2.0393800000000001E-5</v>
      </c>
      <c r="D506" s="5" t="s">
        <v>1557</v>
      </c>
      <c r="E506" s="7">
        <v>7.573824E+28</v>
      </c>
      <c r="F506" s="1">
        <v>9.1518786356792195E-30</v>
      </c>
      <c r="G506" s="1">
        <v>0</v>
      </c>
      <c r="H506" s="1">
        <v>0</v>
      </c>
      <c r="I506" s="7">
        <f t="shared" si="7"/>
        <v>0</v>
      </c>
      <c r="L506" s="5">
        <v>53136</v>
      </c>
      <c r="M506" s="7">
        <v>1.92375E-5</v>
      </c>
      <c r="N506" s="5" t="s">
        <v>1520</v>
      </c>
      <c r="O506" s="5">
        <v>83</v>
      </c>
      <c r="P506" s="5">
        <v>53</v>
      </c>
      <c r="Q506" s="7">
        <v>83.4</v>
      </c>
      <c r="R506" s="7">
        <v>8.3111172729010228E-3</v>
      </c>
      <c r="S506" s="7">
        <v>240084000000</v>
      </c>
      <c r="T506" s="7">
        <v>0</v>
      </c>
    </row>
    <row r="507" spans="2:20" x14ac:dyDescent="0.2">
      <c r="B507">
        <v>54137</v>
      </c>
      <c r="C507" s="9">
        <v>3.7379000000000002E-5</v>
      </c>
      <c r="D507" s="5" t="s">
        <v>1558</v>
      </c>
      <c r="E507" s="7">
        <v>229.08</v>
      </c>
      <c r="F507" s="1">
        <v>3.0257865398984865E-3</v>
      </c>
      <c r="G507" s="1">
        <v>466489920000.00006</v>
      </c>
      <c r="H507" s="1">
        <v>0</v>
      </c>
      <c r="I507" s="7">
        <f t="shared" si="7"/>
        <v>539918.88888888899</v>
      </c>
      <c r="L507" s="5">
        <v>53137</v>
      </c>
      <c r="M507" s="7">
        <v>1.8481499999999999E-5</v>
      </c>
      <c r="N507" s="5" t="s">
        <v>1521</v>
      </c>
      <c r="O507" s="5">
        <v>84</v>
      </c>
      <c r="P507" s="5">
        <v>53</v>
      </c>
      <c r="Q507" s="7">
        <v>24.5</v>
      </c>
      <c r="R507" s="7">
        <v>2.829172165550797E-2</v>
      </c>
      <c r="S507" s="7">
        <v>230649120000</v>
      </c>
      <c r="T507" s="7">
        <v>0</v>
      </c>
    </row>
    <row r="508" spans="2:20" x14ac:dyDescent="0.2">
      <c r="B508">
        <v>54138</v>
      </c>
      <c r="C508" s="9">
        <v>5.9450799999999997E-5</v>
      </c>
      <c r="D508" s="5" t="s">
        <v>1559</v>
      </c>
      <c r="E508" s="7">
        <v>848.4</v>
      </c>
      <c r="F508" s="1">
        <v>8.170051633191246E-4</v>
      </c>
      <c r="G508" s="1">
        <v>741945984000</v>
      </c>
      <c r="H508" s="1">
        <v>0</v>
      </c>
      <c r="I508" s="7">
        <f t="shared" si="7"/>
        <v>858733.77777777775</v>
      </c>
      <c r="L508" s="5">
        <v>53138</v>
      </c>
      <c r="M508" s="7">
        <v>9.4235599999999996E-6</v>
      </c>
      <c r="N508" s="5" t="s">
        <v>1522</v>
      </c>
      <c r="O508" s="5">
        <v>85</v>
      </c>
      <c r="P508" s="5">
        <v>53</v>
      </c>
      <c r="Q508" s="7">
        <v>6.23</v>
      </c>
      <c r="R508" s="7">
        <v>0.11125957954413246</v>
      </c>
      <c r="S508" s="7">
        <v>117606028800</v>
      </c>
      <c r="T508" s="7">
        <v>0</v>
      </c>
    </row>
    <row r="509" spans="2:20" x14ac:dyDescent="0.2">
      <c r="B509">
        <v>54139</v>
      </c>
      <c r="C509" s="9">
        <v>6.5991100000000006E-5</v>
      </c>
      <c r="D509" s="5" t="s">
        <v>1560</v>
      </c>
      <c r="E509" s="7">
        <v>39.68</v>
      </c>
      <c r="F509" s="1">
        <v>1.7468426929434105E-2</v>
      </c>
      <c r="G509" s="1">
        <v>823568928000.00012</v>
      </c>
      <c r="H509" s="1">
        <v>0</v>
      </c>
      <c r="I509" s="7">
        <f t="shared" si="7"/>
        <v>953204.77777777787</v>
      </c>
      <c r="L509" s="5">
        <v>53139</v>
      </c>
      <c r="M509" s="7">
        <v>5.6522599999999998E-6</v>
      </c>
      <c r="N509" s="5" t="s">
        <v>1523</v>
      </c>
      <c r="O509" s="5">
        <v>86</v>
      </c>
      <c r="P509" s="5">
        <v>53</v>
      </c>
      <c r="Q509" s="7">
        <v>2.2799999999999998</v>
      </c>
      <c r="R509" s="7">
        <v>0.30401192129822163</v>
      </c>
      <c r="S509" s="7">
        <v>70540204800</v>
      </c>
      <c r="T509" s="7">
        <v>0</v>
      </c>
    </row>
    <row r="510" spans="2:20" x14ac:dyDescent="0.2">
      <c r="B510">
        <v>54140</v>
      </c>
      <c r="C510" s="9">
        <v>6.6065399999999999E-5</v>
      </c>
      <c r="D510" s="5" t="s">
        <v>1561</v>
      </c>
      <c r="E510" s="7">
        <v>13.6</v>
      </c>
      <c r="F510" s="1">
        <v>5.0966704452937155E-2</v>
      </c>
      <c r="G510" s="1">
        <v>824496192000</v>
      </c>
      <c r="H510" s="1">
        <v>0</v>
      </c>
      <c r="I510" s="7">
        <f t="shared" si="7"/>
        <v>954278</v>
      </c>
      <c r="L510" s="5">
        <v>53140</v>
      </c>
      <c r="M510" s="7">
        <v>1.6166399999999999E-6</v>
      </c>
      <c r="N510" s="5" t="s">
        <v>1524</v>
      </c>
      <c r="O510" s="5">
        <v>87</v>
      </c>
      <c r="P510" s="5">
        <v>53</v>
      </c>
      <c r="Q510" s="7">
        <v>0.86</v>
      </c>
      <c r="R510" s="7">
        <v>0.805985093674355</v>
      </c>
      <c r="S510" s="7">
        <v>20175667200</v>
      </c>
      <c r="T510" s="7">
        <v>0</v>
      </c>
    </row>
    <row r="511" spans="2:20" x14ac:dyDescent="0.2">
      <c r="B511">
        <v>54141</v>
      </c>
      <c r="C511" s="9">
        <v>4.4573300000000002E-5</v>
      </c>
      <c r="D511" s="5" t="s">
        <v>1562</v>
      </c>
      <c r="E511" s="7">
        <v>1.73</v>
      </c>
      <c r="F511" s="1">
        <v>0.40066311015025741</v>
      </c>
      <c r="G511" s="1">
        <v>556274784000</v>
      </c>
      <c r="H511" s="1">
        <v>0</v>
      </c>
      <c r="I511" s="7">
        <f t="shared" si="7"/>
        <v>643836.5555555555</v>
      </c>
      <c r="L511" s="5">
        <v>53141</v>
      </c>
      <c r="M511" s="7">
        <v>7.4895400000000005E-7</v>
      </c>
      <c r="N511" s="5" t="s">
        <v>1525</v>
      </c>
      <c r="O511" s="5">
        <v>88</v>
      </c>
      <c r="P511" s="5">
        <v>53</v>
      </c>
      <c r="Q511" s="7">
        <v>0.43</v>
      </c>
      <c r="R511" s="7">
        <v>1.61197018734871</v>
      </c>
      <c r="S511" s="7">
        <v>9346945920</v>
      </c>
      <c r="T511" s="7">
        <v>0</v>
      </c>
    </row>
    <row r="512" spans="2:20" x14ac:dyDescent="0.2">
      <c r="B512">
        <v>54142</v>
      </c>
      <c r="C512" s="9">
        <v>2.5604899999999999E-5</v>
      </c>
      <c r="D512" s="5" t="s">
        <v>1563</v>
      </c>
      <c r="E512" s="7">
        <v>1.23</v>
      </c>
      <c r="F512" s="1">
        <v>0.56353429313816694</v>
      </c>
      <c r="G512" s="1">
        <v>319549152000</v>
      </c>
      <c r="H512" s="1">
        <v>0</v>
      </c>
      <c r="I512" s="7">
        <f t="shared" si="7"/>
        <v>369848.55555555556</v>
      </c>
      <c r="L512" s="5">
        <v>53142</v>
      </c>
      <c r="M512" s="7">
        <v>3.6379800000000001E-7</v>
      </c>
      <c r="N512" s="5" t="s">
        <v>1526</v>
      </c>
      <c r="O512" s="5">
        <v>89</v>
      </c>
      <c r="P512" s="5">
        <v>53</v>
      </c>
      <c r="Q512" s="7">
        <v>0.222</v>
      </c>
      <c r="R512" s="7">
        <v>3.1222845971168707</v>
      </c>
      <c r="S512" s="7">
        <v>4540199040</v>
      </c>
      <c r="T512" s="7">
        <v>0</v>
      </c>
    </row>
    <row r="513" spans="2:20" x14ac:dyDescent="0.2">
      <c r="B513">
        <v>54143</v>
      </c>
      <c r="C513" s="9">
        <v>8.9868199999999998E-6</v>
      </c>
      <c r="D513" s="5" t="s">
        <v>1564</v>
      </c>
      <c r="E513" s="7">
        <v>0.51100000000000001</v>
      </c>
      <c r="F513" s="1">
        <v>1.3564524081407932</v>
      </c>
      <c r="G513" s="1">
        <v>112155513600</v>
      </c>
      <c r="H513" s="1">
        <v>0</v>
      </c>
      <c r="I513" s="7">
        <f t="shared" si="7"/>
        <v>129809.62222222223</v>
      </c>
      <c r="L513" s="5">
        <v>54110</v>
      </c>
      <c r="M513" s="7">
        <v>1.47906E-7</v>
      </c>
      <c r="N513" s="5" t="s">
        <v>1531</v>
      </c>
      <c r="O513" s="5">
        <v>56</v>
      </c>
      <c r="P513" s="5">
        <v>54</v>
      </c>
      <c r="Q513" s="7">
        <v>9.2999999999999999E-2</v>
      </c>
      <c r="R513" s="7">
        <v>7.4531954898918853</v>
      </c>
      <c r="S513" s="7">
        <v>1845866880</v>
      </c>
      <c r="T513" s="7">
        <v>0</v>
      </c>
    </row>
    <row r="514" spans="2:20" x14ac:dyDescent="0.2">
      <c r="B514">
        <v>54144</v>
      </c>
      <c r="C514" s="9">
        <v>2.85636E-6</v>
      </c>
      <c r="D514" s="5" t="s">
        <v>1565</v>
      </c>
      <c r="E514" s="7">
        <v>0.38800000000000001</v>
      </c>
      <c r="F514" s="1">
        <v>1.7864618055668693</v>
      </c>
      <c r="G514" s="1">
        <v>35647372800</v>
      </c>
      <c r="H514" s="1">
        <v>0</v>
      </c>
      <c r="I514" s="7">
        <f t="shared" si="7"/>
        <v>41258.533333333333</v>
      </c>
      <c r="L514" s="5">
        <v>54111</v>
      </c>
      <c r="M514" s="7">
        <v>2.3103799999999999E-8</v>
      </c>
      <c r="N514" s="5" t="s">
        <v>1532</v>
      </c>
      <c r="O514" s="5">
        <v>57</v>
      </c>
      <c r="P514" s="5">
        <v>54</v>
      </c>
      <c r="Q514" s="7">
        <v>0.81</v>
      </c>
      <c r="R514" s="7">
        <v>0.85573725995054972</v>
      </c>
      <c r="S514" s="7">
        <v>288335424</v>
      </c>
      <c r="T514" s="7">
        <v>0</v>
      </c>
    </row>
    <row r="515" spans="2:20" x14ac:dyDescent="0.2">
      <c r="B515">
        <v>54145</v>
      </c>
      <c r="C515" s="9">
        <v>5.0577100000000004E-7</v>
      </c>
      <c r="D515" s="5" t="s">
        <v>1566</v>
      </c>
      <c r="E515" s="7">
        <v>0.188</v>
      </c>
      <c r="F515" s="1">
        <v>3.6869530880848154</v>
      </c>
      <c r="G515" s="1">
        <v>6312022080</v>
      </c>
      <c r="H515" s="1">
        <v>0</v>
      </c>
      <c r="I515" s="7">
        <f t="shared" si="7"/>
        <v>7305.5811111111107</v>
      </c>
      <c r="L515" s="5">
        <v>54112</v>
      </c>
      <c r="M515" s="7">
        <v>7.9572000000000006E-9</v>
      </c>
      <c r="N515" s="5" t="s">
        <v>1533</v>
      </c>
      <c r="O515" s="5">
        <v>58</v>
      </c>
      <c r="P515" s="5">
        <v>54</v>
      </c>
      <c r="Q515" s="7">
        <v>2.7</v>
      </c>
      <c r="R515" s="7">
        <v>0.25672117798516492</v>
      </c>
      <c r="S515" s="7">
        <v>99305856.000000015</v>
      </c>
      <c r="T515" s="7">
        <v>0</v>
      </c>
    </row>
    <row r="516" spans="2:20" x14ac:dyDescent="0.2">
      <c r="B516">
        <v>55114</v>
      </c>
      <c r="C516" s="9">
        <v>9.3601799999999996E-8</v>
      </c>
      <c r="D516" s="5" t="s">
        <v>1572</v>
      </c>
      <c r="E516" s="7">
        <v>0.56999999999999995</v>
      </c>
      <c r="F516" s="1">
        <v>1.2160476851928865</v>
      </c>
      <c r="G516" s="1">
        <v>1168150464</v>
      </c>
      <c r="H516" s="1">
        <v>0</v>
      </c>
      <c r="I516" s="7">
        <f t="shared" ref="I516:I579" si="8">G516/10/24/3600</f>
        <v>1352.0260000000001</v>
      </c>
      <c r="L516" s="5">
        <v>54113</v>
      </c>
      <c r="M516" s="7">
        <v>5.5839999999999995E-10</v>
      </c>
      <c r="N516" s="5" t="s">
        <v>1534</v>
      </c>
      <c r="O516" s="5">
        <v>59</v>
      </c>
      <c r="P516" s="5">
        <v>54</v>
      </c>
      <c r="Q516" s="7">
        <v>2.74</v>
      </c>
      <c r="R516" s="7">
        <v>0.25297342356202379</v>
      </c>
      <c r="S516" s="7">
        <v>6968831.9999999991</v>
      </c>
      <c r="T516" s="7">
        <v>0</v>
      </c>
    </row>
    <row r="517" spans="2:20" x14ac:dyDescent="0.2">
      <c r="B517">
        <v>55115</v>
      </c>
      <c r="C517" s="9">
        <v>7.2591999999999999E-9</v>
      </c>
      <c r="D517" s="5" t="s">
        <v>1573</v>
      </c>
      <c r="E517" s="7">
        <v>1.4</v>
      </c>
      <c r="F517" s="1">
        <v>0.49510512897138953</v>
      </c>
      <c r="G517" s="1">
        <v>90594816</v>
      </c>
      <c r="H517" s="1">
        <v>0</v>
      </c>
      <c r="I517" s="7">
        <f t="shared" si="8"/>
        <v>104.8551111111111</v>
      </c>
      <c r="L517" s="5">
        <v>54114</v>
      </c>
      <c r="M517" s="7">
        <v>6.9799999999999994E-11</v>
      </c>
      <c r="N517" s="5" t="s">
        <v>1535</v>
      </c>
      <c r="O517" s="5">
        <v>60</v>
      </c>
      <c r="P517" s="5">
        <v>54</v>
      </c>
      <c r="Q517" s="7">
        <v>10</v>
      </c>
      <c r="R517" s="7">
        <v>6.9314718055994526E-2</v>
      </c>
      <c r="S517" s="7">
        <v>871103.99999999988</v>
      </c>
      <c r="T517" s="7">
        <v>0</v>
      </c>
    </row>
    <row r="518" spans="2:20" x14ac:dyDescent="0.2">
      <c r="B518">
        <v>55116</v>
      </c>
      <c r="C518" s="9">
        <v>7.6779999999999997E-10</v>
      </c>
      <c r="D518" s="5" t="s">
        <v>1574</v>
      </c>
      <c r="E518" s="7">
        <v>0.7</v>
      </c>
      <c r="F518" s="1">
        <v>0.99021025794277906</v>
      </c>
      <c r="G518" s="1">
        <v>9582144</v>
      </c>
      <c r="H518" s="1">
        <v>0</v>
      </c>
      <c r="I518" s="7">
        <f t="shared" si="8"/>
        <v>11.090444444444444</v>
      </c>
      <c r="L518" s="5">
        <v>54115</v>
      </c>
      <c r="M518" s="7">
        <v>1.3959999999999999E-10</v>
      </c>
      <c r="N518" s="5" t="s">
        <v>1536</v>
      </c>
      <c r="O518" s="5">
        <v>61</v>
      </c>
      <c r="P518" s="5">
        <v>54</v>
      </c>
      <c r="Q518" s="7">
        <v>18</v>
      </c>
      <c r="R518" s="7">
        <v>3.8508176697774739E-2</v>
      </c>
      <c r="S518" s="7">
        <v>1742207.9999999998</v>
      </c>
      <c r="T518" s="7">
        <v>0</v>
      </c>
    </row>
    <row r="519" spans="2:20" x14ac:dyDescent="0.2">
      <c r="B519">
        <v>55130</v>
      </c>
      <c r="C519" s="9">
        <v>6.9799999999999994E-11</v>
      </c>
      <c r="D519" s="5" t="s">
        <v>1588</v>
      </c>
      <c r="E519" s="7">
        <v>1752.6</v>
      </c>
      <c r="F519" s="1">
        <v>3.9549650836468407E-4</v>
      </c>
      <c r="G519" s="1">
        <v>871103.99999999988</v>
      </c>
      <c r="H519" s="1">
        <v>0</v>
      </c>
      <c r="I519" s="7">
        <f t="shared" si="8"/>
        <v>1.0082222222222221</v>
      </c>
      <c r="L519" s="5">
        <v>54133</v>
      </c>
      <c r="M519" s="7">
        <v>1.9443499999999999E-6</v>
      </c>
      <c r="N519" s="5" t="s">
        <v>1554</v>
      </c>
      <c r="O519" s="5">
        <v>79</v>
      </c>
      <c r="P519" s="5">
        <v>54</v>
      </c>
      <c r="Q519" s="7">
        <v>453383.99999999901</v>
      </c>
      <c r="R519" s="7">
        <v>1.5288302643232817E-6</v>
      </c>
      <c r="S519" s="7">
        <v>17789211405.845505</v>
      </c>
      <c r="T519" s="7">
        <v>2.0484897553267901E-11</v>
      </c>
    </row>
    <row r="520" spans="2:20" x14ac:dyDescent="0.2">
      <c r="B520">
        <v>55131</v>
      </c>
      <c r="C520" s="9">
        <v>3.4899999999999998E-10</v>
      </c>
      <c r="D520" s="5" t="s">
        <v>1589</v>
      </c>
      <c r="E520" s="7">
        <v>837129.6</v>
      </c>
      <c r="F520" s="1">
        <v>8.2800462504246091E-7</v>
      </c>
      <c r="G520" s="1">
        <v>2225677.5494134296</v>
      </c>
      <c r="H520" s="1">
        <v>1.0166811557918511E-5</v>
      </c>
      <c r="I520" s="7">
        <f t="shared" si="8"/>
        <v>2.5760156821914695</v>
      </c>
      <c r="L520" s="5">
        <v>54134</v>
      </c>
      <c r="M520" s="7">
        <v>7.86311E-6</v>
      </c>
      <c r="N520" s="5" t="s">
        <v>1555</v>
      </c>
      <c r="O520" s="5">
        <v>80</v>
      </c>
      <c r="P520" s="5">
        <v>54</v>
      </c>
      <c r="Q520" s="7">
        <v>1.8303407999999899E+30</v>
      </c>
      <c r="R520" s="7">
        <v>3.7869842630396979E-31</v>
      </c>
      <c r="S520" s="7">
        <v>0</v>
      </c>
      <c r="T520" s="7">
        <v>0</v>
      </c>
    </row>
    <row r="521" spans="2:20" x14ac:dyDescent="0.2">
      <c r="B521">
        <v>55132</v>
      </c>
      <c r="C521" s="9">
        <v>2.5127999999999998E-9</v>
      </c>
      <c r="D521" s="5" t="s">
        <v>1590</v>
      </c>
      <c r="E521" s="7">
        <v>559872</v>
      </c>
      <c r="F521" s="1">
        <v>1.2380458043266055E-6</v>
      </c>
      <c r="G521" s="1">
        <v>20599551.367249206</v>
      </c>
      <c r="H521" s="1">
        <v>2.278730067677876E-10</v>
      </c>
      <c r="I521" s="7">
        <f t="shared" si="8"/>
        <v>23.842073341723619</v>
      </c>
      <c r="L521" s="5">
        <v>54135</v>
      </c>
      <c r="M521" s="7">
        <v>1.42142E-5</v>
      </c>
      <c r="N521" s="5" t="s">
        <v>1556</v>
      </c>
      <c r="O521" s="5">
        <v>81</v>
      </c>
      <c r="P521" s="5">
        <v>54</v>
      </c>
      <c r="Q521" s="7">
        <v>32904</v>
      </c>
      <c r="R521" s="7">
        <v>2.1065742176025568E-5</v>
      </c>
      <c r="S521" s="7">
        <v>177393213789.81073</v>
      </c>
      <c r="T521" s="7">
        <v>5.4251483331623443E-278</v>
      </c>
    </row>
    <row r="522" spans="2:20" x14ac:dyDescent="0.2">
      <c r="B522">
        <v>55134</v>
      </c>
      <c r="C522" s="9">
        <v>6.6868399999999995E-8</v>
      </c>
      <c r="D522" s="5" t="s">
        <v>1592</v>
      </c>
      <c r="E522" s="7">
        <v>65172755.519999899</v>
      </c>
      <c r="F522" s="1">
        <v>1.0635535892712647E-8</v>
      </c>
      <c r="G522" s="1">
        <v>7633342.9847244862</v>
      </c>
      <c r="H522" s="1">
        <v>5458224.8964306451</v>
      </c>
      <c r="I522" s="7">
        <f t="shared" si="8"/>
        <v>8.8348877138014892</v>
      </c>
      <c r="L522" s="5">
        <v>54136</v>
      </c>
      <c r="M522" s="7">
        <v>3.2630599999999999E-5</v>
      </c>
      <c r="N522" s="5" t="s">
        <v>1557</v>
      </c>
      <c r="O522" s="5">
        <v>82</v>
      </c>
      <c r="P522" s="5">
        <v>54</v>
      </c>
      <c r="Q522" s="7">
        <v>7.573824E+28</v>
      </c>
      <c r="R522" s="7">
        <v>9.1518786356792195E-30</v>
      </c>
      <c r="S522" s="7">
        <v>0</v>
      </c>
      <c r="T522" s="7">
        <v>0</v>
      </c>
    </row>
    <row r="523" spans="2:20" x14ac:dyDescent="0.2">
      <c r="B523">
        <v>55135</v>
      </c>
      <c r="C523" s="9">
        <v>3.3322499999999999E-7</v>
      </c>
      <c r="D523" s="5" t="s">
        <v>1593</v>
      </c>
      <c r="E523" s="7">
        <v>72582480000000</v>
      </c>
      <c r="F523" s="1">
        <v>9.5497864024478811E-15</v>
      </c>
      <c r="G523" s="1">
        <v>34.31306880118612</v>
      </c>
      <c r="H523" s="1">
        <v>34.313058467393056</v>
      </c>
      <c r="I523" s="7">
        <f t="shared" si="8"/>
        <v>3.9714200001372824E-5</v>
      </c>
      <c r="L523" s="5">
        <v>54137</v>
      </c>
      <c r="M523" s="7">
        <v>2.42532E-5</v>
      </c>
      <c r="N523" s="5" t="s">
        <v>1558</v>
      </c>
      <c r="O523" s="5">
        <v>83</v>
      </c>
      <c r="P523" s="5">
        <v>54</v>
      </c>
      <c r="Q523" s="7">
        <v>229.08</v>
      </c>
      <c r="R523" s="7">
        <v>3.0257865398984865E-3</v>
      </c>
      <c r="S523" s="7">
        <v>302679936000</v>
      </c>
      <c r="T523" s="7">
        <v>0</v>
      </c>
    </row>
    <row r="524" spans="2:20" x14ac:dyDescent="0.2">
      <c r="B524">
        <v>55136</v>
      </c>
      <c r="C524" s="9">
        <v>1.18297E-6</v>
      </c>
      <c r="D524" s="5" t="s">
        <v>1594</v>
      </c>
      <c r="E524" s="7">
        <v>1126656</v>
      </c>
      <c r="F524" s="1">
        <v>6.1522521564696349E-7</v>
      </c>
      <c r="G524" s="1">
        <v>6087115003.7708931</v>
      </c>
      <c r="H524" s="1">
        <v>22.821376875849577</v>
      </c>
      <c r="I524" s="7">
        <f t="shared" si="8"/>
        <v>7045.2719951052004</v>
      </c>
      <c r="L524" s="5">
        <v>54138</v>
      </c>
      <c r="M524" s="7">
        <v>3.17471E-5</v>
      </c>
      <c r="N524" s="5" t="s">
        <v>1559</v>
      </c>
      <c r="O524" s="5">
        <v>84</v>
      </c>
      <c r="P524" s="5">
        <v>54</v>
      </c>
      <c r="Q524" s="7">
        <v>848.4</v>
      </c>
      <c r="R524" s="7">
        <v>8.170051633191246E-4</v>
      </c>
      <c r="S524" s="7">
        <v>396203808000</v>
      </c>
      <c r="T524" s="7">
        <v>0</v>
      </c>
    </row>
    <row r="525" spans="2:20" x14ac:dyDescent="0.2">
      <c r="B525">
        <v>55137</v>
      </c>
      <c r="C525" s="9">
        <v>4.9134999999999996E-6</v>
      </c>
      <c r="D525" s="5" t="s">
        <v>1595</v>
      </c>
      <c r="E525" s="7">
        <v>949252608</v>
      </c>
      <c r="F525" s="1">
        <v>7.3020308263398025E-10</v>
      </c>
      <c r="G525" s="1">
        <v>38674611.54396601</v>
      </c>
      <c r="H525" s="1">
        <v>37794200.611645043</v>
      </c>
      <c r="I525" s="7">
        <f t="shared" si="8"/>
        <v>44.76228187959029</v>
      </c>
      <c r="L525" s="5">
        <v>54139</v>
      </c>
      <c r="M525" s="7">
        <v>1.7910800000000001E-5</v>
      </c>
      <c r="N525" s="5" t="s">
        <v>1560</v>
      </c>
      <c r="O525" s="5">
        <v>85</v>
      </c>
      <c r="P525" s="5">
        <v>54</v>
      </c>
      <c r="Q525" s="7">
        <v>39.68</v>
      </c>
      <c r="R525" s="7">
        <v>1.7468426929434105E-2</v>
      </c>
      <c r="S525" s="7">
        <v>223526784000.00003</v>
      </c>
      <c r="T525" s="7">
        <v>0</v>
      </c>
    </row>
    <row r="526" spans="2:20" x14ac:dyDescent="0.2">
      <c r="B526">
        <v>55138</v>
      </c>
      <c r="C526" s="9">
        <v>1.07027E-5</v>
      </c>
      <c r="D526" s="5" t="s">
        <v>1596</v>
      </c>
      <c r="E526" s="7">
        <v>2004.6</v>
      </c>
      <c r="F526" s="1">
        <v>3.4577830018953673E-4</v>
      </c>
      <c r="G526" s="1">
        <v>133569696000</v>
      </c>
      <c r="H526" s="1">
        <v>0</v>
      </c>
      <c r="I526" s="7">
        <f t="shared" si="8"/>
        <v>154594.55555555556</v>
      </c>
      <c r="L526" s="5">
        <v>54140</v>
      </c>
      <c r="M526" s="7">
        <v>1.61934E-5</v>
      </c>
      <c r="N526" s="5" t="s">
        <v>1561</v>
      </c>
      <c r="O526" s="5">
        <v>86</v>
      </c>
      <c r="P526" s="5">
        <v>54</v>
      </c>
      <c r="Q526" s="7">
        <v>13.6</v>
      </c>
      <c r="R526" s="7">
        <v>5.0966704452937155E-2</v>
      </c>
      <c r="S526" s="7">
        <v>202093632000</v>
      </c>
      <c r="T526" s="7">
        <v>0</v>
      </c>
    </row>
    <row r="527" spans="2:20" x14ac:dyDescent="0.2">
      <c r="B527">
        <v>55139</v>
      </c>
      <c r="C527" s="9">
        <v>2.4928700000000001E-5</v>
      </c>
      <c r="D527" s="5" t="s">
        <v>1597</v>
      </c>
      <c r="E527" s="7">
        <v>556.19999999999902</v>
      </c>
      <c r="F527" s="1">
        <v>1.2462193106075989E-3</v>
      </c>
      <c r="G527" s="1">
        <v>311110176000</v>
      </c>
      <c r="H527" s="1">
        <v>0</v>
      </c>
      <c r="I527" s="7">
        <f t="shared" si="8"/>
        <v>360081.22222222225</v>
      </c>
      <c r="L527" s="5">
        <v>54141</v>
      </c>
      <c r="M527" s="7">
        <v>6.4096600000000004E-6</v>
      </c>
      <c r="N527" s="5" t="s">
        <v>1562</v>
      </c>
      <c r="O527" s="5">
        <v>87</v>
      </c>
      <c r="P527" s="5">
        <v>54</v>
      </c>
      <c r="Q527" s="7">
        <v>1.73</v>
      </c>
      <c r="R527" s="7">
        <v>0.40066311015025741</v>
      </c>
      <c r="S527" s="7">
        <v>79992556800</v>
      </c>
      <c r="T527" s="7">
        <v>0</v>
      </c>
    </row>
    <row r="528" spans="2:20" x14ac:dyDescent="0.2">
      <c r="B528">
        <v>55140</v>
      </c>
      <c r="C528" s="9">
        <v>3.4020899999999998E-5</v>
      </c>
      <c r="D528" s="5" t="s">
        <v>1598</v>
      </c>
      <c r="E528" s="7">
        <v>63.7</v>
      </c>
      <c r="F528" s="1">
        <v>1.0881431405964604E-2</v>
      </c>
      <c r="G528" s="1">
        <v>424580832000</v>
      </c>
      <c r="H528" s="1">
        <v>0</v>
      </c>
      <c r="I528" s="7">
        <f t="shared" si="8"/>
        <v>491413</v>
      </c>
      <c r="L528" s="5">
        <v>54142</v>
      </c>
      <c r="M528" s="7">
        <v>4.2274399999999998E-6</v>
      </c>
      <c r="N528" s="5" t="s">
        <v>1563</v>
      </c>
      <c r="O528" s="5">
        <v>88</v>
      </c>
      <c r="P528" s="5">
        <v>54</v>
      </c>
      <c r="Q528" s="7">
        <v>1.23</v>
      </c>
      <c r="R528" s="7">
        <v>0.56353429313816694</v>
      </c>
      <c r="S528" s="7">
        <v>52758451200</v>
      </c>
      <c r="T528" s="7">
        <v>0</v>
      </c>
    </row>
    <row r="529" spans="2:20" x14ac:dyDescent="0.2">
      <c r="B529">
        <v>55141</v>
      </c>
      <c r="C529" s="9">
        <v>5.3979900000000001E-5</v>
      </c>
      <c r="D529" s="5" t="s">
        <v>1599</v>
      </c>
      <c r="E529" s="7">
        <v>24.84</v>
      </c>
      <c r="F529" s="1">
        <v>2.7904475867952708E-2</v>
      </c>
      <c r="G529" s="1">
        <v>673669152000</v>
      </c>
      <c r="H529" s="1">
        <v>0</v>
      </c>
      <c r="I529" s="7">
        <f t="shared" si="8"/>
        <v>779709.66666666663</v>
      </c>
      <c r="L529" s="5">
        <v>54143</v>
      </c>
      <c r="M529" s="7">
        <v>8.5114099999999996E-7</v>
      </c>
      <c r="N529" s="5" t="s">
        <v>1564</v>
      </c>
      <c r="O529" s="5">
        <v>89</v>
      </c>
      <c r="P529" s="5">
        <v>54</v>
      </c>
      <c r="Q529" s="7">
        <v>0.51100000000000001</v>
      </c>
      <c r="R529" s="7">
        <v>1.3564524081407932</v>
      </c>
      <c r="S529" s="7">
        <v>10622239680</v>
      </c>
      <c r="T529" s="7">
        <v>0</v>
      </c>
    </row>
    <row r="530" spans="2:20" x14ac:dyDescent="0.2">
      <c r="B530">
        <v>55142</v>
      </c>
      <c r="C530" s="9">
        <v>4.7759999999999997E-5</v>
      </c>
      <c r="D530" s="5" t="s">
        <v>1600</v>
      </c>
      <c r="E530" s="7">
        <v>1.6839999999999999</v>
      </c>
      <c r="F530" s="1">
        <v>0.41160758940614328</v>
      </c>
      <c r="G530" s="1">
        <v>596044800000</v>
      </c>
      <c r="H530" s="1">
        <v>0</v>
      </c>
      <c r="I530" s="7">
        <f t="shared" si="8"/>
        <v>689866.66666666663</v>
      </c>
      <c r="L530" s="5">
        <v>54144</v>
      </c>
      <c r="M530" s="7">
        <v>7.7261600000000004E-7</v>
      </c>
      <c r="N530" s="5" t="s">
        <v>1565</v>
      </c>
      <c r="O530" s="5">
        <v>90</v>
      </c>
      <c r="P530" s="5">
        <v>54</v>
      </c>
      <c r="Q530" s="7">
        <v>0.38800000000000001</v>
      </c>
      <c r="R530" s="7">
        <v>1.7864618055668693</v>
      </c>
      <c r="S530" s="7">
        <v>9642247680</v>
      </c>
      <c r="T530" s="7">
        <v>0</v>
      </c>
    </row>
    <row r="531" spans="2:20" x14ac:dyDescent="0.2">
      <c r="B531">
        <v>55143</v>
      </c>
      <c r="C531" s="9">
        <v>4.1903899999999997E-5</v>
      </c>
      <c r="D531" s="5" t="s">
        <v>1601</v>
      </c>
      <c r="E531" s="7">
        <v>1.7909999999999999</v>
      </c>
      <c r="F531" s="1">
        <v>0.38701685123391699</v>
      </c>
      <c r="G531" s="1">
        <v>522960671999.99994</v>
      </c>
      <c r="H531" s="1">
        <v>0</v>
      </c>
      <c r="I531" s="7">
        <f t="shared" si="8"/>
        <v>605278.55555555539</v>
      </c>
      <c r="L531" s="5">
        <v>54145</v>
      </c>
      <c r="M531" s="7">
        <v>1.56422E-7</v>
      </c>
      <c r="N531" s="5" t="s">
        <v>1566</v>
      </c>
      <c r="O531" s="5">
        <v>91</v>
      </c>
      <c r="P531" s="5">
        <v>54</v>
      </c>
      <c r="Q531" s="7">
        <v>0.188</v>
      </c>
      <c r="R531" s="7">
        <v>3.6869530880848154</v>
      </c>
      <c r="S531" s="7">
        <v>1952146560</v>
      </c>
      <c r="T531" s="7">
        <v>0</v>
      </c>
    </row>
    <row r="532" spans="2:20" x14ac:dyDescent="0.2">
      <c r="B532">
        <v>55144</v>
      </c>
      <c r="C532" s="9">
        <v>2.15569E-5</v>
      </c>
      <c r="D532" s="5" t="s">
        <v>1602</v>
      </c>
      <c r="E532" s="7">
        <v>0.99399999999999999</v>
      </c>
      <c r="F532" s="1">
        <v>0.69733116756533731</v>
      </c>
      <c r="G532" s="1">
        <v>269030112000</v>
      </c>
      <c r="H532" s="1">
        <v>0</v>
      </c>
      <c r="I532" s="7">
        <f t="shared" si="8"/>
        <v>311377.44444444444</v>
      </c>
      <c r="L532" s="5">
        <v>55114</v>
      </c>
      <c r="M532" s="7">
        <v>5.8562200000000003E-8</v>
      </c>
      <c r="N532" s="5" t="s">
        <v>1572</v>
      </c>
      <c r="O532" s="5">
        <v>59</v>
      </c>
      <c r="P532" s="5">
        <v>55</v>
      </c>
      <c r="Q532" s="7">
        <v>0.56999999999999995</v>
      </c>
      <c r="R532" s="7">
        <v>1.2160476851928865</v>
      </c>
      <c r="S532" s="7">
        <v>730856256</v>
      </c>
      <c r="T532" s="7">
        <v>0</v>
      </c>
    </row>
    <row r="533" spans="2:20" x14ac:dyDescent="0.2">
      <c r="B533">
        <v>55145</v>
      </c>
      <c r="C533" s="9">
        <v>1.1148000000000001E-5</v>
      </c>
      <c r="D533" s="5" t="s">
        <v>1603</v>
      </c>
      <c r="E533" s="7">
        <v>0.58699999999999997</v>
      </c>
      <c r="F533" s="1">
        <v>1.1808299498465848</v>
      </c>
      <c r="G533" s="1">
        <v>139127040000</v>
      </c>
      <c r="H533" s="1">
        <v>0</v>
      </c>
      <c r="I533" s="7">
        <f t="shared" si="8"/>
        <v>161026.66666666666</v>
      </c>
      <c r="L533" s="5">
        <v>55115</v>
      </c>
      <c r="M533" s="7">
        <v>6.631E-9</v>
      </c>
      <c r="N533" s="5" t="s">
        <v>1573</v>
      </c>
      <c r="O533" s="5">
        <v>60</v>
      </c>
      <c r="P533" s="5">
        <v>55</v>
      </c>
      <c r="Q533" s="7">
        <v>1.4</v>
      </c>
      <c r="R533" s="7">
        <v>0.49510512897138953</v>
      </c>
      <c r="S533" s="7">
        <v>82754880</v>
      </c>
      <c r="T533" s="7">
        <v>0</v>
      </c>
    </row>
    <row r="534" spans="2:20" x14ac:dyDescent="0.2">
      <c r="B534">
        <v>55146</v>
      </c>
      <c r="C534" s="9">
        <v>3.2069600000000001E-6</v>
      </c>
      <c r="D534" s="5" t="s">
        <v>1604</v>
      </c>
      <c r="E534" s="7">
        <v>0.32200000000000001</v>
      </c>
      <c r="F534" s="1">
        <v>2.1526309955277805</v>
      </c>
      <c r="G534" s="1">
        <v>40022860800</v>
      </c>
      <c r="H534" s="1">
        <v>0</v>
      </c>
      <c r="I534" s="7">
        <f t="shared" si="8"/>
        <v>46322.755555555559</v>
      </c>
      <c r="L534" s="5">
        <v>55116</v>
      </c>
      <c r="M534" s="7">
        <v>1.8845999999999999E-9</v>
      </c>
      <c r="N534" s="5" t="s">
        <v>1574</v>
      </c>
      <c r="O534" s="5">
        <v>61</v>
      </c>
      <c r="P534" s="5">
        <v>55</v>
      </c>
      <c r="Q534" s="7">
        <v>0.7</v>
      </c>
      <c r="R534" s="7">
        <v>0.99021025794277906</v>
      </c>
      <c r="S534" s="7">
        <v>23519808</v>
      </c>
      <c r="T534" s="7">
        <v>0</v>
      </c>
    </row>
    <row r="535" spans="2:20" x14ac:dyDescent="0.2">
      <c r="B535">
        <v>55147</v>
      </c>
      <c r="C535" s="9">
        <v>1.0100799999999999E-6</v>
      </c>
      <c r="D535" s="5" t="s">
        <v>1605</v>
      </c>
      <c r="E535" s="7">
        <v>0.23</v>
      </c>
      <c r="F535" s="1">
        <v>3.0136833937388925</v>
      </c>
      <c r="G535" s="1">
        <v>12605798400</v>
      </c>
      <c r="H535" s="1">
        <v>0</v>
      </c>
      <c r="I535" s="7">
        <f t="shared" si="8"/>
        <v>14590.044444444444</v>
      </c>
      <c r="L535" s="5">
        <v>55117</v>
      </c>
      <c r="M535" s="7">
        <v>4.1879999999999999E-10</v>
      </c>
      <c r="N535" s="5" t="s">
        <v>1575</v>
      </c>
      <c r="O535" s="5">
        <v>62</v>
      </c>
      <c r="P535" s="5">
        <v>55</v>
      </c>
      <c r="Q535" s="7">
        <v>8.4</v>
      </c>
      <c r="R535" s="7">
        <v>8.2517521495231574E-2</v>
      </c>
      <c r="S535" s="7">
        <v>5226624</v>
      </c>
      <c r="T535" s="7">
        <v>0</v>
      </c>
    </row>
    <row r="536" spans="2:20" x14ac:dyDescent="0.2">
      <c r="B536">
        <v>55148</v>
      </c>
      <c r="C536" s="9">
        <v>1.6102900000000001E-7</v>
      </c>
      <c r="D536" s="5" t="s">
        <v>1606</v>
      </c>
      <c r="E536" s="7">
        <v>0.14599999999999999</v>
      </c>
      <c r="F536" s="1">
        <v>4.747583428492776</v>
      </c>
      <c r="G536" s="1">
        <v>2009641920</v>
      </c>
      <c r="H536" s="1">
        <v>0</v>
      </c>
      <c r="I536" s="7">
        <f t="shared" si="8"/>
        <v>2325.9744444444445</v>
      </c>
      <c r="L536" s="5">
        <v>55131</v>
      </c>
      <c r="M536" s="7">
        <v>2.094E-10</v>
      </c>
      <c r="N536" s="5" t="s">
        <v>1589</v>
      </c>
      <c r="O536" s="5">
        <v>76</v>
      </c>
      <c r="P536" s="5">
        <v>55</v>
      </c>
      <c r="Q536" s="7">
        <v>837129.6</v>
      </c>
      <c r="R536" s="7">
        <v>8.2800462504246091E-7</v>
      </c>
      <c r="S536" s="7">
        <v>1335406.5296480577</v>
      </c>
      <c r="T536" s="7">
        <v>6.1000869347511061E-6</v>
      </c>
    </row>
    <row r="537" spans="2:20" x14ac:dyDescent="0.2">
      <c r="B537">
        <v>56117</v>
      </c>
      <c r="C537" s="9">
        <v>2.52676E-8</v>
      </c>
      <c r="D537" s="5" t="s">
        <v>1613</v>
      </c>
      <c r="E537" s="7">
        <v>1.75</v>
      </c>
      <c r="F537" s="1">
        <v>0.39608410317711157</v>
      </c>
      <c r="G537" s="1">
        <v>315339648</v>
      </c>
      <c r="H537" s="1">
        <v>0</v>
      </c>
      <c r="I537" s="7">
        <f t="shared" si="8"/>
        <v>364.97644444444444</v>
      </c>
      <c r="L537" s="5">
        <v>55132</v>
      </c>
      <c r="M537" s="7">
        <v>2.5826000000000002E-9</v>
      </c>
      <c r="N537" s="5" t="s">
        <v>1590</v>
      </c>
      <c r="O537" s="5">
        <v>77</v>
      </c>
      <c r="P537" s="5">
        <v>55</v>
      </c>
      <c r="Q537" s="7">
        <v>559872</v>
      </c>
      <c r="R537" s="7">
        <v>1.2380458043266055E-6</v>
      </c>
      <c r="S537" s="7">
        <v>21171761.127450578</v>
      </c>
      <c r="T537" s="7">
        <v>2.3420281251133728E-10</v>
      </c>
    </row>
    <row r="538" spans="2:20" x14ac:dyDescent="0.2">
      <c r="B538">
        <v>56118</v>
      </c>
      <c r="C538" s="9">
        <v>2.4429999999999999E-9</v>
      </c>
      <c r="D538" s="5" t="s">
        <v>1614</v>
      </c>
      <c r="E538" s="7">
        <v>5.5</v>
      </c>
      <c r="F538" s="1">
        <v>0.12602676010180824</v>
      </c>
      <c r="G538" s="1">
        <v>30488640</v>
      </c>
      <c r="H538" s="1">
        <v>0</v>
      </c>
      <c r="I538" s="7">
        <f t="shared" si="8"/>
        <v>35.287777777777777</v>
      </c>
      <c r="L538" s="5">
        <v>55134</v>
      </c>
      <c r="M538" s="7">
        <v>1.47767E-7</v>
      </c>
      <c r="N538" s="5" t="s">
        <v>1592</v>
      </c>
      <c r="O538" s="5">
        <v>79</v>
      </c>
      <c r="P538" s="5">
        <v>55</v>
      </c>
      <c r="Q538" s="7">
        <v>65172755.519999899</v>
      </c>
      <c r="R538" s="7">
        <v>1.0635535892712647E-8</v>
      </c>
      <c r="S538" s="7">
        <v>16868299.418316919</v>
      </c>
      <c r="T538" s="7">
        <v>12061684.117922174</v>
      </c>
    </row>
    <row r="539" spans="2:20" x14ac:dyDescent="0.2">
      <c r="B539">
        <v>56119</v>
      </c>
      <c r="C539" s="9">
        <v>4.1879999999999999E-10</v>
      </c>
      <c r="D539" s="5" t="s">
        <v>1615</v>
      </c>
      <c r="E539" s="7">
        <v>5.4</v>
      </c>
      <c r="F539" s="1">
        <v>0.12836058899258246</v>
      </c>
      <c r="G539" s="1">
        <v>5226624</v>
      </c>
      <c r="H539" s="1">
        <v>0</v>
      </c>
      <c r="I539" s="7">
        <f t="shared" si="8"/>
        <v>6.0493333333333341</v>
      </c>
      <c r="L539" s="5">
        <v>55135</v>
      </c>
      <c r="M539" s="7">
        <v>9.9255600000000009E-7</v>
      </c>
      <c r="N539" s="5" t="s">
        <v>1593</v>
      </c>
      <c r="O539" s="5">
        <v>80</v>
      </c>
      <c r="P539" s="5">
        <v>55</v>
      </c>
      <c r="Q539" s="7">
        <v>72582480000000</v>
      </c>
      <c r="R539" s="7">
        <v>9.5497864024478811E-15</v>
      </c>
      <c r="S539" s="7">
        <v>102.20614394787334</v>
      </c>
      <c r="T539" s="7">
        <v>102.20611316726472</v>
      </c>
    </row>
    <row r="540" spans="2:20" x14ac:dyDescent="0.2">
      <c r="B540">
        <v>56133</v>
      </c>
      <c r="C540" s="9">
        <v>1.3959999999999999E-10</v>
      </c>
      <c r="D540" s="5" t="s">
        <v>1629</v>
      </c>
      <c r="E540" s="7">
        <v>332964237.60000002</v>
      </c>
      <c r="F540" s="1">
        <v>2.0817466330802885E-9</v>
      </c>
      <c r="G540" s="1">
        <v>3130.7696006793399</v>
      </c>
      <c r="H540" s="1">
        <v>2931.8361271682984</v>
      </c>
      <c r="I540" s="7">
        <f t="shared" si="8"/>
        <v>3.6235759267121991E-3</v>
      </c>
      <c r="L540" s="5">
        <v>55136</v>
      </c>
      <c r="M540" s="7">
        <v>3.0998200000000001E-6</v>
      </c>
      <c r="N540" s="5" t="s">
        <v>1594</v>
      </c>
      <c r="O540" s="5">
        <v>81</v>
      </c>
      <c r="P540" s="5">
        <v>55</v>
      </c>
      <c r="Q540" s="7">
        <v>1126656</v>
      </c>
      <c r="R540" s="7">
        <v>6.1522521564696349E-7</v>
      </c>
      <c r="S540" s="7">
        <v>15950498179.150011</v>
      </c>
      <c r="T540" s="7">
        <v>59.800468707825246</v>
      </c>
    </row>
    <row r="541" spans="2:20" x14ac:dyDescent="0.2">
      <c r="B541">
        <v>56139</v>
      </c>
      <c r="C541" s="9">
        <v>2.3648199999999999E-6</v>
      </c>
      <c r="D541" s="5" t="s">
        <v>1635</v>
      </c>
      <c r="E541" s="7">
        <v>4983.6000000000004</v>
      </c>
      <c r="F541" s="1">
        <v>1.3908563700135349E-4</v>
      </c>
      <c r="G541" s="1">
        <v>29512953600</v>
      </c>
      <c r="H541" s="1">
        <v>0</v>
      </c>
      <c r="I541" s="7">
        <f t="shared" si="8"/>
        <v>34158.511111111111</v>
      </c>
      <c r="L541" s="5">
        <v>55137</v>
      </c>
      <c r="M541" s="7">
        <v>1.1737599999999999E-5</v>
      </c>
      <c r="N541" s="5" t="s">
        <v>1595</v>
      </c>
      <c r="O541" s="5">
        <v>82</v>
      </c>
      <c r="P541" s="5">
        <v>55</v>
      </c>
      <c r="Q541" s="7">
        <v>949252608</v>
      </c>
      <c r="R541" s="7">
        <v>7.3020308263398025E-10</v>
      </c>
      <c r="S541" s="7">
        <v>92387731.852743566</v>
      </c>
      <c r="T541" s="7">
        <v>90284564.790728584</v>
      </c>
    </row>
    <row r="542" spans="2:20" x14ac:dyDescent="0.2">
      <c r="B542">
        <v>56140</v>
      </c>
      <c r="C542" s="9">
        <v>6.5803299999999999E-6</v>
      </c>
      <c r="D542" s="5" t="s">
        <v>1636</v>
      </c>
      <c r="E542" s="7">
        <v>1101833.28</v>
      </c>
      <c r="F542" s="1">
        <v>6.2908535541778636E-7</v>
      </c>
      <c r="G542" s="1">
        <v>34434388783.933792</v>
      </c>
      <c r="H542" s="1">
        <v>83.386448443986609</v>
      </c>
      <c r="I542" s="7">
        <f t="shared" si="8"/>
        <v>39854.616648071518</v>
      </c>
      <c r="L542" s="5">
        <v>55138</v>
      </c>
      <c r="M542" s="7">
        <v>1.4260800000000001E-5</v>
      </c>
      <c r="N542" s="5" t="s">
        <v>1596</v>
      </c>
      <c r="O542" s="5">
        <v>83</v>
      </c>
      <c r="P542" s="5">
        <v>55</v>
      </c>
      <c r="Q542" s="7">
        <v>2004.6</v>
      </c>
      <c r="R542" s="7">
        <v>3.4577830018953673E-4</v>
      </c>
      <c r="S542" s="7">
        <v>177974784000</v>
      </c>
      <c r="T542" s="7">
        <v>0</v>
      </c>
    </row>
    <row r="543" spans="2:20" x14ac:dyDescent="0.2">
      <c r="B543">
        <v>56141</v>
      </c>
      <c r="C543" s="9">
        <v>1.33224E-5</v>
      </c>
      <c r="D543" s="5" t="s">
        <v>1637</v>
      </c>
      <c r="E543" s="7">
        <v>1096.2</v>
      </c>
      <c r="F543" s="1">
        <v>6.3231817237725352E-4</v>
      </c>
      <c r="G543" s="1">
        <v>166263552000</v>
      </c>
      <c r="H543" s="1">
        <v>0</v>
      </c>
      <c r="I543" s="7">
        <f t="shared" si="8"/>
        <v>192434.66666666666</v>
      </c>
      <c r="L543" s="5">
        <v>55139</v>
      </c>
      <c r="M543" s="7">
        <v>2.6011199999999999E-5</v>
      </c>
      <c r="N543" s="5" t="s">
        <v>1597</v>
      </c>
      <c r="O543" s="5">
        <v>84</v>
      </c>
      <c r="P543" s="5">
        <v>55</v>
      </c>
      <c r="Q543" s="7">
        <v>556.19999999999902</v>
      </c>
      <c r="R543" s="7">
        <v>1.2462193106075989E-3</v>
      </c>
      <c r="S543" s="7">
        <v>324619776000</v>
      </c>
      <c r="T543" s="7">
        <v>0</v>
      </c>
    </row>
    <row r="544" spans="2:20" x14ac:dyDescent="0.2">
      <c r="B544">
        <v>56142</v>
      </c>
      <c r="C544" s="9">
        <v>2.6614600000000001E-5</v>
      </c>
      <c r="D544" s="5" t="s">
        <v>1638</v>
      </c>
      <c r="E544" s="7">
        <v>636</v>
      </c>
      <c r="F544" s="1">
        <v>1.0898540574841907E-3</v>
      </c>
      <c r="G544" s="1">
        <v>332150208000</v>
      </c>
      <c r="H544" s="1">
        <v>0</v>
      </c>
      <c r="I544" s="7">
        <f t="shared" si="8"/>
        <v>384433.11111111112</v>
      </c>
      <c r="L544" s="5">
        <v>55140</v>
      </c>
      <c r="M544" s="7">
        <v>2.4516799999999999E-5</v>
      </c>
      <c r="N544" s="5" t="s">
        <v>1598</v>
      </c>
      <c r="O544" s="5">
        <v>85</v>
      </c>
      <c r="P544" s="5">
        <v>55</v>
      </c>
      <c r="Q544" s="7">
        <v>63.7</v>
      </c>
      <c r="R544" s="7">
        <v>1.0881431405964604E-2</v>
      </c>
      <c r="S544" s="7">
        <v>305969664000</v>
      </c>
      <c r="T544" s="7">
        <v>0</v>
      </c>
    </row>
    <row r="545" spans="2:20" x14ac:dyDescent="0.2">
      <c r="B545">
        <v>56143</v>
      </c>
      <c r="C545" s="9">
        <v>3.7416200000000003E-5</v>
      </c>
      <c r="D545" s="5" t="s">
        <v>1639</v>
      </c>
      <c r="E545" s="7">
        <v>14.5</v>
      </c>
      <c r="F545" s="1">
        <v>4.7803253831720363E-2</v>
      </c>
      <c r="G545" s="1">
        <v>466954176000.00006</v>
      </c>
      <c r="H545" s="1">
        <v>0</v>
      </c>
      <c r="I545" s="7">
        <f t="shared" si="8"/>
        <v>540456.22222222225</v>
      </c>
      <c r="L545" s="5">
        <v>55141</v>
      </c>
      <c r="M545" s="7">
        <v>2.7565200000000002E-5</v>
      </c>
      <c r="N545" s="5" t="s">
        <v>1599</v>
      </c>
      <c r="O545" s="5">
        <v>86</v>
      </c>
      <c r="P545" s="5">
        <v>55</v>
      </c>
      <c r="Q545" s="7">
        <v>24.84</v>
      </c>
      <c r="R545" s="7">
        <v>2.7904475867952708E-2</v>
      </c>
      <c r="S545" s="7">
        <v>344013696000</v>
      </c>
      <c r="T545" s="7">
        <v>0</v>
      </c>
    </row>
    <row r="546" spans="2:20" x14ac:dyDescent="0.2">
      <c r="B546">
        <v>56144</v>
      </c>
      <c r="C546" s="9">
        <v>4.4557600000000002E-5</v>
      </c>
      <c r="D546" s="5" t="s">
        <v>1640</v>
      </c>
      <c r="E546" s="7">
        <v>11.5</v>
      </c>
      <c r="F546" s="1">
        <v>6.027366787477785E-2</v>
      </c>
      <c r="G546" s="1">
        <v>556078848000</v>
      </c>
      <c r="H546" s="1">
        <v>0</v>
      </c>
      <c r="I546" s="7">
        <f t="shared" si="8"/>
        <v>643609.77777777775</v>
      </c>
      <c r="L546" s="5">
        <v>55142</v>
      </c>
      <c r="M546" s="7">
        <v>1.6966400000000001E-5</v>
      </c>
      <c r="N546" s="5" t="s">
        <v>1600</v>
      </c>
      <c r="O546" s="5">
        <v>87</v>
      </c>
      <c r="P546" s="5">
        <v>55</v>
      </c>
      <c r="Q546" s="7">
        <v>1.6839999999999999</v>
      </c>
      <c r="R546" s="7">
        <v>0.41160758940614328</v>
      </c>
      <c r="S546" s="7">
        <v>211740672000</v>
      </c>
      <c r="T546" s="7">
        <v>0</v>
      </c>
    </row>
    <row r="547" spans="2:20" x14ac:dyDescent="0.2">
      <c r="B547">
        <v>56145</v>
      </c>
      <c r="C547" s="9">
        <v>3.6569200000000002E-5</v>
      </c>
      <c r="D547" s="5" t="s">
        <v>1641</v>
      </c>
      <c r="E547" s="7">
        <v>4.3099999999999996</v>
      </c>
      <c r="F547" s="1">
        <v>0.16082301173084579</v>
      </c>
      <c r="G547" s="1">
        <v>456383616000</v>
      </c>
      <c r="H547" s="1">
        <v>0</v>
      </c>
      <c r="I547" s="7">
        <f t="shared" si="8"/>
        <v>528221.77777777775</v>
      </c>
      <c r="L547" s="5">
        <v>55143</v>
      </c>
      <c r="M547" s="7">
        <v>1.31636E-5</v>
      </c>
      <c r="N547" s="5" t="s">
        <v>1601</v>
      </c>
      <c r="O547" s="5">
        <v>88</v>
      </c>
      <c r="P547" s="5">
        <v>55</v>
      </c>
      <c r="Q547" s="7">
        <v>1.7909999999999999</v>
      </c>
      <c r="R547" s="7">
        <v>0.38701685123391699</v>
      </c>
      <c r="S547" s="7">
        <v>164281728000</v>
      </c>
      <c r="T547" s="7">
        <v>0</v>
      </c>
    </row>
    <row r="548" spans="2:20" x14ac:dyDescent="0.2">
      <c r="B548">
        <v>56146</v>
      </c>
      <c r="C548" s="9">
        <v>2.5329599999999999E-5</v>
      </c>
      <c r="D548" s="5" t="s">
        <v>1642</v>
      </c>
      <c r="E548" s="7">
        <v>2.2200000000000002</v>
      </c>
      <c r="F548" s="1">
        <v>0.31222845971168706</v>
      </c>
      <c r="G548" s="1">
        <v>316113408000</v>
      </c>
      <c r="H548" s="1">
        <v>0</v>
      </c>
      <c r="I548" s="7">
        <f t="shared" si="8"/>
        <v>365872</v>
      </c>
      <c r="L548" s="5">
        <v>55144</v>
      </c>
      <c r="M548" s="7">
        <v>5.37823E-6</v>
      </c>
      <c r="N548" s="5" t="s">
        <v>1602</v>
      </c>
      <c r="O548" s="5">
        <v>89</v>
      </c>
      <c r="P548" s="5">
        <v>55</v>
      </c>
      <c r="Q548" s="7">
        <v>0.99399999999999999</v>
      </c>
      <c r="R548" s="7">
        <v>0.69733116756533731</v>
      </c>
      <c r="S548" s="7">
        <v>67120310400</v>
      </c>
      <c r="T548" s="7">
        <v>0</v>
      </c>
    </row>
    <row r="549" spans="2:20" x14ac:dyDescent="0.2">
      <c r="B549">
        <v>56147</v>
      </c>
      <c r="C549" s="9">
        <v>1.22515E-5</v>
      </c>
      <c r="D549" s="5" t="s">
        <v>1643</v>
      </c>
      <c r="E549" s="7">
        <v>0.89400000000000002</v>
      </c>
      <c r="F549" s="1">
        <v>0.77533241673371955</v>
      </c>
      <c r="G549" s="1">
        <v>152898720000</v>
      </c>
      <c r="H549" s="1">
        <v>0</v>
      </c>
      <c r="I549" s="7">
        <f t="shared" si="8"/>
        <v>176966.11111111112</v>
      </c>
      <c r="L549" s="5">
        <v>55145</v>
      </c>
      <c r="M549" s="7">
        <v>3.20947E-6</v>
      </c>
      <c r="N549" s="5" t="s">
        <v>1603</v>
      </c>
      <c r="O549" s="5">
        <v>90</v>
      </c>
      <c r="P549" s="5">
        <v>55</v>
      </c>
      <c r="Q549" s="7">
        <v>0.58699999999999997</v>
      </c>
      <c r="R549" s="7">
        <v>1.1808299498465848</v>
      </c>
      <c r="S549" s="7">
        <v>40054185600</v>
      </c>
      <c r="T549" s="7">
        <v>0</v>
      </c>
    </row>
    <row r="550" spans="2:20" x14ac:dyDescent="0.2">
      <c r="B550">
        <v>56148</v>
      </c>
      <c r="C550" s="9">
        <v>4.9977499999999997E-6</v>
      </c>
      <c r="D550" s="5" t="s">
        <v>1644</v>
      </c>
      <c r="E550" s="7">
        <v>0.61199999999999999</v>
      </c>
      <c r="F550" s="1">
        <v>1.1325934322874924</v>
      </c>
      <c r="G550" s="1">
        <v>62371920000</v>
      </c>
      <c r="H550" s="1">
        <v>0</v>
      </c>
      <c r="I550" s="7">
        <f t="shared" si="8"/>
        <v>72189.722222222219</v>
      </c>
      <c r="L550" s="5">
        <v>55146</v>
      </c>
      <c r="M550" s="7">
        <v>1.0418299999999999E-6</v>
      </c>
      <c r="N550" s="5" t="s">
        <v>1604</v>
      </c>
      <c r="O550" s="5">
        <v>91</v>
      </c>
      <c r="P550" s="5">
        <v>55</v>
      </c>
      <c r="Q550" s="7">
        <v>0.32200000000000001</v>
      </c>
      <c r="R550" s="7">
        <v>2.1526309955277805</v>
      </c>
      <c r="S550" s="7">
        <v>13002038399.999998</v>
      </c>
      <c r="T550" s="7">
        <v>0</v>
      </c>
    </row>
    <row r="551" spans="2:20" x14ac:dyDescent="0.2">
      <c r="B551">
        <v>57123</v>
      </c>
      <c r="C551" s="9">
        <v>1.16559E-6</v>
      </c>
      <c r="D551" s="5" t="s">
        <v>1653</v>
      </c>
      <c r="E551" s="7">
        <v>17</v>
      </c>
      <c r="F551" s="1">
        <v>4.0773363562349722E-2</v>
      </c>
      <c r="G551" s="1">
        <v>14546563200</v>
      </c>
      <c r="H551" s="1">
        <v>0</v>
      </c>
      <c r="I551" s="7">
        <f t="shared" si="8"/>
        <v>16836.3</v>
      </c>
      <c r="L551" s="5">
        <v>55147</v>
      </c>
      <c r="M551" s="7">
        <v>4.52862E-7</v>
      </c>
      <c r="N551" s="5" t="s">
        <v>1605</v>
      </c>
      <c r="O551" s="5">
        <v>92</v>
      </c>
      <c r="P551" s="5">
        <v>55</v>
      </c>
      <c r="Q551" s="7">
        <v>0.23</v>
      </c>
      <c r="R551" s="7">
        <v>3.0136833937388925</v>
      </c>
      <c r="S551" s="7">
        <v>5651717760</v>
      </c>
      <c r="T551" s="7">
        <v>0</v>
      </c>
    </row>
    <row r="552" spans="2:20" x14ac:dyDescent="0.2">
      <c r="B552">
        <v>57124</v>
      </c>
      <c r="C552" s="9">
        <v>2.5239699999999998E-7</v>
      </c>
      <c r="D552" s="5" t="s">
        <v>1654</v>
      </c>
      <c r="E552" s="7">
        <v>29.21</v>
      </c>
      <c r="F552" s="1">
        <v>2.3729790501881044E-2</v>
      </c>
      <c r="G552" s="1">
        <v>3149914559.9999995</v>
      </c>
      <c r="H552" s="1">
        <v>0</v>
      </c>
      <c r="I552" s="7">
        <f t="shared" si="8"/>
        <v>3645.7344444444439</v>
      </c>
      <c r="L552" s="5">
        <v>55148</v>
      </c>
      <c r="M552" s="7">
        <v>8.5853999999999996E-8</v>
      </c>
      <c r="N552" s="5" t="s">
        <v>1606</v>
      </c>
      <c r="O552" s="5">
        <v>93</v>
      </c>
      <c r="P552" s="5">
        <v>55</v>
      </c>
      <c r="Q552" s="7">
        <v>0.14599999999999999</v>
      </c>
      <c r="R552" s="7">
        <v>4.747583428492776</v>
      </c>
      <c r="S552" s="7">
        <v>1071457920</v>
      </c>
      <c r="T552" s="7">
        <v>0</v>
      </c>
    </row>
    <row r="553" spans="2:20" x14ac:dyDescent="0.2">
      <c r="B553">
        <v>57125</v>
      </c>
      <c r="C553" s="9">
        <v>2.7361599999999999E-8</v>
      </c>
      <c r="D553" s="5" t="s">
        <v>1655</v>
      </c>
      <c r="E553" s="7">
        <v>64.8</v>
      </c>
      <c r="F553" s="1">
        <v>1.0696715749381872E-2</v>
      </c>
      <c r="G553" s="1">
        <v>341472768</v>
      </c>
      <c r="H553" s="1">
        <v>0</v>
      </c>
      <c r="I553" s="7">
        <f t="shared" si="8"/>
        <v>395.22311111111111</v>
      </c>
      <c r="L553" s="5">
        <v>56117</v>
      </c>
      <c r="M553" s="7">
        <v>2.5895800000000002E-8</v>
      </c>
      <c r="N553" s="5" t="s">
        <v>1613</v>
      </c>
      <c r="O553" s="5">
        <v>61</v>
      </c>
      <c r="P553" s="5">
        <v>56</v>
      </c>
      <c r="Q553" s="7">
        <v>1.75</v>
      </c>
      <c r="R553" s="7">
        <v>0.39608410317711157</v>
      </c>
      <c r="S553" s="7">
        <v>323179584</v>
      </c>
      <c r="T553" s="7">
        <v>0</v>
      </c>
    </row>
    <row r="554" spans="2:20" x14ac:dyDescent="0.2">
      <c r="B554">
        <v>57126</v>
      </c>
      <c r="C554" s="9">
        <v>3.3503999999999999E-9</v>
      </c>
      <c r="D554" s="5" t="s">
        <v>1656</v>
      </c>
      <c r="E554" s="7">
        <v>54</v>
      </c>
      <c r="F554" s="1">
        <v>1.2836058899258247E-2</v>
      </c>
      <c r="G554" s="1">
        <v>41812992</v>
      </c>
      <c r="H554" s="1">
        <v>0</v>
      </c>
      <c r="I554" s="7">
        <f t="shared" si="8"/>
        <v>48.394666666666673</v>
      </c>
      <c r="L554" s="5">
        <v>56118</v>
      </c>
      <c r="M554" s="7">
        <v>4.1182000000000001E-9</v>
      </c>
      <c r="N554" s="5" t="s">
        <v>1614</v>
      </c>
      <c r="O554" s="5">
        <v>62</v>
      </c>
      <c r="P554" s="5">
        <v>56</v>
      </c>
      <c r="Q554" s="7">
        <v>5.5</v>
      </c>
      <c r="R554" s="7">
        <v>0.12602676010180824</v>
      </c>
      <c r="S554" s="7">
        <v>51395136</v>
      </c>
      <c r="T554" s="7">
        <v>0</v>
      </c>
    </row>
    <row r="555" spans="2:20" x14ac:dyDescent="0.2">
      <c r="B555">
        <v>57127</v>
      </c>
      <c r="C555" s="9">
        <v>1.3959999999999999E-10</v>
      </c>
      <c r="D555" s="5" t="s">
        <v>1657</v>
      </c>
      <c r="E555" s="7">
        <v>306</v>
      </c>
      <c r="F555" s="1">
        <v>2.2651868645749847E-3</v>
      </c>
      <c r="G555" s="1">
        <v>1742207.9999999998</v>
      </c>
      <c r="H555" s="1">
        <v>0</v>
      </c>
      <c r="I555" s="7">
        <f t="shared" si="8"/>
        <v>2.0164444444444443</v>
      </c>
      <c r="L555" s="5">
        <v>56119</v>
      </c>
      <c r="M555" s="7">
        <v>1.1167999999999999E-9</v>
      </c>
      <c r="N555" s="5" t="s">
        <v>1615</v>
      </c>
      <c r="O555" s="5">
        <v>63</v>
      </c>
      <c r="P555" s="5">
        <v>56</v>
      </c>
      <c r="Q555" s="7">
        <v>5.4</v>
      </c>
      <c r="R555" s="7">
        <v>0.12836058899258246</v>
      </c>
      <c r="S555" s="7">
        <v>13937663.999999998</v>
      </c>
      <c r="T555" s="7">
        <v>0</v>
      </c>
    </row>
    <row r="556" spans="2:20" x14ac:dyDescent="0.2">
      <c r="B556">
        <v>57136</v>
      </c>
      <c r="C556" s="9">
        <v>2.7919999999999998E-10</v>
      </c>
      <c r="D556" s="5" t="s">
        <v>1666</v>
      </c>
      <c r="E556" s="7">
        <v>592.19999999999902</v>
      </c>
      <c r="F556" s="1">
        <v>1.1704612978047052E-3</v>
      </c>
      <c r="G556" s="1">
        <v>3484415.9999999995</v>
      </c>
      <c r="H556" s="1">
        <v>0</v>
      </c>
      <c r="I556" s="7">
        <f t="shared" si="8"/>
        <v>4.0328888888888885</v>
      </c>
      <c r="L556" s="5">
        <v>56133</v>
      </c>
      <c r="M556" s="7">
        <v>6.9799999999999994E-11</v>
      </c>
      <c r="N556" s="5" t="s">
        <v>1629</v>
      </c>
      <c r="O556" s="5">
        <v>77</v>
      </c>
      <c r="P556" s="5">
        <v>56</v>
      </c>
      <c r="Q556" s="7">
        <v>332964237.60000002</v>
      </c>
      <c r="R556" s="7">
        <v>2.0817466330802885E-9</v>
      </c>
      <c r="S556" s="7">
        <v>1565.3848003396699</v>
      </c>
      <c r="T556" s="7">
        <v>1465.9180635841492</v>
      </c>
    </row>
    <row r="557" spans="2:20" x14ac:dyDescent="0.2">
      <c r="B557">
        <v>57137</v>
      </c>
      <c r="C557" s="9">
        <v>1.5355999999999999E-9</v>
      </c>
      <c r="D557" s="5" t="s">
        <v>1667</v>
      </c>
      <c r="E557" s="7">
        <v>1893456000000</v>
      </c>
      <c r="F557" s="1">
        <v>3.6607514542716879E-13</v>
      </c>
      <c r="G557" s="1">
        <v>6.0614511040729013</v>
      </c>
      <c r="H557" s="1">
        <v>6.0613811277770226</v>
      </c>
      <c r="I557" s="7">
        <f t="shared" si="8"/>
        <v>7.0155684074917836E-6</v>
      </c>
      <c r="L557" s="5">
        <v>56139</v>
      </c>
      <c r="M557" s="7">
        <v>4.9483300000000001E-6</v>
      </c>
      <c r="N557" s="5" t="s">
        <v>1635</v>
      </c>
      <c r="O557" s="5">
        <v>83</v>
      </c>
      <c r="P557" s="5">
        <v>56</v>
      </c>
      <c r="Q557" s="7">
        <v>4983.6000000000004</v>
      </c>
      <c r="R557" s="7">
        <v>1.3908563700135349E-4</v>
      </c>
      <c r="S557" s="7">
        <v>61755158400</v>
      </c>
      <c r="T557" s="7">
        <v>0</v>
      </c>
    </row>
    <row r="558" spans="2:20" x14ac:dyDescent="0.2">
      <c r="B558">
        <v>57138</v>
      </c>
      <c r="C558" s="9">
        <v>9.9814000000000003E-9</v>
      </c>
      <c r="D558" s="5" t="s">
        <v>1668</v>
      </c>
      <c r="E558" s="7">
        <v>3.2188752E+18</v>
      </c>
      <c r="F558" s="1">
        <v>2.1533832083951104E-19</v>
      </c>
      <c r="G558" s="1">
        <v>2.3178764848807987E-5</v>
      </c>
      <c r="H558" s="1">
        <v>2.3178764848650581E-5</v>
      </c>
      <c r="I558" s="7">
        <f t="shared" si="8"/>
        <v>2.6827274130564801E-11</v>
      </c>
      <c r="L558" s="5">
        <v>56140</v>
      </c>
      <c r="M558" s="7">
        <v>1.1966E-5</v>
      </c>
      <c r="N558" s="5" t="s">
        <v>1636</v>
      </c>
      <c r="O558" s="5">
        <v>84</v>
      </c>
      <c r="P558" s="5">
        <v>56</v>
      </c>
      <c r="Q558" s="7">
        <v>1101833.28</v>
      </c>
      <c r="R558" s="7">
        <v>6.2908535541778636E-7</v>
      </c>
      <c r="S558" s="7">
        <v>62617208588.102982</v>
      </c>
      <c r="T558" s="7">
        <v>151.6340733794116</v>
      </c>
    </row>
    <row r="559" spans="2:20" x14ac:dyDescent="0.2">
      <c r="B559">
        <v>57140</v>
      </c>
      <c r="C559" s="9">
        <v>2.2007899999999999E-7</v>
      </c>
      <c r="D559" s="5" t="s">
        <v>1670</v>
      </c>
      <c r="E559" s="7">
        <v>145026.72</v>
      </c>
      <c r="F559" s="1">
        <v>4.77944464688952E-6</v>
      </c>
      <c r="G559" s="1">
        <v>2702388175.3911572</v>
      </c>
      <c r="H559" s="1">
        <v>9.3950752721036124E-57</v>
      </c>
      <c r="I559" s="7">
        <f t="shared" si="8"/>
        <v>3127.7640918879133</v>
      </c>
      <c r="L559" s="5">
        <v>56141</v>
      </c>
      <c r="M559" s="7">
        <v>1.4184499999999999E-5</v>
      </c>
      <c r="N559" s="5" t="s">
        <v>1637</v>
      </c>
      <c r="O559" s="5">
        <v>85</v>
      </c>
      <c r="P559" s="5">
        <v>56</v>
      </c>
      <c r="Q559" s="7">
        <v>1096.2</v>
      </c>
      <c r="R559" s="7">
        <v>6.3231817237725352E-4</v>
      </c>
      <c r="S559" s="7">
        <v>177022560000</v>
      </c>
      <c r="T559" s="7">
        <v>0</v>
      </c>
    </row>
    <row r="560" spans="2:20" x14ac:dyDescent="0.2">
      <c r="B560">
        <v>57141</v>
      </c>
      <c r="C560" s="9">
        <v>8.3725100000000004E-7</v>
      </c>
      <c r="D560" s="5" t="s">
        <v>1671</v>
      </c>
      <c r="E560" s="7">
        <v>14112</v>
      </c>
      <c r="F560" s="1">
        <v>4.9117572318590229E-5</v>
      </c>
      <c r="G560" s="1">
        <v>10448892480</v>
      </c>
      <c r="H560" s="1">
        <v>0</v>
      </c>
      <c r="I560" s="7">
        <f t="shared" si="8"/>
        <v>12093.625555555556</v>
      </c>
      <c r="L560" s="5">
        <v>56142</v>
      </c>
      <c r="M560" s="7">
        <v>2.3874199999999999E-5</v>
      </c>
      <c r="N560" s="5" t="s">
        <v>1638</v>
      </c>
      <c r="O560" s="5">
        <v>86</v>
      </c>
      <c r="P560" s="5">
        <v>56</v>
      </c>
      <c r="Q560" s="7">
        <v>636</v>
      </c>
      <c r="R560" s="7">
        <v>1.0898540574841907E-3</v>
      </c>
      <c r="S560" s="7">
        <v>297950016000</v>
      </c>
      <c r="T560" s="7">
        <v>0</v>
      </c>
    </row>
    <row r="561" spans="2:20" x14ac:dyDescent="0.2">
      <c r="B561">
        <v>57142</v>
      </c>
      <c r="C561" s="9">
        <v>2.1142399999999999E-6</v>
      </c>
      <c r="D561" s="5" t="s">
        <v>1672</v>
      </c>
      <c r="E561" s="7">
        <v>5466</v>
      </c>
      <c r="F561" s="1">
        <v>1.2681068067324283E-4</v>
      </c>
      <c r="G561" s="1">
        <v>26385715200</v>
      </c>
      <c r="H561" s="1">
        <v>0</v>
      </c>
      <c r="I561" s="7">
        <f t="shared" si="8"/>
        <v>30539.022222222222</v>
      </c>
      <c r="L561" s="5">
        <v>56143</v>
      </c>
      <c r="M561" s="7">
        <v>1.8289999999999999E-5</v>
      </c>
      <c r="N561" s="5" t="s">
        <v>1639</v>
      </c>
      <c r="O561" s="5">
        <v>87</v>
      </c>
      <c r="P561" s="5">
        <v>56</v>
      </c>
      <c r="Q561" s="7">
        <v>14.5</v>
      </c>
      <c r="R561" s="7">
        <v>4.7803253831720363E-2</v>
      </c>
      <c r="S561" s="7">
        <v>228259200000</v>
      </c>
      <c r="T561" s="7">
        <v>0</v>
      </c>
    </row>
    <row r="562" spans="2:20" x14ac:dyDescent="0.2">
      <c r="B562">
        <v>57143</v>
      </c>
      <c r="C562" s="9">
        <v>6.0190600000000003E-6</v>
      </c>
      <c r="D562" s="5" t="s">
        <v>1673</v>
      </c>
      <c r="E562" s="7">
        <v>852</v>
      </c>
      <c r="F562" s="1">
        <v>8.1355302882622684E-4</v>
      </c>
      <c r="G562" s="1">
        <v>75117868800</v>
      </c>
      <c r="H562" s="1">
        <v>0</v>
      </c>
      <c r="I562" s="7">
        <f t="shared" si="8"/>
        <v>86941.977777777778</v>
      </c>
      <c r="L562" s="5">
        <v>56144</v>
      </c>
      <c r="M562" s="7">
        <v>2.0009399999999999E-5</v>
      </c>
      <c r="N562" s="5" t="s">
        <v>1640</v>
      </c>
      <c r="O562" s="5">
        <v>88</v>
      </c>
      <c r="P562" s="5">
        <v>56</v>
      </c>
      <c r="Q562" s="7">
        <v>11.5</v>
      </c>
      <c r="R562" s="7">
        <v>6.027366787477785E-2</v>
      </c>
      <c r="S562" s="7">
        <v>249717311999.99997</v>
      </c>
      <c r="T562" s="7">
        <v>0</v>
      </c>
    </row>
    <row r="563" spans="2:20" x14ac:dyDescent="0.2">
      <c r="B563">
        <v>57144</v>
      </c>
      <c r="C563" s="9">
        <v>1.06554E-5</v>
      </c>
      <c r="D563" s="5" t="s">
        <v>1674</v>
      </c>
      <c r="E563" s="7">
        <v>40.799999999999997</v>
      </c>
      <c r="F563" s="1">
        <v>1.6988901484312386E-2</v>
      </c>
      <c r="G563" s="1">
        <v>132979392000</v>
      </c>
      <c r="H563" s="1">
        <v>0</v>
      </c>
      <c r="I563" s="7">
        <f t="shared" si="8"/>
        <v>153911.33333333334</v>
      </c>
      <c r="L563" s="5">
        <v>56145</v>
      </c>
      <c r="M563" s="7">
        <v>1.04223E-5</v>
      </c>
      <c r="N563" s="5" t="s">
        <v>1641</v>
      </c>
      <c r="O563" s="5">
        <v>89</v>
      </c>
      <c r="P563" s="5">
        <v>56</v>
      </c>
      <c r="Q563" s="7">
        <v>4.3099999999999996</v>
      </c>
      <c r="R563" s="7">
        <v>0.16082301173084579</v>
      </c>
      <c r="S563" s="7">
        <v>130070304000</v>
      </c>
      <c r="T563" s="7">
        <v>0</v>
      </c>
    </row>
    <row r="564" spans="2:20" x14ac:dyDescent="0.2">
      <c r="B564">
        <v>57145</v>
      </c>
      <c r="C564" s="9">
        <v>1.9298899999999999E-5</v>
      </c>
      <c r="D564" s="5" t="s">
        <v>1675</v>
      </c>
      <c r="E564" s="7">
        <v>24.8</v>
      </c>
      <c r="F564" s="1">
        <v>2.7949483087094568E-2</v>
      </c>
      <c r="G564" s="1">
        <v>240850272000</v>
      </c>
      <c r="H564" s="1">
        <v>0</v>
      </c>
      <c r="I564" s="7">
        <f t="shared" si="8"/>
        <v>278761.88888888888</v>
      </c>
      <c r="L564" s="5">
        <v>56146</v>
      </c>
      <c r="M564" s="7">
        <v>6.8142900000000003E-6</v>
      </c>
      <c r="N564" s="5" t="s">
        <v>1642</v>
      </c>
      <c r="O564" s="5">
        <v>90</v>
      </c>
      <c r="P564" s="5">
        <v>56</v>
      </c>
      <c r="Q564" s="7">
        <v>2.2200000000000002</v>
      </c>
      <c r="R564" s="7">
        <v>0.31222845971168706</v>
      </c>
      <c r="S564" s="7">
        <v>85042339200</v>
      </c>
      <c r="T564" s="7">
        <v>0</v>
      </c>
    </row>
    <row r="565" spans="2:20" x14ac:dyDescent="0.2">
      <c r="B565">
        <v>57146</v>
      </c>
      <c r="C565" s="9">
        <v>1.9771599999999999E-5</v>
      </c>
      <c r="D565" s="5" t="s">
        <v>1676</v>
      </c>
      <c r="E565" s="7">
        <v>6.27</v>
      </c>
      <c r="F565" s="1">
        <v>0.11054978956298969</v>
      </c>
      <c r="G565" s="1">
        <v>246749568000</v>
      </c>
      <c r="H565" s="1">
        <v>0</v>
      </c>
      <c r="I565" s="7">
        <f t="shared" si="8"/>
        <v>285589.77777777775</v>
      </c>
      <c r="L565" s="5">
        <v>56147</v>
      </c>
      <c r="M565" s="7">
        <v>3.00196E-6</v>
      </c>
      <c r="N565" s="5" t="s">
        <v>1643</v>
      </c>
      <c r="O565" s="5">
        <v>91</v>
      </c>
      <c r="P565" s="5">
        <v>56</v>
      </c>
      <c r="Q565" s="7">
        <v>0.89400000000000002</v>
      </c>
      <c r="R565" s="7">
        <v>0.77533241673371955</v>
      </c>
      <c r="S565" s="7">
        <v>37464460800</v>
      </c>
      <c r="T565" s="7">
        <v>0</v>
      </c>
    </row>
    <row r="566" spans="2:20" x14ac:dyDescent="0.2">
      <c r="B566">
        <v>57147</v>
      </c>
      <c r="C566" s="9">
        <v>2.1732299999999999E-5</v>
      </c>
      <c r="D566" s="5" t="s">
        <v>1677</v>
      </c>
      <c r="E566" s="7">
        <v>4.0599999999999996</v>
      </c>
      <c r="F566" s="1">
        <v>0.17072590654185846</v>
      </c>
      <c r="G566" s="1">
        <v>271219103999.99997</v>
      </c>
      <c r="H566" s="1">
        <v>0</v>
      </c>
      <c r="I566" s="7">
        <f t="shared" si="8"/>
        <v>313910.99999999994</v>
      </c>
      <c r="L566" s="5">
        <v>56148</v>
      </c>
      <c r="M566" s="7">
        <v>1.4886199999999999E-6</v>
      </c>
      <c r="N566" s="5" t="s">
        <v>1644</v>
      </c>
      <c r="O566" s="5">
        <v>92</v>
      </c>
      <c r="P566" s="5">
        <v>56</v>
      </c>
      <c r="Q566" s="7">
        <v>0.61199999999999999</v>
      </c>
      <c r="R566" s="7">
        <v>1.1325934322874924</v>
      </c>
      <c r="S566" s="7">
        <v>18577977600</v>
      </c>
      <c r="T566" s="7">
        <v>0</v>
      </c>
    </row>
    <row r="567" spans="2:20" x14ac:dyDescent="0.2">
      <c r="B567">
        <v>57148</v>
      </c>
      <c r="C567" s="9">
        <v>1.40988E-5</v>
      </c>
      <c r="D567" s="5" t="s">
        <v>1678</v>
      </c>
      <c r="E567" s="7">
        <v>1.26</v>
      </c>
      <c r="F567" s="1">
        <v>0.55011680996821055</v>
      </c>
      <c r="G567" s="1">
        <v>175953024000</v>
      </c>
      <c r="H567" s="1">
        <v>0</v>
      </c>
      <c r="I567" s="7">
        <f t="shared" si="8"/>
        <v>203649.33333333334</v>
      </c>
      <c r="L567" s="5">
        <v>57123</v>
      </c>
      <c r="M567" s="7">
        <v>3.3413300000000002E-7</v>
      </c>
      <c r="N567" s="5" t="s">
        <v>1653</v>
      </c>
      <c r="O567" s="5">
        <v>66</v>
      </c>
      <c r="P567" s="5">
        <v>57</v>
      </c>
      <c r="Q567" s="7">
        <v>17</v>
      </c>
      <c r="R567" s="7">
        <v>4.0773363562349722E-2</v>
      </c>
      <c r="S567" s="7">
        <v>4169979840</v>
      </c>
      <c r="T567" s="7">
        <v>0</v>
      </c>
    </row>
    <row r="568" spans="2:20" x14ac:dyDescent="0.2">
      <c r="B568">
        <v>57149</v>
      </c>
      <c r="C568" s="9">
        <v>8.7177400000000007E-6</v>
      </c>
      <c r="D568" s="5" t="s">
        <v>1679</v>
      </c>
      <c r="E568" s="7">
        <v>1.05</v>
      </c>
      <c r="F568" s="1">
        <v>0.6601401719618526</v>
      </c>
      <c r="G568" s="1">
        <v>108797395200.00002</v>
      </c>
      <c r="H568" s="1">
        <v>0</v>
      </c>
      <c r="I568" s="7">
        <f t="shared" si="8"/>
        <v>125922.91111111113</v>
      </c>
      <c r="L568" s="5">
        <v>57124</v>
      </c>
      <c r="M568" s="7">
        <v>1.5020999999999999E-7</v>
      </c>
      <c r="N568" s="5" t="s">
        <v>1654</v>
      </c>
      <c r="O568" s="5">
        <v>67</v>
      </c>
      <c r="P568" s="5">
        <v>57</v>
      </c>
      <c r="Q568" s="7">
        <v>29.21</v>
      </c>
      <c r="R568" s="7">
        <v>2.3729790501881044E-2</v>
      </c>
      <c r="S568" s="7">
        <v>1874620800</v>
      </c>
      <c r="T568" s="7">
        <v>0</v>
      </c>
    </row>
    <row r="569" spans="2:20" x14ac:dyDescent="0.2">
      <c r="B569">
        <v>58124</v>
      </c>
      <c r="C569" s="9">
        <v>3.02562E-6</v>
      </c>
      <c r="D569" s="5" t="s">
        <v>1686</v>
      </c>
      <c r="E569" s="7">
        <v>6</v>
      </c>
      <c r="F569" s="1">
        <v>0.11552453009332421</v>
      </c>
      <c r="G569" s="1">
        <v>37759737600</v>
      </c>
      <c r="H569" s="1">
        <v>0</v>
      </c>
      <c r="I569" s="7">
        <f t="shared" si="8"/>
        <v>43703.4</v>
      </c>
      <c r="L569" s="5">
        <v>57125</v>
      </c>
      <c r="M569" s="7">
        <v>2.4220600000000001E-8</v>
      </c>
      <c r="N569" s="5" t="s">
        <v>1655</v>
      </c>
      <c r="O569" s="5">
        <v>68</v>
      </c>
      <c r="P569" s="5">
        <v>57</v>
      </c>
      <c r="Q569" s="7">
        <v>64.8</v>
      </c>
      <c r="R569" s="7">
        <v>1.0696715749381872E-2</v>
      </c>
      <c r="S569" s="7">
        <v>302273088</v>
      </c>
      <c r="T569" s="7">
        <v>0</v>
      </c>
    </row>
    <row r="570" spans="2:20" x14ac:dyDescent="0.2">
      <c r="B570">
        <v>58125</v>
      </c>
      <c r="C570" s="9">
        <v>1.04623E-6</v>
      </c>
      <c r="D570" s="5" t="s">
        <v>1687</v>
      </c>
      <c r="E570" s="7">
        <v>9.6999999999999993</v>
      </c>
      <c r="F570" s="1">
        <v>7.1458472222674776E-2</v>
      </c>
      <c r="G570" s="1">
        <v>13056950400</v>
      </c>
      <c r="H570" s="1">
        <v>0</v>
      </c>
      <c r="I570" s="7">
        <f t="shared" si="8"/>
        <v>15112.211111111112</v>
      </c>
      <c r="L570" s="5">
        <v>57126</v>
      </c>
      <c r="M570" s="7">
        <v>7.6779999999999993E-9</v>
      </c>
      <c r="N570" s="5" t="s">
        <v>1656</v>
      </c>
      <c r="O570" s="5">
        <v>69</v>
      </c>
      <c r="P570" s="5">
        <v>57</v>
      </c>
      <c r="Q570" s="7">
        <v>54</v>
      </c>
      <c r="R570" s="7">
        <v>1.2836058899258247E-2</v>
      </c>
      <c r="S570" s="7">
        <v>95821439.999999985</v>
      </c>
      <c r="T570" s="7">
        <v>0</v>
      </c>
    </row>
    <row r="571" spans="2:20" x14ac:dyDescent="0.2">
      <c r="B571">
        <v>58126</v>
      </c>
      <c r="C571" s="9">
        <v>1.83155E-7</v>
      </c>
      <c r="D571" s="5" t="s">
        <v>1688</v>
      </c>
      <c r="E571" s="7">
        <v>51</v>
      </c>
      <c r="F571" s="1">
        <v>1.3591121187449907E-2</v>
      </c>
      <c r="G571" s="1">
        <v>2285774400</v>
      </c>
      <c r="H571" s="1">
        <v>0</v>
      </c>
      <c r="I571" s="7">
        <f t="shared" si="8"/>
        <v>2645.5722222222221</v>
      </c>
      <c r="L571" s="5">
        <v>57127</v>
      </c>
      <c r="M571" s="7">
        <v>9.0739999999999999E-10</v>
      </c>
      <c r="N571" s="5" t="s">
        <v>1657</v>
      </c>
      <c r="O571" s="5">
        <v>70</v>
      </c>
      <c r="P571" s="5">
        <v>57</v>
      </c>
      <c r="Q571" s="7">
        <v>306</v>
      </c>
      <c r="R571" s="7">
        <v>2.2651868645749847E-3</v>
      </c>
      <c r="S571" s="7">
        <v>11324352</v>
      </c>
      <c r="T571" s="7">
        <v>0</v>
      </c>
    </row>
    <row r="572" spans="2:20" x14ac:dyDescent="0.2">
      <c r="B572">
        <v>58127</v>
      </c>
      <c r="C572" s="9">
        <v>3.1689199999999998E-8</v>
      </c>
      <c r="D572" s="5" t="s">
        <v>1689</v>
      </c>
      <c r="E572" s="7">
        <v>34</v>
      </c>
      <c r="F572" s="1">
        <v>2.0386681781174861E-2</v>
      </c>
      <c r="G572" s="1">
        <v>395481216</v>
      </c>
      <c r="H572" s="1">
        <v>0</v>
      </c>
      <c r="I572" s="7">
        <f t="shared" si="8"/>
        <v>457.73288888888891</v>
      </c>
      <c r="L572" s="5">
        <v>57128</v>
      </c>
      <c r="M572" s="7">
        <v>1.3959999999999999E-10</v>
      </c>
      <c r="N572" s="5" t="s">
        <v>1658</v>
      </c>
      <c r="O572" s="5">
        <v>71</v>
      </c>
      <c r="P572" s="5">
        <v>57</v>
      </c>
      <c r="Q572" s="7">
        <v>310.79999999999899</v>
      </c>
      <c r="R572" s="7">
        <v>2.2302032836549147E-3</v>
      </c>
      <c r="S572" s="7">
        <v>1742207.9999999998</v>
      </c>
      <c r="T572" s="7">
        <v>0</v>
      </c>
    </row>
    <row r="573" spans="2:20" x14ac:dyDescent="0.2">
      <c r="B573">
        <v>58128</v>
      </c>
      <c r="C573" s="9">
        <v>2.8618000000000002E-9</v>
      </c>
      <c r="D573" s="5" t="s">
        <v>1690</v>
      </c>
      <c r="E573" s="7">
        <v>235.8</v>
      </c>
      <c r="F573" s="1">
        <v>2.9395554731125751E-3</v>
      </c>
      <c r="G573" s="1">
        <v>35715264</v>
      </c>
      <c r="H573" s="1">
        <v>0</v>
      </c>
      <c r="I573" s="7">
        <f t="shared" si="8"/>
        <v>41.337111111111113</v>
      </c>
      <c r="L573" s="5">
        <v>57136</v>
      </c>
      <c r="M573" s="7">
        <v>4.1879999999999999E-10</v>
      </c>
      <c r="N573" s="5" t="s">
        <v>1666</v>
      </c>
      <c r="O573" s="5">
        <v>79</v>
      </c>
      <c r="P573" s="5">
        <v>57</v>
      </c>
      <c r="Q573" s="7">
        <v>592.19999999999902</v>
      </c>
      <c r="R573" s="7">
        <v>1.1704612978047052E-3</v>
      </c>
      <c r="S573" s="7">
        <v>5226624</v>
      </c>
      <c r="T573" s="7">
        <v>0</v>
      </c>
    </row>
    <row r="574" spans="2:20" x14ac:dyDescent="0.2">
      <c r="B574">
        <v>58129</v>
      </c>
      <c r="C574" s="9">
        <v>1.3959999999999999E-10</v>
      </c>
      <c r="D574" s="5" t="s">
        <v>1691</v>
      </c>
      <c r="E574" s="7">
        <v>210</v>
      </c>
      <c r="F574" s="1">
        <v>3.3007008598092634E-3</v>
      </c>
      <c r="G574" s="1">
        <v>1742207.9999999998</v>
      </c>
      <c r="H574" s="1">
        <v>0</v>
      </c>
      <c r="I574" s="7">
        <f t="shared" si="8"/>
        <v>2.0164444444444443</v>
      </c>
      <c r="L574" s="5">
        <v>57137</v>
      </c>
      <c r="M574" s="7">
        <v>3.2108000000000001E-9</v>
      </c>
      <c r="N574" s="5" t="s">
        <v>1667</v>
      </c>
      <c r="O574" s="5">
        <v>80</v>
      </c>
      <c r="P574" s="5">
        <v>57</v>
      </c>
      <c r="Q574" s="7">
        <v>1893456000000</v>
      </c>
      <c r="R574" s="7">
        <v>3.6607514542716879E-13</v>
      </c>
      <c r="S574" s="7">
        <v>12.673943217606976</v>
      </c>
      <c r="T574" s="7">
        <v>12.673796903533775</v>
      </c>
    </row>
    <row r="575" spans="2:20" x14ac:dyDescent="0.2">
      <c r="B575">
        <v>58138</v>
      </c>
      <c r="C575" s="9">
        <v>6.9799999999999994E-11</v>
      </c>
      <c r="D575" s="5" t="s">
        <v>1700</v>
      </c>
      <c r="E575" s="7">
        <v>2.8401840000000003E+21</v>
      </c>
      <c r="F575" s="1">
        <v>2.4405009695144583E-22</v>
      </c>
      <c r="G575" s="1">
        <v>1.9342394352861445E-10</v>
      </c>
      <c r="H575" s="1">
        <v>1.9342394352861297E-10</v>
      </c>
      <c r="I575" s="7">
        <f t="shared" si="8"/>
        <v>2.2387030500997043E-16</v>
      </c>
      <c r="L575" s="5">
        <v>57138</v>
      </c>
      <c r="M575" s="7">
        <v>2.1428600000000001E-8</v>
      </c>
      <c r="N575" s="5" t="s">
        <v>1668</v>
      </c>
      <c r="O575" s="5">
        <v>81</v>
      </c>
      <c r="P575" s="5">
        <v>57</v>
      </c>
      <c r="Q575" s="7">
        <v>3.2188752E+18</v>
      </c>
      <c r="R575" s="7">
        <v>2.1533832083951104E-19</v>
      </c>
      <c r="S575" s="7">
        <v>4.9761404255832531E-5</v>
      </c>
      <c r="T575" s="7">
        <v>4.9761404255494605E-5</v>
      </c>
    </row>
    <row r="576" spans="2:20" x14ac:dyDescent="0.2">
      <c r="B576">
        <v>58139</v>
      </c>
      <c r="C576" s="9">
        <v>6.9799999999999997E-10</v>
      </c>
      <c r="D576" s="5" t="s">
        <v>1701</v>
      </c>
      <c r="E576" s="7">
        <v>11892182.3999999</v>
      </c>
      <c r="F576" s="1">
        <v>5.8285952674250198E-8</v>
      </c>
      <c r="G576" s="1">
        <v>427817.16777945613</v>
      </c>
      <c r="H576" s="1">
        <v>68073.644240982961</v>
      </c>
      <c r="I576" s="7">
        <f t="shared" si="8"/>
        <v>0.49515875900400014</v>
      </c>
      <c r="L576" s="5">
        <v>57140</v>
      </c>
      <c r="M576" s="7">
        <v>5.8625E-7</v>
      </c>
      <c r="N576" s="5" t="s">
        <v>1670</v>
      </c>
      <c r="O576" s="5">
        <v>83</v>
      </c>
      <c r="P576" s="5">
        <v>57</v>
      </c>
      <c r="Q576" s="7">
        <v>145026.72</v>
      </c>
      <c r="R576" s="7">
        <v>4.77944464688952E-6</v>
      </c>
      <c r="S576" s="7">
        <v>7198665333.0079918</v>
      </c>
      <c r="T576" s="7">
        <v>2.5026753476118768E-56</v>
      </c>
    </row>
    <row r="577" spans="2:20" x14ac:dyDescent="0.2">
      <c r="B577">
        <v>58141</v>
      </c>
      <c r="C577" s="9">
        <v>2.3313199999999999E-8</v>
      </c>
      <c r="D577" s="5" t="s">
        <v>1703</v>
      </c>
      <c r="E577" s="7">
        <v>2808950.4</v>
      </c>
      <c r="F577" s="1">
        <v>2.4676376648015759E-7</v>
      </c>
      <c r="G577" s="1">
        <v>55864666.560516477</v>
      </c>
      <c r="H577" s="1">
        <v>23306.801703576402</v>
      </c>
      <c r="I577" s="7">
        <f t="shared" si="8"/>
        <v>64.658178889486663</v>
      </c>
      <c r="L577" s="5">
        <v>57141</v>
      </c>
      <c r="M577" s="7">
        <v>2.1732900000000002E-6</v>
      </c>
      <c r="N577" s="5" t="s">
        <v>1671</v>
      </c>
      <c r="O577" s="5">
        <v>84</v>
      </c>
      <c r="P577" s="5">
        <v>57</v>
      </c>
      <c r="Q577" s="7">
        <v>14112</v>
      </c>
      <c r="R577" s="7">
        <v>4.9117572318590229E-5</v>
      </c>
      <c r="S577" s="7">
        <v>27122659200.000004</v>
      </c>
      <c r="T577" s="7">
        <v>0</v>
      </c>
    </row>
    <row r="578" spans="2:20" x14ac:dyDescent="0.2">
      <c r="B578">
        <v>58142</v>
      </c>
      <c r="C578" s="9">
        <v>1.0742199999999999E-7</v>
      </c>
      <c r="D578" s="5" t="s">
        <v>1704</v>
      </c>
      <c r="E578" s="7">
        <v>1.57788E+24</v>
      </c>
      <c r="F578" s="1">
        <v>4.3929017451260252E-25</v>
      </c>
      <c r="G578" s="1">
        <v>0</v>
      </c>
      <c r="H578" s="1">
        <v>0</v>
      </c>
      <c r="I578" s="7">
        <f t="shared" si="8"/>
        <v>0</v>
      </c>
      <c r="L578" s="5">
        <v>57142</v>
      </c>
      <c r="M578" s="7">
        <v>4.0859500000000002E-6</v>
      </c>
      <c r="N578" s="5" t="s">
        <v>1672</v>
      </c>
      <c r="O578" s="5">
        <v>85</v>
      </c>
      <c r="P578" s="5">
        <v>57</v>
      </c>
      <c r="Q578" s="7">
        <v>5466</v>
      </c>
      <c r="R578" s="7">
        <v>1.2681068067324283E-4</v>
      </c>
      <c r="S578" s="7">
        <v>50992656000</v>
      </c>
      <c r="T578" s="7">
        <v>0</v>
      </c>
    </row>
    <row r="579" spans="2:20" x14ac:dyDescent="0.2">
      <c r="B579">
        <v>58143</v>
      </c>
      <c r="C579" s="9">
        <v>3.0963299999999998E-7</v>
      </c>
      <c r="D579" s="5" t="s">
        <v>1705</v>
      </c>
      <c r="E579" s="7">
        <v>118940.4</v>
      </c>
      <c r="F579" s="1">
        <v>5.8276849628885168E-6</v>
      </c>
      <c r="G579" s="1">
        <v>3839081472.1105809</v>
      </c>
      <c r="H579" s="1">
        <v>5.8718373277400887E-71</v>
      </c>
      <c r="I579" s="7">
        <f t="shared" si="8"/>
        <v>4443.3813334613205</v>
      </c>
      <c r="L579" s="5">
        <v>57143</v>
      </c>
      <c r="M579" s="7">
        <v>9.0913099999999995E-6</v>
      </c>
      <c r="N579" s="5" t="s">
        <v>1673</v>
      </c>
      <c r="O579" s="5">
        <v>86</v>
      </c>
      <c r="P579" s="5">
        <v>57</v>
      </c>
      <c r="Q579" s="7">
        <v>852</v>
      </c>
      <c r="R579" s="7">
        <v>8.1355302882622684E-4</v>
      </c>
      <c r="S579" s="7">
        <v>113459548800</v>
      </c>
      <c r="T579" s="7">
        <v>0</v>
      </c>
    </row>
    <row r="580" spans="2:20" x14ac:dyDescent="0.2">
      <c r="B580">
        <v>58144</v>
      </c>
      <c r="C580" s="9">
        <v>1.01657E-6</v>
      </c>
      <c r="D580" s="5" t="s">
        <v>1706</v>
      </c>
      <c r="E580" s="7">
        <v>24616224</v>
      </c>
      <c r="F580" s="1">
        <v>2.8158144017536781E-8</v>
      </c>
      <c r="G580" s="1">
        <v>304928106.46447033</v>
      </c>
      <c r="H580" s="1">
        <v>125471771.1976269</v>
      </c>
      <c r="I580" s="7">
        <f t="shared" ref="I580:I643" si="9">G580/10/24/3600</f>
        <v>352.92604914869253</v>
      </c>
      <c r="L580" s="5">
        <v>57144</v>
      </c>
      <c r="M580" s="7">
        <v>1.13531E-5</v>
      </c>
      <c r="N580" s="5" t="s">
        <v>1674</v>
      </c>
      <c r="O580" s="5">
        <v>87</v>
      </c>
      <c r="P580" s="5">
        <v>57</v>
      </c>
      <c r="Q580" s="7">
        <v>40.799999999999997</v>
      </c>
      <c r="R580" s="7">
        <v>1.6988901484312386E-2</v>
      </c>
      <c r="S580" s="7">
        <v>141686688000</v>
      </c>
      <c r="T580" s="7">
        <v>0</v>
      </c>
    </row>
    <row r="581" spans="2:20" x14ac:dyDescent="0.2">
      <c r="B581">
        <v>58145</v>
      </c>
      <c r="C581" s="9">
        <v>2.3251800000000001E-6</v>
      </c>
      <c r="D581" s="5" t="s">
        <v>1707</v>
      </c>
      <c r="E581" s="7">
        <v>180.6</v>
      </c>
      <c r="F581" s="1">
        <v>3.8380242555921666E-3</v>
      </c>
      <c r="G581" s="1">
        <v>29018246400</v>
      </c>
      <c r="H581" s="1">
        <v>0</v>
      </c>
      <c r="I581" s="7">
        <f t="shared" si="9"/>
        <v>33585.933333333334</v>
      </c>
      <c r="L581" s="5">
        <v>57145</v>
      </c>
      <c r="M581" s="7">
        <v>1.72596E-5</v>
      </c>
      <c r="N581" s="5" t="s">
        <v>1675</v>
      </c>
      <c r="O581" s="5">
        <v>88</v>
      </c>
      <c r="P581" s="5">
        <v>57</v>
      </c>
      <c r="Q581" s="7">
        <v>24.8</v>
      </c>
      <c r="R581" s="7">
        <v>2.7949483087094568E-2</v>
      </c>
      <c r="S581" s="7">
        <v>215399808000</v>
      </c>
      <c r="T581" s="7">
        <v>0</v>
      </c>
    </row>
    <row r="582" spans="2:20" x14ac:dyDescent="0.2">
      <c r="B582">
        <v>58146</v>
      </c>
      <c r="C582" s="9">
        <v>5.2133599999999997E-6</v>
      </c>
      <c r="D582" s="5" t="s">
        <v>1708</v>
      </c>
      <c r="E582" s="7">
        <v>809.4</v>
      </c>
      <c r="F582" s="1">
        <v>8.5637160929076517E-4</v>
      </c>
      <c r="G582" s="1">
        <v>65062732799.999992</v>
      </c>
      <c r="H582" s="1">
        <v>0</v>
      </c>
      <c r="I582" s="7">
        <f t="shared" si="9"/>
        <v>75304.088888888873</v>
      </c>
      <c r="L582" s="5">
        <v>57146</v>
      </c>
      <c r="M582" s="7">
        <v>1.2153200000000001E-5</v>
      </c>
      <c r="N582" s="5" t="s">
        <v>1676</v>
      </c>
      <c r="O582" s="5">
        <v>89</v>
      </c>
      <c r="P582" s="5">
        <v>57</v>
      </c>
      <c r="Q582" s="7">
        <v>6.27</v>
      </c>
      <c r="R582" s="7">
        <v>0.11054978956298969</v>
      </c>
      <c r="S582" s="7">
        <v>151671936000</v>
      </c>
      <c r="T582" s="7">
        <v>0</v>
      </c>
    </row>
    <row r="583" spans="2:20" x14ac:dyDescent="0.2">
      <c r="B583">
        <v>58147</v>
      </c>
      <c r="C583" s="9">
        <v>8.1946600000000002E-6</v>
      </c>
      <c r="D583" s="5" t="s">
        <v>1709</v>
      </c>
      <c r="E583" s="7">
        <v>56.4</v>
      </c>
      <c r="F583" s="1">
        <v>1.2289843626949385E-2</v>
      </c>
      <c r="G583" s="1">
        <v>102269356800</v>
      </c>
      <c r="H583" s="1">
        <v>0</v>
      </c>
      <c r="I583" s="7">
        <f t="shared" si="9"/>
        <v>118367.31111111111</v>
      </c>
      <c r="L583" s="5">
        <v>57147</v>
      </c>
      <c r="M583" s="7">
        <v>1.2774E-5</v>
      </c>
      <c r="N583" s="5" t="s">
        <v>1677</v>
      </c>
      <c r="O583" s="5">
        <v>90</v>
      </c>
      <c r="P583" s="5">
        <v>57</v>
      </c>
      <c r="Q583" s="7">
        <v>4.0599999999999996</v>
      </c>
      <c r="R583" s="7">
        <v>0.17072590654185846</v>
      </c>
      <c r="S583" s="7">
        <v>159419520000</v>
      </c>
      <c r="T583" s="7">
        <v>0</v>
      </c>
    </row>
    <row r="584" spans="2:20" x14ac:dyDescent="0.2">
      <c r="B584">
        <v>58148</v>
      </c>
      <c r="C584" s="9">
        <v>1.21451E-5</v>
      </c>
      <c r="D584" s="5" t="s">
        <v>1710</v>
      </c>
      <c r="E584" s="7">
        <v>56.8</v>
      </c>
      <c r="F584" s="1">
        <v>1.2203295432393403E-2</v>
      </c>
      <c r="G584" s="1">
        <v>151570848000</v>
      </c>
      <c r="H584" s="1">
        <v>0</v>
      </c>
      <c r="I584" s="7">
        <f t="shared" si="9"/>
        <v>175429.22222222222</v>
      </c>
      <c r="L584" s="5">
        <v>57148</v>
      </c>
      <c r="M584" s="7">
        <v>5.8163599999999997E-6</v>
      </c>
      <c r="N584" s="5" t="s">
        <v>1678</v>
      </c>
      <c r="O584" s="5">
        <v>91</v>
      </c>
      <c r="P584" s="5">
        <v>57</v>
      </c>
      <c r="Q584" s="7">
        <v>1.26</v>
      </c>
      <c r="R584" s="7">
        <v>0.55011680996821055</v>
      </c>
      <c r="S584" s="7">
        <v>72588172800</v>
      </c>
      <c r="T584" s="7">
        <v>0</v>
      </c>
    </row>
    <row r="585" spans="2:20" x14ac:dyDescent="0.2">
      <c r="B585">
        <v>58149</v>
      </c>
      <c r="C585" s="9">
        <v>1.27654E-5</v>
      </c>
      <c r="D585" s="5" t="s">
        <v>1711</v>
      </c>
      <c r="E585" s="7">
        <v>5.3</v>
      </c>
      <c r="F585" s="1">
        <v>0.1307824868981029</v>
      </c>
      <c r="G585" s="1">
        <v>159312192000</v>
      </c>
      <c r="H585" s="1">
        <v>0</v>
      </c>
      <c r="I585" s="7">
        <f t="shared" si="9"/>
        <v>184389.11111111112</v>
      </c>
      <c r="L585" s="5">
        <v>57149</v>
      </c>
      <c r="M585" s="7">
        <v>4.5715500000000003E-6</v>
      </c>
      <c r="N585" s="5" t="s">
        <v>1679</v>
      </c>
      <c r="O585" s="5">
        <v>92</v>
      </c>
      <c r="P585" s="5">
        <v>57</v>
      </c>
      <c r="Q585" s="7">
        <v>1.05</v>
      </c>
      <c r="R585" s="7">
        <v>0.6601401719618526</v>
      </c>
      <c r="S585" s="7">
        <v>57052944000</v>
      </c>
      <c r="T585" s="7">
        <v>0</v>
      </c>
    </row>
    <row r="586" spans="2:20" x14ac:dyDescent="0.2">
      <c r="B586">
        <v>58150</v>
      </c>
      <c r="C586" s="9">
        <v>1.07713E-5</v>
      </c>
      <c r="D586" s="5" t="s">
        <v>1712</v>
      </c>
      <c r="E586" s="7">
        <v>4</v>
      </c>
      <c r="F586" s="1">
        <v>0.17328679513998632</v>
      </c>
      <c r="G586" s="1">
        <v>134425824000</v>
      </c>
      <c r="H586" s="1">
        <v>0</v>
      </c>
      <c r="I586" s="7">
        <f t="shared" si="9"/>
        <v>155585.44444444444</v>
      </c>
      <c r="L586" s="5">
        <v>58124</v>
      </c>
      <c r="M586" s="7">
        <v>1.6613099999999999E-6</v>
      </c>
      <c r="N586" s="5" t="s">
        <v>1686</v>
      </c>
      <c r="O586" s="5">
        <v>66</v>
      </c>
      <c r="P586" s="5">
        <v>58</v>
      </c>
      <c r="Q586" s="7">
        <v>6</v>
      </c>
      <c r="R586" s="7">
        <v>0.11552453009332421</v>
      </c>
      <c r="S586" s="7">
        <v>20733148800</v>
      </c>
      <c r="T586" s="7">
        <v>0</v>
      </c>
    </row>
    <row r="587" spans="2:20" x14ac:dyDescent="0.2">
      <c r="B587">
        <v>58151</v>
      </c>
      <c r="C587" s="9">
        <v>6.23279E-6</v>
      </c>
      <c r="D587" s="5" t="s">
        <v>1713</v>
      </c>
      <c r="E587" s="7">
        <v>1.76</v>
      </c>
      <c r="F587" s="1">
        <v>0.39383362531815075</v>
      </c>
      <c r="G587" s="1">
        <v>77785219200</v>
      </c>
      <c r="H587" s="1">
        <v>0</v>
      </c>
      <c r="I587" s="7">
        <f t="shared" si="9"/>
        <v>90029.188888888893</v>
      </c>
      <c r="L587" s="5">
        <v>58125</v>
      </c>
      <c r="M587" s="7">
        <v>7.0728300000000005E-7</v>
      </c>
      <c r="N587" s="5" t="s">
        <v>1687</v>
      </c>
      <c r="O587" s="5">
        <v>67</v>
      </c>
      <c r="P587" s="5">
        <v>58</v>
      </c>
      <c r="Q587" s="7">
        <v>9.6999999999999993</v>
      </c>
      <c r="R587" s="7">
        <v>7.1458472222674776E-2</v>
      </c>
      <c r="S587" s="7">
        <v>8826891840</v>
      </c>
      <c r="T587" s="7">
        <v>0</v>
      </c>
    </row>
    <row r="588" spans="2:20" x14ac:dyDescent="0.2">
      <c r="B588">
        <v>59129</v>
      </c>
      <c r="C588" s="9">
        <v>2.8427400000000002E-6</v>
      </c>
      <c r="D588" s="5" t="s">
        <v>1726</v>
      </c>
      <c r="E588" s="7">
        <v>30</v>
      </c>
      <c r="F588" s="1">
        <v>2.3104906018664842E-2</v>
      </c>
      <c r="G588" s="1">
        <v>35477395200</v>
      </c>
      <c r="H588" s="1">
        <v>0</v>
      </c>
      <c r="I588" s="7">
        <f t="shared" si="9"/>
        <v>41061.800000000003</v>
      </c>
      <c r="L588" s="5">
        <v>58126</v>
      </c>
      <c r="M588" s="7">
        <v>1.54467E-7</v>
      </c>
      <c r="N588" s="5" t="s">
        <v>1688</v>
      </c>
      <c r="O588" s="5">
        <v>68</v>
      </c>
      <c r="P588" s="5">
        <v>58</v>
      </c>
      <c r="Q588" s="7">
        <v>51</v>
      </c>
      <c r="R588" s="7">
        <v>1.3591121187449907E-2</v>
      </c>
      <c r="S588" s="7">
        <v>1927748160</v>
      </c>
      <c r="T588" s="7">
        <v>0</v>
      </c>
    </row>
    <row r="589" spans="2:20" x14ac:dyDescent="0.2">
      <c r="B589">
        <v>59130</v>
      </c>
      <c r="C589" s="9">
        <v>8.9099700000000005E-7</v>
      </c>
      <c r="D589" s="5" t="s">
        <v>1727</v>
      </c>
      <c r="E589" s="7">
        <v>40</v>
      </c>
      <c r="F589" s="1">
        <v>1.7328679513998631E-2</v>
      </c>
      <c r="G589" s="1">
        <v>11119642560</v>
      </c>
      <c r="H589" s="1">
        <v>0</v>
      </c>
      <c r="I589" s="7">
        <f t="shared" si="9"/>
        <v>12869.956666666667</v>
      </c>
      <c r="L589" s="5">
        <v>58127</v>
      </c>
      <c r="M589" s="7">
        <v>6.0865600000000002E-8</v>
      </c>
      <c r="N589" s="5" t="s">
        <v>1689</v>
      </c>
      <c r="O589" s="5">
        <v>69</v>
      </c>
      <c r="P589" s="5">
        <v>58</v>
      </c>
      <c r="Q589" s="7">
        <v>34</v>
      </c>
      <c r="R589" s="7">
        <v>2.0386681781174861E-2</v>
      </c>
      <c r="S589" s="7">
        <v>759602688</v>
      </c>
      <c r="T589" s="7">
        <v>0</v>
      </c>
    </row>
    <row r="590" spans="2:20" x14ac:dyDescent="0.2">
      <c r="B590">
        <v>59131</v>
      </c>
      <c r="C590" s="9">
        <v>2.4409099999999999E-7</v>
      </c>
      <c r="D590" s="5" t="s">
        <v>1728</v>
      </c>
      <c r="E590" s="7">
        <v>90.6</v>
      </c>
      <c r="F590" s="1">
        <v>7.650631132008227E-3</v>
      </c>
      <c r="G590" s="1">
        <v>3046255680</v>
      </c>
      <c r="H590" s="1">
        <v>0</v>
      </c>
      <c r="I590" s="7">
        <f t="shared" si="9"/>
        <v>3525.758888888889</v>
      </c>
      <c r="L590" s="5">
        <v>58128</v>
      </c>
      <c r="M590" s="7">
        <v>8.8646000000000002E-9</v>
      </c>
      <c r="N590" s="5" t="s">
        <v>1690</v>
      </c>
      <c r="O590" s="5">
        <v>70</v>
      </c>
      <c r="P590" s="5">
        <v>58</v>
      </c>
      <c r="Q590" s="7">
        <v>235.8</v>
      </c>
      <c r="R590" s="7">
        <v>2.9395554731125751E-3</v>
      </c>
      <c r="S590" s="7">
        <v>110630208</v>
      </c>
      <c r="T590" s="7">
        <v>0</v>
      </c>
    </row>
    <row r="591" spans="2:20" x14ac:dyDescent="0.2">
      <c r="B591">
        <v>59132</v>
      </c>
      <c r="C591" s="9">
        <v>3.3783200000000003E-8</v>
      </c>
      <c r="D591" s="5" t="s">
        <v>1729</v>
      </c>
      <c r="E591" s="7">
        <v>96</v>
      </c>
      <c r="F591" s="1">
        <v>7.2202831308327631E-3</v>
      </c>
      <c r="G591" s="1">
        <v>421614336.00000006</v>
      </c>
      <c r="H591" s="1">
        <v>0</v>
      </c>
      <c r="I591" s="7">
        <f t="shared" si="9"/>
        <v>487.97955555555563</v>
      </c>
      <c r="L591" s="5">
        <v>58129</v>
      </c>
      <c r="M591" s="7">
        <v>2.7222E-9</v>
      </c>
      <c r="N591" s="5" t="s">
        <v>1691</v>
      </c>
      <c r="O591" s="5">
        <v>71</v>
      </c>
      <c r="P591" s="5">
        <v>58</v>
      </c>
      <c r="Q591" s="7">
        <v>210</v>
      </c>
      <c r="R591" s="7">
        <v>3.3007008598092634E-3</v>
      </c>
      <c r="S591" s="7">
        <v>33973056</v>
      </c>
      <c r="T591" s="7">
        <v>0</v>
      </c>
    </row>
    <row r="592" spans="2:20" x14ac:dyDescent="0.2">
      <c r="B592">
        <v>59133</v>
      </c>
      <c r="C592" s="9">
        <v>6.4216000000000002E-9</v>
      </c>
      <c r="D592" s="5" t="s">
        <v>1730</v>
      </c>
      <c r="E592" s="7">
        <v>390</v>
      </c>
      <c r="F592" s="1">
        <v>1.7773004629742187E-3</v>
      </c>
      <c r="G592" s="1">
        <v>80141568</v>
      </c>
      <c r="H592" s="1">
        <v>0</v>
      </c>
      <c r="I592" s="7">
        <f t="shared" si="9"/>
        <v>92.756444444444455</v>
      </c>
      <c r="L592" s="5">
        <v>58130</v>
      </c>
      <c r="M592" s="7">
        <v>6.9799999999999994E-11</v>
      </c>
      <c r="N592" s="5" t="s">
        <v>1692</v>
      </c>
      <c r="O592" s="5">
        <v>72</v>
      </c>
      <c r="P592" s="5">
        <v>58</v>
      </c>
      <c r="Q592" s="7">
        <v>1374</v>
      </c>
      <c r="R592" s="7">
        <v>5.0447393053853367E-4</v>
      </c>
      <c r="S592" s="7">
        <v>871103.99999999988</v>
      </c>
      <c r="T592" s="7">
        <v>0</v>
      </c>
    </row>
    <row r="593" spans="2:20" x14ac:dyDescent="0.2">
      <c r="B593">
        <v>59134</v>
      </c>
      <c r="C593" s="9">
        <v>4.8860000000000005E-10</v>
      </c>
      <c r="D593" s="5" t="s">
        <v>1731</v>
      </c>
      <c r="E593" s="7">
        <v>660</v>
      </c>
      <c r="F593" s="1">
        <v>1.0502230008484019E-3</v>
      </c>
      <c r="G593" s="1">
        <v>6097728.0000000009</v>
      </c>
      <c r="H593" s="1">
        <v>0</v>
      </c>
      <c r="I593" s="7">
        <f t="shared" si="9"/>
        <v>7.057555555555556</v>
      </c>
      <c r="L593" s="5">
        <v>58139</v>
      </c>
      <c r="M593" s="7">
        <v>4.8860000000000005E-10</v>
      </c>
      <c r="N593" s="5" t="s">
        <v>1701</v>
      </c>
      <c r="O593" s="5">
        <v>81</v>
      </c>
      <c r="P593" s="5">
        <v>58</v>
      </c>
      <c r="Q593" s="7">
        <v>11892182.3999999</v>
      </c>
      <c r="R593" s="7">
        <v>5.8285952674250198E-8</v>
      </c>
      <c r="S593" s="7">
        <v>299472.01744561933</v>
      </c>
      <c r="T593" s="7">
        <v>47651.550968688083</v>
      </c>
    </row>
    <row r="594" spans="2:20" x14ac:dyDescent="0.2">
      <c r="B594">
        <v>59142</v>
      </c>
      <c r="C594" s="9">
        <v>5.5839999999999995E-10</v>
      </c>
      <c r="D594" s="5" t="s">
        <v>1739</v>
      </c>
      <c r="E594" s="7">
        <v>68832</v>
      </c>
      <c r="F594" s="1">
        <v>1.0070129889585444E-5</v>
      </c>
      <c r="G594" s="1">
        <v>6967671.7787846923</v>
      </c>
      <c r="H594" s="1">
        <v>8.3846928991238835E-132</v>
      </c>
      <c r="I594" s="7">
        <f t="shared" si="9"/>
        <v>8.0644349291489483</v>
      </c>
      <c r="L594" s="5">
        <v>58141</v>
      </c>
      <c r="M594" s="7">
        <v>4.7464000000000001E-8</v>
      </c>
      <c r="N594" s="5" t="s">
        <v>1703</v>
      </c>
      <c r="O594" s="5">
        <v>83</v>
      </c>
      <c r="P594" s="5">
        <v>58</v>
      </c>
      <c r="Q594" s="7">
        <v>2808950.4</v>
      </c>
      <c r="R594" s="7">
        <v>2.4676376648015759E-7</v>
      </c>
      <c r="S594" s="7">
        <v>113736446.88967426</v>
      </c>
      <c r="T594" s="7">
        <v>47450.973528239381</v>
      </c>
    </row>
    <row r="595" spans="2:20" x14ac:dyDescent="0.2">
      <c r="B595">
        <v>59143</v>
      </c>
      <c r="C595" s="9">
        <v>4.0484000000000002E-9</v>
      </c>
      <c r="D595" s="5" t="s">
        <v>1740</v>
      </c>
      <c r="E595" s="7">
        <v>1172448</v>
      </c>
      <c r="F595" s="1">
        <v>5.9119652262611673E-7</v>
      </c>
      <c r="G595" s="1">
        <v>20208647.930731736</v>
      </c>
      <c r="H595" s="1">
        <v>0.1616450573701835</v>
      </c>
      <c r="I595" s="7">
        <f t="shared" si="9"/>
        <v>23.389638808717287</v>
      </c>
      <c r="L595" s="5">
        <v>58142</v>
      </c>
      <c r="M595" s="7">
        <v>2.8422599999999999E-7</v>
      </c>
      <c r="N595" s="5" t="s">
        <v>1704</v>
      </c>
      <c r="O595" s="5">
        <v>84</v>
      </c>
      <c r="P595" s="5">
        <v>58</v>
      </c>
      <c r="Q595" s="7">
        <v>1.57788E+24</v>
      </c>
      <c r="R595" s="7">
        <v>4.3929017451260252E-25</v>
      </c>
      <c r="S595" s="7">
        <v>0</v>
      </c>
      <c r="T595" s="7">
        <v>0</v>
      </c>
    </row>
    <row r="596" spans="2:20" x14ac:dyDescent="0.2">
      <c r="B596">
        <v>59144</v>
      </c>
      <c r="C596" s="9">
        <v>1.26338E-8</v>
      </c>
      <c r="D596" s="5" t="s">
        <v>1741</v>
      </c>
      <c r="E596" s="7">
        <v>1036.8</v>
      </c>
      <c r="F596" s="1">
        <v>6.6854473433636697E-4</v>
      </c>
      <c r="G596" s="1">
        <v>157669824</v>
      </c>
      <c r="H596" s="1">
        <v>0</v>
      </c>
      <c r="I596" s="7">
        <f t="shared" si="9"/>
        <v>182.48822222222222</v>
      </c>
      <c r="L596" s="5">
        <v>58143</v>
      </c>
      <c r="M596" s="7">
        <v>6.9953599999999997E-7</v>
      </c>
      <c r="N596" s="5" t="s">
        <v>1705</v>
      </c>
      <c r="O596" s="5">
        <v>85</v>
      </c>
      <c r="P596" s="5">
        <v>58</v>
      </c>
      <c r="Q596" s="7">
        <v>118940.4</v>
      </c>
      <c r="R596" s="7">
        <v>5.8276849628885168E-6</v>
      </c>
      <c r="S596" s="7">
        <v>8673415613.5629845</v>
      </c>
      <c r="T596" s="7">
        <v>1.3265903818062E-70</v>
      </c>
    </row>
    <row r="597" spans="2:20" x14ac:dyDescent="0.2">
      <c r="B597">
        <v>59145</v>
      </c>
      <c r="C597" s="9">
        <v>6.8473799999999997E-8</v>
      </c>
      <c r="D597" s="5" t="s">
        <v>1742</v>
      </c>
      <c r="E597" s="7">
        <v>21542.400000000001</v>
      </c>
      <c r="F597" s="1">
        <v>3.2175949780894669E-5</v>
      </c>
      <c r="G597" s="1">
        <v>854553023.99927831</v>
      </c>
      <c r="H597" s="1">
        <v>0</v>
      </c>
      <c r="I597" s="7">
        <f t="shared" si="9"/>
        <v>989.06599999916466</v>
      </c>
      <c r="L597" s="5">
        <v>58144</v>
      </c>
      <c r="M597" s="7">
        <v>2.4042600000000002E-6</v>
      </c>
      <c r="N597" s="5" t="s">
        <v>1706</v>
      </c>
      <c r="O597" s="5">
        <v>86</v>
      </c>
      <c r="P597" s="5">
        <v>58</v>
      </c>
      <c r="Q597" s="7">
        <v>24616224</v>
      </c>
      <c r="R597" s="7">
        <v>2.8158144017536781E-8</v>
      </c>
      <c r="S597" s="7">
        <v>721176553.7525872</v>
      </c>
      <c r="T597" s="7">
        <v>296749619.4257223</v>
      </c>
    </row>
    <row r="598" spans="2:20" x14ac:dyDescent="0.2">
      <c r="B598">
        <v>59146</v>
      </c>
      <c r="C598" s="9">
        <v>1.8811100000000001E-7</v>
      </c>
      <c r="D598" s="5" t="s">
        <v>1743</v>
      </c>
      <c r="E598" s="7">
        <v>1449</v>
      </c>
      <c r="F598" s="1">
        <v>4.7836244345061789E-4</v>
      </c>
      <c r="G598" s="1">
        <v>2347625280</v>
      </c>
      <c r="H598" s="1">
        <v>0</v>
      </c>
      <c r="I598" s="7">
        <f t="shared" si="9"/>
        <v>2717.1588888888887</v>
      </c>
      <c r="L598" s="5">
        <v>58145</v>
      </c>
      <c r="M598" s="7">
        <v>3.5895999999999999E-6</v>
      </c>
      <c r="N598" s="5" t="s">
        <v>1707</v>
      </c>
      <c r="O598" s="5">
        <v>87</v>
      </c>
      <c r="P598" s="5">
        <v>58</v>
      </c>
      <c r="Q598" s="7">
        <v>180.6</v>
      </c>
      <c r="R598" s="7">
        <v>3.8380242555921666E-3</v>
      </c>
      <c r="S598" s="7">
        <v>44798208000</v>
      </c>
      <c r="T598" s="7">
        <v>0</v>
      </c>
    </row>
    <row r="599" spans="2:20" x14ac:dyDescent="0.2">
      <c r="B599">
        <v>59147</v>
      </c>
      <c r="C599" s="9">
        <v>5.9671999999999996E-7</v>
      </c>
      <c r="D599" s="5" t="s">
        <v>1744</v>
      </c>
      <c r="E599" s="7">
        <v>804</v>
      </c>
      <c r="F599" s="1">
        <v>8.6212335890540454E-4</v>
      </c>
      <c r="G599" s="1">
        <v>7447065599.999999</v>
      </c>
      <c r="H599" s="1">
        <v>0</v>
      </c>
      <c r="I599" s="7">
        <f t="shared" si="9"/>
        <v>8619.2888888888883</v>
      </c>
      <c r="L599" s="5">
        <v>58146</v>
      </c>
      <c r="M599" s="7">
        <v>7.8511000000000001E-6</v>
      </c>
      <c r="N599" s="5" t="s">
        <v>1708</v>
      </c>
      <c r="O599" s="5">
        <v>88</v>
      </c>
      <c r="P599" s="5">
        <v>58</v>
      </c>
      <c r="Q599" s="7">
        <v>809.4</v>
      </c>
      <c r="R599" s="7">
        <v>8.5637160929076517E-4</v>
      </c>
      <c r="S599" s="7">
        <v>97981728000</v>
      </c>
      <c r="T599" s="7">
        <v>0</v>
      </c>
    </row>
    <row r="600" spans="2:20" x14ac:dyDescent="0.2">
      <c r="B600">
        <v>59148</v>
      </c>
      <c r="C600" s="9">
        <v>1.20726E-6</v>
      </c>
      <c r="D600" s="5" t="s">
        <v>1745</v>
      </c>
      <c r="E600" s="7">
        <v>137.4</v>
      </c>
      <c r="F600" s="1">
        <v>5.0447393053853363E-3</v>
      </c>
      <c r="G600" s="1">
        <v>15066604800</v>
      </c>
      <c r="H600" s="1">
        <v>0</v>
      </c>
      <c r="I600" s="7">
        <f t="shared" si="9"/>
        <v>17438.2</v>
      </c>
      <c r="L600" s="5">
        <v>58147</v>
      </c>
      <c r="M600" s="7">
        <v>7.1020799999999996E-6</v>
      </c>
      <c r="N600" s="5" t="s">
        <v>1709</v>
      </c>
      <c r="O600" s="5">
        <v>89</v>
      </c>
      <c r="P600" s="5">
        <v>58</v>
      </c>
      <c r="Q600" s="7">
        <v>56.4</v>
      </c>
      <c r="R600" s="7">
        <v>1.2289843626949385E-2</v>
      </c>
      <c r="S600" s="7">
        <v>88633958400</v>
      </c>
      <c r="T600" s="7">
        <v>0</v>
      </c>
    </row>
    <row r="601" spans="2:20" x14ac:dyDescent="0.2">
      <c r="B601">
        <v>59149</v>
      </c>
      <c r="C601" s="9">
        <v>2.6309000000000001E-6</v>
      </c>
      <c r="D601" s="5" t="s">
        <v>1746</v>
      </c>
      <c r="E601" s="7">
        <v>135.6</v>
      </c>
      <c r="F601" s="1">
        <v>5.1117048713860275E-3</v>
      </c>
      <c r="G601" s="1">
        <v>32833632000</v>
      </c>
      <c r="H601" s="1">
        <v>0</v>
      </c>
      <c r="I601" s="7">
        <f t="shared" si="9"/>
        <v>38001.888888888891</v>
      </c>
      <c r="L601" s="5">
        <v>58148</v>
      </c>
      <c r="M601" s="7">
        <v>9.7765399999999997E-6</v>
      </c>
      <c r="N601" s="5" t="s">
        <v>1710</v>
      </c>
      <c r="O601" s="5">
        <v>90</v>
      </c>
      <c r="P601" s="5">
        <v>58</v>
      </c>
      <c r="Q601" s="7">
        <v>56.8</v>
      </c>
      <c r="R601" s="7">
        <v>1.2203295432393403E-2</v>
      </c>
      <c r="S601" s="7">
        <v>122011219200</v>
      </c>
      <c r="T601" s="7">
        <v>0</v>
      </c>
    </row>
    <row r="602" spans="2:20" x14ac:dyDescent="0.2">
      <c r="B602">
        <v>59150</v>
      </c>
      <c r="C602" s="9">
        <v>3.4937000000000001E-6</v>
      </c>
      <c r="D602" s="5" t="s">
        <v>1747</v>
      </c>
      <c r="E602" s="7">
        <v>6.19</v>
      </c>
      <c r="F602" s="1">
        <v>0.11197854290144511</v>
      </c>
      <c r="G602" s="1">
        <v>43601376000</v>
      </c>
      <c r="H602" s="1">
        <v>0</v>
      </c>
      <c r="I602" s="7">
        <f t="shared" si="9"/>
        <v>50464.555555555555</v>
      </c>
      <c r="L602" s="5">
        <v>58149</v>
      </c>
      <c r="M602" s="7">
        <v>6.3781799999999996E-6</v>
      </c>
      <c r="N602" s="5" t="s">
        <v>1711</v>
      </c>
      <c r="O602" s="5">
        <v>91</v>
      </c>
      <c r="P602" s="5">
        <v>58</v>
      </c>
      <c r="Q602" s="7">
        <v>5.3</v>
      </c>
      <c r="R602" s="7">
        <v>0.1307824868981029</v>
      </c>
      <c r="S602" s="7">
        <v>79599686400</v>
      </c>
      <c r="T602" s="7">
        <v>0</v>
      </c>
    </row>
    <row r="603" spans="2:20" x14ac:dyDescent="0.2">
      <c r="B603">
        <v>59151</v>
      </c>
      <c r="C603" s="9">
        <v>4.5314899999999999E-6</v>
      </c>
      <c r="D603" s="5" t="s">
        <v>1748</v>
      </c>
      <c r="E603" s="7">
        <v>18.899999999999999</v>
      </c>
      <c r="F603" s="1">
        <v>3.6674453997880704E-2</v>
      </c>
      <c r="G603" s="1">
        <v>56552995200</v>
      </c>
      <c r="H603" s="1">
        <v>0</v>
      </c>
      <c r="I603" s="7">
        <f t="shared" si="9"/>
        <v>65454.855555555558</v>
      </c>
      <c r="L603" s="5">
        <v>58150</v>
      </c>
      <c r="M603" s="7">
        <v>6.0666700000000003E-6</v>
      </c>
      <c r="N603" s="5" t="s">
        <v>1712</v>
      </c>
      <c r="O603" s="5">
        <v>92</v>
      </c>
      <c r="P603" s="5">
        <v>58</v>
      </c>
      <c r="Q603" s="7">
        <v>4</v>
      </c>
      <c r="R603" s="7">
        <v>0.17328679513998632</v>
      </c>
      <c r="S603" s="7">
        <v>75712041600</v>
      </c>
      <c r="T603" s="7">
        <v>0</v>
      </c>
    </row>
    <row r="604" spans="2:20" x14ac:dyDescent="0.2">
      <c r="B604">
        <v>59152</v>
      </c>
      <c r="C604" s="9">
        <v>3.4899299999999998E-6</v>
      </c>
      <c r="D604" s="5" t="s">
        <v>1749</v>
      </c>
      <c r="E604" s="7">
        <v>3.57</v>
      </c>
      <c r="F604" s="1">
        <v>0.19415887410642726</v>
      </c>
      <c r="G604" s="1">
        <v>43554326400</v>
      </c>
      <c r="H604" s="1">
        <v>0</v>
      </c>
      <c r="I604" s="7">
        <f t="shared" si="9"/>
        <v>50410.1</v>
      </c>
      <c r="L604" s="5">
        <v>58151</v>
      </c>
      <c r="M604" s="7">
        <v>3.00566E-6</v>
      </c>
      <c r="N604" s="5" t="s">
        <v>1713</v>
      </c>
      <c r="O604" s="5">
        <v>93</v>
      </c>
      <c r="P604" s="5">
        <v>58</v>
      </c>
      <c r="Q604" s="7">
        <v>1.76</v>
      </c>
      <c r="R604" s="7">
        <v>0.39383362531815075</v>
      </c>
      <c r="S604" s="7">
        <v>37510636800</v>
      </c>
      <c r="T604" s="7">
        <v>0</v>
      </c>
    </row>
    <row r="605" spans="2:20" x14ac:dyDescent="0.2">
      <c r="B605">
        <v>60129</v>
      </c>
      <c r="C605" s="9">
        <v>2.4384600000000002E-6</v>
      </c>
      <c r="D605" s="5" t="s">
        <v>1758</v>
      </c>
      <c r="E605" s="7">
        <v>6.7</v>
      </c>
      <c r="F605" s="1">
        <v>0.10345480306864854</v>
      </c>
      <c r="G605" s="1">
        <v>30431980800.000004</v>
      </c>
      <c r="H605" s="1">
        <v>0</v>
      </c>
      <c r="I605" s="7">
        <f t="shared" si="9"/>
        <v>35222.200000000004</v>
      </c>
      <c r="L605" s="5">
        <v>59129</v>
      </c>
      <c r="M605" s="7">
        <v>1.5113799999999999E-6</v>
      </c>
      <c r="N605" s="5" t="s">
        <v>1726</v>
      </c>
      <c r="O605" s="5">
        <v>70</v>
      </c>
      <c r="P605" s="5">
        <v>59</v>
      </c>
      <c r="Q605" s="7">
        <v>30</v>
      </c>
      <c r="R605" s="7">
        <v>2.3104906018664842E-2</v>
      </c>
      <c r="S605" s="7">
        <v>18862022400</v>
      </c>
      <c r="T605" s="7">
        <v>0</v>
      </c>
    </row>
    <row r="606" spans="2:20" x14ac:dyDescent="0.2">
      <c r="B606">
        <v>60130</v>
      </c>
      <c r="C606" s="9">
        <v>1.0072099999999999E-6</v>
      </c>
      <c r="D606" s="5" t="s">
        <v>1759</v>
      </c>
      <c r="E606" s="7">
        <v>21</v>
      </c>
      <c r="F606" s="1">
        <v>3.3007008598092635E-2</v>
      </c>
      <c r="G606" s="1">
        <v>12569980800</v>
      </c>
      <c r="H606" s="1">
        <v>0</v>
      </c>
      <c r="I606" s="7">
        <f t="shared" si="9"/>
        <v>14548.588888888889</v>
      </c>
      <c r="L606" s="5">
        <v>59130</v>
      </c>
      <c r="M606" s="7">
        <v>4.7470999999999999E-7</v>
      </c>
      <c r="N606" s="5" t="s">
        <v>1727</v>
      </c>
      <c r="O606" s="5">
        <v>71</v>
      </c>
      <c r="P606" s="5">
        <v>59</v>
      </c>
      <c r="Q606" s="7">
        <v>40</v>
      </c>
      <c r="R606" s="7">
        <v>1.7328679513998631E-2</v>
      </c>
      <c r="S606" s="7">
        <v>5924380800</v>
      </c>
      <c r="T606" s="7">
        <v>0</v>
      </c>
    </row>
    <row r="607" spans="2:20" x14ac:dyDescent="0.2">
      <c r="B607">
        <v>60131</v>
      </c>
      <c r="C607" s="9">
        <v>4.1349500000000001E-7</v>
      </c>
      <c r="D607" s="5" t="s">
        <v>1760</v>
      </c>
      <c r="E607" s="7">
        <v>25.4</v>
      </c>
      <c r="F607" s="1">
        <v>2.7289259077163203E-2</v>
      </c>
      <c r="G607" s="1">
        <v>5160417600</v>
      </c>
      <c r="H607" s="1">
        <v>0</v>
      </c>
      <c r="I607" s="7">
        <f t="shared" si="9"/>
        <v>5972.7055555555553</v>
      </c>
      <c r="L607" s="5">
        <v>59131</v>
      </c>
      <c r="M607" s="7">
        <v>2.1009800000000001E-7</v>
      </c>
      <c r="N607" s="5" t="s">
        <v>1728</v>
      </c>
      <c r="O607" s="5">
        <v>72</v>
      </c>
      <c r="P607" s="5">
        <v>59</v>
      </c>
      <c r="Q607" s="7">
        <v>90.6</v>
      </c>
      <c r="R607" s="7">
        <v>7.650631132008227E-3</v>
      </c>
      <c r="S607" s="7">
        <v>2622023040</v>
      </c>
      <c r="T607" s="7">
        <v>0</v>
      </c>
    </row>
    <row r="608" spans="2:20" x14ac:dyDescent="0.2">
      <c r="B608">
        <v>60132</v>
      </c>
      <c r="C608" s="9">
        <v>9.2694400000000004E-8</v>
      </c>
      <c r="D608" s="5" t="s">
        <v>1761</v>
      </c>
      <c r="E608" s="7">
        <v>94</v>
      </c>
      <c r="F608" s="1">
        <v>7.3739061761696305E-3</v>
      </c>
      <c r="G608" s="1">
        <v>1156826112</v>
      </c>
      <c r="H608" s="1">
        <v>0</v>
      </c>
      <c r="I608" s="7">
        <f t="shared" si="9"/>
        <v>1338.9191111111111</v>
      </c>
      <c r="L608" s="5">
        <v>59132</v>
      </c>
      <c r="M608" s="7">
        <v>4.0972599999999997E-8</v>
      </c>
      <c r="N608" s="5" t="s">
        <v>1729</v>
      </c>
      <c r="O608" s="5">
        <v>73</v>
      </c>
      <c r="P608" s="5">
        <v>59</v>
      </c>
      <c r="Q608" s="7">
        <v>96</v>
      </c>
      <c r="R608" s="7">
        <v>7.2202831308327631E-3</v>
      </c>
      <c r="S608" s="7">
        <v>511338047.99999994</v>
      </c>
      <c r="T608" s="7">
        <v>0</v>
      </c>
    </row>
    <row r="609" spans="2:20" x14ac:dyDescent="0.2">
      <c r="B609">
        <v>60133</v>
      </c>
      <c r="C609" s="9">
        <v>2.35226E-8</v>
      </c>
      <c r="D609" s="5" t="s">
        <v>1762</v>
      </c>
      <c r="E609" s="7">
        <v>70</v>
      </c>
      <c r="F609" s="1">
        <v>9.9021025794277899E-3</v>
      </c>
      <c r="G609" s="1">
        <v>293562048</v>
      </c>
      <c r="H609" s="1">
        <v>0</v>
      </c>
      <c r="I609" s="7">
        <f t="shared" si="9"/>
        <v>339.77088888888886</v>
      </c>
      <c r="L609" s="5">
        <v>59133</v>
      </c>
      <c r="M609" s="7">
        <v>1.5146600000000001E-8</v>
      </c>
      <c r="N609" s="5" t="s">
        <v>1730</v>
      </c>
      <c r="O609" s="5">
        <v>74</v>
      </c>
      <c r="P609" s="5">
        <v>59</v>
      </c>
      <c r="Q609" s="7">
        <v>390</v>
      </c>
      <c r="R609" s="7">
        <v>1.7773004629742187E-3</v>
      </c>
      <c r="S609" s="7">
        <v>189029568.00000003</v>
      </c>
      <c r="T609" s="7">
        <v>0</v>
      </c>
    </row>
    <row r="610" spans="2:20" x14ac:dyDescent="0.2">
      <c r="B610">
        <v>60134</v>
      </c>
      <c r="C610" s="9">
        <v>2.3732E-9</v>
      </c>
      <c r="D610" s="5" t="s">
        <v>1763</v>
      </c>
      <c r="E610" s="7">
        <v>510</v>
      </c>
      <c r="F610" s="1">
        <v>1.3591121187449908E-3</v>
      </c>
      <c r="G610" s="1">
        <v>29617536</v>
      </c>
      <c r="H610" s="1">
        <v>0</v>
      </c>
      <c r="I610" s="7">
        <f t="shared" si="9"/>
        <v>34.279555555555561</v>
      </c>
      <c r="L610" s="5">
        <v>59134</v>
      </c>
      <c r="M610" s="7">
        <v>2.094E-9</v>
      </c>
      <c r="N610" s="5" t="s">
        <v>1731</v>
      </c>
      <c r="O610" s="5">
        <v>75</v>
      </c>
      <c r="P610" s="5">
        <v>59</v>
      </c>
      <c r="Q610" s="7">
        <v>660</v>
      </c>
      <c r="R610" s="7">
        <v>1.0502230008484019E-3</v>
      </c>
      <c r="S610" s="7">
        <v>26133120</v>
      </c>
      <c r="T610" s="7">
        <v>0</v>
      </c>
    </row>
    <row r="611" spans="2:20" x14ac:dyDescent="0.2">
      <c r="B611">
        <v>60135</v>
      </c>
      <c r="C611" s="9">
        <v>5.5839999999999995E-10</v>
      </c>
      <c r="D611" s="5" t="s">
        <v>1764</v>
      </c>
      <c r="E611" s="7">
        <v>744</v>
      </c>
      <c r="F611" s="1">
        <v>9.3164943623648563E-4</v>
      </c>
      <c r="G611" s="1">
        <v>6968831.9999999991</v>
      </c>
      <c r="H611" s="1">
        <v>0</v>
      </c>
      <c r="I611" s="7">
        <f t="shared" si="9"/>
        <v>8.065777777777777</v>
      </c>
      <c r="L611" s="5">
        <v>59135</v>
      </c>
      <c r="M611" s="7">
        <v>3.4899999999999998E-10</v>
      </c>
      <c r="N611" s="5" t="s">
        <v>1732</v>
      </c>
      <c r="O611" s="5">
        <v>76</v>
      </c>
      <c r="P611" s="5">
        <v>59</v>
      </c>
      <c r="Q611" s="7">
        <v>1440</v>
      </c>
      <c r="R611" s="7">
        <v>4.8135220872218423E-4</v>
      </c>
      <c r="S611" s="7">
        <v>4355520</v>
      </c>
      <c r="T611" s="7">
        <v>0</v>
      </c>
    </row>
    <row r="612" spans="2:20" x14ac:dyDescent="0.2">
      <c r="B612">
        <v>60144</v>
      </c>
      <c r="C612" s="9">
        <v>2.7919999999999998E-10</v>
      </c>
      <c r="D612" s="5" t="s">
        <v>1773</v>
      </c>
      <c r="E612" s="7">
        <v>7.2266904000000002E+22</v>
      </c>
      <c r="F612" s="1">
        <v>9.5914885264760378E-24</v>
      </c>
      <c r="G612" s="1">
        <v>0</v>
      </c>
      <c r="H612" s="1">
        <v>0</v>
      </c>
      <c r="I612" s="7">
        <f t="shared" si="9"/>
        <v>0</v>
      </c>
      <c r="L612" s="5">
        <v>59136</v>
      </c>
      <c r="M612" s="7">
        <v>1.3959999999999999E-10</v>
      </c>
      <c r="N612" s="5" t="s">
        <v>1733</v>
      </c>
      <c r="O612" s="5">
        <v>77</v>
      </c>
      <c r="P612" s="5">
        <v>59</v>
      </c>
      <c r="Q612" s="7">
        <v>786</v>
      </c>
      <c r="R612" s="7">
        <v>8.8186664193377266E-4</v>
      </c>
      <c r="S612" s="7">
        <v>1742207.9999999998</v>
      </c>
      <c r="T612" s="7">
        <v>0</v>
      </c>
    </row>
    <row r="613" spans="2:20" x14ac:dyDescent="0.2">
      <c r="B613">
        <v>60147</v>
      </c>
      <c r="C613" s="9">
        <v>1.72406E-8</v>
      </c>
      <c r="D613" s="5" t="s">
        <v>1776</v>
      </c>
      <c r="E613" s="7">
        <v>948672</v>
      </c>
      <c r="F613" s="1">
        <v>7.306499828812754E-7</v>
      </c>
      <c r="G613" s="1">
        <v>100715572.2470108</v>
      </c>
      <c r="H613" s="1">
        <v>9.9124188922988157E-3</v>
      </c>
      <c r="I613" s="7">
        <f t="shared" si="9"/>
        <v>116.56894935996621</v>
      </c>
      <c r="L613" s="5">
        <v>59142</v>
      </c>
      <c r="M613" s="7">
        <v>1.1866E-9</v>
      </c>
      <c r="N613" s="5" t="s">
        <v>1739</v>
      </c>
      <c r="O613" s="5">
        <v>83</v>
      </c>
      <c r="P613" s="5">
        <v>59</v>
      </c>
      <c r="Q613" s="7">
        <v>68832</v>
      </c>
      <c r="R613" s="7">
        <v>1.0070129889585444E-5</v>
      </c>
      <c r="S613" s="7">
        <v>14806302.529917473</v>
      </c>
      <c r="T613" s="7">
        <v>1.7817472410638254E-131</v>
      </c>
    </row>
    <row r="614" spans="2:20" x14ac:dyDescent="0.2">
      <c r="B614">
        <v>60149</v>
      </c>
      <c r="C614" s="9">
        <v>1.6458799999999999E-7</v>
      </c>
      <c r="D614" s="5" t="s">
        <v>1778</v>
      </c>
      <c r="E614" s="7">
        <v>6220.8</v>
      </c>
      <c r="F614" s="1">
        <v>1.114241223893945E-4</v>
      </c>
      <c r="G614" s="1">
        <v>2054058240</v>
      </c>
      <c r="H614" s="1">
        <v>0</v>
      </c>
      <c r="I614" s="7">
        <f t="shared" si="9"/>
        <v>2377.382222222222</v>
      </c>
      <c r="L614" s="5">
        <v>59143</v>
      </c>
      <c r="M614" s="7">
        <v>8.0968000000000004E-9</v>
      </c>
      <c r="N614" s="5" t="s">
        <v>1740</v>
      </c>
      <c r="O614" s="5">
        <v>84</v>
      </c>
      <c r="P614" s="5">
        <v>59</v>
      </c>
      <c r="Q614" s="7">
        <v>1172448</v>
      </c>
      <c r="R614" s="7">
        <v>5.9119652262611673E-7</v>
      </c>
      <c r="S614" s="7">
        <v>40417295.861463472</v>
      </c>
      <c r="T614" s="7">
        <v>0.32329011474036701</v>
      </c>
    </row>
    <row r="615" spans="2:20" x14ac:dyDescent="0.2">
      <c r="B615">
        <v>60150</v>
      </c>
      <c r="C615" s="9">
        <v>4.5593399999999998E-7</v>
      </c>
      <c r="D615" s="5" t="s">
        <v>1779</v>
      </c>
      <c r="E615" s="7">
        <v>2.8717416000000001E+26</v>
      </c>
      <c r="F615" s="1">
        <v>2.4136822775417722E-27</v>
      </c>
      <c r="G615" s="1">
        <v>0</v>
      </c>
      <c r="H615" s="1">
        <v>0</v>
      </c>
      <c r="I615" s="7">
        <f t="shared" si="9"/>
        <v>0</v>
      </c>
      <c r="L615" s="5">
        <v>59144</v>
      </c>
      <c r="M615" s="7">
        <v>3.2806000000000003E-8</v>
      </c>
      <c r="N615" s="5" t="s">
        <v>1741</v>
      </c>
      <c r="O615" s="5">
        <v>85</v>
      </c>
      <c r="P615" s="5">
        <v>59</v>
      </c>
      <c r="Q615" s="7">
        <v>1036.8</v>
      </c>
      <c r="R615" s="7">
        <v>6.6854473433636697E-4</v>
      </c>
      <c r="S615" s="7">
        <v>409418880.00000006</v>
      </c>
      <c r="T615" s="7">
        <v>0</v>
      </c>
    </row>
    <row r="616" spans="2:20" x14ac:dyDescent="0.2">
      <c r="B616">
        <v>60151</v>
      </c>
      <c r="C616" s="9">
        <v>8.6831200000000003E-7</v>
      </c>
      <c r="D616" s="5" t="s">
        <v>1780</v>
      </c>
      <c r="E616" s="7">
        <v>746.4</v>
      </c>
      <c r="F616" s="1">
        <v>9.2865377888524286E-4</v>
      </c>
      <c r="G616" s="1">
        <v>10836533760</v>
      </c>
      <c r="H616" s="1">
        <v>0</v>
      </c>
      <c r="I616" s="7">
        <f t="shared" si="9"/>
        <v>12542.284444444444</v>
      </c>
      <c r="L616" s="5">
        <v>59145</v>
      </c>
      <c r="M616" s="7">
        <v>1.84063E-7</v>
      </c>
      <c r="N616" s="5" t="s">
        <v>1742</v>
      </c>
      <c r="O616" s="5">
        <v>86</v>
      </c>
      <c r="P616" s="5">
        <v>59</v>
      </c>
      <c r="Q616" s="7">
        <v>21542.400000000001</v>
      </c>
      <c r="R616" s="7">
        <v>3.2175949780894669E-5</v>
      </c>
      <c r="S616" s="7">
        <v>2297106239.9980597</v>
      </c>
      <c r="T616" s="7">
        <v>0</v>
      </c>
    </row>
    <row r="617" spans="2:20" x14ac:dyDescent="0.2">
      <c r="B617">
        <v>60152</v>
      </c>
      <c r="C617" s="9">
        <v>1.5264600000000001E-6</v>
      </c>
      <c r="D617" s="5" t="s">
        <v>1781</v>
      </c>
      <c r="E617" s="7">
        <v>684</v>
      </c>
      <c r="F617" s="1">
        <v>1.0133730709940721E-3</v>
      </c>
      <c r="G617" s="1">
        <v>19050220800</v>
      </c>
      <c r="H617" s="1">
        <v>0</v>
      </c>
      <c r="I617" s="7">
        <f t="shared" si="9"/>
        <v>22048.866666666665</v>
      </c>
      <c r="L617" s="5">
        <v>59146</v>
      </c>
      <c r="M617" s="7">
        <v>4.3290000000000002E-7</v>
      </c>
      <c r="N617" s="5" t="s">
        <v>1743</v>
      </c>
      <c r="O617" s="5">
        <v>87</v>
      </c>
      <c r="P617" s="5">
        <v>59</v>
      </c>
      <c r="Q617" s="7">
        <v>1449</v>
      </c>
      <c r="R617" s="7">
        <v>4.7836244345061789E-4</v>
      </c>
      <c r="S617" s="7">
        <v>5402592000</v>
      </c>
      <c r="T617" s="7">
        <v>0</v>
      </c>
    </row>
    <row r="618" spans="2:20" x14ac:dyDescent="0.2">
      <c r="B618">
        <v>60153</v>
      </c>
      <c r="C618" s="9">
        <v>1.8548E-6</v>
      </c>
      <c r="D618" s="5" t="s">
        <v>1782</v>
      </c>
      <c r="E618" s="7">
        <v>31.6</v>
      </c>
      <c r="F618" s="1">
        <v>2.1935037359491937E-2</v>
      </c>
      <c r="G618" s="1">
        <v>23147904000</v>
      </c>
      <c r="H618" s="1">
        <v>0</v>
      </c>
      <c r="I618" s="7">
        <f t="shared" si="9"/>
        <v>26791.555555555555</v>
      </c>
      <c r="L618" s="5">
        <v>59147</v>
      </c>
      <c r="M618" s="7">
        <v>1.40528E-6</v>
      </c>
      <c r="N618" s="5" t="s">
        <v>1744</v>
      </c>
      <c r="O618" s="5">
        <v>88</v>
      </c>
      <c r="P618" s="5">
        <v>59</v>
      </c>
      <c r="Q618" s="7">
        <v>804</v>
      </c>
      <c r="R618" s="7">
        <v>8.6212335890540454E-4</v>
      </c>
      <c r="S618" s="7">
        <v>17537894400</v>
      </c>
      <c r="T618" s="7">
        <v>0</v>
      </c>
    </row>
    <row r="619" spans="2:20" x14ac:dyDescent="0.2">
      <c r="B619">
        <v>60154</v>
      </c>
      <c r="C619" s="9">
        <v>1.9192900000000001E-6</v>
      </c>
      <c r="D619" s="5" t="s">
        <v>1783</v>
      </c>
      <c r="E619" s="7">
        <v>25.9</v>
      </c>
      <c r="F619" s="1">
        <v>2.6762439403858893E-2</v>
      </c>
      <c r="G619" s="1">
        <v>23952739200</v>
      </c>
      <c r="H619" s="1">
        <v>0</v>
      </c>
      <c r="I619" s="7">
        <f t="shared" si="9"/>
        <v>27723.077777777777</v>
      </c>
      <c r="L619" s="5">
        <v>59148</v>
      </c>
      <c r="M619" s="7">
        <v>2.0761299999999999E-6</v>
      </c>
      <c r="N619" s="5" t="s">
        <v>1745</v>
      </c>
      <c r="O619" s="5">
        <v>89</v>
      </c>
      <c r="P619" s="5">
        <v>59</v>
      </c>
      <c r="Q619" s="7">
        <v>137.4</v>
      </c>
      <c r="R619" s="7">
        <v>5.0447393053853363E-3</v>
      </c>
      <c r="S619" s="7">
        <v>25910102400</v>
      </c>
      <c r="T619" s="7">
        <v>0</v>
      </c>
    </row>
    <row r="620" spans="2:20" x14ac:dyDescent="0.2">
      <c r="B620">
        <v>61132</v>
      </c>
      <c r="C620" s="9">
        <v>1.3462999999999999E-6</v>
      </c>
      <c r="D620" s="5" t="s">
        <v>1795</v>
      </c>
      <c r="E620" s="7">
        <v>6.2</v>
      </c>
      <c r="F620" s="1">
        <v>0.11179793234837827</v>
      </c>
      <c r="G620" s="1">
        <v>16801824000</v>
      </c>
      <c r="H620" s="1">
        <v>0</v>
      </c>
      <c r="I620" s="7">
        <f t="shared" si="9"/>
        <v>19446.555555555555</v>
      </c>
      <c r="L620" s="5">
        <v>59149</v>
      </c>
      <c r="M620" s="7">
        <v>3.99235E-6</v>
      </c>
      <c r="N620" s="5" t="s">
        <v>1746</v>
      </c>
      <c r="O620" s="5">
        <v>90</v>
      </c>
      <c r="P620" s="5">
        <v>59</v>
      </c>
      <c r="Q620" s="7">
        <v>135.6</v>
      </c>
      <c r="R620" s="7">
        <v>5.1117048713860275E-3</v>
      </c>
      <c r="S620" s="7">
        <v>49824528000</v>
      </c>
      <c r="T620" s="7">
        <v>0</v>
      </c>
    </row>
    <row r="621" spans="2:20" x14ac:dyDescent="0.2">
      <c r="B621">
        <v>61133</v>
      </c>
      <c r="C621" s="9">
        <v>7.9571999999999998E-7</v>
      </c>
      <c r="D621" s="5" t="s">
        <v>1796</v>
      </c>
      <c r="E621" s="7">
        <v>13.5</v>
      </c>
      <c r="F621" s="1">
        <v>5.1344235597032988E-2</v>
      </c>
      <c r="G621" s="1">
        <v>9930585600</v>
      </c>
      <c r="H621" s="1">
        <v>0</v>
      </c>
      <c r="I621" s="7">
        <f t="shared" si="9"/>
        <v>11493.733333333334</v>
      </c>
      <c r="L621" s="5">
        <v>59150</v>
      </c>
      <c r="M621" s="7">
        <v>3.9568199999999997E-6</v>
      </c>
      <c r="N621" s="5" t="s">
        <v>1747</v>
      </c>
      <c r="O621" s="5">
        <v>91</v>
      </c>
      <c r="P621" s="5">
        <v>59</v>
      </c>
      <c r="Q621" s="7">
        <v>6.19</v>
      </c>
      <c r="R621" s="7">
        <v>0.11197854290144511</v>
      </c>
      <c r="S621" s="7">
        <v>49381113599.999992</v>
      </c>
      <c r="T621" s="7">
        <v>0</v>
      </c>
    </row>
    <row r="622" spans="2:20" x14ac:dyDescent="0.2">
      <c r="B622">
        <v>61134</v>
      </c>
      <c r="C622" s="9">
        <v>3.2261600000000001E-7</v>
      </c>
      <c r="D622" s="5" t="s">
        <v>1797</v>
      </c>
      <c r="E622" s="7">
        <v>5</v>
      </c>
      <c r="F622" s="1">
        <v>0.13862943611198905</v>
      </c>
      <c r="G622" s="1">
        <v>4026247680</v>
      </c>
      <c r="H622" s="1">
        <v>0</v>
      </c>
      <c r="I622" s="7">
        <f t="shared" si="9"/>
        <v>4660.0088888888886</v>
      </c>
      <c r="L622" s="5">
        <v>59151</v>
      </c>
      <c r="M622" s="7">
        <v>5.3140799999999999E-6</v>
      </c>
      <c r="N622" s="5" t="s">
        <v>1748</v>
      </c>
      <c r="O622" s="5">
        <v>92</v>
      </c>
      <c r="P622" s="5">
        <v>59</v>
      </c>
      <c r="Q622" s="7">
        <v>18.899999999999999</v>
      </c>
      <c r="R622" s="7">
        <v>3.6674453997880704E-2</v>
      </c>
      <c r="S622" s="7">
        <v>66319718400</v>
      </c>
      <c r="T622" s="7">
        <v>0</v>
      </c>
    </row>
    <row r="623" spans="2:20" x14ac:dyDescent="0.2">
      <c r="B623">
        <v>61135</v>
      </c>
      <c r="C623" s="9">
        <v>1.02815E-7</v>
      </c>
      <c r="D623" s="5" t="s">
        <v>1798</v>
      </c>
      <c r="E623" s="7">
        <v>49</v>
      </c>
      <c r="F623" s="1">
        <v>1.4145860827753985E-2</v>
      </c>
      <c r="G623" s="1">
        <v>1283131200</v>
      </c>
      <c r="H623" s="1">
        <v>0</v>
      </c>
      <c r="I623" s="7">
        <f t="shared" si="9"/>
        <v>1485.1055555555556</v>
      </c>
      <c r="L623" s="5">
        <v>59152</v>
      </c>
      <c r="M623" s="7">
        <v>3.8441000000000002E-6</v>
      </c>
      <c r="N623" s="5" t="s">
        <v>1749</v>
      </c>
      <c r="O623" s="5">
        <v>93</v>
      </c>
      <c r="P623" s="5">
        <v>59</v>
      </c>
      <c r="Q623" s="7">
        <v>3.57</v>
      </c>
      <c r="R623" s="7">
        <v>0.19415887410642726</v>
      </c>
      <c r="S623" s="7">
        <v>47974368000</v>
      </c>
      <c r="T623" s="7">
        <v>0</v>
      </c>
    </row>
    <row r="624" spans="2:20" x14ac:dyDescent="0.2">
      <c r="B624">
        <v>61136</v>
      </c>
      <c r="C624" s="9">
        <v>2.42904E-8</v>
      </c>
      <c r="D624" s="5" t="s">
        <v>1799</v>
      </c>
      <c r="E624" s="7">
        <v>107</v>
      </c>
      <c r="F624" s="1">
        <v>6.4780110332705171E-3</v>
      </c>
      <c r="G624" s="1">
        <v>303144192</v>
      </c>
      <c r="H624" s="1">
        <v>0</v>
      </c>
      <c r="I624" s="7">
        <f t="shared" si="9"/>
        <v>350.86133333333333</v>
      </c>
      <c r="L624" s="5">
        <v>60129</v>
      </c>
      <c r="M624" s="7">
        <v>2.47615E-6</v>
      </c>
      <c r="N624" s="5" t="s">
        <v>1758</v>
      </c>
      <c r="O624" s="5">
        <v>69</v>
      </c>
      <c r="P624" s="5">
        <v>60</v>
      </c>
      <c r="Q624" s="7">
        <v>6.7</v>
      </c>
      <c r="R624" s="7">
        <v>0.10345480306864854</v>
      </c>
      <c r="S624" s="7">
        <v>30902352000</v>
      </c>
      <c r="T624" s="7">
        <v>0</v>
      </c>
    </row>
    <row r="625" spans="2:20" x14ac:dyDescent="0.2">
      <c r="B625">
        <v>61137</v>
      </c>
      <c r="C625" s="9">
        <v>5.0255999999999997E-9</v>
      </c>
      <c r="D625" s="5" t="s">
        <v>1800</v>
      </c>
      <c r="E625" s="7">
        <v>144</v>
      </c>
      <c r="F625" s="1">
        <v>4.8135220872218424E-3</v>
      </c>
      <c r="G625" s="1">
        <v>62719487.999999993</v>
      </c>
      <c r="H625" s="1">
        <v>0</v>
      </c>
      <c r="I625" s="7">
        <f t="shared" si="9"/>
        <v>72.591999999999985</v>
      </c>
      <c r="L625" s="5">
        <v>60130</v>
      </c>
      <c r="M625" s="7">
        <v>1.0235499999999999E-6</v>
      </c>
      <c r="N625" s="5" t="s">
        <v>1759</v>
      </c>
      <c r="O625" s="5">
        <v>70</v>
      </c>
      <c r="P625" s="5">
        <v>60</v>
      </c>
      <c r="Q625" s="7">
        <v>21</v>
      </c>
      <c r="R625" s="7">
        <v>3.3007008598092635E-2</v>
      </c>
      <c r="S625" s="7">
        <v>12773904000</v>
      </c>
      <c r="T625" s="7">
        <v>0</v>
      </c>
    </row>
    <row r="626" spans="2:20" x14ac:dyDescent="0.2">
      <c r="B626">
        <v>61138</v>
      </c>
      <c r="C626" s="9">
        <v>6.2819999999999996E-10</v>
      </c>
      <c r="D626" s="5" t="s">
        <v>1801</v>
      </c>
      <c r="E626" s="7">
        <v>10</v>
      </c>
      <c r="F626" s="1">
        <v>6.9314718055994526E-2</v>
      </c>
      <c r="G626" s="1">
        <v>7839935.9999999991</v>
      </c>
      <c r="H626" s="1">
        <v>0</v>
      </c>
      <c r="I626" s="7">
        <f t="shared" si="9"/>
        <v>9.0739999999999981</v>
      </c>
      <c r="L626" s="5">
        <v>60131</v>
      </c>
      <c r="M626" s="7">
        <v>5.8799499999999999E-7</v>
      </c>
      <c r="N626" s="5" t="s">
        <v>1760</v>
      </c>
      <c r="O626" s="5">
        <v>71</v>
      </c>
      <c r="P626" s="5">
        <v>60</v>
      </c>
      <c r="Q626" s="7">
        <v>25.4</v>
      </c>
      <c r="R626" s="7">
        <v>2.7289259077163203E-2</v>
      </c>
      <c r="S626" s="7">
        <v>7338177600</v>
      </c>
      <c r="T626" s="7">
        <v>0</v>
      </c>
    </row>
    <row r="627" spans="2:20" x14ac:dyDescent="0.2">
      <c r="B627">
        <v>61139</v>
      </c>
      <c r="C627" s="9">
        <v>1.3959999999999999E-10</v>
      </c>
      <c r="D627" s="5" t="s">
        <v>1802</v>
      </c>
      <c r="E627" s="7">
        <v>249</v>
      </c>
      <c r="F627" s="1">
        <v>2.7837236167066078E-3</v>
      </c>
      <c r="G627" s="1">
        <v>1742207.9999999998</v>
      </c>
      <c r="H627" s="1">
        <v>0</v>
      </c>
      <c r="I627" s="7">
        <f t="shared" si="9"/>
        <v>2.0164444444444443</v>
      </c>
      <c r="L627" s="5">
        <v>60132</v>
      </c>
      <c r="M627" s="7">
        <v>1.61517E-7</v>
      </c>
      <c r="N627" s="5" t="s">
        <v>1761</v>
      </c>
      <c r="O627" s="5">
        <v>72</v>
      </c>
      <c r="P627" s="5">
        <v>60</v>
      </c>
      <c r="Q627" s="7">
        <v>94</v>
      </c>
      <c r="R627" s="7">
        <v>7.3739061761696305E-3</v>
      </c>
      <c r="S627" s="7">
        <v>2015732160</v>
      </c>
      <c r="T627" s="7">
        <v>0</v>
      </c>
    </row>
    <row r="628" spans="2:20" x14ac:dyDescent="0.2">
      <c r="B628">
        <v>61147</v>
      </c>
      <c r="C628" s="9">
        <v>2.7919999999999998E-10</v>
      </c>
      <c r="D628" s="5" t="s">
        <v>1810</v>
      </c>
      <c r="E628" s="7">
        <v>82788207.840000004</v>
      </c>
      <c r="F628" s="1">
        <v>8.3725351550011917E-9</v>
      </c>
      <c r="G628" s="1">
        <v>25114.865313444934</v>
      </c>
      <c r="H628" s="1">
        <v>19286.852492016151</v>
      </c>
      <c r="I628" s="7">
        <f t="shared" si="9"/>
        <v>2.9068131149820525E-2</v>
      </c>
      <c r="L628" s="5">
        <v>60133</v>
      </c>
      <c r="M628" s="7">
        <v>7.0707399999999994E-8</v>
      </c>
      <c r="N628" s="5" t="s">
        <v>1762</v>
      </c>
      <c r="O628" s="5">
        <v>73</v>
      </c>
      <c r="P628" s="5">
        <v>60</v>
      </c>
      <c r="Q628" s="7">
        <v>70</v>
      </c>
      <c r="R628" s="7">
        <v>9.9021025794277899E-3</v>
      </c>
      <c r="S628" s="7">
        <v>882428351.99999988</v>
      </c>
      <c r="T628" s="7">
        <v>0</v>
      </c>
    </row>
    <row r="629" spans="2:20" x14ac:dyDescent="0.2">
      <c r="B629">
        <v>61148</v>
      </c>
      <c r="C629" s="9">
        <v>4.8860000000000005E-10</v>
      </c>
      <c r="D629" s="5" t="s">
        <v>1811</v>
      </c>
      <c r="E629" s="7">
        <v>463795.20000000001</v>
      </c>
      <c r="F629" s="1">
        <v>1.4945113286207905E-6</v>
      </c>
      <c r="G629" s="1">
        <v>4421311.5413833568</v>
      </c>
      <c r="H629" s="1">
        <v>1.5026481447316558E-14</v>
      </c>
      <c r="I629" s="7">
        <f t="shared" si="9"/>
        <v>5.1172587284529589</v>
      </c>
      <c r="L629" s="5">
        <v>60134</v>
      </c>
      <c r="M629" s="7">
        <v>1.42392E-8</v>
      </c>
      <c r="N629" s="5" t="s">
        <v>1763</v>
      </c>
      <c r="O629" s="5">
        <v>74</v>
      </c>
      <c r="P629" s="5">
        <v>60</v>
      </c>
      <c r="Q629" s="7">
        <v>510</v>
      </c>
      <c r="R629" s="7">
        <v>1.3591121187449908E-3</v>
      </c>
      <c r="S629" s="7">
        <v>177705216</v>
      </c>
      <c r="T629" s="7">
        <v>0</v>
      </c>
    </row>
    <row r="630" spans="2:20" x14ac:dyDescent="0.2">
      <c r="B630">
        <v>61149</v>
      </c>
      <c r="C630" s="9">
        <v>2.0242000000000001E-9</v>
      </c>
      <c r="D630" s="5" t="s">
        <v>1812</v>
      </c>
      <c r="E630" s="7">
        <v>191088</v>
      </c>
      <c r="F630" s="1">
        <v>3.6273715804233928E-6</v>
      </c>
      <c r="G630" s="1">
        <v>24162079.029927935</v>
      </c>
      <c r="H630" s="1">
        <v>5.0463429791161798E-43</v>
      </c>
      <c r="I630" s="7">
        <f t="shared" si="9"/>
        <v>27.965369247601775</v>
      </c>
      <c r="L630" s="5">
        <v>60135</v>
      </c>
      <c r="M630" s="7">
        <v>3.8389999999999997E-9</v>
      </c>
      <c r="N630" s="5" t="s">
        <v>1764</v>
      </c>
      <c r="O630" s="5">
        <v>75</v>
      </c>
      <c r="P630" s="5">
        <v>60</v>
      </c>
      <c r="Q630" s="7">
        <v>744</v>
      </c>
      <c r="R630" s="7">
        <v>9.3164943623648563E-4</v>
      </c>
      <c r="S630" s="7">
        <v>47910719.999999993</v>
      </c>
      <c r="T630" s="7">
        <v>0</v>
      </c>
    </row>
    <row r="631" spans="2:20" x14ac:dyDescent="0.2">
      <c r="B631">
        <v>61150</v>
      </c>
      <c r="C631" s="9">
        <v>7.2591999999999999E-9</v>
      </c>
      <c r="D631" s="5" t="s">
        <v>1813</v>
      </c>
      <c r="E631" s="7">
        <v>9712.7999999999993</v>
      </c>
      <c r="F631" s="1">
        <v>7.1364300774230435E-5</v>
      </c>
      <c r="G631" s="1">
        <v>90594816</v>
      </c>
      <c r="H631" s="1">
        <v>0</v>
      </c>
      <c r="I631" s="7">
        <f t="shared" si="9"/>
        <v>104.8551111111111</v>
      </c>
      <c r="L631" s="5">
        <v>60136</v>
      </c>
      <c r="M631" s="7">
        <v>4.1879999999999999E-10</v>
      </c>
      <c r="N631" s="5" t="s">
        <v>1765</v>
      </c>
      <c r="O631" s="5">
        <v>76</v>
      </c>
      <c r="P631" s="5">
        <v>60</v>
      </c>
      <c r="Q631" s="7">
        <v>3039</v>
      </c>
      <c r="R631" s="7">
        <v>2.2808396859491455E-4</v>
      </c>
      <c r="S631" s="7">
        <v>5226624</v>
      </c>
      <c r="T631" s="7">
        <v>0</v>
      </c>
    </row>
    <row r="632" spans="2:20" x14ac:dyDescent="0.2">
      <c r="B632">
        <v>61151</v>
      </c>
      <c r="C632" s="9">
        <v>2.8967000000000001E-8</v>
      </c>
      <c r="D632" s="5" t="s">
        <v>1814</v>
      </c>
      <c r="E632" s="7">
        <v>102240</v>
      </c>
      <c r="F632" s="1">
        <v>6.7796085735518902E-6</v>
      </c>
      <c r="G632" s="1">
        <v>360474916.57971543</v>
      </c>
      <c r="H632" s="1">
        <v>5.0577911769561799E-85</v>
      </c>
      <c r="I632" s="7">
        <f t="shared" si="9"/>
        <v>417.21633863392992</v>
      </c>
      <c r="L632" s="5">
        <v>60137</v>
      </c>
      <c r="M632" s="7">
        <v>1.3959999999999999E-10</v>
      </c>
      <c r="N632" s="5" t="s">
        <v>1766</v>
      </c>
      <c r="O632" s="5">
        <v>77</v>
      </c>
      <c r="P632" s="5">
        <v>60</v>
      </c>
      <c r="Q632" s="7">
        <v>2310</v>
      </c>
      <c r="R632" s="7">
        <v>3.0006371452811483E-4</v>
      </c>
      <c r="S632" s="7">
        <v>1742207.9999999998</v>
      </c>
      <c r="T632" s="7">
        <v>0</v>
      </c>
    </row>
    <row r="633" spans="2:20" x14ac:dyDescent="0.2">
      <c r="B633">
        <v>61152</v>
      </c>
      <c r="C633" s="9">
        <v>6.9660399999999998E-8</v>
      </c>
      <c r="D633" s="5" t="s">
        <v>1815</v>
      </c>
      <c r="E633" s="7">
        <v>247.2</v>
      </c>
      <c r="F633" s="1">
        <v>2.8039934488670927E-3</v>
      </c>
      <c r="G633" s="1">
        <v>869361792</v>
      </c>
      <c r="H633" s="1">
        <v>0</v>
      </c>
      <c r="I633" s="7">
        <f t="shared" si="9"/>
        <v>1006.2057777777778</v>
      </c>
      <c r="L633" s="5">
        <v>60144</v>
      </c>
      <c r="M633" s="7">
        <v>6.9799999999999994E-11</v>
      </c>
      <c r="N633" s="5" t="s">
        <v>1773</v>
      </c>
      <c r="O633" s="5">
        <v>84</v>
      </c>
      <c r="P633" s="5">
        <v>60</v>
      </c>
      <c r="Q633" s="7">
        <v>7.2266904000000002E+22</v>
      </c>
      <c r="R633" s="7">
        <v>9.5914885264760378E-24</v>
      </c>
      <c r="S633" s="7">
        <v>0</v>
      </c>
      <c r="T633" s="7">
        <v>0</v>
      </c>
    </row>
    <row r="634" spans="2:20" x14ac:dyDescent="0.2">
      <c r="B634">
        <v>61153</v>
      </c>
      <c r="C634" s="9">
        <v>1.68986E-7</v>
      </c>
      <c r="D634" s="5" t="s">
        <v>1816</v>
      </c>
      <c r="E634" s="7">
        <v>315</v>
      </c>
      <c r="F634" s="1">
        <v>2.2004672398728423E-3</v>
      </c>
      <c r="G634" s="1">
        <v>2108945280</v>
      </c>
      <c r="H634" s="1">
        <v>0</v>
      </c>
      <c r="I634" s="7">
        <f t="shared" si="9"/>
        <v>2440.9088888888887</v>
      </c>
      <c r="L634" s="5">
        <v>60147</v>
      </c>
      <c r="M634" s="7">
        <v>3.1689199999999998E-8</v>
      </c>
      <c r="N634" s="5" t="s">
        <v>1776</v>
      </c>
      <c r="O634" s="5">
        <v>87</v>
      </c>
      <c r="P634" s="5">
        <v>60</v>
      </c>
      <c r="Q634" s="7">
        <v>948672</v>
      </c>
      <c r="R634" s="7">
        <v>7.306499828812754E-7</v>
      </c>
      <c r="S634" s="7">
        <v>185120930.36495101</v>
      </c>
      <c r="T634" s="7">
        <v>1.8219587761553288E-2</v>
      </c>
    </row>
    <row r="635" spans="2:20" x14ac:dyDescent="0.2">
      <c r="B635">
        <v>61154</v>
      </c>
      <c r="C635" s="9">
        <v>2.7431399999999998E-7</v>
      </c>
      <c r="D635" s="5" t="s">
        <v>1817</v>
      </c>
      <c r="E635" s="7">
        <v>160.80000000000001</v>
      </c>
      <c r="F635" s="1">
        <v>4.3106167945270229E-3</v>
      </c>
      <c r="G635" s="1">
        <v>3423438719.9999995</v>
      </c>
      <c r="H635" s="1">
        <v>0</v>
      </c>
      <c r="I635" s="7">
        <f t="shared" si="9"/>
        <v>3962.3133333333326</v>
      </c>
      <c r="L635" s="5">
        <v>60149</v>
      </c>
      <c r="M635" s="7">
        <v>2.9378799999999998E-7</v>
      </c>
      <c r="N635" s="5" t="s">
        <v>1778</v>
      </c>
      <c r="O635" s="5">
        <v>89</v>
      </c>
      <c r="P635" s="5">
        <v>60</v>
      </c>
      <c r="Q635" s="7">
        <v>6220.8</v>
      </c>
      <c r="R635" s="7">
        <v>1.114241223893945E-4</v>
      </c>
      <c r="S635" s="7">
        <v>3666474240</v>
      </c>
      <c r="T635" s="7">
        <v>0</v>
      </c>
    </row>
    <row r="636" spans="2:20" x14ac:dyDescent="0.2">
      <c r="B636">
        <v>61155</v>
      </c>
      <c r="C636" s="9">
        <v>4.0218799999999997E-7</v>
      </c>
      <c r="D636" s="5" t="s">
        <v>1818</v>
      </c>
      <c r="E636" s="7">
        <v>41.5</v>
      </c>
      <c r="F636" s="1">
        <v>1.6702341700239647E-2</v>
      </c>
      <c r="G636" s="1">
        <v>5019306240</v>
      </c>
      <c r="H636" s="1">
        <v>0</v>
      </c>
      <c r="I636" s="7">
        <f t="shared" si="9"/>
        <v>5809.3822222222225</v>
      </c>
      <c r="L636" s="5">
        <v>60150</v>
      </c>
      <c r="M636" s="7">
        <v>9.2966599999999998E-7</v>
      </c>
      <c r="N636" s="5" t="s">
        <v>1779</v>
      </c>
      <c r="O636" s="5">
        <v>90</v>
      </c>
      <c r="P636" s="5">
        <v>60</v>
      </c>
      <c r="Q636" s="7">
        <v>2.8717416000000001E+26</v>
      </c>
      <c r="R636" s="7">
        <v>2.4136822775417722E-27</v>
      </c>
      <c r="S636" s="7">
        <v>0</v>
      </c>
      <c r="T636" s="7">
        <v>0</v>
      </c>
    </row>
    <row r="637" spans="2:20" x14ac:dyDescent="0.2">
      <c r="B637">
        <v>62133</v>
      </c>
      <c r="C637" s="9">
        <v>3.6854399999999999E-7</v>
      </c>
      <c r="D637" s="5" t="s">
        <v>1830</v>
      </c>
      <c r="E637" s="7">
        <v>2.89</v>
      </c>
      <c r="F637" s="1">
        <v>0.23984331507264542</v>
      </c>
      <c r="G637" s="1">
        <v>4599429120</v>
      </c>
      <c r="H637" s="1">
        <v>0</v>
      </c>
      <c r="I637" s="7">
        <f t="shared" si="9"/>
        <v>5323.413333333333</v>
      </c>
      <c r="L637" s="5">
        <v>60151</v>
      </c>
      <c r="M637" s="7">
        <v>1.2463499999999999E-6</v>
      </c>
      <c r="N637" s="5" t="s">
        <v>1780</v>
      </c>
      <c r="O637" s="5">
        <v>91</v>
      </c>
      <c r="P637" s="5">
        <v>60</v>
      </c>
      <c r="Q637" s="7">
        <v>746.4</v>
      </c>
      <c r="R637" s="7">
        <v>9.2865377888524286E-4</v>
      </c>
      <c r="S637" s="7">
        <v>15554448000</v>
      </c>
      <c r="T637" s="7">
        <v>0</v>
      </c>
    </row>
    <row r="638" spans="2:20" x14ac:dyDescent="0.2">
      <c r="B638">
        <v>62134</v>
      </c>
      <c r="C638" s="9">
        <v>3.3566799999999999E-7</v>
      </c>
      <c r="D638" s="5" t="s">
        <v>1831</v>
      </c>
      <c r="E638" s="7">
        <v>9.5</v>
      </c>
      <c r="F638" s="1">
        <v>7.2962861111573185E-2</v>
      </c>
      <c r="G638" s="1">
        <v>4189136640</v>
      </c>
      <c r="H638" s="1">
        <v>0</v>
      </c>
      <c r="I638" s="7">
        <f t="shared" si="9"/>
        <v>4848.5377777777776</v>
      </c>
      <c r="L638" s="5">
        <v>60152</v>
      </c>
      <c r="M638" s="7">
        <v>2.3340399999999998E-6</v>
      </c>
      <c r="N638" s="5" t="s">
        <v>1781</v>
      </c>
      <c r="O638" s="5">
        <v>92</v>
      </c>
      <c r="P638" s="5">
        <v>60</v>
      </c>
      <c r="Q638" s="7">
        <v>684</v>
      </c>
      <c r="R638" s="7">
        <v>1.0133730709940721E-3</v>
      </c>
      <c r="S638" s="7">
        <v>29128819200</v>
      </c>
      <c r="T638" s="7">
        <v>0</v>
      </c>
    </row>
    <row r="639" spans="2:20" x14ac:dyDescent="0.2">
      <c r="B639">
        <v>62135</v>
      </c>
      <c r="C639" s="9">
        <v>1.76664E-7</v>
      </c>
      <c r="D639" s="5" t="s">
        <v>1832</v>
      </c>
      <c r="E639" s="7">
        <v>10.3</v>
      </c>
      <c r="F639" s="1">
        <v>6.7295842772810213E-2</v>
      </c>
      <c r="G639" s="1">
        <v>2204766720</v>
      </c>
      <c r="H639" s="1">
        <v>0</v>
      </c>
      <c r="I639" s="7">
        <f t="shared" si="9"/>
        <v>2551.8133333333335</v>
      </c>
      <c r="L639" s="5">
        <v>60153</v>
      </c>
      <c r="M639" s="7">
        <v>1.9652900000000002E-6</v>
      </c>
      <c r="N639" s="5" t="s">
        <v>1782</v>
      </c>
      <c r="O639" s="5">
        <v>93</v>
      </c>
      <c r="P639" s="5">
        <v>60</v>
      </c>
      <c r="Q639" s="7">
        <v>31.6</v>
      </c>
      <c r="R639" s="7">
        <v>2.1935037359491937E-2</v>
      </c>
      <c r="S639" s="7">
        <v>24526819200.000004</v>
      </c>
      <c r="T639" s="7">
        <v>0</v>
      </c>
    </row>
    <row r="640" spans="2:20" x14ac:dyDescent="0.2">
      <c r="B640">
        <v>62136</v>
      </c>
      <c r="C640" s="9">
        <v>9.3531999999999993E-8</v>
      </c>
      <c r="D640" s="5" t="s">
        <v>1833</v>
      </c>
      <c r="E640" s="7">
        <v>47</v>
      </c>
      <c r="F640" s="1">
        <v>1.4747812352339261E-2</v>
      </c>
      <c r="G640" s="1">
        <v>1167279360</v>
      </c>
      <c r="H640" s="1">
        <v>0</v>
      </c>
      <c r="I640" s="7">
        <f t="shared" si="9"/>
        <v>1351.0177777777778</v>
      </c>
      <c r="L640" s="5">
        <v>60154</v>
      </c>
      <c r="M640" s="7">
        <v>1.9971899999999998E-6</v>
      </c>
      <c r="N640" s="5" t="s">
        <v>1783</v>
      </c>
      <c r="O640" s="5">
        <v>94</v>
      </c>
      <c r="P640" s="5">
        <v>60</v>
      </c>
      <c r="Q640" s="7">
        <v>25.9</v>
      </c>
      <c r="R640" s="7">
        <v>2.6762439403858893E-2</v>
      </c>
      <c r="S640" s="7">
        <v>24924931199.999996</v>
      </c>
      <c r="T640" s="7">
        <v>0</v>
      </c>
    </row>
    <row r="641" spans="2:20" x14ac:dyDescent="0.2">
      <c r="B641">
        <v>62137</v>
      </c>
      <c r="C641" s="9">
        <v>2.5895800000000002E-8</v>
      </c>
      <c r="D641" s="5" t="s">
        <v>1834</v>
      </c>
      <c r="E641" s="7">
        <v>45</v>
      </c>
      <c r="F641" s="1">
        <v>1.5403270679109895E-2</v>
      </c>
      <c r="G641" s="1">
        <v>323179584</v>
      </c>
      <c r="H641" s="1">
        <v>0</v>
      </c>
      <c r="I641" s="7">
        <f t="shared" si="9"/>
        <v>374.05044444444439</v>
      </c>
      <c r="L641" s="5">
        <v>61132</v>
      </c>
      <c r="M641" s="7">
        <v>1.1575600000000001E-6</v>
      </c>
      <c r="N641" s="5" t="s">
        <v>1795</v>
      </c>
      <c r="O641" s="5">
        <v>71</v>
      </c>
      <c r="P641" s="5">
        <v>61</v>
      </c>
      <c r="Q641" s="7">
        <v>6.2</v>
      </c>
      <c r="R641" s="7">
        <v>0.11179793234837827</v>
      </c>
      <c r="S641" s="7">
        <v>14446348800.000002</v>
      </c>
      <c r="T641" s="7">
        <v>0</v>
      </c>
    </row>
    <row r="642" spans="2:20" x14ac:dyDescent="0.2">
      <c r="B642">
        <v>62138</v>
      </c>
      <c r="C642" s="9">
        <v>8.3061999999999993E-9</v>
      </c>
      <c r="D642" s="5" t="s">
        <v>1835</v>
      </c>
      <c r="E642" s="7">
        <v>186</v>
      </c>
      <c r="F642" s="1">
        <v>3.7265977449459425E-3</v>
      </c>
      <c r="G642" s="1">
        <v>103661375.99999999</v>
      </c>
      <c r="H642" s="1">
        <v>0</v>
      </c>
      <c r="I642" s="7">
        <f t="shared" si="9"/>
        <v>119.97844444444442</v>
      </c>
      <c r="L642" s="5">
        <v>61133</v>
      </c>
      <c r="M642" s="7">
        <v>7.98582E-7</v>
      </c>
      <c r="N642" s="5" t="s">
        <v>1796</v>
      </c>
      <c r="O642" s="5">
        <v>72</v>
      </c>
      <c r="P642" s="5">
        <v>61</v>
      </c>
      <c r="Q642" s="7">
        <v>13.5</v>
      </c>
      <c r="R642" s="7">
        <v>5.1344235597032988E-2</v>
      </c>
      <c r="S642" s="7">
        <v>9966303360</v>
      </c>
      <c r="T642" s="7">
        <v>0</v>
      </c>
    </row>
    <row r="643" spans="2:20" x14ac:dyDescent="0.2">
      <c r="B643">
        <v>62139</v>
      </c>
      <c r="C643" s="9">
        <v>1.7450000000000001E-9</v>
      </c>
      <c r="D643" s="5" t="s">
        <v>1836</v>
      </c>
      <c r="E643" s="7">
        <v>154.19999999999999</v>
      </c>
      <c r="F643" s="1">
        <v>4.4951179024639775E-3</v>
      </c>
      <c r="G643" s="1">
        <v>21777600</v>
      </c>
      <c r="H643" s="1">
        <v>0</v>
      </c>
      <c r="I643" s="7">
        <f t="shared" si="9"/>
        <v>25.205555555555556</v>
      </c>
      <c r="L643" s="5">
        <v>61134</v>
      </c>
      <c r="M643" s="7">
        <v>2.7054500000000002E-7</v>
      </c>
      <c r="N643" s="5" t="s">
        <v>1797</v>
      </c>
      <c r="O643" s="5">
        <v>73</v>
      </c>
      <c r="P643" s="5">
        <v>61</v>
      </c>
      <c r="Q643" s="7">
        <v>5</v>
      </c>
      <c r="R643" s="7">
        <v>0.13862943611198905</v>
      </c>
      <c r="S643" s="7">
        <v>3376401600</v>
      </c>
      <c r="T643" s="7">
        <v>0</v>
      </c>
    </row>
    <row r="644" spans="2:20" x14ac:dyDescent="0.2">
      <c r="B644">
        <v>62140</v>
      </c>
      <c r="C644" s="9">
        <v>1.3959999999999999E-10</v>
      </c>
      <c r="D644" s="5" t="s">
        <v>1837</v>
      </c>
      <c r="E644" s="7">
        <v>889.2</v>
      </c>
      <c r="F644" s="1">
        <v>7.7951774691851692E-4</v>
      </c>
      <c r="G644" s="1">
        <v>1742207.9999999998</v>
      </c>
      <c r="H644" s="1">
        <v>0</v>
      </c>
      <c r="I644" s="7">
        <f t="shared" ref="I644:I707" si="10">G644/10/24/3600</f>
        <v>2.0164444444444443</v>
      </c>
      <c r="L644" s="5">
        <v>61135</v>
      </c>
      <c r="M644" s="7">
        <v>1.5670099999999999E-7</v>
      </c>
      <c r="N644" s="5" t="s">
        <v>1798</v>
      </c>
      <c r="O644" s="5">
        <v>74</v>
      </c>
      <c r="P644" s="5">
        <v>61</v>
      </c>
      <c r="Q644" s="7">
        <v>49</v>
      </c>
      <c r="R644" s="7">
        <v>1.4145860827753985E-2</v>
      </c>
      <c r="S644" s="7">
        <v>1955628480</v>
      </c>
      <c r="T644" s="7">
        <v>0</v>
      </c>
    </row>
    <row r="645" spans="2:20" x14ac:dyDescent="0.2">
      <c r="B645">
        <v>62151</v>
      </c>
      <c r="C645" s="9">
        <v>5.5839999999999995E-10</v>
      </c>
      <c r="D645" s="5" t="s">
        <v>1848</v>
      </c>
      <c r="E645" s="7">
        <v>2840184000</v>
      </c>
      <c r="F645" s="1">
        <v>2.4405009695144584E-10</v>
      </c>
      <c r="G645" s="1">
        <v>1469.2880122532852</v>
      </c>
      <c r="H645" s="1">
        <v>1458.0232415912178</v>
      </c>
      <c r="I645" s="7">
        <f t="shared" si="10"/>
        <v>1.700564828996858E-3</v>
      </c>
      <c r="L645" s="5">
        <v>61136</v>
      </c>
      <c r="M645" s="7">
        <v>3.7203400000000001E-8</v>
      </c>
      <c r="N645" s="5" t="s">
        <v>1799</v>
      </c>
      <c r="O645" s="5">
        <v>75</v>
      </c>
      <c r="P645" s="5">
        <v>61</v>
      </c>
      <c r="Q645" s="7">
        <v>107</v>
      </c>
      <c r="R645" s="7">
        <v>6.4780110332705171E-3</v>
      </c>
      <c r="S645" s="7">
        <v>464298432</v>
      </c>
      <c r="T645" s="7">
        <v>0</v>
      </c>
    </row>
    <row r="646" spans="2:20" x14ac:dyDescent="0.2">
      <c r="B646">
        <v>62153</v>
      </c>
      <c r="C646" s="9">
        <v>5.3048000000000001E-9</v>
      </c>
      <c r="D646" s="5" t="s">
        <v>1850</v>
      </c>
      <c r="E646" s="7">
        <v>166622.39999999999</v>
      </c>
      <c r="F646" s="1">
        <v>4.1599879761661417E-6</v>
      </c>
      <c r="G646" s="1">
        <v>64384498.457734495</v>
      </c>
      <c r="H646" s="1">
        <v>6.8227136475339669E-50</v>
      </c>
      <c r="I646" s="7">
        <f t="shared" si="10"/>
        <v>74.519095437192703</v>
      </c>
      <c r="L646" s="5">
        <v>61137</v>
      </c>
      <c r="M646" s="7">
        <v>1.4588200000000001E-8</v>
      </c>
      <c r="N646" s="5" t="s">
        <v>1800</v>
      </c>
      <c r="O646" s="5">
        <v>76</v>
      </c>
      <c r="P646" s="5">
        <v>61</v>
      </c>
      <c r="Q646" s="7">
        <v>144</v>
      </c>
      <c r="R646" s="7">
        <v>4.8135220872218424E-3</v>
      </c>
      <c r="S646" s="7">
        <v>182060736</v>
      </c>
      <c r="T646" s="7">
        <v>0</v>
      </c>
    </row>
    <row r="647" spans="2:20" x14ac:dyDescent="0.2">
      <c r="B647">
        <v>62155</v>
      </c>
      <c r="C647" s="9">
        <v>4.4113599999999999E-8</v>
      </c>
      <c r="D647" s="5" t="s">
        <v>1852</v>
      </c>
      <c r="E647" s="7">
        <v>1338</v>
      </c>
      <c r="F647" s="1">
        <v>5.1804722014943589E-4</v>
      </c>
      <c r="G647" s="1">
        <v>550537728</v>
      </c>
      <c r="H647" s="1">
        <v>0</v>
      </c>
      <c r="I647" s="7">
        <f t="shared" si="10"/>
        <v>637.19644444444441</v>
      </c>
      <c r="L647" s="5">
        <v>61138</v>
      </c>
      <c r="M647" s="7">
        <v>2.6524000000000001E-9</v>
      </c>
      <c r="N647" s="5" t="s">
        <v>1801</v>
      </c>
      <c r="O647" s="5">
        <v>77</v>
      </c>
      <c r="P647" s="5">
        <v>61</v>
      </c>
      <c r="Q647" s="7">
        <v>10</v>
      </c>
      <c r="R647" s="7">
        <v>6.9314718055994526E-2</v>
      </c>
      <c r="S647" s="7">
        <v>33101952</v>
      </c>
      <c r="T647" s="7">
        <v>0</v>
      </c>
    </row>
    <row r="648" spans="2:20" x14ac:dyDescent="0.2">
      <c r="B648">
        <v>62156</v>
      </c>
      <c r="C648" s="9">
        <v>9.0460799999999994E-8</v>
      </c>
      <c r="D648" s="5" t="s">
        <v>1853</v>
      </c>
      <c r="E648" s="7">
        <v>33840</v>
      </c>
      <c r="F648" s="1">
        <v>2.0483072711582307E-5</v>
      </c>
      <c r="G648" s="1">
        <v>1128950760.7296572</v>
      </c>
      <c r="H648" s="1">
        <v>3.2986680636205109E-272</v>
      </c>
      <c r="I648" s="7">
        <f t="shared" si="10"/>
        <v>1306.6559730667329</v>
      </c>
      <c r="L648" s="5">
        <v>61139</v>
      </c>
      <c r="M648" s="7">
        <v>4.1879999999999999E-10</v>
      </c>
      <c r="N648" s="5" t="s">
        <v>1802</v>
      </c>
      <c r="O648" s="5">
        <v>78</v>
      </c>
      <c r="P648" s="5">
        <v>61</v>
      </c>
      <c r="Q648" s="7">
        <v>249</v>
      </c>
      <c r="R648" s="7">
        <v>2.7837236167066078E-3</v>
      </c>
      <c r="S648" s="7">
        <v>5226624</v>
      </c>
      <c r="T648" s="7">
        <v>0</v>
      </c>
    </row>
    <row r="649" spans="2:20" x14ac:dyDescent="0.2">
      <c r="B649">
        <v>62157</v>
      </c>
      <c r="C649" s="9">
        <v>1.3206200000000001E-7</v>
      </c>
      <c r="D649" s="5" t="s">
        <v>1854</v>
      </c>
      <c r="E649" s="7">
        <v>481.79999999999899</v>
      </c>
      <c r="F649" s="1">
        <v>1.438661644997814E-3</v>
      </c>
      <c r="G649" s="1">
        <v>1648133760</v>
      </c>
      <c r="H649" s="1">
        <v>0</v>
      </c>
      <c r="I649" s="7">
        <f t="shared" si="10"/>
        <v>1907.5622222222223</v>
      </c>
      <c r="L649" s="5">
        <v>61147</v>
      </c>
      <c r="M649" s="7">
        <v>6.9799999999999994E-11</v>
      </c>
      <c r="N649" s="5" t="s">
        <v>1810</v>
      </c>
      <c r="O649" s="5">
        <v>86</v>
      </c>
      <c r="P649" s="5">
        <v>61</v>
      </c>
      <c r="Q649" s="7">
        <v>82788207.840000004</v>
      </c>
      <c r="R649" s="7">
        <v>8.3725351550011917E-9</v>
      </c>
      <c r="S649" s="7">
        <v>6278.7163283612335</v>
      </c>
      <c r="T649" s="7">
        <v>4821.7131230040377</v>
      </c>
    </row>
    <row r="650" spans="2:20" x14ac:dyDescent="0.2">
      <c r="B650">
        <v>62158</v>
      </c>
      <c r="C650" s="9">
        <v>1.7142899999999999E-7</v>
      </c>
      <c r="D650" s="5" t="s">
        <v>1855</v>
      </c>
      <c r="E650" s="7">
        <v>318</v>
      </c>
      <c r="F650" s="1">
        <v>2.1797081149683814E-3</v>
      </c>
      <c r="G650" s="1">
        <v>2139433920</v>
      </c>
      <c r="H650" s="1">
        <v>0</v>
      </c>
      <c r="I650" s="7">
        <f t="shared" si="10"/>
        <v>2476.1966666666667</v>
      </c>
      <c r="L650" s="5">
        <v>61148</v>
      </c>
      <c r="M650" s="7">
        <v>4.8860000000000005E-10</v>
      </c>
      <c r="N650" s="5" t="s">
        <v>1811</v>
      </c>
      <c r="O650" s="5">
        <v>87</v>
      </c>
      <c r="P650" s="5">
        <v>61</v>
      </c>
      <c r="Q650" s="7">
        <v>463795.20000000001</v>
      </c>
      <c r="R650" s="7">
        <v>1.4945113286207905E-6</v>
      </c>
      <c r="S650" s="7">
        <v>4421311.5413833568</v>
      </c>
      <c r="T650" s="7">
        <v>1.5026481447316558E-14</v>
      </c>
    </row>
    <row r="651" spans="2:20" x14ac:dyDescent="0.2">
      <c r="B651">
        <v>63138</v>
      </c>
      <c r="C651" s="9">
        <v>1.62215E-7</v>
      </c>
      <c r="D651" s="5" t="s">
        <v>1869</v>
      </c>
      <c r="E651" s="7">
        <v>12.1</v>
      </c>
      <c r="F651" s="1">
        <v>5.728489095536738E-2</v>
      </c>
      <c r="G651" s="1">
        <v>2024443200</v>
      </c>
      <c r="H651" s="1">
        <v>0</v>
      </c>
      <c r="I651" s="7">
        <f t="shared" si="10"/>
        <v>2343.1055555555554</v>
      </c>
      <c r="L651" s="5">
        <v>61149</v>
      </c>
      <c r="M651" s="7">
        <v>4.4671999999999996E-9</v>
      </c>
      <c r="N651" s="5" t="s">
        <v>1812</v>
      </c>
      <c r="O651" s="5">
        <v>88</v>
      </c>
      <c r="P651" s="5">
        <v>61</v>
      </c>
      <c r="Q651" s="7">
        <v>191088</v>
      </c>
      <c r="R651" s="7">
        <v>3.6273715804233928E-6</v>
      </c>
      <c r="S651" s="7">
        <v>53323208.893634059</v>
      </c>
      <c r="T651" s="7">
        <v>1.1136756919428809E-42</v>
      </c>
    </row>
    <row r="652" spans="2:20" x14ac:dyDescent="0.2">
      <c r="B652">
        <v>63139</v>
      </c>
      <c r="C652" s="9">
        <v>1.2152199999999999E-7</v>
      </c>
      <c r="D652" s="5" t="s">
        <v>1870</v>
      </c>
      <c r="E652" s="7">
        <v>17.899999999999999</v>
      </c>
      <c r="F652" s="1">
        <v>3.8723306176533259E-2</v>
      </c>
      <c r="G652" s="1">
        <v>1516594560</v>
      </c>
      <c r="H652" s="1">
        <v>0</v>
      </c>
      <c r="I652" s="7">
        <f t="shared" si="10"/>
        <v>1755.3177777777778</v>
      </c>
      <c r="L652" s="5">
        <v>61150</v>
      </c>
      <c r="M652" s="7">
        <v>1.5216400000000001E-8</v>
      </c>
      <c r="N652" s="5" t="s">
        <v>1813</v>
      </c>
      <c r="O652" s="5">
        <v>89</v>
      </c>
      <c r="P652" s="5">
        <v>61</v>
      </c>
      <c r="Q652" s="7">
        <v>9712.7999999999993</v>
      </c>
      <c r="R652" s="7">
        <v>7.1364300774230435E-5</v>
      </c>
      <c r="S652" s="7">
        <v>189900672</v>
      </c>
      <c r="T652" s="7">
        <v>0</v>
      </c>
    </row>
    <row r="653" spans="2:20" x14ac:dyDescent="0.2">
      <c r="B653">
        <v>63140</v>
      </c>
      <c r="C653" s="9">
        <v>6.3029399999999997E-8</v>
      </c>
      <c r="D653" s="5" t="s">
        <v>1871</v>
      </c>
      <c r="E653" s="7">
        <v>1.51</v>
      </c>
      <c r="F653" s="1">
        <v>0.45903786792049356</v>
      </c>
      <c r="G653" s="1">
        <v>786606912</v>
      </c>
      <c r="H653" s="1">
        <v>0</v>
      </c>
      <c r="I653" s="7">
        <f t="shared" si="10"/>
        <v>910.42466666666678</v>
      </c>
      <c r="L653" s="5">
        <v>61151</v>
      </c>
      <c r="M653" s="7">
        <v>7.5034999999999997E-8</v>
      </c>
      <c r="N653" s="5" t="s">
        <v>1814</v>
      </c>
      <c r="O653" s="5">
        <v>90</v>
      </c>
      <c r="P653" s="5">
        <v>61</v>
      </c>
      <c r="Q653" s="7">
        <v>102240</v>
      </c>
      <c r="R653" s="7">
        <v>6.7796085735518902E-6</v>
      </c>
      <c r="S653" s="7">
        <v>933760326.07998574</v>
      </c>
      <c r="T653" s="7">
        <v>1.3101507265609381E-84</v>
      </c>
    </row>
    <row r="654" spans="2:20" x14ac:dyDescent="0.2">
      <c r="B654">
        <v>63141</v>
      </c>
      <c r="C654" s="9">
        <v>3.1340199999999999E-8</v>
      </c>
      <c r="D654" s="5" t="s">
        <v>1872</v>
      </c>
      <c r="E654" s="7">
        <v>40.700000000000003</v>
      </c>
      <c r="F654" s="1">
        <v>1.7030643257001113E-2</v>
      </c>
      <c r="G654" s="1">
        <v>391125696</v>
      </c>
      <c r="H654" s="1">
        <v>0</v>
      </c>
      <c r="I654" s="7">
        <f t="shared" si="10"/>
        <v>452.69177777777782</v>
      </c>
      <c r="L654" s="5">
        <v>61152</v>
      </c>
      <c r="M654" s="7">
        <v>1.7149899999999999E-7</v>
      </c>
      <c r="N654" s="5" t="s">
        <v>1815</v>
      </c>
      <c r="O654" s="5">
        <v>91</v>
      </c>
      <c r="P654" s="5">
        <v>61</v>
      </c>
      <c r="Q654" s="7">
        <v>247.2</v>
      </c>
      <c r="R654" s="7">
        <v>2.8039934488670927E-3</v>
      </c>
      <c r="S654" s="7">
        <v>2140307520</v>
      </c>
      <c r="T654" s="7">
        <v>0</v>
      </c>
    </row>
    <row r="655" spans="2:20" x14ac:dyDescent="0.2">
      <c r="B655">
        <v>63142</v>
      </c>
      <c r="C655" s="9">
        <v>8.3061999999999993E-9</v>
      </c>
      <c r="D655" s="5" t="s">
        <v>1873</v>
      </c>
      <c r="E655" s="7">
        <v>2.34</v>
      </c>
      <c r="F655" s="1">
        <v>0.29621674382903646</v>
      </c>
      <c r="G655" s="1">
        <v>103661375.99999999</v>
      </c>
      <c r="H655" s="1">
        <v>0</v>
      </c>
      <c r="I655" s="7">
        <f t="shared" si="10"/>
        <v>119.97844444444442</v>
      </c>
      <c r="L655" s="5">
        <v>61153</v>
      </c>
      <c r="M655" s="7">
        <v>4.65008E-7</v>
      </c>
      <c r="N655" s="5" t="s">
        <v>1816</v>
      </c>
      <c r="O655" s="5">
        <v>92</v>
      </c>
      <c r="P655" s="5">
        <v>61</v>
      </c>
      <c r="Q655" s="7">
        <v>315</v>
      </c>
      <c r="R655" s="7">
        <v>2.2004672398728423E-3</v>
      </c>
      <c r="S655" s="7">
        <v>5803299840</v>
      </c>
      <c r="T655" s="7">
        <v>0</v>
      </c>
    </row>
    <row r="656" spans="2:20" x14ac:dyDescent="0.2">
      <c r="B656">
        <v>63143</v>
      </c>
      <c r="C656" s="9">
        <v>2.0242000000000001E-9</v>
      </c>
      <c r="D656" s="5" t="s">
        <v>1874</v>
      </c>
      <c r="E656" s="7">
        <v>155.39999999999901</v>
      </c>
      <c r="F656" s="1">
        <v>4.4604065673098433E-3</v>
      </c>
      <c r="G656" s="1">
        <v>25262016</v>
      </c>
      <c r="H656" s="1">
        <v>0</v>
      </c>
      <c r="I656" s="7">
        <f t="shared" si="10"/>
        <v>29.238444444444447</v>
      </c>
      <c r="L656" s="5">
        <v>61154</v>
      </c>
      <c r="M656" s="7">
        <v>6.4229999999999997E-7</v>
      </c>
      <c r="N656" s="5" t="s">
        <v>1817</v>
      </c>
      <c r="O656" s="5">
        <v>93</v>
      </c>
      <c r="P656" s="5">
        <v>61</v>
      </c>
      <c r="Q656" s="7">
        <v>160.80000000000001</v>
      </c>
      <c r="R656" s="7">
        <v>4.3106167945270229E-3</v>
      </c>
      <c r="S656" s="7">
        <v>8015904000</v>
      </c>
      <c r="T656" s="7">
        <v>0</v>
      </c>
    </row>
    <row r="657" spans="2:20" x14ac:dyDescent="0.2">
      <c r="B657">
        <v>63144</v>
      </c>
      <c r="C657" s="9">
        <v>2.094E-10</v>
      </c>
      <c r="D657" s="5" t="s">
        <v>1875</v>
      </c>
      <c r="E657" s="7">
        <v>10.199999999999999</v>
      </c>
      <c r="F657" s="1">
        <v>6.7955605937249544E-2</v>
      </c>
      <c r="G657" s="1">
        <v>2613312</v>
      </c>
      <c r="H657" s="1">
        <v>0</v>
      </c>
      <c r="I657" s="7">
        <f t="shared" si="10"/>
        <v>3.0246666666666671</v>
      </c>
      <c r="L657" s="5">
        <v>61155</v>
      </c>
      <c r="M657" s="7">
        <v>8.9148599999999999E-7</v>
      </c>
      <c r="N657" s="5" t="s">
        <v>1818</v>
      </c>
      <c r="O657" s="5">
        <v>94</v>
      </c>
      <c r="P657" s="5">
        <v>61</v>
      </c>
      <c r="Q657" s="7">
        <v>41.5</v>
      </c>
      <c r="R657" s="7">
        <v>1.6702341700239647E-2</v>
      </c>
      <c r="S657" s="7">
        <v>11125745280</v>
      </c>
      <c r="T657" s="7">
        <v>0</v>
      </c>
    </row>
    <row r="658" spans="2:20" x14ac:dyDescent="0.2">
      <c r="B658">
        <v>63154</v>
      </c>
      <c r="C658" s="9">
        <v>6.9799999999999994E-11</v>
      </c>
      <c r="D658" s="5" t="s">
        <v>1885</v>
      </c>
      <c r="E658" s="7">
        <v>271426917.60000002</v>
      </c>
      <c r="F658" s="1">
        <v>2.5537156988292206E-9</v>
      </c>
      <c r="G658" s="1">
        <v>1919.8940775660553</v>
      </c>
      <c r="H658" s="1">
        <v>1771.3394969388437</v>
      </c>
      <c r="I658" s="7">
        <f t="shared" si="10"/>
        <v>2.222099626812564E-3</v>
      </c>
      <c r="L658" s="5">
        <v>62133</v>
      </c>
      <c r="M658" s="7">
        <v>7.1607800000000004E-7</v>
      </c>
      <c r="N658" s="5" t="s">
        <v>1830</v>
      </c>
      <c r="O658" s="5">
        <v>71</v>
      </c>
      <c r="P658" s="5">
        <v>62</v>
      </c>
      <c r="Q658" s="7">
        <v>2.89</v>
      </c>
      <c r="R658" s="7">
        <v>0.23984331507264542</v>
      </c>
      <c r="S658" s="7">
        <v>8936653440</v>
      </c>
      <c r="T658" s="7">
        <v>0</v>
      </c>
    </row>
    <row r="659" spans="2:20" x14ac:dyDescent="0.2">
      <c r="B659">
        <v>63155</v>
      </c>
      <c r="C659" s="9">
        <v>6.9799999999999997E-10</v>
      </c>
      <c r="D659" s="5" t="s">
        <v>1886</v>
      </c>
      <c r="E659" s="7">
        <v>149993272.80000001</v>
      </c>
      <c r="F659" s="1">
        <v>4.6211884547927889E-9</v>
      </c>
      <c r="G659" s="1">
        <v>34711.286751488951</v>
      </c>
      <c r="H659" s="1">
        <v>30004.011865410466</v>
      </c>
      <c r="I659" s="7">
        <f t="shared" si="10"/>
        <v>4.0175100406815913E-2</v>
      </c>
      <c r="L659" s="5">
        <v>62134</v>
      </c>
      <c r="M659" s="7">
        <v>7.1712500000000004E-7</v>
      </c>
      <c r="N659" s="5" t="s">
        <v>1831</v>
      </c>
      <c r="O659" s="5">
        <v>72</v>
      </c>
      <c r="P659" s="5">
        <v>62</v>
      </c>
      <c r="Q659" s="7">
        <v>9.5</v>
      </c>
      <c r="R659" s="7">
        <v>7.2962861111573185E-2</v>
      </c>
      <c r="S659" s="7">
        <v>8949720000</v>
      </c>
      <c r="T659" s="7">
        <v>0</v>
      </c>
    </row>
    <row r="660" spans="2:20" x14ac:dyDescent="0.2">
      <c r="B660">
        <v>63156</v>
      </c>
      <c r="C660" s="9">
        <v>1.9544000000000002E-9</v>
      </c>
      <c r="D660" s="5" t="s">
        <v>1887</v>
      </c>
      <c r="E660" s="7">
        <v>1312416</v>
      </c>
      <c r="F660" s="1">
        <v>5.2814593890957231E-7</v>
      </c>
      <c r="G660" s="1">
        <v>8936531.1597055458</v>
      </c>
      <c r="H660" s="1">
        <v>0.522070694049798</v>
      </c>
      <c r="I660" s="7">
        <f t="shared" si="10"/>
        <v>10.343207360770306</v>
      </c>
      <c r="L660" s="5">
        <v>62135</v>
      </c>
      <c r="M660" s="7">
        <v>3.5514199999999999E-7</v>
      </c>
      <c r="N660" s="5" t="s">
        <v>1832</v>
      </c>
      <c r="O660" s="5">
        <v>73</v>
      </c>
      <c r="P660" s="5">
        <v>62</v>
      </c>
      <c r="Q660" s="7">
        <v>10.3</v>
      </c>
      <c r="R660" s="7">
        <v>6.7295842772810213E-2</v>
      </c>
      <c r="S660" s="7">
        <v>4432172160</v>
      </c>
      <c r="T660" s="7">
        <v>0</v>
      </c>
    </row>
    <row r="661" spans="2:20" x14ac:dyDescent="0.2">
      <c r="B661">
        <v>63157</v>
      </c>
      <c r="C661" s="9">
        <v>5.1652000000000003E-9</v>
      </c>
      <c r="D661" s="5" t="s">
        <v>1888</v>
      </c>
      <c r="E661" s="7">
        <v>54648</v>
      </c>
      <c r="F661" s="1">
        <v>1.2683852667251232E-5</v>
      </c>
      <c r="G661" s="1">
        <v>64460574.151511043</v>
      </c>
      <c r="H661" s="1">
        <v>1.237028414928708E-166</v>
      </c>
      <c r="I661" s="7">
        <f t="shared" si="10"/>
        <v>74.607146008693334</v>
      </c>
      <c r="L661" s="5">
        <v>62136</v>
      </c>
      <c r="M661" s="7">
        <v>2.3054900000000001E-7</v>
      </c>
      <c r="N661" s="5" t="s">
        <v>1833</v>
      </c>
      <c r="O661" s="5">
        <v>74</v>
      </c>
      <c r="P661" s="5">
        <v>62</v>
      </c>
      <c r="Q661" s="7">
        <v>47</v>
      </c>
      <c r="R661" s="7">
        <v>1.4747812352339261E-2</v>
      </c>
      <c r="S661" s="7">
        <v>2877251520</v>
      </c>
      <c r="T661" s="7">
        <v>0</v>
      </c>
    </row>
    <row r="662" spans="2:20" x14ac:dyDescent="0.2">
      <c r="B662">
        <v>63158</v>
      </c>
      <c r="C662" s="9">
        <v>8.7250000000000004E-9</v>
      </c>
      <c r="D662" s="5" t="s">
        <v>1889</v>
      </c>
      <c r="E662" s="7">
        <v>2754</v>
      </c>
      <c r="F662" s="1">
        <v>2.5168742939722053E-4</v>
      </c>
      <c r="G662" s="1">
        <v>108888000</v>
      </c>
      <c r="H662" s="1">
        <v>0</v>
      </c>
      <c r="I662" s="7">
        <f t="shared" si="10"/>
        <v>126.02777777777777</v>
      </c>
      <c r="L662" s="5">
        <v>62137</v>
      </c>
      <c r="M662" s="7">
        <v>8.1665999999999998E-8</v>
      </c>
      <c r="N662" s="5" t="s">
        <v>1834</v>
      </c>
      <c r="O662" s="5">
        <v>75</v>
      </c>
      <c r="P662" s="5">
        <v>62</v>
      </c>
      <c r="Q662" s="7">
        <v>45</v>
      </c>
      <c r="R662" s="7">
        <v>1.5403270679109895E-2</v>
      </c>
      <c r="S662" s="7">
        <v>1019191680</v>
      </c>
      <c r="T662" s="7">
        <v>0</v>
      </c>
    </row>
    <row r="663" spans="2:20" x14ac:dyDescent="0.2">
      <c r="B663">
        <v>63159</v>
      </c>
      <c r="C663" s="9">
        <v>1.89856E-8</v>
      </c>
      <c r="D663" s="5" t="s">
        <v>1890</v>
      </c>
      <c r="E663" s="7">
        <v>1086</v>
      </c>
      <c r="F663" s="1">
        <v>6.3825707233880783E-4</v>
      </c>
      <c r="G663" s="1">
        <v>236940288</v>
      </c>
      <c r="H663" s="1">
        <v>0</v>
      </c>
      <c r="I663" s="7">
        <f t="shared" si="10"/>
        <v>274.23644444444449</v>
      </c>
      <c r="L663" s="5">
        <v>62138</v>
      </c>
      <c r="M663" s="7">
        <v>3.8041000000000003E-8</v>
      </c>
      <c r="N663" s="5" t="s">
        <v>1835</v>
      </c>
      <c r="O663" s="5">
        <v>76</v>
      </c>
      <c r="P663" s="5">
        <v>62</v>
      </c>
      <c r="Q663" s="7">
        <v>186</v>
      </c>
      <c r="R663" s="7">
        <v>3.7265977449459425E-3</v>
      </c>
      <c r="S663" s="7">
        <v>474751680.00000006</v>
      </c>
      <c r="T663" s="7">
        <v>0</v>
      </c>
    </row>
    <row r="664" spans="2:20" x14ac:dyDescent="0.2">
      <c r="B664">
        <v>63160</v>
      </c>
      <c r="C664" s="9">
        <v>2.25454E-8</v>
      </c>
      <c r="D664" s="5" t="s">
        <v>1891</v>
      </c>
      <c r="E664" s="7">
        <v>38</v>
      </c>
      <c r="F664" s="1">
        <v>1.8240715277893296E-2</v>
      </c>
      <c r="G664" s="1">
        <v>281366592</v>
      </c>
      <c r="H664" s="1">
        <v>0</v>
      </c>
      <c r="I664" s="7">
        <f t="shared" si="10"/>
        <v>325.65577777777781</v>
      </c>
      <c r="L664" s="5">
        <v>62139</v>
      </c>
      <c r="M664" s="7">
        <v>9.3532000000000003E-9</v>
      </c>
      <c r="N664" s="5" t="s">
        <v>1836</v>
      </c>
      <c r="O664" s="5">
        <v>77</v>
      </c>
      <c r="P664" s="5">
        <v>62</v>
      </c>
      <c r="Q664" s="7">
        <v>154.19999999999999</v>
      </c>
      <c r="R664" s="7">
        <v>4.4951179024639775E-3</v>
      </c>
      <c r="S664" s="7">
        <v>116727936</v>
      </c>
      <c r="T664" s="7">
        <v>0</v>
      </c>
    </row>
    <row r="665" spans="2:20" x14ac:dyDescent="0.2">
      <c r="B665">
        <v>64142</v>
      </c>
      <c r="C665" s="9">
        <v>2.84784E-8</v>
      </c>
      <c r="D665" s="5" t="s">
        <v>1907</v>
      </c>
      <c r="E665" s="7">
        <v>70.2</v>
      </c>
      <c r="F665" s="1">
        <v>9.8738914609678811E-3</v>
      </c>
      <c r="G665" s="1">
        <v>355410432</v>
      </c>
      <c r="H665" s="1">
        <v>0</v>
      </c>
      <c r="I665" s="7">
        <f t="shared" si="10"/>
        <v>411.35466666666667</v>
      </c>
      <c r="L665" s="5">
        <v>62140</v>
      </c>
      <c r="M665" s="7">
        <v>2.0242000000000001E-9</v>
      </c>
      <c r="N665" s="5" t="s">
        <v>1837</v>
      </c>
      <c r="O665" s="5">
        <v>78</v>
      </c>
      <c r="P665" s="5">
        <v>62</v>
      </c>
      <c r="Q665" s="7">
        <v>889.2</v>
      </c>
      <c r="R665" s="7">
        <v>7.7951774691851692E-4</v>
      </c>
      <c r="S665" s="7">
        <v>25262016</v>
      </c>
      <c r="T665" s="7">
        <v>0</v>
      </c>
    </row>
    <row r="666" spans="2:20" x14ac:dyDescent="0.2">
      <c r="B666">
        <v>64143</v>
      </c>
      <c r="C666" s="9">
        <v>1.92648E-8</v>
      </c>
      <c r="D666" s="5" t="s">
        <v>1908</v>
      </c>
      <c r="E666" s="7">
        <v>39</v>
      </c>
      <c r="F666" s="1">
        <v>1.7773004629742187E-2</v>
      </c>
      <c r="G666" s="1">
        <v>240424704</v>
      </c>
      <c r="H666" s="1">
        <v>0</v>
      </c>
      <c r="I666" s="7">
        <f t="shared" si="10"/>
        <v>278.26933333333335</v>
      </c>
      <c r="L666" s="5">
        <v>62141</v>
      </c>
      <c r="M666" s="7">
        <v>2.7919999999999998E-10</v>
      </c>
      <c r="N666" s="5" t="s">
        <v>1838</v>
      </c>
      <c r="O666" s="5">
        <v>79</v>
      </c>
      <c r="P666" s="5">
        <v>62</v>
      </c>
      <c r="Q666" s="7">
        <v>612</v>
      </c>
      <c r="R666" s="7">
        <v>1.1325934322874924E-3</v>
      </c>
      <c r="S666" s="7">
        <v>3484415.9999999995</v>
      </c>
      <c r="T666" s="7">
        <v>0</v>
      </c>
    </row>
    <row r="667" spans="2:20" x14ac:dyDescent="0.2">
      <c r="B667">
        <v>64144</v>
      </c>
      <c r="C667" s="9">
        <v>1.3331800000000001E-8</v>
      </c>
      <c r="D667" s="5" t="s">
        <v>1909</v>
      </c>
      <c r="E667" s="7">
        <v>268.2</v>
      </c>
      <c r="F667" s="1">
        <v>2.5844413891123988E-3</v>
      </c>
      <c r="G667" s="1">
        <v>166380864</v>
      </c>
      <c r="H667" s="1">
        <v>0</v>
      </c>
      <c r="I667" s="7">
        <f t="shared" si="10"/>
        <v>192.57044444444443</v>
      </c>
      <c r="L667" s="5">
        <v>62151</v>
      </c>
      <c r="M667" s="7">
        <v>4.8860000000000005E-10</v>
      </c>
      <c r="N667" s="5" t="s">
        <v>1848</v>
      </c>
      <c r="O667" s="5">
        <v>89</v>
      </c>
      <c r="P667" s="5">
        <v>62</v>
      </c>
      <c r="Q667" s="7">
        <v>2840184000</v>
      </c>
      <c r="R667" s="7">
        <v>2.4405009695144584E-10</v>
      </c>
      <c r="S667" s="7">
        <v>1285.6270107216249</v>
      </c>
      <c r="T667" s="7">
        <v>1275.770336392316</v>
      </c>
    </row>
    <row r="668" spans="2:20" x14ac:dyDescent="0.2">
      <c r="B668">
        <v>64145</v>
      </c>
      <c r="C668" s="9">
        <v>4.6766000000000002E-9</v>
      </c>
      <c r="D668" s="5" t="s">
        <v>1910</v>
      </c>
      <c r="E668" s="7">
        <v>1380</v>
      </c>
      <c r="F668" s="1">
        <v>5.0228056562314871E-4</v>
      </c>
      <c r="G668" s="1">
        <v>58363968</v>
      </c>
      <c r="H668" s="1">
        <v>0</v>
      </c>
      <c r="I668" s="7">
        <f t="shared" si="10"/>
        <v>67.550888888888878</v>
      </c>
      <c r="L668" s="5">
        <v>62153</v>
      </c>
      <c r="M668" s="7">
        <v>1.1866E-8</v>
      </c>
      <c r="N668" s="5" t="s">
        <v>1850</v>
      </c>
      <c r="O668" s="5">
        <v>91</v>
      </c>
      <c r="P668" s="5">
        <v>62</v>
      </c>
      <c r="Q668" s="7">
        <v>166622.39999999999</v>
      </c>
      <c r="R668" s="7">
        <v>4.1599879761661417E-6</v>
      </c>
      <c r="S668" s="7">
        <v>144017957.07651138</v>
      </c>
      <c r="T668" s="7">
        <v>1.5261333158957558E-49</v>
      </c>
    </row>
    <row r="669" spans="2:20" x14ac:dyDescent="0.2">
      <c r="B669">
        <v>64146</v>
      </c>
      <c r="C669" s="9">
        <v>1.7450000000000001E-9</v>
      </c>
      <c r="D669" s="5" t="s">
        <v>1911</v>
      </c>
      <c r="E669" s="7">
        <v>4170528</v>
      </c>
      <c r="F669" s="1">
        <v>1.6620130126447905E-7</v>
      </c>
      <c r="G669" s="1">
        <v>2913059.5290719662</v>
      </c>
      <c r="H669" s="1">
        <v>15419.531047875331</v>
      </c>
      <c r="I669" s="7">
        <f t="shared" si="10"/>
        <v>3.3715966771666275</v>
      </c>
      <c r="L669" s="5">
        <v>62155</v>
      </c>
      <c r="M669" s="7">
        <v>9.0391000000000005E-8</v>
      </c>
      <c r="N669" s="5" t="s">
        <v>1852</v>
      </c>
      <c r="O669" s="5">
        <v>93</v>
      </c>
      <c r="P669" s="5">
        <v>62</v>
      </c>
      <c r="Q669" s="7">
        <v>1338</v>
      </c>
      <c r="R669" s="7">
        <v>5.1804722014943589E-4</v>
      </c>
      <c r="S669" s="7">
        <v>1128079680</v>
      </c>
      <c r="T669" s="7">
        <v>0</v>
      </c>
    </row>
    <row r="670" spans="2:20" x14ac:dyDescent="0.2">
      <c r="B670">
        <v>64147</v>
      </c>
      <c r="C670" s="9">
        <v>3.4899999999999998E-10</v>
      </c>
      <c r="D670" s="5" t="s">
        <v>1912</v>
      </c>
      <c r="E670" s="7">
        <v>137016</v>
      </c>
      <c r="F670" s="1">
        <v>5.0588776534123408E-6</v>
      </c>
      <c r="G670" s="1">
        <v>4300465.2033160934</v>
      </c>
      <c r="H670" s="1">
        <v>2.2262731233356847E-63</v>
      </c>
      <c r="I670" s="7">
        <f t="shared" si="10"/>
        <v>4.9773902816158495</v>
      </c>
      <c r="L670" s="5">
        <v>62156</v>
      </c>
      <c r="M670" s="7">
        <v>2.11983E-7</v>
      </c>
      <c r="N670" s="5" t="s">
        <v>1853</v>
      </c>
      <c r="O670" s="5">
        <v>94</v>
      </c>
      <c r="P670" s="5">
        <v>62</v>
      </c>
      <c r="Q670" s="7">
        <v>33840</v>
      </c>
      <c r="R670" s="7">
        <v>2.0483072711582307E-5</v>
      </c>
      <c r="S670" s="7">
        <v>2645547785.4690089</v>
      </c>
      <c r="T670" s="7">
        <v>7.7299952258930594E-272</v>
      </c>
    </row>
    <row r="671" spans="2:20" x14ac:dyDescent="0.2">
      <c r="B671">
        <v>64150</v>
      </c>
      <c r="C671" s="9">
        <v>6.9799999999999994E-11</v>
      </c>
      <c r="D671" s="5" t="s">
        <v>1915</v>
      </c>
      <c r="E671" s="7">
        <v>56488104000000</v>
      </c>
      <c r="F671" s="1">
        <v>1.2270675265715155E-14</v>
      </c>
      <c r="G671" s="1">
        <v>9.2353256040382786E-3</v>
      </c>
      <c r="H671" s="1">
        <v>9.2353220302633515E-3</v>
      </c>
      <c r="I671" s="7">
        <f t="shared" si="10"/>
        <v>1.0689034263933191E-8</v>
      </c>
      <c r="L671" s="5">
        <v>62157</v>
      </c>
      <c r="M671" s="7">
        <v>2.26222E-7</v>
      </c>
      <c r="N671" s="5" t="s">
        <v>1854</v>
      </c>
      <c r="O671" s="5">
        <v>95</v>
      </c>
      <c r="P671" s="5">
        <v>62</v>
      </c>
      <c r="Q671" s="7">
        <v>481.79999999999899</v>
      </c>
      <c r="R671" s="7">
        <v>1.438661644997814E-3</v>
      </c>
      <c r="S671" s="7">
        <v>2823250560</v>
      </c>
      <c r="T671" s="7">
        <v>0</v>
      </c>
    </row>
    <row r="672" spans="2:20" x14ac:dyDescent="0.2">
      <c r="B672">
        <v>64159</v>
      </c>
      <c r="C672" s="9">
        <v>5.5839999999999995E-10</v>
      </c>
      <c r="D672" s="5" t="s">
        <v>1924</v>
      </c>
      <c r="E672" s="7">
        <v>66524.399999999994</v>
      </c>
      <c r="F672" s="1">
        <v>1.0419442799332956E-5</v>
      </c>
      <c r="G672" s="1">
        <v>6967974.0381670576</v>
      </c>
      <c r="H672" s="1">
        <v>1.3783120510113264E-136</v>
      </c>
      <c r="I672" s="7">
        <f t="shared" si="10"/>
        <v>8.0647847663970573</v>
      </c>
      <c r="L672" s="5">
        <v>62158</v>
      </c>
      <c r="M672" s="7">
        <v>2.90298E-7</v>
      </c>
      <c r="N672" s="5" t="s">
        <v>1855</v>
      </c>
      <c r="O672" s="5">
        <v>96</v>
      </c>
      <c r="P672" s="5">
        <v>62</v>
      </c>
      <c r="Q672" s="7">
        <v>318</v>
      </c>
      <c r="R672" s="7">
        <v>2.1797081149683814E-3</v>
      </c>
      <c r="S672" s="7">
        <v>3622919040</v>
      </c>
      <c r="T672" s="7">
        <v>0</v>
      </c>
    </row>
    <row r="673" spans="2:20" x14ac:dyDescent="0.2">
      <c r="B673">
        <v>64160</v>
      </c>
      <c r="C673" s="9">
        <v>3.2806E-9</v>
      </c>
      <c r="D673" s="5" t="s">
        <v>1925</v>
      </c>
      <c r="E673" s="7">
        <v>9.7828559999999996E+26</v>
      </c>
      <c r="F673" s="1">
        <v>7.0853253953645573E-28</v>
      </c>
      <c r="G673" s="1">
        <v>0</v>
      </c>
      <c r="H673" s="1">
        <v>0</v>
      </c>
      <c r="I673" s="7">
        <f t="shared" si="10"/>
        <v>0</v>
      </c>
      <c r="L673" s="5">
        <v>63138</v>
      </c>
      <c r="M673" s="7">
        <v>2.3850700000000001E-7</v>
      </c>
      <c r="N673" s="5" t="s">
        <v>1869</v>
      </c>
      <c r="O673" s="5">
        <v>75</v>
      </c>
      <c r="P673" s="5">
        <v>63</v>
      </c>
      <c r="Q673" s="7">
        <v>12.1</v>
      </c>
      <c r="R673" s="7">
        <v>5.728489095536738E-2</v>
      </c>
      <c r="S673" s="7">
        <v>2976567360</v>
      </c>
      <c r="T673" s="7">
        <v>0</v>
      </c>
    </row>
    <row r="674" spans="2:20" x14ac:dyDescent="0.2">
      <c r="B674">
        <v>64161</v>
      </c>
      <c r="C674" s="9">
        <v>4.8162E-9</v>
      </c>
      <c r="D674" s="5" t="s">
        <v>1926</v>
      </c>
      <c r="E674" s="7">
        <v>219.6</v>
      </c>
      <c r="F674" s="1">
        <v>3.1564079260471096E-3</v>
      </c>
      <c r="G674" s="1">
        <v>60106176</v>
      </c>
      <c r="H674" s="1">
        <v>0</v>
      </c>
      <c r="I674" s="7">
        <f t="shared" si="10"/>
        <v>69.567333333333337</v>
      </c>
      <c r="L674" s="5">
        <v>63139</v>
      </c>
      <c r="M674" s="7">
        <v>1.89926E-7</v>
      </c>
      <c r="N674" s="5" t="s">
        <v>1870</v>
      </c>
      <c r="O674" s="5">
        <v>76</v>
      </c>
      <c r="P674" s="5">
        <v>63</v>
      </c>
      <c r="Q674" s="7">
        <v>17.899999999999999</v>
      </c>
      <c r="R674" s="7">
        <v>3.8723306176533259E-2</v>
      </c>
      <c r="S674" s="7">
        <v>2370276480</v>
      </c>
      <c r="T674" s="7">
        <v>0</v>
      </c>
    </row>
    <row r="675" spans="2:20" x14ac:dyDescent="0.2">
      <c r="B675">
        <v>64162</v>
      </c>
      <c r="C675" s="9">
        <v>8.0968000000000004E-9</v>
      </c>
      <c r="D675" s="5" t="s">
        <v>1927</v>
      </c>
      <c r="E675" s="7">
        <v>504</v>
      </c>
      <c r="F675" s="1">
        <v>1.3752920249205263E-3</v>
      </c>
      <c r="G675" s="1">
        <v>101048064</v>
      </c>
      <c r="H675" s="1">
        <v>0</v>
      </c>
      <c r="I675" s="7">
        <f t="shared" si="10"/>
        <v>116.95377777777779</v>
      </c>
      <c r="L675" s="5">
        <v>63140</v>
      </c>
      <c r="M675" s="7">
        <v>8.4248599999999994E-8</v>
      </c>
      <c r="N675" s="5" t="s">
        <v>1871</v>
      </c>
      <c r="O675" s="5">
        <v>77</v>
      </c>
      <c r="P675" s="5">
        <v>63</v>
      </c>
      <c r="Q675" s="7">
        <v>1.51</v>
      </c>
      <c r="R675" s="7">
        <v>0.45903786792049356</v>
      </c>
      <c r="S675" s="7">
        <v>1051422527.9999999</v>
      </c>
      <c r="T675" s="7">
        <v>0</v>
      </c>
    </row>
    <row r="676" spans="2:20" x14ac:dyDescent="0.2">
      <c r="B676">
        <v>64163</v>
      </c>
      <c r="C676" s="9">
        <v>1.29828E-8</v>
      </c>
      <c r="D676" s="5" t="s">
        <v>1928</v>
      </c>
      <c r="E676" s="7">
        <v>68</v>
      </c>
      <c r="F676" s="1">
        <v>1.0193340890587431E-2</v>
      </c>
      <c r="G676" s="1">
        <v>162025344</v>
      </c>
      <c r="H676" s="1">
        <v>0</v>
      </c>
      <c r="I676" s="7">
        <f t="shared" si="10"/>
        <v>187.52933333333334</v>
      </c>
      <c r="L676" s="5">
        <v>63141</v>
      </c>
      <c r="M676" s="7">
        <v>5.3606399999999999E-8</v>
      </c>
      <c r="N676" s="5" t="s">
        <v>1872</v>
      </c>
      <c r="O676" s="5">
        <v>78</v>
      </c>
      <c r="P676" s="5">
        <v>63</v>
      </c>
      <c r="Q676" s="7">
        <v>40.700000000000003</v>
      </c>
      <c r="R676" s="7">
        <v>1.7030643257001113E-2</v>
      </c>
      <c r="S676" s="7">
        <v>669007872</v>
      </c>
      <c r="T676" s="7">
        <v>0</v>
      </c>
    </row>
    <row r="677" spans="2:20" x14ac:dyDescent="0.2">
      <c r="B677">
        <v>65144</v>
      </c>
      <c r="C677" s="9">
        <v>1.0679399999999999E-8</v>
      </c>
      <c r="D677" s="5" t="s">
        <v>1943</v>
      </c>
      <c r="E677" s="7">
        <v>1</v>
      </c>
      <c r="F677" s="1">
        <v>0.69314718055994529</v>
      </c>
      <c r="G677" s="1">
        <v>133278911.99999999</v>
      </c>
      <c r="H677" s="1">
        <v>0</v>
      </c>
      <c r="I677" s="7">
        <f t="shared" si="10"/>
        <v>154.25799999999998</v>
      </c>
      <c r="L677" s="5">
        <v>63142</v>
      </c>
      <c r="M677" s="7">
        <v>1.3960000000000001E-8</v>
      </c>
      <c r="N677" s="5" t="s">
        <v>1873</v>
      </c>
      <c r="O677" s="5">
        <v>79</v>
      </c>
      <c r="P677" s="5">
        <v>63</v>
      </c>
      <c r="Q677" s="7">
        <v>2.34</v>
      </c>
      <c r="R677" s="7">
        <v>0.29621674382903646</v>
      </c>
      <c r="S677" s="7">
        <v>174220800</v>
      </c>
      <c r="T677" s="7">
        <v>0</v>
      </c>
    </row>
    <row r="678" spans="2:20" x14ac:dyDescent="0.2">
      <c r="B678">
        <v>65145</v>
      </c>
      <c r="C678" s="9">
        <v>7.0498000000000002E-9</v>
      </c>
      <c r="D678" s="5" t="s">
        <v>1944</v>
      </c>
      <c r="E678" s="7">
        <v>30.9</v>
      </c>
      <c r="F678" s="1">
        <v>2.2431947590936741E-2</v>
      </c>
      <c r="G678" s="1">
        <v>87981504</v>
      </c>
      <c r="H678" s="1">
        <v>0</v>
      </c>
      <c r="I678" s="7">
        <f t="shared" si="10"/>
        <v>101.83044444444445</v>
      </c>
      <c r="L678" s="5">
        <v>63143</v>
      </c>
      <c r="M678" s="7">
        <v>7.0498000000000002E-9</v>
      </c>
      <c r="N678" s="5" t="s">
        <v>1874</v>
      </c>
      <c r="O678" s="5">
        <v>80</v>
      </c>
      <c r="P678" s="5">
        <v>63</v>
      </c>
      <c r="Q678" s="7">
        <v>155.39999999999901</v>
      </c>
      <c r="R678" s="7">
        <v>4.4604065673098433E-3</v>
      </c>
      <c r="S678" s="7">
        <v>87981504</v>
      </c>
      <c r="T678" s="7">
        <v>0</v>
      </c>
    </row>
    <row r="679" spans="2:20" x14ac:dyDescent="0.2">
      <c r="B679">
        <v>65146</v>
      </c>
      <c r="C679" s="9">
        <v>5.0953999999999996E-9</v>
      </c>
      <c r="D679" s="5" t="s">
        <v>1945</v>
      </c>
      <c r="E679" s="7">
        <v>8</v>
      </c>
      <c r="F679" s="1">
        <v>8.6643397569993161E-2</v>
      </c>
      <c r="G679" s="1">
        <v>63590591.999999993</v>
      </c>
      <c r="H679" s="1">
        <v>0</v>
      </c>
      <c r="I679" s="7">
        <f t="shared" si="10"/>
        <v>73.600222222222214</v>
      </c>
      <c r="L679" s="5">
        <v>63144</v>
      </c>
      <c r="M679" s="7">
        <v>9.0739999999999999E-10</v>
      </c>
      <c r="N679" s="5" t="s">
        <v>1875</v>
      </c>
      <c r="O679" s="5">
        <v>81</v>
      </c>
      <c r="P679" s="5">
        <v>63</v>
      </c>
      <c r="Q679" s="7">
        <v>10.199999999999999</v>
      </c>
      <c r="R679" s="7">
        <v>6.7955605937249544E-2</v>
      </c>
      <c r="S679" s="7">
        <v>11324352</v>
      </c>
      <c r="T679" s="7">
        <v>0</v>
      </c>
    </row>
    <row r="680" spans="2:20" x14ac:dyDescent="0.2">
      <c r="B680">
        <v>65147</v>
      </c>
      <c r="C680" s="9">
        <v>9.0739999999999999E-10</v>
      </c>
      <c r="D680" s="5" t="s">
        <v>1946</v>
      </c>
      <c r="E680" s="7">
        <v>5904</v>
      </c>
      <c r="F680" s="1">
        <v>1.174029777371181E-4</v>
      </c>
      <c r="G680" s="1">
        <v>11324352</v>
      </c>
      <c r="H680" s="1">
        <v>0</v>
      </c>
      <c r="I680" s="7">
        <f t="shared" si="10"/>
        <v>13.106888888888887</v>
      </c>
      <c r="L680" s="5">
        <v>63145</v>
      </c>
      <c r="M680" s="7">
        <v>4.1879999999999999E-10</v>
      </c>
      <c r="N680" s="5" t="s">
        <v>1876</v>
      </c>
      <c r="O680" s="5">
        <v>82</v>
      </c>
      <c r="P680" s="5">
        <v>63</v>
      </c>
      <c r="Q680" s="7">
        <v>512352</v>
      </c>
      <c r="R680" s="7">
        <v>1.3528729868526819E-6</v>
      </c>
      <c r="S680" s="7">
        <v>3602638.5175607861</v>
      </c>
      <c r="T680" s="7">
        <v>1.0660877709257953E-12</v>
      </c>
    </row>
    <row r="681" spans="2:20" x14ac:dyDescent="0.2">
      <c r="B681">
        <v>65148</v>
      </c>
      <c r="C681" s="9">
        <v>2.094E-10</v>
      </c>
      <c r="D681" s="5" t="s">
        <v>1947</v>
      </c>
      <c r="E681" s="7">
        <v>3600</v>
      </c>
      <c r="F681" s="1">
        <v>1.9254088348887369E-4</v>
      </c>
      <c r="G681" s="1">
        <v>2613312</v>
      </c>
      <c r="H681" s="1">
        <v>0</v>
      </c>
      <c r="I681" s="7">
        <f t="shared" si="10"/>
        <v>3.0246666666666671</v>
      </c>
      <c r="L681" s="5">
        <v>63146</v>
      </c>
      <c r="M681" s="7">
        <v>6.9799999999999994E-11</v>
      </c>
      <c r="N681" s="5" t="s">
        <v>1877</v>
      </c>
      <c r="O681" s="5">
        <v>83</v>
      </c>
      <c r="P681" s="5">
        <v>63</v>
      </c>
      <c r="Q681" s="7">
        <v>398304</v>
      </c>
      <c r="R681" s="7">
        <v>1.7402465969710203E-6</v>
      </c>
      <c r="S681" s="7">
        <v>677427.67982754926</v>
      </c>
      <c r="T681" s="7">
        <v>9.9220362285245924E-19</v>
      </c>
    </row>
    <row r="682" spans="2:20" x14ac:dyDescent="0.2">
      <c r="B682">
        <v>65149</v>
      </c>
      <c r="C682" s="9">
        <v>1.3959999999999999E-10</v>
      </c>
      <c r="D682" s="5" t="s">
        <v>1948</v>
      </c>
      <c r="E682" s="7">
        <v>14824.8</v>
      </c>
      <c r="F682" s="1">
        <v>4.6755921196909595E-5</v>
      </c>
      <c r="G682" s="1">
        <v>1742207.9999999998</v>
      </c>
      <c r="H682" s="1">
        <v>0</v>
      </c>
      <c r="I682" s="7">
        <f t="shared" si="10"/>
        <v>2.0164444444444443</v>
      </c>
      <c r="L682" s="5">
        <v>63147</v>
      </c>
      <c r="M682" s="7">
        <v>6.9799999999999994E-11</v>
      </c>
      <c r="N682" s="5" t="s">
        <v>1878</v>
      </c>
      <c r="O682" s="5">
        <v>84</v>
      </c>
      <c r="P682" s="5">
        <v>63</v>
      </c>
      <c r="Q682" s="7">
        <v>2082240</v>
      </c>
      <c r="R682" s="7">
        <v>3.3288534489777611E-7</v>
      </c>
      <c r="S682" s="7">
        <v>217730.83096009956</v>
      </c>
      <c r="T682" s="7">
        <v>6.0083046574912027</v>
      </c>
    </row>
    <row r="683" spans="2:20" x14ac:dyDescent="0.2">
      <c r="B683">
        <v>65161</v>
      </c>
      <c r="C683" s="9">
        <v>1.3959999999999999E-10</v>
      </c>
      <c r="D683" s="5" t="s">
        <v>1960</v>
      </c>
      <c r="E683" s="7">
        <v>595296</v>
      </c>
      <c r="F683" s="1">
        <v>1.1643739930386654E-6</v>
      </c>
      <c r="G683" s="1">
        <v>1105131.7033986228</v>
      </c>
      <c r="H683" s="1">
        <v>1.2481066960226325E-10</v>
      </c>
      <c r="I683" s="7">
        <f t="shared" si="10"/>
        <v>1.2790876196743319</v>
      </c>
      <c r="L683" s="5">
        <v>63154</v>
      </c>
      <c r="M683" s="7">
        <v>3.4899999999999998E-10</v>
      </c>
      <c r="N683" s="5" t="s">
        <v>1885</v>
      </c>
      <c r="O683" s="5">
        <v>91</v>
      </c>
      <c r="P683" s="5">
        <v>63</v>
      </c>
      <c r="Q683" s="7">
        <v>271426917.60000002</v>
      </c>
      <c r="R683" s="7">
        <v>2.5537156988292206E-9</v>
      </c>
      <c r="S683" s="7">
        <v>9599.4703878302789</v>
      </c>
      <c r="T683" s="7">
        <v>8856.6974846942194</v>
      </c>
    </row>
    <row r="684" spans="2:20" x14ac:dyDescent="0.2">
      <c r="B684">
        <v>65162</v>
      </c>
      <c r="C684" s="9">
        <v>2.094E-10</v>
      </c>
      <c r="D684" s="5" t="s">
        <v>1961</v>
      </c>
      <c r="E684" s="7">
        <v>456</v>
      </c>
      <c r="F684" s="1">
        <v>1.520059606491108E-3</v>
      </c>
      <c r="G684" s="1">
        <v>2613312</v>
      </c>
      <c r="H684" s="1">
        <v>0</v>
      </c>
      <c r="I684" s="7">
        <f t="shared" si="10"/>
        <v>3.0246666666666671</v>
      </c>
      <c r="L684" s="5">
        <v>63155</v>
      </c>
      <c r="M684" s="7">
        <v>1.7450000000000001E-9</v>
      </c>
      <c r="N684" s="5" t="s">
        <v>1886</v>
      </c>
      <c r="O684" s="5">
        <v>92</v>
      </c>
      <c r="P684" s="5">
        <v>63</v>
      </c>
      <c r="Q684" s="7">
        <v>149993272.80000001</v>
      </c>
      <c r="R684" s="7">
        <v>4.6211884547927889E-9</v>
      </c>
      <c r="S684" s="7">
        <v>86778.216878722378</v>
      </c>
      <c r="T684" s="7">
        <v>75010.029663526162</v>
      </c>
    </row>
    <row r="685" spans="2:20" x14ac:dyDescent="0.2">
      <c r="B685">
        <v>65163</v>
      </c>
      <c r="C685" s="9">
        <v>5.5839999999999995E-10</v>
      </c>
      <c r="D685" s="5" t="s">
        <v>1962</v>
      </c>
      <c r="E685" s="7">
        <v>1170</v>
      </c>
      <c r="F685" s="1">
        <v>5.9243348765807284E-4</v>
      </c>
      <c r="G685" s="1">
        <v>6968831.9999999991</v>
      </c>
      <c r="H685" s="1">
        <v>0</v>
      </c>
      <c r="I685" s="7">
        <f t="shared" si="10"/>
        <v>8.065777777777777</v>
      </c>
      <c r="L685" s="5">
        <v>63156</v>
      </c>
      <c r="M685" s="7">
        <v>4.8859999999999999E-9</v>
      </c>
      <c r="N685" s="5" t="s">
        <v>1887</v>
      </c>
      <c r="O685" s="5">
        <v>93</v>
      </c>
      <c r="P685" s="5">
        <v>63</v>
      </c>
      <c r="Q685" s="7">
        <v>1312416</v>
      </c>
      <c r="R685" s="7">
        <v>5.2814593890957231E-7</v>
      </c>
      <c r="S685" s="7">
        <v>22341327.899263859</v>
      </c>
      <c r="T685" s="7">
        <v>1.3051767351244947</v>
      </c>
    </row>
    <row r="686" spans="2:20" x14ac:dyDescent="0.2">
      <c r="B686">
        <v>65164</v>
      </c>
      <c r="C686" s="9">
        <v>7.6779999999999997E-10</v>
      </c>
      <c r="D686" s="5" t="s">
        <v>1963</v>
      </c>
      <c r="E686" s="7">
        <v>180</v>
      </c>
      <c r="F686" s="1">
        <v>3.8508176697774738E-3</v>
      </c>
      <c r="G686" s="1">
        <v>9582144</v>
      </c>
      <c r="H686" s="1">
        <v>0</v>
      </c>
      <c r="I686" s="7">
        <f t="shared" si="10"/>
        <v>11.090444444444444</v>
      </c>
      <c r="L686" s="5">
        <v>63157</v>
      </c>
      <c r="M686" s="7">
        <v>1.9683600000000001E-8</v>
      </c>
      <c r="N686" s="5" t="s">
        <v>1888</v>
      </c>
      <c r="O686" s="5">
        <v>94</v>
      </c>
      <c r="P686" s="5">
        <v>63</v>
      </c>
      <c r="Q686" s="7">
        <v>54648</v>
      </c>
      <c r="R686" s="7">
        <v>1.2683852667251232E-5</v>
      </c>
      <c r="S686" s="7">
        <v>245647052.84765017</v>
      </c>
      <c r="T686" s="7">
        <v>4.7140812568904815E-166</v>
      </c>
    </row>
    <row r="687" spans="2:20" x14ac:dyDescent="0.2">
      <c r="B687">
        <v>65165</v>
      </c>
      <c r="C687" s="9">
        <v>1.1167999999999999E-9</v>
      </c>
      <c r="D687" s="5" t="s">
        <v>1964</v>
      </c>
      <c r="E687" s="7">
        <v>126.6</v>
      </c>
      <c r="F687" s="1">
        <v>5.4750962129537541E-3</v>
      </c>
      <c r="G687" s="1">
        <v>13937663.999999998</v>
      </c>
      <c r="H687" s="1">
        <v>0</v>
      </c>
      <c r="I687" s="7">
        <f t="shared" si="10"/>
        <v>16.131555555555554</v>
      </c>
      <c r="L687" s="5">
        <v>63158</v>
      </c>
      <c r="M687" s="7">
        <v>3.3364400000000002E-8</v>
      </c>
      <c r="N687" s="5" t="s">
        <v>1889</v>
      </c>
      <c r="O687" s="5">
        <v>95</v>
      </c>
      <c r="P687" s="5">
        <v>63</v>
      </c>
      <c r="Q687" s="7">
        <v>2754</v>
      </c>
      <c r="R687" s="7">
        <v>2.5168742939722053E-4</v>
      </c>
      <c r="S687" s="7">
        <v>416387712</v>
      </c>
      <c r="T687" s="7">
        <v>0</v>
      </c>
    </row>
    <row r="688" spans="2:20" x14ac:dyDescent="0.2">
      <c r="B688">
        <v>66145</v>
      </c>
      <c r="C688" s="9">
        <v>6.2819999999999996E-10</v>
      </c>
      <c r="D688" s="5" t="s">
        <v>1977</v>
      </c>
      <c r="E688" s="7">
        <v>6</v>
      </c>
      <c r="F688" s="1">
        <v>0.11552453009332421</v>
      </c>
      <c r="G688" s="1">
        <v>7839935.9999999991</v>
      </c>
      <c r="H688" s="1">
        <v>0</v>
      </c>
      <c r="I688" s="7">
        <f t="shared" si="10"/>
        <v>9.0739999999999981</v>
      </c>
      <c r="L688" s="5">
        <v>63159</v>
      </c>
      <c r="M688" s="7">
        <v>6.6938199999999998E-8</v>
      </c>
      <c r="N688" s="5" t="s">
        <v>1890</v>
      </c>
      <c r="O688" s="5">
        <v>96</v>
      </c>
      <c r="P688" s="5">
        <v>63</v>
      </c>
      <c r="Q688" s="7">
        <v>1086</v>
      </c>
      <c r="R688" s="7">
        <v>6.3825707233880783E-4</v>
      </c>
      <c r="S688" s="7">
        <v>835388736</v>
      </c>
      <c r="T688" s="7">
        <v>0</v>
      </c>
    </row>
    <row r="689" spans="2:20" x14ac:dyDescent="0.2">
      <c r="B689">
        <v>66146</v>
      </c>
      <c r="C689" s="9">
        <v>4.8860000000000005E-10</v>
      </c>
      <c r="D689" s="5" t="s">
        <v>1978</v>
      </c>
      <c r="E689" s="7">
        <v>33.200000000000003</v>
      </c>
      <c r="F689" s="1">
        <v>2.0877927125299556E-2</v>
      </c>
      <c r="G689" s="1">
        <v>6097728.0000000009</v>
      </c>
      <c r="H689" s="1">
        <v>0</v>
      </c>
      <c r="I689" s="7">
        <f t="shared" si="10"/>
        <v>7.057555555555556</v>
      </c>
      <c r="L689" s="5">
        <v>63160</v>
      </c>
      <c r="M689" s="7">
        <v>7.8385400000000005E-8</v>
      </c>
      <c r="N689" s="5" t="s">
        <v>1891</v>
      </c>
      <c r="O689" s="5">
        <v>97</v>
      </c>
      <c r="P689" s="5">
        <v>63</v>
      </c>
      <c r="Q689" s="7">
        <v>38</v>
      </c>
      <c r="R689" s="7">
        <v>1.8240715277893296E-2</v>
      </c>
      <c r="S689" s="7">
        <v>978249792.00000012</v>
      </c>
      <c r="T689" s="7">
        <v>0</v>
      </c>
    </row>
    <row r="690" spans="2:20" x14ac:dyDescent="0.2">
      <c r="B690">
        <v>66147</v>
      </c>
      <c r="C690" s="9">
        <v>4.1879999999999999E-10</v>
      </c>
      <c r="D690" s="5" t="s">
        <v>1979</v>
      </c>
      <c r="E690" s="7">
        <v>67</v>
      </c>
      <c r="F690" s="1">
        <v>1.0345480306864855E-2</v>
      </c>
      <c r="G690" s="1">
        <v>5226624</v>
      </c>
      <c r="H690" s="1">
        <v>0</v>
      </c>
      <c r="I690" s="7">
        <f t="shared" si="10"/>
        <v>6.0493333333333341</v>
      </c>
      <c r="L690" s="5">
        <v>64142</v>
      </c>
      <c r="M690" s="7">
        <v>8.7668800000000005E-8</v>
      </c>
      <c r="N690" s="5" t="s">
        <v>1907</v>
      </c>
      <c r="O690" s="5">
        <v>78</v>
      </c>
      <c r="P690" s="5">
        <v>64</v>
      </c>
      <c r="Q690" s="7">
        <v>70.2</v>
      </c>
      <c r="R690" s="7">
        <v>9.8738914609678811E-3</v>
      </c>
      <c r="S690" s="7">
        <v>1094106624</v>
      </c>
      <c r="T690" s="7">
        <v>0</v>
      </c>
    </row>
    <row r="691" spans="2:20" x14ac:dyDescent="0.2">
      <c r="B691">
        <v>66148</v>
      </c>
      <c r="C691" s="9">
        <v>2.7919999999999998E-10</v>
      </c>
      <c r="D691" s="5" t="s">
        <v>1980</v>
      </c>
      <c r="E691" s="7">
        <v>198</v>
      </c>
      <c r="F691" s="1">
        <v>3.5007433361613398E-3</v>
      </c>
      <c r="G691" s="1">
        <v>3484415.9999999995</v>
      </c>
      <c r="H691" s="1">
        <v>0</v>
      </c>
      <c r="I691" s="7">
        <f t="shared" si="10"/>
        <v>4.0328888888888885</v>
      </c>
      <c r="L691" s="5">
        <v>64143</v>
      </c>
      <c r="M691" s="7">
        <v>6.0935400000000004E-8</v>
      </c>
      <c r="N691" s="5" t="s">
        <v>1908</v>
      </c>
      <c r="O691" s="5">
        <v>79</v>
      </c>
      <c r="P691" s="5">
        <v>64</v>
      </c>
      <c r="Q691" s="7">
        <v>39</v>
      </c>
      <c r="R691" s="7">
        <v>1.7773004629742187E-2</v>
      </c>
      <c r="S691" s="7">
        <v>760473792</v>
      </c>
      <c r="T691" s="7">
        <v>0</v>
      </c>
    </row>
    <row r="692" spans="2:20" x14ac:dyDescent="0.2">
      <c r="B692">
        <v>66149</v>
      </c>
      <c r="C692" s="9">
        <v>6.9799999999999994E-11</v>
      </c>
      <c r="D692" s="5" t="s">
        <v>1981</v>
      </c>
      <c r="E692" s="7">
        <v>252</v>
      </c>
      <c r="F692" s="1">
        <v>2.7505840498410527E-3</v>
      </c>
      <c r="G692" s="1">
        <v>871103.99999999988</v>
      </c>
      <c r="H692" s="1">
        <v>0</v>
      </c>
      <c r="I692" s="7">
        <f t="shared" si="10"/>
        <v>1.0082222222222221</v>
      </c>
      <c r="L692" s="5">
        <v>64144</v>
      </c>
      <c r="M692" s="7">
        <v>4.4951200000000001E-8</v>
      </c>
      <c r="N692" s="5" t="s">
        <v>1909</v>
      </c>
      <c r="O692" s="5">
        <v>80</v>
      </c>
      <c r="P692" s="5">
        <v>64</v>
      </c>
      <c r="Q692" s="7">
        <v>268.2</v>
      </c>
      <c r="R692" s="7">
        <v>2.5844413891123988E-3</v>
      </c>
      <c r="S692" s="7">
        <v>560990976</v>
      </c>
      <c r="T692" s="7">
        <v>0</v>
      </c>
    </row>
    <row r="693" spans="2:20" x14ac:dyDescent="0.2">
      <c r="B693">
        <v>66166</v>
      </c>
      <c r="C693" s="9">
        <v>6.9799999999999994E-11</v>
      </c>
      <c r="D693" s="5" t="s">
        <v>1998</v>
      </c>
      <c r="E693" s="7">
        <v>293760</v>
      </c>
      <c r="F693" s="1">
        <v>2.3595696505989421E-6</v>
      </c>
      <c r="G693" s="1">
        <v>757684.51583227911</v>
      </c>
      <c r="H693" s="1">
        <v>3.6562256842402625E-27</v>
      </c>
      <c r="I693" s="7">
        <f t="shared" si="10"/>
        <v>0.87694967110217492</v>
      </c>
      <c r="L693" s="5">
        <v>64145</v>
      </c>
      <c r="M693" s="7">
        <v>1.8845999999999999E-8</v>
      </c>
      <c r="N693" s="5" t="s">
        <v>1910</v>
      </c>
      <c r="O693" s="5">
        <v>81</v>
      </c>
      <c r="P693" s="5">
        <v>64</v>
      </c>
      <c r="Q693" s="7">
        <v>1380</v>
      </c>
      <c r="R693" s="7">
        <v>5.0228056562314871E-4</v>
      </c>
      <c r="S693" s="7">
        <v>235198080</v>
      </c>
      <c r="T693" s="7">
        <v>0</v>
      </c>
    </row>
    <row r="694" spans="2:20" x14ac:dyDescent="0.2">
      <c r="B694">
        <v>66167</v>
      </c>
      <c r="C694" s="9">
        <v>2.7919999999999998E-10</v>
      </c>
      <c r="D694" s="5" t="s">
        <v>1999</v>
      </c>
      <c r="E694" s="7">
        <v>372</v>
      </c>
      <c r="F694" s="1">
        <v>1.8632988724729713E-3</v>
      </c>
      <c r="G694" s="1">
        <v>3484415.9999999995</v>
      </c>
      <c r="H694" s="1">
        <v>0</v>
      </c>
      <c r="I694" s="7">
        <f t="shared" si="10"/>
        <v>4.0328888888888885</v>
      </c>
      <c r="L694" s="5">
        <v>64146</v>
      </c>
      <c r="M694" s="7">
        <v>9.7719999999999998E-9</v>
      </c>
      <c r="N694" s="5" t="s">
        <v>1911</v>
      </c>
      <c r="O694" s="5">
        <v>82</v>
      </c>
      <c r="P694" s="5">
        <v>64</v>
      </c>
      <c r="Q694" s="7">
        <v>4170528</v>
      </c>
      <c r="R694" s="7">
        <v>1.6620130126447905E-7</v>
      </c>
      <c r="S694" s="7">
        <v>16313133.36280301</v>
      </c>
      <c r="T694" s="7">
        <v>86349.373868101859</v>
      </c>
    </row>
    <row r="695" spans="2:20" x14ac:dyDescent="0.2">
      <c r="B695">
        <v>66168</v>
      </c>
      <c r="C695" s="9">
        <v>2.7919999999999998E-10</v>
      </c>
      <c r="D695" s="5" t="s">
        <v>2000</v>
      </c>
      <c r="E695" s="7">
        <v>522</v>
      </c>
      <c r="F695" s="1">
        <v>1.3278681619922324E-3</v>
      </c>
      <c r="G695" s="1">
        <v>3484415.9999999995</v>
      </c>
      <c r="H695" s="1">
        <v>0</v>
      </c>
      <c r="I695" s="7">
        <f t="shared" si="10"/>
        <v>4.0328888888888885</v>
      </c>
      <c r="L695" s="5">
        <v>64147</v>
      </c>
      <c r="M695" s="7">
        <v>2.8618000000000002E-9</v>
      </c>
      <c r="N695" s="5" t="s">
        <v>1912</v>
      </c>
      <c r="O695" s="5">
        <v>83</v>
      </c>
      <c r="P695" s="5">
        <v>64</v>
      </c>
      <c r="Q695" s="7">
        <v>137016</v>
      </c>
      <c r="R695" s="7">
        <v>5.0588776534123408E-6</v>
      </c>
      <c r="S695" s="7">
        <v>35263814.667191967</v>
      </c>
      <c r="T695" s="7">
        <v>1.8255439611352616E-62</v>
      </c>
    </row>
    <row r="696" spans="2:20" x14ac:dyDescent="0.2">
      <c r="B696">
        <v>67147</v>
      </c>
      <c r="C696" s="9">
        <v>6.9799999999999994E-11</v>
      </c>
      <c r="D696" s="5" t="s">
        <v>2011</v>
      </c>
      <c r="E696" s="7">
        <v>5.8</v>
      </c>
      <c r="F696" s="1">
        <v>0.11950813457930091</v>
      </c>
      <c r="G696" s="1">
        <v>871103.99999999988</v>
      </c>
      <c r="H696" s="1">
        <v>0</v>
      </c>
      <c r="I696" s="7">
        <f t="shared" si="10"/>
        <v>1.0082222222222221</v>
      </c>
      <c r="L696" s="5">
        <v>64148</v>
      </c>
      <c r="M696" s="7">
        <v>1.1167999999999999E-9</v>
      </c>
      <c r="N696" s="5" t="s">
        <v>1913</v>
      </c>
      <c r="O696" s="5">
        <v>84</v>
      </c>
      <c r="P696" s="5">
        <v>64</v>
      </c>
      <c r="Q696" s="7">
        <v>2243745360</v>
      </c>
      <c r="R696" s="7">
        <v>3.0892417335626059E-10</v>
      </c>
      <c r="S696" s="7">
        <v>3719.6122450381076</v>
      </c>
      <c r="T696" s="7">
        <v>3683.5508612928743</v>
      </c>
    </row>
    <row r="697" spans="2:20" x14ac:dyDescent="0.2">
      <c r="B697">
        <v>67148</v>
      </c>
      <c r="C697" s="9">
        <v>6.9799999999999994E-11</v>
      </c>
      <c r="D697" s="5" t="s">
        <v>2012</v>
      </c>
      <c r="E697" s="7">
        <v>2.2000000000000002</v>
      </c>
      <c r="F697" s="1">
        <v>0.31506690025452055</v>
      </c>
      <c r="G697" s="1">
        <v>871103.99999999988</v>
      </c>
      <c r="H697" s="1">
        <v>0</v>
      </c>
      <c r="I697" s="7">
        <f t="shared" si="10"/>
        <v>1.0082222222222221</v>
      </c>
      <c r="L697" s="5">
        <v>64149</v>
      </c>
      <c r="M697" s="7">
        <v>4.8860000000000005E-10</v>
      </c>
      <c r="N697" s="5" t="s">
        <v>1914</v>
      </c>
      <c r="O697" s="5">
        <v>85</v>
      </c>
      <c r="P697" s="5">
        <v>64</v>
      </c>
      <c r="Q697" s="7">
        <v>801792</v>
      </c>
      <c r="R697" s="7">
        <v>8.6449750129702627E-7</v>
      </c>
      <c r="S697" s="7">
        <v>3208496.9280251316</v>
      </c>
      <c r="T697" s="7">
        <v>4.6368279258628917E-6</v>
      </c>
    </row>
    <row r="698" spans="2:20" x14ac:dyDescent="0.2">
      <c r="B698">
        <v>67149</v>
      </c>
      <c r="C698" s="9">
        <v>6.9799999999999994E-11</v>
      </c>
      <c r="D698" s="5" t="s">
        <v>2013</v>
      </c>
      <c r="E698" s="7">
        <v>21.1</v>
      </c>
      <c r="F698" s="1">
        <v>3.2850577277722524E-2</v>
      </c>
      <c r="G698" s="1">
        <v>871103.99999999988</v>
      </c>
      <c r="H698" s="1">
        <v>0</v>
      </c>
      <c r="I698" s="7">
        <f t="shared" si="10"/>
        <v>1.0082222222222221</v>
      </c>
      <c r="L698" s="5">
        <v>64159</v>
      </c>
      <c r="M698" s="7">
        <v>1.6054000000000001E-9</v>
      </c>
      <c r="N698" s="5" t="s">
        <v>1924</v>
      </c>
      <c r="O698" s="5">
        <v>95</v>
      </c>
      <c r="P698" s="5">
        <v>64</v>
      </c>
      <c r="Q698" s="7">
        <v>66524.399999999994</v>
      </c>
      <c r="R698" s="7">
        <v>1.0419442799332956E-5</v>
      </c>
      <c r="S698" s="7">
        <v>20032925.359730292</v>
      </c>
      <c r="T698" s="7">
        <v>3.9626471466575639E-136</v>
      </c>
    </row>
    <row r="699" spans="2:20" x14ac:dyDescent="0.2">
      <c r="B699">
        <v>67150</v>
      </c>
      <c r="C699" s="9">
        <v>2.094E-10</v>
      </c>
      <c r="D699" s="5" t="s">
        <v>2014</v>
      </c>
      <c r="E699" s="7">
        <v>72</v>
      </c>
      <c r="F699" s="1">
        <v>9.6270441744436847E-3</v>
      </c>
      <c r="G699" s="1">
        <v>2613312</v>
      </c>
      <c r="H699" s="1">
        <v>0</v>
      </c>
      <c r="I699" s="7">
        <f t="shared" si="10"/>
        <v>3.0246666666666671</v>
      </c>
      <c r="L699" s="5">
        <v>64160</v>
      </c>
      <c r="M699" s="7">
        <v>7.3289999999999998E-9</v>
      </c>
      <c r="N699" s="5" t="s">
        <v>1925</v>
      </c>
      <c r="O699" s="5">
        <v>96</v>
      </c>
      <c r="P699" s="5">
        <v>64</v>
      </c>
      <c r="Q699" s="7">
        <v>9.7828559999999996E+26</v>
      </c>
      <c r="R699" s="7">
        <v>7.0853253953645573E-28</v>
      </c>
      <c r="S699" s="7">
        <v>0</v>
      </c>
      <c r="T699" s="7">
        <v>0</v>
      </c>
    </row>
    <row r="700" spans="2:20" x14ac:dyDescent="0.2">
      <c r="B700">
        <v>67151</v>
      </c>
      <c r="C700" s="9">
        <v>6.9799999999999994E-11</v>
      </c>
      <c r="D700" s="5" t="s">
        <v>2015</v>
      </c>
      <c r="E700" s="7">
        <v>35.200000000000003</v>
      </c>
      <c r="F700" s="1">
        <v>1.9691681265907535E-2</v>
      </c>
      <c r="G700" s="1">
        <v>871103.99999999988</v>
      </c>
      <c r="H700" s="1">
        <v>0</v>
      </c>
      <c r="I700" s="7">
        <f t="shared" si="10"/>
        <v>1.0082222222222221</v>
      </c>
      <c r="L700" s="5">
        <v>64161</v>
      </c>
      <c r="M700" s="7">
        <v>1.1307599999999999E-8</v>
      </c>
      <c r="N700" s="5" t="s">
        <v>1926</v>
      </c>
      <c r="O700" s="5">
        <v>97</v>
      </c>
      <c r="P700" s="5">
        <v>64</v>
      </c>
      <c r="Q700" s="7">
        <v>219.6</v>
      </c>
      <c r="R700" s="7">
        <v>3.1564079260471096E-3</v>
      </c>
      <c r="S700" s="7">
        <v>141118848</v>
      </c>
      <c r="T700" s="7">
        <v>0</v>
      </c>
    </row>
    <row r="701" spans="2:20" x14ac:dyDescent="0.2">
      <c r="B701">
        <v>67169</v>
      </c>
      <c r="C701" s="9">
        <v>6.9799999999999994E-11</v>
      </c>
      <c r="D701" s="5" t="s">
        <v>2033</v>
      </c>
      <c r="E701" s="7">
        <v>283.2</v>
      </c>
      <c r="F701" s="1">
        <v>2.4475536036721235E-3</v>
      </c>
      <c r="G701" s="1">
        <v>871103.99999999988</v>
      </c>
      <c r="H701" s="1">
        <v>0</v>
      </c>
      <c r="I701" s="7">
        <f t="shared" si="10"/>
        <v>1.0082222222222221</v>
      </c>
      <c r="L701" s="5">
        <v>64162</v>
      </c>
      <c r="M701" s="7">
        <v>1.77292E-8</v>
      </c>
      <c r="N701" s="5" t="s">
        <v>1927</v>
      </c>
      <c r="O701" s="5">
        <v>98</v>
      </c>
      <c r="P701" s="5">
        <v>64</v>
      </c>
      <c r="Q701" s="7">
        <v>504</v>
      </c>
      <c r="R701" s="7">
        <v>1.3752920249205263E-3</v>
      </c>
      <c r="S701" s="7">
        <v>221260416</v>
      </c>
      <c r="T701" s="7">
        <v>0</v>
      </c>
    </row>
    <row r="702" spans="2:20" x14ac:dyDescent="0.2">
      <c r="B702">
        <v>68147</v>
      </c>
      <c r="C702" s="9">
        <v>1.3959999999999999E-10</v>
      </c>
      <c r="D702" s="5" t="s">
        <v>2044</v>
      </c>
      <c r="E702" s="7">
        <v>2.5</v>
      </c>
      <c r="F702" s="1">
        <v>0.2772588722239781</v>
      </c>
      <c r="G702" s="1">
        <v>1742207.9999999998</v>
      </c>
      <c r="H702" s="1">
        <v>0</v>
      </c>
      <c r="I702" s="7">
        <f t="shared" si="10"/>
        <v>2.0164444444444443</v>
      </c>
      <c r="L702" s="5">
        <v>64163</v>
      </c>
      <c r="M702" s="7">
        <v>2.0660800000000001E-8</v>
      </c>
      <c r="N702" s="5" t="s">
        <v>1928</v>
      </c>
      <c r="O702" s="5">
        <v>99</v>
      </c>
      <c r="P702" s="5">
        <v>64</v>
      </c>
      <c r="Q702" s="7">
        <v>68</v>
      </c>
      <c r="R702" s="7">
        <v>1.0193340890587431E-2</v>
      </c>
      <c r="S702" s="7">
        <v>257846784.00000003</v>
      </c>
      <c r="T702" s="7">
        <v>0</v>
      </c>
    </row>
    <row r="703" spans="2:20" x14ac:dyDescent="0.2">
      <c r="B703">
        <v>68148</v>
      </c>
      <c r="C703" s="9">
        <v>6.9799999999999994E-11</v>
      </c>
      <c r="D703" s="5" t="s">
        <v>2045</v>
      </c>
      <c r="E703" s="7">
        <v>4.5999999999999996</v>
      </c>
      <c r="F703" s="1">
        <v>0.15068416968694465</v>
      </c>
      <c r="G703" s="1">
        <v>871103.99999999988</v>
      </c>
      <c r="H703" s="1">
        <v>0</v>
      </c>
      <c r="I703" s="7">
        <f t="shared" si="10"/>
        <v>1.0082222222222221</v>
      </c>
      <c r="L703" s="5">
        <v>65144</v>
      </c>
      <c r="M703" s="7">
        <v>1.8497E-8</v>
      </c>
      <c r="N703" s="5" t="s">
        <v>1943</v>
      </c>
      <c r="O703" s="5">
        <v>79</v>
      </c>
      <c r="P703" s="5">
        <v>65</v>
      </c>
      <c r="Q703" s="7">
        <v>1</v>
      </c>
      <c r="R703" s="7">
        <v>0.69314718055994529</v>
      </c>
      <c r="S703" s="7">
        <v>230842560</v>
      </c>
      <c r="T703" s="7">
        <v>0</v>
      </c>
    </row>
    <row r="704" spans="2:20" x14ac:dyDescent="0.2">
      <c r="B704">
        <v>68173</v>
      </c>
      <c r="C704" s="9">
        <v>6.9799999999999994E-11</v>
      </c>
      <c r="D704" s="5" t="s">
        <v>2070</v>
      </c>
      <c r="E704" s="7">
        <v>84</v>
      </c>
      <c r="F704" s="1">
        <v>8.2517521495231588E-3</v>
      </c>
      <c r="G704" s="1">
        <v>871103.99999999988</v>
      </c>
      <c r="H704" s="1">
        <v>0</v>
      </c>
      <c r="I704" s="7">
        <f t="shared" si="10"/>
        <v>1.0082222222222221</v>
      </c>
      <c r="L704" s="5">
        <v>65145</v>
      </c>
      <c r="M704" s="7">
        <v>1.1447200000000001E-8</v>
      </c>
      <c r="N704" s="5" t="s">
        <v>1944</v>
      </c>
      <c r="O704" s="5">
        <v>80</v>
      </c>
      <c r="P704" s="5">
        <v>65</v>
      </c>
      <c r="Q704" s="7">
        <v>30.9</v>
      </c>
      <c r="R704" s="7">
        <v>2.2431947590936741E-2</v>
      </c>
      <c r="S704" s="7">
        <v>142861056</v>
      </c>
      <c r="T704" s="7">
        <v>0</v>
      </c>
    </row>
    <row r="705" spans="2:20" x14ac:dyDescent="0.2">
      <c r="B705">
        <v>69151</v>
      </c>
      <c r="C705" s="9">
        <v>6.9799999999999994E-11</v>
      </c>
      <c r="D705" s="5" t="s">
        <v>2083</v>
      </c>
      <c r="E705" s="7">
        <v>4.17</v>
      </c>
      <c r="F705" s="1">
        <v>0.16622234545802045</v>
      </c>
      <c r="G705" s="1">
        <v>871103.99999999988</v>
      </c>
      <c r="H705" s="1">
        <v>0</v>
      </c>
      <c r="I705" s="7">
        <f t="shared" si="10"/>
        <v>1.0082222222222221</v>
      </c>
      <c r="L705" s="5">
        <v>65146</v>
      </c>
      <c r="M705" s="7">
        <v>8.376E-9</v>
      </c>
      <c r="N705" s="5" t="s">
        <v>1945</v>
      </c>
      <c r="O705" s="5">
        <v>81</v>
      </c>
      <c r="P705" s="5">
        <v>65</v>
      </c>
      <c r="Q705" s="7">
        <v>8</v>
      </c>
      <c r="R705" s="7">
        <v>8.6643397569993161E-2</v>
      </c>
      <c r="S705" s="7">
        <v>104532480</v>
      </c>
      <c r="T705" s="7">
        <v>0</v>
      </c>
    </row>
    <row r="706" spans="2:20" x14ac:dyDescent="0.2">
      <c r="B706">
        <v>69175</v>
      </c>
      <c r="C706" s="9">
        <v>6.9799999999999994E-11</v>
      </c>
      <c r="D706" s="5" t="s">
        <v>2107</v>
      </c>
      <c r="E706" s="7">
        <v>912</v>
      </c>
      <c r="F706" s="1">
        <v>7.6002980324555401E-4</v>
      </c>
      <c r="G706" s="1">
        <v>871103.99999999988</v>
      </c>
      <c r="H706" s="1">
        <v>0</v>
      </c>
      <c r="I706" s="7">
        <f t="shared" si="10"/>
        <v>1.0082222222222221</v>
      </c>
      <c r="L706" s="5">
        <v>65147</v>
      </c>
      <c r="M706" s="7">
        <v>3.0014E-9</v>
      </c>
      <c r="N706" s="5" t="s">
        <v>1946</v>
      </c>
      <c r="O706" s="5">
        <v>82</v>
      </c>
      <c r="P706" s="5">
        <v>65</v>
      </c>
      <c r="Q706" s="7">
        <v>5904</v>
      </c>
      <c r="R706" s="7">
        <v>1.174029777371181E-4</v>
      </c>
      <c r="S706" s="7">
        <v>37457472</v>
      </c>
      <c r="T706" s="7">
        <v>0</v>
      </c>
    </row>
    <row r="707" spans="2:20" x14ac:dyDescent="0.2">
      <c r="B707">
        <v>90228</v>
      </c>
      <c r="C707" s="9">
        <v>6.9799999999999994E-11</v>
      </c>
      <c r="D707" s="5" t="s">
        <v>2925</v>
      </c>
      <c r="E707" s="7">
        <v>60353910</v>
      </c>
      <c r="F707" s="1">
        <v>1.1484710444773922E-8</v>
      </c>
      <c r="G707" s="1">
        <v>8601.0381873294155</v>
      </c>
      <c r="H707" s="1">
        <v>5987.6624077928736</v>
      </c>
      <c r="I707" s="7">
        <f t="shared" si="10"/>
        <v>9.954905309409047E-3</v>
      </c>
      <c r="L707" s="5">
        <v>65148</v>
      </c>
      <c r="M707" s="7">
        <v>1.2563999999999999E-9</v>
      </c>
      <c r="N707" s="5" t="s">
        <v>1947</v>
      </c>
      <c r="O707" s="5">
        <v>83</v>
      </c>
      <c r="P707" s="5">
        <v>65</v>
      </c>
      <c r="Q707" s="7">
        <v>3600</v>
      </c>
      <c r="R707" s="7">
        <v>1.9254088348887369E-4</v>
      </c>
      <c r="S707" s="7">
        <v>15679871.999999998</v>
      </c>
      <c r="T707" s="7">
        <v>0</v>
      </c>
    </row>
    <row r="708" spans="2:20" x14ac:dyDescent="0.2">
      <c r="B708">
        <v>90229</v>
      </c>
      <c r="C708" s="9">
        <v>1.3959999999999999E-10</v>
      </c>
      <c r="D708" s="5" t="s">
        <v>2926</v>
      </c>
      <c r="E708" s="7">
        <v>250314883200</v>
      </c>
      <c r="F708" s="1">
        <v>2.7691009487682963E-12</v>
      </c>
      <c r="G708" s="1">
        <v>4.1682332632181689</v>
      </c>
      <c r="H708" s="1">
        <v>4.1678692824411057</v>
      </c>
      <c r="I708" s="7">
        <f t="shared" ref="I708:I729" si="11">G708/10/24/3600</f>
        <v>4.824344054650659E-6</v>
      </c>
      <c r="L708" s="5">
        <v>65149</v>
      </c>
      <c r="M708" s="7">
        <v>3.4899999999999998E-10</v>
      </c>
      <c r="N708" s="5" t="s">
        <v>1948</v>
      </c>
      <c r="O708" s="5">
        <v>84</v>
      </c>
      <c r="P708" s="5">
        <v>65</v>
      </c>
      <c r="Q708" s="7">
        <v>14824.8</v>
      </c>
      <c r="R708" s="7">
        <v>4.6755921196909595E-5</v>
      </c>
      <c r="S708" s="7">
        <v>4355520</v>
      </c>
      <c r="T708" s="7">
        <v>0</v>
      </c>
    </row>
    <row r="709" spans="2:20" x14ac:dyDescent="0.2">
      <c r="B709">
        <v>90231</v>
      </c>
      <c r="C709" s="9">
        <v>4.1879999999999999E-10</v>
      </c>
      <c r="D709" s="5" t="s">
        <v>2928</v>
      </c>
      <c r="E709" s="7">
        <v>91872</v>
      </c>
      <c r="F709" s="1">
        <v>7.5447054658649568E-6</v>
      </c>
      <c r="G709" s="1">
        <v>5218911.0917650377</v>
      </c>
      <c r="H709" s="1">
        <v>2.4320190178017043E-97</v>
      </c>
      <c r="I709" s="7">
        <f t="shared" si="11"/>
        <v>6.0404063562095347</v>
      </c>
      <c r="L709" s="5">
        <v>65150</v>
      </c>
      <c r="M709" s="7">
        <v>6.9799999999999994E-11</v>
      </c>
      <c r="N709" s="5" t="s">
        <v>1949</v>
      </c>
      <c r="O709" s="5">
        <v>85</v>
      </c>
      <c r="P709" s="5">
        <v>65</v>
      </c>
      <c r="Q709" s="7">
        <v>12528</v>
      </c>
      <c r="R709" s="7">
        <v>5.5327840083009681E-5</v>
      </c>
      <c r="S709" s="7">
        <v>871103.99999999988</v>
      </c>
      <c r="T709" s="7">
        <v>0</v>
      </c>
    </row>
    <row r="710" spans="2:20" x14ac:dyDescent="0.2">
      <c r="B710">
        <v>90232</v>
      </c>
      <c r="C710" s="9">
        <v>4.8860000000000005E-10</v>
      </c>
      <c r="D710" s="5" t="s">
        <v>2929</v>
      </c>
      <c r="E710" s="7">
        <v>4.418064E+17</v>
      </c>
      <c r="F710" s="1">
        <v>1.568893480402152E-18</v>
      </c>
      <c r="G710" s="1">
        <v>8.265295242892991E-6</v>
      </c>
      <c r="H710" s="1">
        <v>8.265295242484052E-6</v>
      </c>
      <c r="I710" s="7">
        <f t="shared" si="11"/>
        <v>9.566313938533555E-12</v>
      </c>
      <c r="L710" s="5">
        <v>65160</v>
      </c>
      <c r="M710" s="7">
        <v>6.9799999999999994E-11</v>
      </c>
      <c r="N710" s="5" t="s">
        <v>1959</v>
      </c>
      <c r="O710" s="5">
        <v>95</v>
      </c>
      <c r="P710" s="5">
        <v>65</v>
      </c>
      <c r="Q710" s="7">
        <v>6246720</v>
      </c>
      <c r="R710" s="7">
        <v>1.1096178163259204E-7</v>
      </c>
      <c r="S710" s="7">
        <v>79635.252506085802</v>
      </c>
      <c r="T710" s="7">
        <v>2406.4824570762144</v>
      </c>
    </row>
    <row r="711" spans="2:20" x14ac:dyDescent="0.2">
      <c r="B711">
        <v>90233</v>
      </c>
      <c r="C711" s="9">
        <v>2.7919999999999998E-10</v>
      </c>
      <c r="D711" s="5" t="s">
        <v>2930</v>
      </c>
      <c r="E711" s="7">
        <v>1309.8</v>
      </c>
      <c r="F711" s="1">
        <v>5.2920077917235095E-4</v>
      </c>
      <c r="G711" s="1">
        <v>3484415.9999999995</v>
      </c>
      <c r="H711" s="1">
        <v>0</v>
      </c>
      <c r="I711" s="7">
        <f t="shared" si="11"/>
        <v>4.0328888888888885</v>
      </c>
      <c r="L711" s="5">
        <v>65161</v>
      </c>
      <c r="M711" s="7">
        <v>2.094E-10</v>
      </c>
      <c r="N711" s="5" t="s">
        <v>1960</v>
      </c>
      <c r="O711" s="5">
        <v>96</v>
      </c>
      <c r="P711" s="5">
        <v>65</v>
      </c>
      <c r="Q711" s="7">
        <v>595296</v>
      </c>
      <c r="R711" s="7">
        <v>1.1643739930386654E-6</v>
      </c>
      <c r="S711" s="7">
        <v>1657697.5550979346</v>
      </c>
      <c r="T711" s="7">
        <v>1.8721600440339491E-10</v>
      </c>
    </row>
    <row r="712" spans="2:20" x14ac:dyDescent="0.2">
      <c r="B712">
        <v>90234</v>
      </c>
      <c r="C712" s="9">
        <v>1.3959999999999999E-10</v>
      </c>
      <c r="D712" s="5" t="s">
        <v>2931</v>
      </c>
      <c r="E712" s="7">
        <v>2082240</v>
      </c>
      <c r="F712" s="1">
        <v>3.3288534489777611E-7</v>
      </c>
      <c r="G712" s="1">
        <v>435461.66192019911</v>
      </c>
      <c r="H712" s="1">
        <v>12.016609314982405</v>
      </c>
      <c r="I712" s="7">
        <f t="shared" si="11"/>
        <v>0.50400655314837861</v>
      </c>
      <c r="L712" s="5">
        <v>65162</v>
      </c>
      <c r="M712" s="7">
        <v>8.3759999999999998E-10</v>
      </c>
      <c r="N712" s="5" t="s">
        <v>1961</v>
      </c>
      <c r="O712" s="5">
        <v>97</v>
      </c>
      <c r="P712" s="5">
        <v>65</v>
      </c>
      <c r="Q712" s="7">
        <v>456</v>
      </c>
      <c r="R712" s="7">
        <v>1.520059606491108E-3</v>
      </c>
      <c r="S712" s="7">
        <v>10453248</v>
      </c>
      <c r="T712" s="7">
        <v>0</v>
      </c>
    </row>
    <row r="713" spans="2:20" x14ac:dyDescent="0.2">
      <c r="B713">
        <v>90236</v>
      </c>
      <c r="C713" s="9">
        <v>1.3959999999999999E-10</v>
      </c>
      <c r="D713" s="5" t="s">
        <v>2933</v>
      </c>
      <c r="E713" s="7">
        <v>2238</v>
      </c>
      <c r="F713" s="1">
        <v>3.0971723885609711E-4</v>
      </c>
      <c r="G713" s="1">
        <v>1742207.9999999998</v>
      </c>
      <c r="H713" s="1">
        <v>0</v>
      </c>
      <c r="I713" s="7">
        <f t="shared" si="11"/>
        <v>2.0164444444444443</v>
      </c>
      <c r="L713" s="5">
        <v>65163</v>
      </c>
      <c r="M713" s="7">
        <v>1.6054000000000001E-9</v>
      </c>
      <c r="N713" s="5" t="s">
        <v>1962</v>
      </c>
      <c r="O713" s="5">
        <v>98</v>
      </c>
      <c r="P713" s="5">
        <v>65</v>
      </c>
      <c r="Q713" s="7">
        <v>1170</v>
      </c>
      <c r="R713" s="7">
        <v>5.9243348765807284E-4</v>
      </c>
      <c r="S713" s="7">
        <v>20035392</v>
      </c>
      <c r="T713" s="7">
        <v>0</v>
      </c>
    </row>
    <row r="714" spans="2:20" x14ac:dyDescent="0.2">
      <c r="B714">
        <v>91230</v>
      </c>
      <c r="C714" s="9">
        <v>2.094E-10</v>
      </c>
      <c r="D714" s="5" t="s">
        <v>2955</v>
      </c>
      <c r="E714" s="7">
        <v>1503359.99999999</v>
      </c>
      <c r="F714" s="1">
        <v>4.6106533402508377E-7</v>
      </c>
      <c r="G714" s="1">
        <v>858682.13103949127</v>
      </c>
      <c r="H714" s="1">
        <v>0.41602817747993098</v>
      </c>
      <c r="I714" s="7">
        <f t="shared" si="11"/>
        <v>0.99384505907348519</v>
      </c>
      <c r="L714" s="5">
        <v>65164</v>
      </c>
      <c r="M714" s="7">
        <v>2.5127999999999998E-9</v>
      </c>
      <c r="N714" s="5" t="s">
        <v>1963</v>
      </c>
      <c r="O714" s="5">
        <v>99</v>
      </c>
      <c r="P714" s="5">
        <v>65</v>
      </c>
      <c r="Q714" s="7">
        <v>180</v>
      </c>
      <c r="R714" s="7">
        <v>3.8508176697774738E-3</v>
      </c>
      <c r="S714" s="7">
        <v>31359743.999999996</v>
      </c>
      <c r="T714" s="7">
        <v>0</v>
      </c>
    </row>
    <row r="715" spans="2:20" x14ac:dyDescent="0.2">
      <c r="B715">
        <v>91231</v>
      </c>
      <c r="C715" s="9">
        <v>3.5598000000000001E-9</v>
      </c>
      <c r="D715" s="5" t="s">
        <v>2956</v>
      </c>
      <c r="E715" s="7">
        <v>1033826976000</v>
      </c>
      <c r="F715" s="1">
        <v>6.704672993171589E-13</v>
      </c>
      <c r="G715" s="1">
        <v>25.735428372738475</v>
      </c>
      <c r="H715" s="1">
        <v>25.734884232280166</v>
      </c>
      <c r="I715" s="7">
        <f t="shared" si="11"/>
        <v>2.978637543141027E-5</v>
      </c>
      <c r="L715" s="5">
        <v>65165</v>
      </c>
      <c r="M715" s="7">
        <v>5.0953999999999996E-9</v>
      </c>
      <c r="N715" s="5" t="s">
        <v>1964</v>
      </c>
      <c r="O715" s="5">
        <v>100</v>
      </c>
      <c r="P715" s="5">
        <v>65</v>
      </c>
      <c r="Q715" s="7">
        <v>126.6</v>
      </c>
      <c r="R715" s="7">
        <v>5.4750962129537541E-3</v>
      </c>
      <c r="S715" s="7">
        <v>63590591.999999993</v>
      </c>
      <c r="T715" s="7">
        <v>0</v>
      </c>
    </row>
    <row r="716" spans="2:20" x14ac:dyDescent="0.2">
      <c r="B716">
        <v>91232</v>
      </c>
      <c r="C716" s="9">
        <v>9.9115999999999996E-9</v>
      </c>
      <c r="D716" s="5" t="s">
        <v>2957</v>
      </c>
      <c r="E716" s="7">
        <v>114048</v>
      </c>
      <c r="F716" s="1">
        <v>6.0776794030578814E-6</v>
      </c>
      <c r="G716" s="1">
        <v>123048390.28110033</v>
      </c>
      <c r="H716" s="1">
        <v>7.0912218899404565E-76</v>
      </c>
      <c r="I716" s="7">
        <f t="shared" si="11"/>
        <v>142.41711838090316</v>
      </c>
      <c r="L716" s="5">
        <v>66145</v>
      </c>
      <c r="M716" s="7">
        <v>4.4671999999999996E-9</v>
      </c>
      <c r="N716" s="5" t="s">
        <v>1977</v>
      </c>
      <c r="O716" s="5">
        <v>79</v>
      </c>
      <c r="P716" s="5">
        <v>66</v>
      </c>
      <c r="Q716" s="7">
        <v>6</v>
      </c>
      <c r="R716" s="7">
        <v>0.11552453009332421</v>
      </c>
      <c r="S716" s="7">
        <v>55750655.999999993</v>
      </c>
      <c r="T716" s="7">
        <v>0</v>
      </c>
    </row>
    <row r="717" spans="2:20" x14ac:dyDescent="0.2">
      <c r="B717">
        <v>91233</v>
      </c>
      <c r="C717" s="9">
        <v>4.8650600000000002E-8</v>
      </c>
      <c r="D717" s="5" t="s">
        <v>2958</v>
      </c>
      <c r="E717" s="7">
        <v>2330640</v>
      </c>
      <c r="F717" s="1">
        <v>2.9740636930626152E-7</v>
      </c>
      <c r="G717" s="1">
        <v>137582435.43252122</v>
      </c>
      <c r="H717" s="1">
        <v>11622.830198005498</v>
      </c>
      <c r="I717" s="7">
        <f t="shared" si="11"/>
        <v>159.23892989875139</v>
      </c>
      <c r="L717" s="5">
        <v>66146</v>
      </c>
      <c r="M717" s="7">
        <v>3.4201999999999998E-9</v>
      </c>
      <c r="N717" s="5" t="s">
        <v>1978</v>
      </c>
      <c r="O717" s="5">
        <v>80</v>
      </c>
      <c r="P717" s="5">
        <v>66</v>
      </c>
      <c r="Q717" s="7">
        <v>33.200000000000003</v>
      </c>
      <c r="R717" s="7">
        <v>2.0877927125299556E-2</v>
      </c>
      <c r="S717" s="7">
        <v>42684096</v>
      </c>
      <c r="T717" s="7">
        <v>0</v>
      </c>
    </row>
    <row r="718" spans="2:20" x14ac:dyDescent="0.2">
      <c r="B718">
        <v>91234</v>
      </c>
      <c r="C718" s="9">
        <v>1.2326699999999999E-7</v>
      </c>
      <c r="D718" s="5" t="s">
        <v>2959</v>
      </c>
      <c r="E718" s="7">
        <v>24120</v>
      </c>
      <c r="F718" s="1">
        <v>2.873744529684682E-5</v>
      </c>
      <c r="G718" s="1">
        <v>1538372159.9746544</v>
      </c>
      <c r="H718" s="1">
        <v>0</v>
      </c>
      <c r="I718" s="7">
        <f t="shared" si="11"/>
        <v>1780.523333303998</v>
      </c>
      <c r="L718" s="5">
        <v>66147</v>
      </c>
      <c r="M718" s="7">
        <v>2.3732E-9</v>
      </c>
      <c r="N718" s="5" t="s">
        <v>1979</v>
      </c>
      <c r="O718" s="5">
        <v>81</v>
      </c>
      <c r="P718" s="5">
        <v>66</v>
      </c>
      <c r="Q718" s="7">
        <v>67</v>
      </c>
      <c r="R718" s="7">
        <v>1.0345480306864855E-2</v>
      </c>
      <c r="S718" s="7">
        <v>29617536</v>
      </c>
      <c r="T718" s="7">
        <v>0</v>
      </c>
    </row>
    <row r="719" spans="2:20" x14ac:dyDescent="0.2">
      <c r="B719">
        <v>91235</v>
      </c>
      <c r="C719" s="9">
        <v>3.51932E-7</v>
      </c>
      <c r="D719" s="5" t="s">
        <v>2960</v>
      </c>
      <c r="E719" s="7">
        <v>1464</v>
      </c>
      <c r="F719" s="1">
        <v>4.7346118890706648E-4</v>
      </c>
      <c r="G719" s="1">
        <v>4392111360</v>
      </c>
      <c r="H719" s="1">
        <v>0</v>
      </c>
      <c r="I719" s="7">
        <f t="shared" si="11"/>
        <v>5083.4622222222224</v>
      </c>
      <c r="L719" s="5">
        <v>66148</v>
      </c>
      <c r="M719" s="7">
        <v>1.7450000000000001E-9</v>
      </c>
      <c r="N719" s="5" t="s">
        <v>1980</v>
      </c>
      <c r="O719" s="5">
        <v>82</v>
      </c>
      <c r="P719" s="5">
        <v>66</v>
      </c>
      <c r="Q719" s="7">
        <v>198</v>
      </c>
      <c r="R719" s="7">
        <v>3.5007433361613398E-3</v>
      </c>
      <c r="S719" s="7">
        <v>21777600</v>
      </c>
      <c r="T719" s="7">
        <v>0</v>
      </c>
    </row>
    <row r="720" spans="2:20" x14ac:dyDescent="0.2">
      <c r="B720">
        <v>91236</v>
      </c>
      <c r="C720" s="9">
        <v>6.3064299999999996E-7</v>
      </c>
      <c r="D720" s="5" t="s">
        <v>2961</v>
      </c>
      <c r="E720" s="7">
        <v>546</v>
      </c>
      <c r="F720" s="1">
        <v>1.2695003306958704E-3</v>
      </c>
      <c r="G720" s="1">
        <v>7870424640</v>
      </c>
      <c r="H720" s="1">
        <v>0</v>
      </c>
      <c r="I720" s="7">
        <f t="shared" si="11"/>
        <v>9109.2877777777776</v>
      </c>
      <c r="L720" s="5">
        <v>66149</v>
      </c>
      <c r="M720" s="7">
        <v>4.8860000000000005E-10</v>
      </c>
      <c r="N720" s="5" t="s">
        <v>1981</v>
      </c>
      <c r="O720" s="5">
        <v>83</v>
      </c>
      <c r="P720" s="5">
        <v>66</v>
      </c>
      <c r="Q720" s="7">
        <v>252</v>
      </c>
      <c r="R720" s="7">
        <v>2.7505840498410527E-3</v>
      </c>
      <c r="S720" s="7">
        <v>6097728.0000000009</v>
      </c>
      <c r="T720" s="7">
        <v>0</v>
      </c>
    </row>
    <row r="721" spans="2:20" x14ac:dyDescent="0.2">
      <c r="B721">
        <v>91237</v>
      </c>
      <c r="C721" s="9">
        <v>4.2710600000000001E-7</v>
      </c>
      <c r="D721" s="5" t="s">
        <v>2962</v>
      </c>
      <c r="E721" s="7">
        <v>522</v>
      </c>
      <c r="F721" s="1">
        <v>1.3278681619922324E-3</v>
      </c>
      <c r="G721" s="1">
        <v>5330282880</v>
      </c>
      <c r="H721" s="1">
        <v>0</v>
      </c>
      <c r="I721" s="7">
        <f t="shared" si="11"/>
        <v>6169.3088888888888</v>
      </c>
      <c r="L721" s="5">
        <v>66150</v>
      </c>
      <c r="M721" s="7">
        <v>2.7919999999999998E-10</v>
      </c>
      <c r="N721" s="5" t="s">
        <v>1982</v>
      </c>
      <c r="O721" s="5">
        <v>84</v>
      </c>
      <c r="P721" s="5">
        <v>66</v>
      </c>
      <c r="Q721" s="7">
        <v>430.2</v>
      </c>
      <c r="R721" s="7">
        <v>1.6112207823336712E-3</v>
      </c>
      <c r="S721" s="7">
        <v>3484415.9999999995</v>
      </c>
      <c r="T721" s="7">
        <v>0</v>
      </c>
    </row>
    <row r="722" spans="2:20" x14ac:dyDescent="0.2">
      <c r="B722">
        <v>92230</v>
      </c>
      <c r="C722" s="9">
        <v>1.7450000000000001E-9</v>
      </c>
      <c r="D722" s="5" t="s">
        <v>2978</v>
      </c>
      <c r="E722" s="7">
        <v>1797120</v>
      </c>
      <c r="F722" s="1">
        <v>3.8569888519405789E-7</v>
      </c>
      <c r="G722" s="1">
        <v>6171871.1348304879</v>
      </c>
      <c r="H722" s="1">
        <v>32.204705318240961</v>
      </c>
      <c r="I722" s="7">
        <f t="shared" si="11"/>
        <v>7.1433693690167681</v>
      </c>
      <c r="L722" s="5">
        <v>66153</v>
      </c>
      <c r="M722" s="7">
        <v>6.9799999999999994E-11</v>
      </c>
      <c r="N722" s="5" t="s">
        <v>1985</v>
      </c>
      <c r="O722" s="5">
        <v>87</v>
      </c>
      <c r="P722" s="5">
        <v>66</v>
      </c>
      <c r="Q722" s="7">
        <v>23040</v>
      </c>
      <c r="R722" s="7">
        <v>3.0084513045136514E-5</v>
      </c>
      <c r="S722" s="7">
        <v>871103.99999551813</v>
      </c>
      <c r="T722" s="7">
        <v>0</v>
      </c>
    </row>
    <row r="723" spans="2:20" x14ac:dyDescent="0.2">
      <c r="B723">
        <v>92231</v>
      </c>
      <c r="C723" s="9">
        <v>3.02234E-8</v>
      </c>
      <c r="D723" s="5" t="s">
        <v>2979</v>
      </c>
      <c r="E723" s="7">
        <v>362880</v>
      </c>
      <c r="F723" s="1">
        <v>1.9101278123896201E-6</v>
      </c>
      <c r="G723" s="1">
        <v>304774485.24059451</v>
      </c>
      <c r="H723" s="1">
        <v>2.1039649811694775E-18</v>
      </c>
      <c r="I723" s="7">
        <f t="shared" si="11"/>
        <v>352.74824680624369</v>
      </c>
      <c r="L723" s="5">
        <v>66166</v>
      </c>
      <c r="M723" s="7">
        <v>2.7919999999999998E-10</v>
      </c>
      <c r="N723" s="5" t="s">
        <v>1998</v>
      </c>
      <c r="O723" s="5">
        <v>100</v>
      </c>
      <c r="P723" s="5">
        <v>66</v>
      </c>
      <c r="Q723" s="7">
        <v>293760</v>
      </c>
      <c r="R723" s="7">
        <v>2.3595696505989421E-6</v>
      </c>
      <c r="S723" s="7">
        <v>3030738.0633291164</v>
      </c>
      <c r="T723" s="7">
        <v>1.462490273696105E-26</v>
      </c>
    </row>
    <row r="724" spans="2:20" x14ac:dyDescent="0.2">
      <c r="B724">
        <v>92232</v>
      </c>
      <c r="C724" s="9">
        <v>8.3955399999999998E-7</v>
      </c>
      <c r="D724" s="5" t="s">
        <v>2980</v>
      </c>
      <c r="E724" s="7">
        <v>2174318640</v>
      </c>
      <c r="F724" s="1">
        <v>3.1878822533570577E-10</v>
      </c>
      <c r="G724" s="1">
        <v>2885489.0254063467</v>
      </c>
      <c r="H724" s="1">
        <v>2856625.6520450609</v>
      </c>
      <c r="I724" s="7">
        <f t="shared" si="11"/>
        <v>3.3396863719980865</v>
      </c>
      <c r="L724" s="5">
        <v>66167</v>
      </c>
      <c r="M724" s="7">
        <v>1.047E-9</v>
      </c>
      <c r="N724" s="5" t="s">
        <v>1999</v>
      </c>
      <c r="O724" s="5">
        <v>101</v>
      </c>
      <c r="P724" s="5">
        <v>66</v>
      </c>
      <c r="Q724" s="7">
        <v>372</v>
      </c>
      <c r="R724" s="7">
        <v>1.8632988724729713E-3</v>
      </c>
      <c r="S724" s="7">
        <v>13066560</v>
      </c>
      <c r="T724" s="7">
        <v>0</v>
      </c>
    </row>
    <row r="725" spans="2:20" x14ac:dyDescent="0.2">
      <c r="B725">
        <v>92233</v>
      </c>
      <c r="C725" s="9">
        <v>9.0700900000000008E-6</v>
      </c>
      <c r="D725" s="5" t="s">
        <v>2981</v>
      </c>
      <c r="E725" s="7">
        <v>5023969920000</v>
      </c>
      <c r="F725" s="1">
        <v>1.3796801963335507E-13</v>
      </c>
      <c r="G725" s="1">
        <v>13493.304741113865</v>
      </c>
      <c r="H725" s="1">
        <v>13493.246032419578</v>
      </c>
      <c r="I725" s="7">
        <f t="shared" si="11"/>
        <v>1.5617250857770678E-2</v>
      </c>
      <c r="L725" s="5">
        <v>66168</v>
      </c>
      <c r="M725" s="7">
        <v>1.4658E-9</v>
      </c>
      <c r="N725" s="5" t="s">
        <v>2000</v>
      </c>
      <c r="O725" s="5">
        <v>102</v>
      </c>
      <c r="P725" s="5">
        <v>66</v>
      </c>
      <c r="Q725" s="7">
        <v>522</v>
      </c>
      <c r="R725" s="7">
        <v>1.3278681619922324E-3</v>
      </c>
      <c r="S725" s="7">
        <v>18293184</v>
      </c>
      <c r="T725" s="7">
        <v>0</v>
      </c>
    </row>
    <row r="726" spans="2:20" x14ac:dyDescent="0.2">
      <c r="B726">
        <v>92234</v>
      </c>
      <c r="C726" s="9">
        <v>7.2731599999999998E-6</v>
      </c>
      <c r="D726" s="5" t="s">
        <v>2982</v>
      </c>
      <c r="E726" s="7">
        <v>7747390800000</v>
      </c>
      <c r="F726" s="1">
        <v>8.9468467314175671E-14</v>
      </c>
      <c r="G726" s="1">
        <v>7016.5148754592692</v>
      </c>
      <c r="H726" s="1">
        <v>7016.4950785477504</v>
      </c>
      <c r="I726" s="7">
        <f t="shared" si="11"/>
        <v>8.1209662910408202E-3</v>
      </c>
      <c r="L726" s="5">
        <v>67147</v>
      </c>
      <c r="M726" s="7">
        <v>4.8860000000000005E-10</v>
      </c>
      <c r="N726" s="5" t="s">
        <v>2011</v>
      </c>
      <c r="O726" s="5">
        <v>80</v>
      </c>
      <c r="P726" s="5">
        <v>67</v>
      </c>
      <c r="Q726" s="7">
        <v>5.8</v>
      </c>
      <c r="R726" s="7">
        <v>0.11950813457930091</v>
      </c>
      <c r="S726" s="7">
        <v>6097728.0000000009</v>
      </c>
      <c r="T726" s="7">
        <v>0</v>
      </c>
    </row>
    <row r="727" spans="2:20" x14ac:dyDescent="0.2">
      <c r="B727">
        <v>92235</v>
      </c>
      <c r="C727" s="9">
        <v>3.9106800000000003E-5</v>
      </c>
      <c r="D727" s="5" t="s">
        <v>2983</v>
      </c>
      <c r="E727" s="7">
        <v>2.22165504E+16</v>
      </c>
      <c r="F727" s="1">
        <v>3.1199586257997337E-17</v>
      </c>
      <c r="G727" s="1">
        <v>13.156166321351749</v>
      </c>
      <c r="H727" s="1">
        <v>13.156166308407263</v>
      </c>
      <c r="I727" s="7">
        <f t="shared" si="11"/>
        <v>1.5227044353416376E-5</v>
      </c>
      <c r="L727" s="5">
        <v>67148</v>
      </c>
      <c r="M727" s="7">
        <v>1.047E-9</v>
      </c>
      <c r="N727" s="5" t="s">
        <v>2012</v>
      </c>
      <c r="O727" s="5">
        <v>81</v>
      </c>
      <c r="P727" s="5">
        <v>67</v>
      </c>
      <c r="Q727" s="7">
        <v>2.2000000000000002</v>
      </c>
      <c r="R727" s="7">
        <v>0.31506690025452055</v>
      </c>
      <c r="S727" s="7">
        <v>13066560</v>
      </c>
      <c r="T727" s="7">
        <v>0</v>
      </c>
    </row>
    <row r="728" spans="2:20" x14ac:dyDescent="0.2">
      <c r="B728">
        <v>92236</v>
      </c>
      <c r="C728" s="9">
        <v>1.4918500000000001E-3</v>
      </c>
      <c r="D728" s="5" t="s">
        <v>2984</v>
      </c>
      <c r="E728" s="7">
        <v>739078992000000</v>
      </c>
      <c r="F728" s="1">
        <v>9.3785263559479616E-16</v>
      </c>
      <c r="G728" s="1">
        <v>15086.486499825469</v>
      </c>
      <c r="H728" s="1">
        <v>15086.486053625729</v>
      </c>
      <c r="I728" s="7">
        <f t="shared" si="11"/>
        <v>1.7461211226649849E-2</v>
      </c>
      <c r="L728" s="5">
        <v>67149</v>
      </c>
      <c r="M728" s="7">
        <v>4.8860000000000005E-10</v>
      </c>
      <c r="N728" s="5" t="s">
        <v>2013</v>
      </c>
      <c r="O728" s="5">
        <v>82</v>
      </c>
      <c r="P728" s="5">
        <v>67</v>
      </c>
      <c r="Q728" s="7">
        <v>21.1</v>
      </c>
      <c r="R728" s="7">
        <v>3.2850577277722524E-2</v>
      </c>
      <c r="S728" s="7">
        <v>6097728.0000000009</v>
      </c>
      <c r="T728" s="7">
        <v>0</v>
      </c>
    </row>
    <row r="729" spans="2:20" x14ac:dyDescent="0.2">
      <c r="B729">
        <v>92237</v>
      </c>
      <c r="C729" s="9">
        <v>7.2702999999999997E-6</v>
      </c>
      <c r="D729" s="5" t="s">
        <v>2985</v>
      </c>
      <c r="E729" s="7">
        <v>583200</v>
      </c>
      <c r="F729" s="1">
        <v>1.1885239721535413E-6</v>
      </c>
      <c r="G729" s="1">
        <v>58239839521.219711</v>
      </c>
      <c r="H729" s="1">
        <v>3.0711560599901852E-6</v>
      </c>
      <c r="I729" s="7">
        <f t="shared" si="11"/>
        <v>67407.221668078375</v>
      </c>
      <c r="L729" s="5">
        <v>67150</v>
      </c>
      <c r="M729" s="7">
        <v>2.7919999999999998E-10</v>
      </c>
      <c r="N729" s="5" t="s">
        <v>2014</v>
      </c>
      <c r="O729" s="5">
        <v>83</v>
      </c>
      <c r="P729" s="5">
        <v>67</v>
      </c>
      <c r="Q729" s="7">
        <v>72</v>
      </c>
      <c r="R729" s="7">
        <v>9.6270441744436847E-3</v>
      </c>
      <c r="S729" s="7">
        <v>3484415.9999999995</v>
      </c>
      <c r="T729" s="7">
        <v>0</v>
      </c>
    </row>
    <row r="730" spans="2:20" x14ac:dyDescent="0.2">
      <c r="L730" s="5">
        <v>67153</v>
      </c>
      <c r="M730" s="7">
        <v>6.9799999999999994E-11</v>
      </c>
      <c r="N730" s="5" t="s">
        <v>2017</v>
      </c>
      <c r="O730" s="5">
        <v>86</v>
      </c>
      <c r="P730" s="5">
        <v>67</v>
      </c>
      <c r="Q730" s="7">
        <v>120.6</v>
      </c>
      <c r="R730" s="7">
        <v>5.7474890593693642E-3</v>
      </c>
      <c r="S730" s="7">
        <v>871103.99999999988</v>
      </c>
      <c r="T730" s="7">
        <v>0</v>
      </c>
    </row>
    <row r="731" spans="2:20" x14ac:dyDescent="0.2">
      <c r="L731" s="5">
        <v>67168</v>
      </c>
      <c r="M731" s="7">
        <v>1.3959999999999999E-10</v>
      </c>
      <c r="N731" s="5" t="s">
        <v>2032</v>
      </c>
      <c r="O731" s="5">
        <v>101</v>
      </c>
      <c r="P731" s="5">
        <v>67</v>
      </c>
      <c r="Q731" s="7">
        <v>179.4</v>
      </c>
      <c r="R731" s="7">
        <v>3.8636966586396058E-3</v>
      </c>
      <c r="S731" s="7">
        <v>1742207.9999999998</v>
      </c>
      <c r="T731" s="7">
        <v>0</v>
      </c>
    </row>
    <row r="732" spans="2:20" x14ac:dyDescent="0.2">
      <c r="F732" t="s">
        <v>3312</v>
      </c>
      <c r="G732">
        <f>49300000000000/37000000000</f>
        <v>1332.4324324324325</v>
      </c>
      <c r="H732">
        <f>379000000/37000000000</f>
        <v>1.0243243243243244E-2</v>
      </c>
      <c r="L732" s="5">
        <v>67169</v>
      </c>
      <c r="M732" s="7">
        <v>2.094E-10</v>
      </c>
      <c r="N732" s="5" t="s">
        <v>2033</v>
      </c>
      <c r="O732" s="5">
        <v>102</v>
      </c>
      <c r="P732" s="5">
        <v>67</v>
      </c>
      <c r="Q732" s="7">
        <v>283.2</v>
      </c>
      <c r="R732" s="7">
        <v>2.4475536036721235E-3</v>
      </c>
      <c r="S732" s="7">
        <v>2613312</v>
      </c>
      <c r="T732" s="7">
        <v>0</v>
      </c>
    </row>
    <row r="733" spans="2:20" x14ac:dyDescent="0.2">
      <c r="L733" s="5">
        <v>67170</v>
      </c>
      <c r="M733" s="7">
        <v>6.9799999999999994E-11</v>
      </c>
      <c r="N733" s="5" t="s">
        <v>2034</v>
      </c>
      <c r="O733" s="5">
        <v>103</v>
      </c>
      <c r="P733" s="5">
        <v>67</v>
      </c>
      <c r="Q733" s="7">
        <v>165.6</v>
      </c>
      <c r="R733" s="7">
        <v>4.1856713801929069E-3</v>
      </c>
      <c r="S733" s="7">
        <v>871103.99999999988</v>
      </c>
      <c r="T733" s="7">
        <v>0</v>
      </c>
    </row>
    <row r="734" spans="2:20" x14ac:dyDescent="0.2">
      <c r="L734" s="5">
        <v>68147</v>
      </c>
      <c r="M734" s="7">
        <v>6.9799999999999994E-11</v>
      </c>
      <c r="N734" s="5" t="s">
        <v>2044</v>
      </c>
      <c r="O734" s="5">
        <v>79</v>
      </c>
      <c r="P734" s="5">
        <v>68</v>
      </c>
      <c r="Q734" s="7">
        <v>2.5</v>
      </c>
      <c r="R734" s="7">
        <v>0.2772588722239781</v>
      </c>
      <c r="S734" s="7">
        <v>871103.99999999988</v>
      </c>
      <c r="T734" s="7">
        <v>0</v>
      </c>
    </row>
    <row r="735" spans="2:20" x14ac:dyDescent="0.2">
      <c r="L735" s="5">
        <v>68148</v>
      </c>
      <c r="M735" s="7">
        <v>6.9799999999999994E-11</v>
      </c>
      <c r="N735" s="5" t="s">
        <v>2045</v>
      </c>
      <c r="O735" s="5">
        <v>80</v>
      </c>
      <c r="P735" s="5">
        <v>68</v>
      </c>
      <c r="Q735" s="7">
        <v>4.5999999999999996</v>
      </c>
      <c r="R735" s="7">
        <v>0.15068416968694465</v>
      </c>
      <c r="S735" s="7">
        <v>871103.99999999988</v>
      </c>
      <c r="T735" s="7">
        <v>0</v>
      </c>
    </row>
    <row r="736" spans="2:20" x14ac:dyDescent="0.2">
      <c r="L736" s="5">
        <v>68149</v>
      </c>
      <c r="M736" s="7">
        <v>1.3959999999999999E-10</v>
      </c>
      <c r="N736" s="5" t="s">
        <v>2046</v>
      </c>
      <c r="O736" s="5">
        <v>81</v>
      </c>
      <c r="P736" s="5">
        <v>68</v>
      </c>
      <c r="Q736" s="7">
        <v>4</v>
      </c>
      <c r="R736" s="7">
        <v>0.17328679513998632</v>
      </c>
      <c r="S736" s="7">
        <v>1742207.9999999998</v>
      </c>
      <c r="T736" s="7">
        <v>0</v>
      </c>
    </row>
    <row r="737" spans="12:20" x14ac:dyDescent="0.2">
      <c r="L737" s="5">
        <v>68150</v>
      </c>
      <c r="M737" s="7">
        <v>6.9799999999999994E-11</v>
      </c>
      <c r="N737" s="5" t="s">
        <v>2047</v>
      </c>
      <c r="O737" s="5">
        <v>82</v>
      </c>
      <c r="P737" s="5">
        <v>68</v>
      </c>
      <c r="Q737" s="7">
        <v>18.5</v>
      </c>
      <c r="R737" s="7">
        <v>3.7467415165402446E-2</v>
      </c>
      <c r="S737" s="7">
        <v>871103.99999999988</v>
      </c>
      <c r="T737" s="7">
        <v>0</v>
      </c>
    </row>
    <row r="738" spans="12:20" x14ac:dyDescent="0.2">
      <c r="L738" s="5">
        <v>68173</v>
      </c>
      <c r="M738" s="7">
        <v>6.9799999999999994E-11</v>
      </c>
      <c r="N738" s="5" t="s">
        <v>2070</v>
      </c>
      <c r="O738" s="5">
        <v>105</v>
      </c>
      <c r="P738" s="5">
        <v>68</v>
      </c>
      <c r="Q738" s="7">
        <v>84</v>
      </c>
      <c r="R738" s="7">
        <v>8.2517521495231588E-3</v>
      </c>
      <c r="S738" s="7">
        <v>871103.99999999988</v>
      </c>
      <c r="T738" s="7">
        <v>0</v>
      </c>
    </row>
    <row r="739" spans="12:20" x14ac:dyDescent="0.2">
      <c r="L739" s="5">
        <v>69151</v>
      </c>
      <c r="M739" s="7">
        <v>1.3959999999999999E-10</v>
      </c>
      <c r="N739" s="5" t="s">
        <v>2083</v>
      </c>
      <c r="O739" s="5">
        <v>82</v>
      </c>
      <c r="P739" s="5">
        <v>69</v>
      </c>
      <c r="Q739" s="7">
        <v>4.17</v>
      </c>
      <c r="R739" s="7">
        <v>0.16622234545802045</v>
      </c>
      <c r="S739" s="7">
        <v>1742207.9999999998</v>
      </c>
      <c r="T739" s="7">
        <v>0</v>
      </c>
    </row>
    <row r="740" spans="12:20" x14ac:dyDescent="0.2">
      <c r="L740" s="5">
        <v>69175</v>
      </c>
      <c r="M740" s="7">
        <v>1.3959999999999999E-10</v>
      </c>
      <c r="N740" s="5" t="s">
        <v>2107</v>
      </c>
      <c r="O740" s="5">
        <v>106</v>
      </c>
      <c r="P740" s="5">
        <v>69</v>
      </c>
      <c r="Q740" s="7">
        <v>912</v>
      </c>
      <c r="R740" s="7">
        <v>7.6002980324555401E-4</v>
      </c>
      <c r="S740" s="7">
        <v>1742207.9999999998</v>
      </c>
      <c r="T740" s="7">
        <v>0</v>
      </c>
    </row>
    <row r="741" spans="12:20" x14ac:dyDescent="0.2">
      <c r="L741" s="5">
        <v>90230</v>
      </c>
      <c r="M741" s="7">
        <v>2.094E-10</v>
      </c>
      <c r="N741" s="5" t="s">
        <v>2927</v>
      </c>
      <c r="O741" s="5">
        <v>140</v>
      </c>
      <c r="P741" s="5">
        <v>90</v>
      </c>
      <c r="Q741" s="7">
        <v>2379443040000</v>
      </c>
      <c r="R741" s="7">
        <v>2.9130648177228285E-13</v>
      </c>
      <c r="S741" s="7">
        <v>0.65774127925903514</v>
      </c>
      <c r="T741" s="7">
        <v>0.65773523685364887</v>
      </c>
    </row>
    <row r="742" spans="12:20" x14ac:dyDescent="0.2">
      <c r="L742" s="5">
        <v>90231</v>
      </c>
      <c r="M742" s="7">
        <v>4.1879999999999999E-10</v>
      </c>
      <c r="N742" s="5" t="s">
        <v>2928</v>
      </c>
      <c r="O742" s="5">
        <v>141</v>
      </c>
      <c r="P742" s="5">
        <v>90</v>
      </c>
      <c r="Q742" s="7">
        <v>91872</v>
      </c>
      <c r="R742" s="7">
        <v>7.5447054658649568E-6</v>
      </c>
      <c r="S742" s="7">
        <v>5218911.0917650377</v>
      </c>
      <c r="T742" s="7">
        <v>2.4320190178017043E-97</v>
      </c>
    </row>
    <row r="743" spans="12:20" x14ac:dyDescent="0.2">
      <c r="L743" s="5">
        <v>90232</v>
      </c>
      <c r="M743" s="7">
        <v>7.6779999999999997E-10</v>
      </c>
      <c r="N743" s="5" t="s">
        <v>2929</v>
      </c>
      <c r="O743" s="5">
        <v>142</v>
      </c>
      <c r="P743" s="5">
        <v>90</v>
      </c>
      <c r="Q743" s="7">
        <v>4.418064E+17</v>
      </c>
      <c r="R743" s="7">
        <v>1.568893480402152E-18</v>
      </c>
      <c r="S743" s="7">
        <v>1.2988321095974698E-5</v>
      </c>
      <c r="T743" s="7">
        <v>1.2988321095332079E-5</v>
      </c>
    </row>
    <row r="744" spans="12:20" x14ac:dyDescent="0.2">
      <c r="L744" s="5">
        <v>90233</v>
      </c>
      <c r="M744" s="7">
        <v>3.4899999999999998E-10</v>
      </c>
      <c r="N744" s="5" t="s">
        <v>2930</v>
      </c>
      <c r="O744" s="5">
        <v>143</v>
      </c>
      <c r="P744" s="5">
        <v>90</v>
      </c>
      <c r="Q744" s="7">
        <v>1309.8</v>
      </c>
      <c r="R744" s="7">
        <v>5.2920077917235095E-4</v>
      </c>
      <c r="S744" s="7">
        <v>4355520</v>
      </c>
      <c r="T744" s="7">
        <v>0</v>
      </c>
    </row>
    <row r="745" spans="12:20" x14ac:dyDescent="0.2">
      <c r="L745" s="5">
        <v>90234</v>
      </c>
      <c r="M745" s="7">
        <v>2.094E-10</v>
      </c>
      <c r="N745" s="5" t="s">
        <v>2931</v>
      </c>
      <c r="O745" s="5">
        <v>144</v>
      </c>
      <c r="P745" s="5">
        <v>90</v>
      </c>
      <c r="Q745" s="7">
        <v>2082240</v>
      </c>
      <c r="R745" s="7">
        <v>3.3288534489777611E-7</v>
      </c>
      <c r="S745" s="7">
        <v>653192.49288029876</v>
      </c>
      <c r="T745" s="7">
        <v>18.024913972473609</v>
      </c>
    </row>
    <row r="746" spans="12:20" x14ac:dyDescent="0.2">
      <c r="L746" s="5">
        <v>90236</v>
      </c>
      <c r="M746" s="7">
        <v>1.3959999999999999E-10</v>
      </c>
      <c r="N746" s="5" t="s">
        <v>2933</v>
      </c>
      <c r="O746" s="5">
        <v>146</v>
      </c>
      <c r="P746" s="5">
        <v>90</v>
      </c>
      <c r="Q746" s="7">
        <v>2238</v>
      </c>
      <c r="R746" s="7">
        <v>3.0971723885609711E-4</v>
      </c>
      <c r="S746" s="7">
        <v>1742207.9999999998</v>
      </c>
      <c r="T746" s="7">
        <v>0</v>
      </c>
    </row>
    <row r="747" spans="12:20" x14ac:dyDescent="0.2">
      <c r="L747" s="5">
        <v>91230</v>
      </c>
      <c r="M747" s="7">
        <v>2.094E-10</v>
      </c>
      <c r="N747" s="5" t="s">
        <v>2955</v>
      </c>
      <c r="O747" s="5">
        <v>139</v>
      </c>
      <c r="P747" s="5">
        <v>91</v>
      </c>
      <c r="Q747" s="7">
        <v>1503359.99999999</v>
      </c>
      <c r="R747" s="7">
        <v>4.6106533402508377E-7</v>
      </c>
      <c r="S747" s="7">
        <v>858682.13103949127</v>
      </c>
      <c r="T747" s="7">
        <v>0.41602817747993098</v>
      </c>
    </row>
    <row r="748" spans="12:20" x14ac:dyDescent="0.2">
      <c r="L748" s="5">
        <v>91231</v>
      </c>
      <c r="M748" s="7">
        <v>3.4201999999999998E-9</v>
      </c>
      <c r="N748" s="5" t="s">
        <v>2956</v>
      </c>
      <c r="O748" s="5">
        <v>140</v>
      </c>
      <c r="P748" s="5">
        <v>91</v>
      </c>
      <c r="Q748" s="7">
        <v>1033826976000</v>
      </c>
      <c r="R748" s="7">
        <v>6.704672993171589E-13</v>
      </c>
      <c r="S748" s="7">
        <v>24.726195887533045</v>
      </c>
      <c r="T748" s="7">
        <v>24.725673085916238</v>
      </c>
    </row>
    <row r="749" spans="12:20" x14ac:dyDescent="0.2">
      <c r="L749" s="5">
        <v>91232</v>
      </c>
      <c r="M749" s="7">
        <v>1.1447200000000001E-8</v>
      </c>
      <c r="N749" s="5" t="s">
        <v>2957</v>
      </c>
      <c r="O749" s="5">
        <v>141</v>
      </c>
      <c r="P749" s="5">
        <v>91</v>
      </c>
      <c r="Q749" s="7">
        <v>114048</v>
      </c>
      <c r="R749" s="7">
        <v>6.0776794030578814E-6</v>
      </c>
      <c r="S749" s="7">
        <v>142112225.39507362</v>
      </c>
      <c r="T749" s="7">
        <v>8.1898619010579922E-76</v>
      </c>
    </row>
    <row r="750" spans="12:20" x14ac:dyDescent="0.2">
      <c r="L750" s="5">
        <v>91233</v>
      </c>
      <c r="M750" s="7">
        <v>6.0935400000000004E-8</v>
      </c>
      <c r="N750" s="5" t="s">
        <v>2958</v>
      </c>
      <c r="O750" s="5">
        <v>142</v>
      </c>
      <c r="P750" s="5">
        <v>91</v>
      </c>
      <c r="Q750" s="7">
        <v>2330640</v>
      </c>
      <c r="R750" s="7">
        <v>2.9740636930626152E-7</v>
      </c>
      <c r="S750" s="7">
        <v>172323480.82150793</v>
      </c>
      <c r="T750" s="7">
        <v>14557.71988932396</v>
      </c>
    </row>
    <row r="751" spans="12:20" x14ac:dyDescent="0.2">
      <c r="L751" s="5">
        <v>91234</v>
      </c>
      <c r="M751" s="7">
        <v>1.47557E-7</v>
      </c>
      <c r="N751" s="5" t="s">
        <v>2959</v>
      </c>
      <c r="O751" s="5">
        <v>143</v>
      </c>
      <c r="P751" s="5">
        <v>91</v>
      </c>
      <c r="Q751" s="7">
        <v>24120</v>
      </c>
      <c r="R751" s="7">
        <v>2.873744529684682E-5</v>
      </c>
      <c r="S751" s="7">
        <v>1841511359.9696605</v>
      </c>
      <c r="T751" s="7">
        <v>0</v>
      </c>
    </row>
    <row r="752" spans="12:20" x14ac:dyDescent="0.2">
      <c r="L752" s="5">
        <v>91235</v>
      </c>
      <c r="M752" s="7">
        <v>4.2061499999999998E-7</v>
      </c>
      <c r="N752" s="5" t="s">
        <v>2960</v>
      </c>
      <c r="O752" s="5">
        <v>144</v>
      </c>
      <c r="P752" s="5">
        <v>91</v>
      </c>
      <c r="Q752" s="7">
        <v>1464</v>
      </c>
      <c r="R752" s="7">
        <v>4.7346118890706648E-4</v>
      </c>
      <c r="S752" s="7">
        <v>5249275200</v>
      </c>
      <c r="T752" s="7">
        <v>0</v>
      </c>
    </row>
    <row r="753" spans="12:20" x14ac:dyDescent="0.2">
      <c r="L753" s="5">
        <v>91236</v>
      </c>
      <c r="M753" s="7">
        <v>7.5998199999999996E-7</v>
      </c>
      <c r="N753" s="5" t="s">
        <v>2961</v>
      </c>
      <c r="O753" s="5">
        <v>145</v>
      </c>
      <c r="P753" s="5">
        <v>91</v>
      </c>
      <c r="Q753" s="7">
        <v>546</v>
      </c>
      <c r="R753" s="7">
        <v>1.2695003306958704E-3</v>
      </c>
      <c r="S753" s="7">
        <v>9484575360</v>
      </c>
      <c r="T753" s="7">
        <v>0</v>
      </c>
    </row>
    <row r="754" spans="12:20" x14ac:dyDescent="0.2">
      <c r="L754" s="5">
        <v>91237</v>
      </c>
      <c r="M754" s="7">
        <v>5.42765E-7</v>
      </c>
      <c r="N754" s="5" t="s">
        <v>2962</v>
      </c>
      <c r="O754" s="5">
        <v>146</v>
      </c>
      <c r="P754" s="5">
        <v>91</v>
      </c>
      <c r="Q754" s="7">
        <v>522</v>
      </c>
      <c r="R754" s="7">
        <v>1.3278681619922324E-3</v>
      </c>
      <c r="S754" s="7">
        <v>6773707200</v>
      </c>
      <c r="T754" s="7">
        <v>0</v>
      </c>
    </row>
    <row r="755" spans="12:20" x14ac:dyDescent="0.2">
      <c r="L755" s="5">
        <v>92230</v>
      </c>
      <c r="M755" s="7">
        <v>2.6524000000000001E-9</v>
      </c>
      <c r="N755" s="5" t="s">
        <v>2978</v>
      </c>
      <c r="O755" s="5">
        <v>138</v>
      </c>
      <c r="P755" s="5">
        <v>92</v>
      </c>
      <c r="Q755" s="7">
        <v>1797120</v>
      </c>
      <c r="R755" s="7">
        <v>3.8569888519405789E-7</v>
      </c>
      <c r="S755" s="7">
        <v>9381244.1249423418</v>
      </c>
      <c r="T755" s="7">
        <v>48.951152083726264</v>
      </c>
    </row>
    <row r="756" spans="12:20" x14ac:dyDescent="0.2">
      <c r="L756" s="5">
        <v>92231</v>
      </c>
      <c r="M756" s="7">
        <v>3.4201999999999997E-8</v>
      </c>
      <c r="N756" s="5" t="s">
        <v>2979</v>
      </c>
      <c r="O756" s="5">
        <v>139</v>
      </c>
      <c r="P756" s="5">
        <v>92</v>
      </c>
      <c r="Q756" s="7">
        <v>362880</v>
      </c>
      <c r="R756" s="7">
        <v>1.9101278123896201E-6</v>
      </c>
      <c r="S756" s="7">
        <v>344894914.01360577</v>
      </c>
      <c r="T756" s="7">
        <v>2.3809303482056443E-18</v>
      </c>
    </row>
    <row r="757" spans="12:20" x14ac:dyDescent="0.2">
      <c r="L757" s="5">
        <v>92232</v>
      </c>
      <c r="M757" s="7">
        <v>1.1668500000000001E-6</v>
      </c>
      <c r="N757" s="5" t="s">
        <v>2980</v>
      </c>
      <c r="O757" s="5">
        <v>140</v>
      </c>
      <c r="P757" s="5">
        <v>92</v>
      </c>
      <c r="Q757" s="7">
        <v>2174318640</v>
      </c>
      <c r="R757" s="7">
        <v>3.1878822533570577E-10</v>
      </c>
      <c r="S757" s="7">
        <v>4010382.7380911722</v>
      </c>
      <c r="T757" s="7">
        <v>3970267.120505387</v>
      </c>
    </row>
    <row r="758" spans="12:20" x14ac:dyDescent="0.2">
      <c r="L758" s="5">
        <v>92233</v>
      </c>
      <c r="M758" s="7">
        <v>2.3815399999999999E-5</v>
      </c>
      <c r="N758" s="5" t="s">
        <v>2981</v>
      </c>
      <c r="O758" s="5">
        <v>141</v>
      </c>
      <c r="P758" s="5">
        <v>92</v>
      </c>
      <c r="Q758" s="7">
        <v>5023969920000</v>
      </c>
      <c r="R758" s="7">
        <v>1.3796801963335507E-13</v>
      </c>
      <c r="S758" s="7">
        <v>35429.466491680141</v>
      </c>
      <c r="T758" s="7">
        <v>35429.312339842851</v>
      </c>
    </row>
    <row r="759" spans="12:20" x14ac:dyDescent="0.2">
      <c r="L759" s="5">
        <v>92234</v>
      </c>
      <c r="M759" s="7">
        <v>1.3395599999999999E-4</v>
      </c>
      <c r="N759" s="5" t="s">
        <v>2982</v>
      </c>
      <c r="O759" s="5">
        <v>142</v>
      </c>
      <c r="P759" s="5">
        <v>92</v>
      </c>
      <c r="Q759" s="7">
        <v>7747390800000</v>
      </c>
      <c r="R759" s="7">
        <v>8.9468467314175671E-14</v>
      </c>
      <c r="S759" s="7">
        <v>129229.14753106239</v>
      </c>
      <c r="T759" s="7">
        <v>129228.78291443366</v>
      </c>
    </row>
    <row r="760" spans="12:20" x14ac:dyDescent="0.2">
      <c r="L760" s="5">
        <v>92235</v>
      </c>
      <c r="M760" s="7">
        <v>4.66799E-5</v>
      </c>
      <c r="N760" s="5" t="s">
        <v>2983</v>
      </c>
      <c r="O760" s="5">
        <v>143</v>
      </c>
      <c r="P760" s="5">
        <v>92</v>
      </c>
      <c r="Q760" s="7">
        <v>2.22165504E+16</v>
      </c>
      <c r="R760" s="7">
        <v>3.1199586257997337E-17</v>
      </c>
      <c r="S760" s="7">
        <v>15.70388086634722</v>
      </c>
      <c r="T760" s="7">
        <v>15.703880850896011</v>
      </c>
    </row>
    <row r="761" spans="12:20" x14ac:dyDescent="0.2">
      <c r="L761" s="5">
        <v>92236</v>
      </c>
      <c r="M761" s="7">
        <v>1.3475200000000001E-3</v>
      </c>
      <c r="N761" s="5" t="s">
        <v>2984</v>
      </c>
      <c r="O761" s="5">
        <v>144</v>
      </c>
      <c r="P761" s="5">
        <v>92</v>
      </c>
      <c r="Q761" s="7">
        <v>739078992000000</v>
      </c>
      <c r="R761" s="7">
        <v>9.3785263559479616E-16</v>
      </c>
      <c r="S761" s="7">
        <v>13626.934536478075</v>
      </c>
      <c r="T761" s="7">
        <v>13626.934133446219</v>
      </c>
    </row>
    <row r="762" spans="12:20" x14ac:dyDescent="0.2">
      <c r="L762" s="5">
        <v>92237</v>
      </c>
      <c r="M762" s="7">
        <v>4.0387699999999997E-3</v>
      </c>
      <c r="N762" s="5" t="s">
        <v>2985</v>
      </c>
      <c r="O762" s="5">
        <v>145</v>
      </c>
      <c r="P762" s="5">
        <v>92</v>
      </c>
      <c r="Q762" s="7">
        <v>583200</v>
      </c>
      <c r="R762" s="7">
        <v>1.1885239721535413E-6</v>
      </c>
      <c r="S762" s="7">
        <v>32353178914641.281</v>
      </c>
      <c r="T762" s="7">
        <v>1.7060771853165014E-3</v>
      </c>
    </row>
    <row r="763" spans="12:20" x14ac:dyDescent="0.2">
      <c r="L763" s="5">
        <v>92238</v>
      </c>
      <c r="M763" s="7">
        <v>1.95415E-4</v>
      </c>
      <c r="N763" s="5" t="s">
        <v>2986</v>
      </c>
      <c r="O763" s="5">
        <v>146</v>
      </c>
      <c r="P763" s="5">
        <v>92</v>
      </c>
      <c r="Q763" s="7">
        <v>1.409993568E+17</v>
      </c>
      <c r="R763" s="7">
        <v>4.9159598759243794E-18</v>
      </c>
      <c r="S763" s="7">
        <v>10.358422547973589</v>
      </c>
      <c r="T763" s="7">
        <v>10.358422546367727</v>
      </c>
    </row>
    <row r="765" spans="12:20" x14ac:dyDescent="0.2">
      <c r="R765" s="7" t="s">
        <v>3312</v>
      </c>
      <c r="S765" s="7">
        <f>57700000000000/37000000000</f>
        <v>1559.4594594594594</v>
      </c>
      <c r="T765" s="7">
        <f>604000000/37000000000</f>
        <v>1.6324324324324326E-2</v>
      </c>
    </row>
  </sheetData>
  <phoneticPr fontId="1" type="noConversion"/>
  <conditionalFormatting sqref="G1:G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EB04-DA4E-47C0-8298-7FD80582FB74}">
  <sheetPr filterMode="1"/>
  <dimension ref="B2:N817"/>
  <sheetViews>
    <sheetView topLeftCell="A794" workbookViewId="0">
      <selection activeCell="B3" sqref="B3:E817"/>
    </sheetView>
  </sheetViews>
  <sheetFormatPr defaultRowHeight="14.25" x14ac:dyDescent="0.2"/>
  <cols>
    <col min="2" max="4" width="9" style="8"/>
    <col min="6" max="6" width="9" style="5"/>
    <col min="8" max="8" width="11.375" customWidth="1"/>
    <col min="12" max="12" width="10.5" style="5" customWidth="1"/>
    <col min="13" max="13" width="9" style="5"/>
  </cols>
  <sheetData>
    <row r="2" spans="2:14" x14ac:dyDescent="0.2">
      <c r="B2" s="8" t="s">
        <v>3284</v>
      </c>
      <c r="D2" s="10"/>
      <c r="E2" s="12"/>
      <c r="F2" s="12"/>
      <c r="G2" s="13"/>
      <c r="H2" s="13"/>
      <c r="K2" s="10"/>
      <c r="L2" s="12"/>
      <c r="M2" s="12"/>
      <c r="N2" s="13"/>
    </row>
    <row r="3" spans="2:14" x14ac:dyDescent="0.2">
      <c r="B3" s="8">
        <v>24051</v>
      </c>
      <c r="C3" s="9">
        <v>6.9799999999999994E-11</v>
      </c>
      <c r="D3" s="8" t="s">
        <v>525</v>
      </c>
      <c r="E3" s="1">
        <f>VLOOKUP(B3,Nuclides!A:D,4,FALSE)</f>
        <v>2393496</v>
      </c>
      <c r="F3" s="7"/>
      <c r="G3" s="1"/>
      <c r="H3" s="1"/>
      <c r="K3" s="8"/>
      <c r="L3" s="7"/>
      <c r="M3" s="7"/>
    </row>
    <row r="4" spans="2:14" x14ac:dyDescent="0.2">
      <c r="B4" s="8">
        <v>25050</v>
      </c>
      <c r="C4" s="9">
        <v>6.9799999999999994E-11</v>
      </c>
      <c r="D4" s="8" t="s">
        <v>546</v>
      </c>
      <c r="E4" s="1">
        <f>VLOOKUP(B4,Nuclides!A:D,4,FALSE)</f>
        <v>0.28319</v>
      </c>
      <c r="F4" s="7"/>
      <c r="G4" s="1"/>
      <c r="H4" s="1"/>
      <c r="K4" s="8"/>
      <c r="L4" s="7"/>
      <c r="M4" s="7"/>
    </row>
    <row r="5" spans="2:14" x14ac:dyDescent="0.2">
      <c r="B5" s="8">
        <v>25053</v>
      </c>
      <c r="C5" s="9">
        <v>6.9799999999999994E-11</v>
      </c>
      <c r="D5" s="8" t="s">
        <v>549</v>
      </c>
      <c r="E5" s="1">
        <f>VLOOKUP(B5,Nuclides!A:D,4,FALSE)</f>
        <v>118025424000000</v>
      </c>
      <c r="F5" s="7"/>
      <c r="G5" s="1"/>
      <c r="H5" s="1"/>
      <c r="K5" s="8"/>
      <c r="L5" s="7"/>
      <c r="M5" s="7"/>
    </row>
    <row r="6" spans="2:14" x14ac:dyDescent="0.2">
      <c r="B6" s="8">
        <v>25060</v>
      </c>
      <c r="C6" s="9">
        <v>6.9799999999999994E-11</v>
      </c>
      <c r="D6" s="8" t="s">
        <v>556</v>
      </c>
      <c r="E6" s="1">
        <f>VLOOKUP(B6,Nuclides!A:D,4,FALSE)</f>
        <v>0.28000000000000003</v>
      </c>
      <c r="F6" s="7"/>
      <c r="G6" s="1"/>
      <c r="H6" s="1"/>
      <c r="K6" s="8"/>
      <c r="L6" s="7"/>
      <c r="M6" s="7"/>
    </row>
    <row r="7" spans="2:14" x14ac:dyDescent="0.2">
      <c r="B7" s="8">
        <v>26052</v>
      </c>
      <c r="C7" s="9">
        <v>6.9799999999999994E-11</v>
      </c>
      <c r="D7" s="8" t="s">
        <v>575</v>
      </c>
      <c r="E7" s="1">
        <f>VLOOKUP(B7,Nuclides!A:D,4,FALSE)</f>
        <v>29790</v>
      </c>
      <c r="F7" s="7"/>
      <c r="G7" s="1"/>
      <c r="H7" s="1"/>
      <c r="K7" s="8"/>
      <c r="L7" s="7"/>
      <c r="M7" s="7"/>
    </row>
    <row r="8" spans="2:14" x14ac:dyDescent="0.2">
      <c r="B8" s="8">
        <v>26053</v>
      </c>
      <c r="C8" s="9">
        <v>1.3959999999999999E-10</v>
      </c>
      <c r="D8" s="8" t="s">
        <v>576</v>
      </c>
      <c r="E8" s="1">
        <f>VLOOKUP(B8,Nuclides!A:D,4,FALSE)</f>
        <v>510.599999999999</v>
      </c>
      <c r="F8" s="7"/>
      <c r="G8" s="1"/>
      <c r="H8" s="1"/>
      <c r="K8" s="8"/>
      <c r="L8" s="7"/>
      <c r="M8" s="7"/>
    </row>
    <row r="9" spans="2:14" x14ac:dyDescent="0.2">
      <c r="B9" s="8">
        <v>26061</v>
      </c>
      <c r="C9" s="9">
        <v>6.9799999999999994E-11</v>
      </c>
      <c r="D9" s="8" t="s">
        <v>584</v>
      </c>
      <c r="E9" s="1">
        <f>VLOOKUP(B9,Nuclides!A:D,4,FALSE)</f>
        <v>358.8</v>
      </c>
      <c r="F9" s="7"/>
      <c r="G9" s="1"/>
      <c r="H9" s="1"/>
      <c r="K9" s="8"/>
      <c r="L9" s="7"/>
      <c r="M9" s="7"/>
    </row>
    <row r="10" spans="2:14" x14ac:dyDescent="0.2">
      <c r="B10" s="8">
        <v>26064</v>
      </c>
      <c r="C10" s="9">
        <v>6.9799999999999994E-11</v>
      </c>
      <c r="D10" s="8" t="s">
        <v>587</v>
      </c>
      <c r="E10" s="1">
        <f>VLOOKUP(B10,Nuclides!A:D,4,FALSE)</f>
        <v>2</v>
      </c>
      <c r="F10" s="7"/>
      <c r="G10" s="1"/>
      <c r="H10" s="1"/>
      <c r="K10" s="8"/>
      <c r="L10" s="7"/>
      <c r="M10" s="7"/>
    </row>
    <row r="11" spans="2:14" x14ac:dyDescent="0.2">
      <c r="B11" s="8">
        <v>27053</v>
      </c>
      <c r="C11" s="9">
        <v>1.3959999999999999E-10</v>
      </c>
      <c r="D11" s="8" t="s">
        <v>601</v>
      </c>
      <c r="E11" s="1">
        <f>VLOOKUP(B11,Nuclides!A:D,4,FALSE)</f>
        <v>0.24</v>
      </c>
      <c r="F11" s="7"/>
      <c r="G11" s="1"/>
      <c r="H11" s="1"/>
      <c r="K11" s="8"/>
      <c r="L11" s="7"/>
      <c r="M11" s="7"/>
    </row>
    <row r="12" spans="2:14" x14ac:dyDescent="0.2">
      <c r="B12" s="8">
        <v>27054</v>
      </c>
      <c r="C12" s="9">
        <v>2.7919999999999998E-10</v>
      </c>
      <c r="D12" s="8" t="s">
        <v>602</v>
      </c>
      <c r="E12" s="1">
        <f>VLOOKUP(B12,Nuclides!A:D,4,FALSE)</f>
        <v>0.193</v>
      </c>
      <c r="F12" s="7"/>
      <c r="G12" s="1"/>
      <c r="H12" s="1"/>
      <c r="K12" s="8"/>
      <c r="L12" s="7"/>
      <c r="M12" s="7"/>
    </row>
    <row r="13" spans="2:14" x14ac:dyDescent="0.2">
      <c r="B13" s="8">
        <v>27055</v>
      </c>
      <c r="C13" s="9">
        <v>6.9799999999999994E-11</v>
      </c>
      <c r="D13" s="8" t="s">
        <v>603</v>
      </c>
      <c r="E13" s="1">
        <f>VLOOKUP(B13,Nuclides!A:D,4,FALSE)</f>
        <v>63108</v>
      </c>
      <c r="F13" s="7"/>
      <c r="G13" s="1"/>
      <c r="H13" s="1"/>
      <c r="K13" s="8"/>
      <c r="L13" s="7"/>
      <c r="M13" s="7"/>
    </row>
    <row r="14" spans="2:14" x14ac:dyDescent="0.2">
      <c r="B14" s="8">
        <v>27056</v>
      </c>
      <c r="C14" s="9">
        <v>2.7919999999999998E-10</v>
      </c>
      <c r="D14" s="8" t="s">
        <v>604</v>
      </c>
      <c r="E14" s="1">
        <f>VLOOKUP(B14,Nuclides!A:D,4,FALSE)</f>
        <v>6673190.4000000004</v>
      </c>
      <c r="F14" s="7"/>
      <c r="G14" s="1"/>
      <c r="H14" s="1"/>
      <c r="K14" s="8"/>
      <c r="L14" s="7"/>
      <c r="M14" s="7"/>
    </row>
    <row r="15" spans="2:14" x14ac:dyDescent="0.2">
      <c r="B15" s="8">
        <v>27057</v>
      </c>
      <c r="C15" s="9">
        <v>1.3959999999999999E-10</v>
      </c>
      <c r="D15" s="8" t="s">
        <v>605</v>
      </c>
      <c r="E15" s="1">
        <f>VLOOKUP(B15,Nuclides!A:D,4,FALSE)</f>
        <v>23478336</v>
      </c>
      <c r="F15" s="7"/>
      <c r="G15" s="1"/>
      <c r="H15" s="1"/>
      <c r="K15" s="8"/>
      <c r="L15" s="7"/>
      <c r="M15" s="7"/>
    </row>
    <row r="16" spans="2:14" x14ac:dyDescent="0.2">
      <c r="B16" s="8">
        <v>27058</v>
      </c>
      <c r="C16" s="9">
        <v>6.9799999999999994E-11</v>
      </c>
      <c r="D16" s="8" t="s">
        <v>606</v>
      </c>
      <c r="E16" s="1">
        <f>VLOOKUP(B16,Nuclides!A:D,4,FALSE)</f>
        <v>6122304</v>
      </c>
      <c r="F16" s="7"/>
      <c r="G16" s="1"/>
      <c r="H16" s="1"/>
      <c r="K16" s="8"/>
      <c r="L16" s="7"/>
      <c r="M16" s="7"/>
    </row>
    <row r="17" spans="2:13" hidden="1" x14ac:dyDescent="0.2">
      <c r="B17" s="8">
        <v>27059</v>
      </c>
      <c r="C17" s="9">
        <v>6.9799999999999994E-11</v>
      </c>
      <c r="D17" s="8" t="s">
        <v>607</v>
      </c>
      <c r="E17" s="1" t="str">
        <f>VLOOKUP(B17,Nuclides!A:D,4,FALSE)</f>
        <v>STABLE</v>
      </c>
      <c r="F17" s="7"/>
      <c r="G17" s="1"/>
      <c r="H17" s="1"/>
      <c r="K17" s="8"/>
      <c r="L17" s="7"/>
      <c r="M17" s="7"/>
    </row>
    <row r="18" spans="2:13" x14ac:dyDescent="0.2">
      <c r="B18" s="8">
        <v>28053</v>
      </c>
      <c r="C18" s="9">
        <v>6.9799999999999994E-11</v>
      </c>
      <c r="D18" s="8" t="s">
        <v>631</v>
      </c>
      <c r="E18" s="1">
        <f>VLOOKUP(B18,Nuclides!A:D,4,FALSE)</f>
        <v>5.5199999999999999E-2</v>
      </c>
      <c r="F18" s="7"/>
      <c r="G18" s="1"/>
      <c r="H18" s="1"/>
      <c r="K18" s="8"/>
      <c r="L18" s="7"/>
      <c r="M18" s="7"/>
    </row>
    <row r="19" spans="2:13" x14ac:dyDescent="0.2">
      <c r="B19" s="8">
        <v>28054</v>
      </c>
      <c r="C19" s="9">
        <v>1.3959999999999999E-10</v>
      </c>
      <c r="D19" s="8" t="s">
        <v>632</v>
      </c>
      <c r="E19" s="1">
        <f>VLOOKUP(B19,Nuclides!A:D,4,FALSE)</f>
        <v>0.1142</v>
      </c>
      <c r="F19" s="7"/>
      <c r="G19" s="1"/>
      <c r="H19" s="1"/>
      <c r="K19" s="8"/>
      <c r="L19" s="7"/>
      <c r="M19" s="7"/>
    </row>
    <row r="20" spans="2:13" x14ac:dyDescent="0.2">
      <c r="B20" s="8">
        <v>28055</v>
      </c>
      <c r="C20" s="9">
        <v>4.1879999999999999E-10</v>
      </c>
      <c r="D20" s="8" t="s">
        <v>633</v>
      </c>
      <c r="E20" s="1">
        <f>VLOOKUP(B20,Nuclides!A:D,4,FALSE)</f>
        <v>0.20469999999999999</v>
      </c>
      <c r="F20" s="7"/>
      <c r="G20" s="1"/>
      <c r="H20" s="1"/>
      <c r="K20" s="8"/>
      <c r="L20" s="7"/>
      <c r="M20" s="7"/>
    </row>
    <row r="21" spans="2:13" x14ac:dyDescent="0.2">
      <c r="B21" s="8">
        <v>28056</v>
      </c>
      <c r="C21" s="9">
        <v>3.4899999999999998E-10</v>
      </c>
      <c r="D21" s="8" t="s">
        <v>634</v>
      </c>
      <c r="E21" s="1">
        <f>VLOOKUP(B21,Nuclides!A:D,4,FALSE)</f>
        <v>524880</v>
      </c>
      <c r="F21" s="7"/>
      <c r="G21" s="1"/>
      <c r="H21" s="1"/>
      <c r="K21" s="8"/>
      <c r="L21" s="7"/>
      <c r="M21" s="7"/>
    </row>
    <row r="22" spans="2:13" x14ac:dyDescent="0.2">
      <c r="B22" s="8">
        <v>28057</v>
      </c>
      <c r="C22" s="9">
        <v>1.047E-9</v>
      </c>
      <c r="D22" s="8" t="s">
        <v>635</v>
      </c>
      <c r="E22" s="1">
        <f>VLOOKUP(B22,Nuclides!A:D,4,FALSE)</f>
        <v>128160</v>
      </c>
      <c r="F22" s="7"/>
      <c r="G22" s="1"/>
      <c r="H22" s="1"/>
      <c r="K22" s="8"/>
      <c r="L22" s="7"/>
      <c r="M22" s="7"/>
    </row>
    <row r="23" spans="2:13" hidden="1" x14ac:dyDescent="0.2">
      <c r="B23" s="8">
        <v>28058</v>
      </c>
      <c r="C23" s="9">
        <v>8.3759999999999998E-10</v>
      </c>
      <c r="D23" s="8" t="s">
        <v>636</v>
      </c>
      <c r="E23" s="1" t="str">
        <f>VLOOKUP(B23,Nuclides!A:D,4,FALSE)</f>
        <v>STABLE</v>
      </c>
      <c r="F23" s="7"/>
      <c r="G23" s="1"/>
      <c r="H23" s="1"/>
      <c r="K23" s="8"/>
      <c r="L23" s="7"/>
      <c r="M23" s="7"/>
    </row>
    <row r="24" spans="2:13" x14ac:dyDescent="0.2">
      <c r="B24" s="8">
        <v>28059</v>
      </c>
      <c r="C24" s="9">
        <v>1.047E-9</v>
      </c>
      <c r="D24" s="8" t="s">
        <v>637</v>
      </c>
      <c r="E24" s="1">
        <f>VLOOKUP(B24,Nuclides!A:D,4,FALSE)</f>
        <v>2398377600000</v>
      </c>
      <c r="F24" s="7"/>
      <c r="G24" s="1"/>
      <c r="H24" s="1"/>
      <c r="K24" s="8"/>
      <c r="L24" s="7"/>
      <c r="M24" s="7"/>
    </row>
    <row r="25" spans="2:13" hidden="1" x14ac:dyDescent="0.2">
      <c r="B25" s="8">
        <v>28060</v>
      </c>
      <c r="C25" s="9">
        <v>2.7919999999999998E-10</v>
      </c>
      <c r="D25" s="8" t="s">
        <v>638</v>
      </c>
      <c r="E25" s="1" t="str">
        <f>VLOOKUP(B25,Nuclides!A:D,4,FALSE)</f>
        <v>STABLE</v>
      </c>
      <c r="F25" s="7"/>
      <c r="G25" s="1"/>
      <c r="H25" s="1"/>
      <c r="K25" s="8"/>
      <c r="L25" s="7"/>
      <c r="M25" s="7"/>
    </row>
    <row r="26" spans="2:13" hidden="1" x14ac:dyDescent="0.2">
      <c r="B26" s="8">
        <v>28061</v>
      </c>
      <c r="C26" s="9">
        <v>2.094E-10</v>
      </c>
      <c r="D26" s="8" t="s">
        <v>639</v>
      </c>
      <c r="E26" s="1" t="str">
        <f>VLOOKUP(B26,Nuclides!A:D,4,FALSE)</f>
        <v>STABLE</v>
      </c>
      <c r="F26" s="7"/>
      <c r="G26" s="1"/>
      <c r="H26" s="1"/>
      <c r="K26" s="8"/>
      <c r="L26" s="7"/>
      <c r="M26" s="7"/>
    </row>
    <row r="27" spans="2:13" hidden="1" x14ac:dyDescent="0.2">
      <c r="B27" s="8">
        <v>28062</v>
      </c>
      <c r="C27" s="9">
        <v>1.3959999999999999E-10</v>
      </c>
      <c r="D27" s="8" t="s">
        <v>640</v>
      </c>
      <c r="E27" s="1" t="str">
        <f>VLOOKUP(B27,Nuclides!A:D,4,FALSE)</f>
        <v>STABLE</v>
      </c>
      <c r="F27" s="7"/>
      <c r="G27" s="1"/>
      <c r="H27" s="1"/>
      <c r="K27" s="8"/>
      <c r="L27" s="7"/>
      <c r="M27" s="7"/>
    </row>
    <row r="28" spans="2:13" x14ac:dyDescent="0.2">
      <c r="B28" s="8">
        <v>28063</v>
      </c>
      <c r="C28" s="9">
        <v>1.3959999999999999E-10</v>
      </c>
      <c r="D28" s="8" t="s">
        <v>641</v>
      </c>
      <c r="E28" s="1">
        <f>VLOOKUP(B28,Nuclides!A:D,4,FALSE)</f>
        <v>3193629120</v>
      </c>
      <c r="F28" s="7"/>
      <c r="G28" s="1"/>
      <c r="H28" s="1"/>
      <c r="K28" s="8"/>
      <c r="L28" s="7"/>
      <c r="M28" s="7"/>
    </row>
    <row r="29" spans="2:13" x14ac:dyDescent="0.2">
      <c r="B29" s="8">
        <v>28065</v>
      </c>
      <c r="C29" s="9">
        <v>1.3959999999999999E-10</v>
      </c>
      <c r="D29" s="8" t="s">
        <v>643</v>
      </c>
      <c r="E29" s="1">
        <f>VLOOKUP(B29,Nuclides!A:D,4,FALSE)</f>
        <v>9063</v>
      </c>
      <c r="F29" s="7"/>
      <c r="G29" s="1"/>
      <c r="H29" s="1"/>
      <c r="K29" s="8"/>
      <c r="L29" s="7"/>
      <c r="M29" s="7"/>
    </row>
    <row r="30" spans="2:13" x14ac:dyDescent="0.2">
      <c r="B30" s="8">
        <v>28066</v>
      </c>
      <c r="C30" s="9">
        <v>2.7919999999999998E-10</v>
      </c>
      <c r="D30" s="8" t="s">
        <v>644</v>
      </c>
      <c r="E30" s="1">
        <f>VLOOKUP(B30,Nuclides!A:D,4,FALSE)</f>
        <v>196560</v>
      </c>
      <c r="F30" s="7"/>
      <c r="G30" s="1"/>
      <c r="H30" s="1"/>
      <c r="K30" s="8"/>
      <c r="L30" s="7"/>
      <c r="M30" s="7"/>
    </row>
    <row r="31" spans="2:13" x14ac:dyDescent="0.2">
      <c r="B31" s="8">
        <v>28067</v>
      </c>
      <c r="C31" s="9">
        <v>8.3759999999999998E-10</v>
      </c>
      <c r="D31" s="8" t="s">
        <v>645</v>
      </c>
      <c r="E31" s="1">
        <f>VLOOKUP(B31,Nuclides!A:D,4,FALSE)</f>
        <v>21</v>
      </c>
      <c r="F31" s="7"/>
      <c r="G31" s="1"/>
      <c r="H31" s="1"/>
      <c r="K31" s="8"/>
      <c r="L31" s="7"/>
      <c r="M31" s="7"/>
    </row>
    <row r="32" spans="2:13" x14ac:dyDescent="0.2">
      <c r="B32" s="8">
        <v>28068</v>
      </c>
      <c r="C32" s="9">
        <v>1.9544000000000002E-9</v>
      </c>
      <c r="D32" s="8" t="s">
        <v>646</v>
      </c>
      <c r="E32" s="1">
        <f>VLOOKUP(B32,Nuclides!A:D,4,FALSE)</f>
        <v>29</v>
      </c>
      <c r="F32" s="7"/>
      <c r="G32" s="1"/>
      <c r="H32" s="1"/>
      <c r="K32" s="8"/>
      <c r="L32" s="7"/>
      <c r="M32" s="7"/>
    </row>
    <row r="33" spans="2:13" x14ac:dyDescent="0.2">
      <c r="B33" s="8">
        <v>29057</v>
      </c>
      <c r="C33" s="9">
        <v>3.3503999999999999E-9</v>
      </c>
      <c r="D33" s="8" t="s">
        <v>661</v>
      </c>
      <c r="E33" s="1">
        <f>VLOOKUP(B33,Nuclides!A:D,4,FALSE)</f>
        <v>0.1963</v>
      </c>
      <c r="F33" s="7"/>
      <c r="G33" s="1"/>
      <c r="H33" s="1"/>
      <c r="K33" s="8"/>
      <c r="L33" s="7"/>
      <c r="M33" s="7"/>
    </row>
    <row r="34" spans="2:13" x14ac:dyDescent="0.2">
      <c r="B34" s="8">
        <v>29058</v>
      </c>
      <c r="C34" s="9">
        <v>1.04002E-8</v>
      </c>
      <c r="D34" s="8" t="s">
        <v>662</v>
      </c>
      <c r="E34" s="1">
        <f>VLOOKUP(B34,Nuclides!A:D,4,FALSE)</f>
        <v>3.2040000000000002</v>
      </c>
      <c r="F34" s="7"/>
      <c r="G34" s="1"/>
      <c r="H34" s="1"/>
      <c r="K34" s="8"/>
      <c r="L34" s="7"/>
      <c r="M34" s="7"/>
    </row>
    <row r="35" spans="2:13" x14ac:dyDescent="0.2">
      <c r="B35" s="8">
        <v>29059</v>
      </c>
      <c r="C35" s="9">
        <v>9.4928000000000001E-9</v>
      </c>
      <c r="D35" s="8" t="s">
        <v>663</v>
      </c>
      <c r="E35" s="1">
        <f>VLOOKUP(B35,Nuclides!A:D,4,FALSE)</f>
        <v>81.5</v>
      </c>
      <c r="F35" s="7"/>
      <c r="G35" s="1"/>
      <c r="H35" s="1"/>
      <c r="K35" s="8"/>
      <c r="L35" s="7"/>
      <c r="M35" s="7"/>
    </row>
    <row r="36" spans="2:13" x14ac:dyDescent="0.2">
      <c r="B36" s="8">
        <v>29060</v>
      </c>
      <c r="C36" s="9">
        <v>1.26338E-8</v>
      </c>
      <c r="D36" s="8" t="s">
        <v>664</v>
      </c>
      <c r="E36" s="1">
        <f>VLOOKUP(B36,Nuclides!A:D,4,FALSE)</f>
        <v>1422</v>
      </c>
      <c r="F36" s="7"/>
      <c r="G36" s="1"/>
      <c r="H36" s="1"/>
      <c r="K36" s="8"/>
      <c r="L36" s="7"/>
      <c r="M36" s="7"/>
    </row>
    <row r="37" spans="2:13" x14ac:dyDescent="0.2">
      <c r="B37" s="8">
        <v>29061</v>
      </c>
      <c r="C37" s="9">
        <v>6.4216000000000002E-9</v>
      </c>
      <c r="D37" s="8" t="s">
        <v>665</v>
      </c>
      <c r="E37" s="1">
        <f>VLOOKUP(B37,Nuclides!A:D,4,FALSE)</f>
        <v>12020.4</v>
      </c>
      <c r="F37" s="7"/>
      <c r="G37" s="1"/>
      <c r="H37" s="1"/>
      <c r="K37" s="8"/>
      <c r="L37" s="7"/>
      <c r="M37" s="7"/>
    </row>
    <row r="38" spans="2:13" x14ac:dyDescent="0.2">
      <c r="B38" s="8">
        <v>29062</v>
      </c>
      <c r="C38" s="9">
        <v>5.4443999999999999E-9</v>
      </c>
      <c r="D38" s="8" t="s">
        <v>666</v>
      </c>
      <c r="E38" s="1">
        <f>VLOOKUP(B38,Nuclides!A:D,4,FALSE)</f>
        <v>580.38</v>
      </c>
      <c r="F38" s="7"/>
      <c r="G38" s="1"/>
      <c r="H38" s="1"/>
      <c r="K38" s="8"/>
      <c r="L38" s="7"/>
      <c r="M38" s="7"/>
    </row>
    <row r="39" spans="2:13" hidden="1" x14ac:dyDescent="0.2">
      <c r="B39" s="8">
        <v>29063</v>
      </c>
      <c r="C39" s="9">
        <v>1.5355999999999999E-9</v>
      </c>
      <c r="D39" s="8" t="s">
        <v>667</v>
      </c>
      <c r="E39" s="1" t="str">
        <f>VLOOKUP(B39,Nuclides!A:D,4,FALSE)</f>
        <v>STABLE</v>
      </c>
      <c r="F39" s="7"/>
      <c r="G39" s="1"/>
      <c r="H39" s="1"/>
      <c r="K39" s="8"/>
      <c r="L39" s="7"/>
      <c r="M39" s="7"/>
    </row>
    <row r="40" spans="2:13" x14ac:dyDescent="0.2">
      <c r="B40" s="8">
        <v>29064</v>
      </c>
      <c r="C40" s="9">
        <v>1.2563999999999999E-9</v>
      </c>
      <c r="D40" s="8" t="s">
        <v>668</v>
      </c>
      <c r="E40" s="1">
        <f>VLOOKUP(B40,Nuclides!A:D,4,FALSE)</f>
        <v>45723.6</v>
      </c>
      <c r="F40" s="7"/>
      <c r="G40" s="1"/>
      <c r="H40" s="1"/>
      <c r="K40" s="8"/>
      <c r="L40" s="7"/>
      <c r="M40" s="7"/>
    </row>
    <row r="41" spans="2:13" hidden="1" x14ac:dyDescent="0.2">
      <c r="B41" s="8">
        <v>29065</v>
      </c>
      <c r="C41" s="9">
        <v>2.7919999999999998E-10</v>
      </c>
      <c r="D41" s="8" t="s">
        <v>669</v>
      </c>
      <c r="E41" s="1" t="str">
        <f>VLOOKUP(B41,Nuclides!A:D,4,FALSE)</f>
        <v>STABLE</v>
      </c>
      <c r="F41" s="7"/>
      <c r="G41" s="1"/>
      <c r="H41" s="1"/>
      <c r="K41" s="8"/>
      <c r="L41" s="7"/>
      <c r="M41" s="7"/>
    </row>
    <row r="42" spans="2:13" x14ac:dyDescent="0.2">
      <c r="B42" s="8">
        <v>29066</v>
      </c>
      <c r="C42" s="9">
        <v>1.3959999999999999E-10</v>
      </c>
      <c r="D42" s="8" t="s">
        <v>670</v>
      </c>
      <c r="E42" s="1">
        <f>VLOOKUP(B42,Nuclides!A:D,4,FALSE)</f>
        <v>307.2</v>
      </c>
      <c r="F42" s="7"/>
      <c r="G42" s="1"/>
      <c r="H42" s="1"/>
      <c r="K42" s="8"/>
      <c r="L42" s="7"/>
      <c r="M42" s="7"/>
    </row>
    <row r="43" spans="2:13" x14ac:dyDescent="0.2">
      <c r="B43" s="8">
        <v>29067</v>
      </c>
      <c r="C43" s="9">
        <v>6.9799999999999994E-11</v>
      </c>
      <c r="D43" s="8" t="s">
        <v>671</v>
      </c>
      <c r="E43" s="1">
        <f>VLOOKUP(B43,Nuclides!A:D,4,FALSE)</f>
        <v>222588</v>
      </c>
      <c r="F43" s="7"/>
      <c r="G43" s="1"/>
      <c r="H43" s="1"/>
      <c r="K43" s="8"/>
      <c r="L43" s="7"/>
      <c r="M43" s="7"/>
    </row>
    <row r="44" spans="2:13" x14ac:dyDescent="0.2">
      <c r="B44" s="8">
        <v>29068</v>
      </c>
      <c r="C44" s="9">
        <v>2.094E-10</v>
      </c>
      <c r="D44" s="8" t="s">
        <v>672</v>
      </c>
      <c r="E44" s="1">
        <f>VLOOKUP(B44,Nuclides!A:D,4,FALSE)</f>
        <v>30.9</v>
      </c>
      <c r="F44" s="7"/>
      <c r="G44" s="1"/>
      <c r="H44" s="1"/>
      <c r="K44" s="8"/>
      <c r="L44" s="7"/>
      <c r="M44" s="7"/>
    </row>
    <row r="45" spans="2:13" x14ac:dyDescent="0.2">
      <c r="B45" s="8">
        <v>29069</v>
      </c>
      <c r="C45" s="9">
        <v>5.5839999999999995E-10</v>
      </c>
      <c r="D45" s="8" t="s">
        <v>673</v>
      </c>
      <c r="E45" s="1">
        <f>VLOOKUP(B45,Nuclides!A:D,4,FALSE)</f>
        <v>171</v>
      </c>
      <c r="F45" s="7"/>
      <c r="G45" s="1"/>
      <c r="H45" s="1"/>
      <c r="K45" s="8"/>
      <c r="L45" s="7"/>
      <c r="M45" s="7"/>
    </row>
    <row r="46" spans="2:13" x14ac:dyDescent="0.2">
      <c r="B46" s="8">
        <v>29070</v>
      </c>
      <c r="C46" s="9">
        <v>2.094E-9</v>
      </c>
      <c r="D46" s="8" t="s">
        <v>674</v>
      </c>
      <c r="E46" s="1">
        <f>VLOOKUP(B46,Nuclides!A:D,4,FALSE)</f>
        <v>44.5</v>
      </c>
      <c r="F46" s="7"/>
      <c r="G46" s="1"/>
      <c r="H46" s="1"/>
      <c r="K46" s="8"/>
      <c r="L46" s="7"/>
      <c r="M46" s="7"/>
    </row>
    <row r="47" spans="2:13" x14ac:dyDescent="0.2">
      <c r="B47" s="8">
        <v>29071</v>
      </c>
      <c r="C47" s="9">
        <v>6.9102000000000004E-9</v>
      </c>
      <c r="D47" s="8" t="s">
        <v>675</v>
      </c>
      <c r="E47" s="1">
        <f>VLOOKUP(B47,Nuclides!A:D,4,FALSE)</f>
        <v>19.399999999999999</v>
      </c>
      <c r="F47" s="7"/>
      <c r="G47" s="1"/>
      <c r="H47" s="1"/>
      <c r="K47" s="8"/>
      <c r="L47" s="7"/>
      <c r="M47" s="7"/>
    </row>
    <row r="48" spans="2:13" x14ac:dyDescent="0.2">
      <c r="B48" s="8">
        <v>29072</v>
      </c>
      <c r="C48" s="9">
        <v>1.10284E-8</v>
      </c>
      <c r="D48" s="8" t="s">
        <v>676</v>
      </c>
      <c r="E48" s="1">
        <f>VLOOKUP(B48,Nuclides!A:D,4,FALSE)</f>
        <v>6.63</v>
      </c>
      <c r="F48" s="7"/>
      <c r="G48" s="1"/>
      <c r="H48" s="1"/>
      <c r="K48" s="8"/>
      <c r="L48" s="7"/>
      <c r="M48" s="7"/>
    </row>
    <row r="49" spans="2:13" x14ac:dyDescent="0.2">
      <c r="B49" s="8">
        <v>29073</v>
      </c>
      <c r="C49" s="9">
        <v>2.8897200000000001E-8</v>
      </c>
      <c r="D49" s="8" t="s">
        <v>677</v>
      </c>
      <c r="E49" s="1">
        <f>VLOOKUP(B49,Nuclides!A:D,4,FALSE)</f>
        <v>4.2</v>
      </c>
      <c r="F49" s="7"/>
      <c r="G49" s="1"/>
      <c r="H49" s="1"/>
      <c r="K49" s="8"/>
      <c r="L49" s="7"/>
      <c r="M49" s="7"/>
    </row>
    <row r="50" spans="2:13" x14ac:dyDescent="0.2">
      <c r="B50" s="8">
        <v>30057</v>
      </c>
      <c r="C50" s="9">
        <v>2.3313199999999999E-8</v>
      </c>
      <c r="D50" s="8" t="s">
        <v>690</v>
      </c>
      <c r="E50" s="1">
        <f>VLOOKUP(B50,Nuclides!A:D,4,FALSE)</f>
        <v>3.7999999999999999E-2</v>
      </c>
      <c r="F50" s="7"/>
      <c r="G50" s="1"/>
      <c r="H50" s="1"/>
      <c r="K50" s="8"/>
      <c r="L50" s="7"/>
      <c r="M50" s="7"/>
    </row>
    <row r="51" spans="2:13" x14ac:dyDescent="0.2">
      <c r="B51" s="8">
        <v>30058</v>
      </c>
      <c r="C51" s="9">
        <v>2.7082399999999999E-8</v>
      </c>
      <c r="D51" s="8" t="s">
        <v>691</v>
      </c>
      <c r="E51" s="1">
        <f>VLOOKUP(B51,Nuclides!A:D,4,FALSE)</f>
        <v>8.5999999999999993E-2</v>
      </c>
      <c r="F51" s="7"/>
      <c r="G51" s="1"/>
      <c r="H51" s="1"/>
      <c r="K51" s="8"/>
      <c r="L51" s="7"/>
      <c r="M51" s="7"/>
    </row>
    <row r="52" spans="2:13" x14ac:dyDescent="0.2">
      <c r="B52" s="8">
        <v>30059</v>
      </c>
      <c r="C52" s="9">
        <v>1.1167999999999999E-8</v>
      </c>
      <c r="D52" s="8" t="s">
        <v>692</v>
      </c>
      <c r="E52" s="1">
        <f>VLOOKUP(B52,Nuclides!A:D,4,FALSE)</f>
        <v>0.182</v>
      </c>
      <c r="F52" s="7"/>
      <c r="G52" s="1"/>
      <c r="H52" s="1"/>
      <c r="K52" s="8"/>
      <c r="L52" s="7"/>
      <c r="M52" s="7"/>
    </row>
    <row r="53" spans="2:13" x14ac:dyDescent="0.2">
      <c r="B53" s="8">
        <v>30060</v>
      </c>
      <c r="C53" s="9">
        <v>8.5155999999999998E-9</v>
      </c>
      <c r="D53" s="8" t="s">
        <v>693</v>
      </c>
      <c r="E53" s="1">
        <f>VLOOKUP(B53,Nuclides!A:D,4,FALSE)</f>
        <v>142.79999999999899</v>
      </c>
      <c r="F53" s="7"/>
      <c r="G53" s="1"/>
      <c r="H53" s="1"/>
      <c r="K53" s="8"/>
      <c r="L53" s="7"/>
      <c r="M53" s="7"/>
    </row>
    <row r="54" spans="2:13" x14ac:dyDescent="0.2">
      <c r="B54" s="8">
        <v>30061</v>
      </c>
      <c r="C54" s="9">
        <v>3.1409999999999998E-9</v>
      </c>
      <c r="D54" s="8" t="s">
        <v>694</v>
      </c>
      <c r="E54" s="1">
        <f>VLOOKUP(B54,Nuclides!A:D,4,FALSE)</f>
        <v>89.1</v>
      </c>
      <c r="F54" s="7"/>
      <c r="G54" s="1"/>
      <c r="H54" s="1"/>
      <c r="K54" s="8"/>
      <c r="L54" s="7"/>
      <c r="M54" s="7"/>
    </row>
    <row r="55" spans="2:13" x14ac:dyDescent="0.2">
      <c r="B55" s="8">
        <v>30062</v>
      </c>
      <c r="C55" s="9">
        <v>2.3034000000000001E-9</v>
      </c>
      <c r="D55" s="8" t="s">
        <v>695</v>
      </c>
      <c r="E55" s="1">
        <f>VLOOKUP(B55,Nuclides!A:D,4,FALSE)</f>
        <v>33069.599999999999</v>
      </c>
      <c r="F55" s="7"/>
      <c r="G55" s="1"/>
      <c r="H55" s="1"/>
      <c r="K55" s="8"/>
      <c r="L55" s="7"/>
      <c r="M55" s="7"/>
    </row>
    <row r="56" spans="2:13" x14ac:dyDescent="0.2">
      <c r="B56" s="8">
        <v>30063</v>
      </c>
      <c r="C56" s="9">
        <v>3.4899999999999998E-10</v>
      </c>
      <c r="D56" s="8" t="s">
        <v>696</v>
      </c>
      <c r="E56" s="1">
        <f>VLOOKUP(B56,Nuclides!A:D,4,FALSE)</f>
        <v>2308.1999999999998</v>
      </c>
      <c r="F56" s="7"/>
      <c r="G56" s="1"/>
      <c r="H56" s="1"/>
      <c r="K56" s="8"/>
      <c r="L56" s="7"/>
      <c r="M56" s="7"/>
    </row>
    <row r="57" spans="2:13" x14ac:dyDescent="0.2">
      <c r="B57" s="8">
        <v>30064</v>
      </c>
      <c r="C57" s="9">
        <v>3.4899999999999998E-10</v>
      </c>
      <c r="D57" s="8" t="s">
        <v>697</v>
      </c>
      <c r="E57" s="1">
        <f>VLOOKUP(B57,Nuclides!A:D,4,FALSE)</f>
        <v>2.209032E+28</v>
      </c>
      <c r="F57" s="7"/>
      <c r="G57" s="1"/>
      <c r="H57" s="1"/>
      <c r="K57" s="8"/>
      <c r="L57" s="7"/>
      <c r="M57" s="7"/>
    </row>
    <row r="58" spans="2:13" x14ac:dyDescent="0.2">
      <c r="B58" s="8">
        <v>30065</v>
      </c>
      <c r="C58" s="9">
        <v>6.9799999999999994E-11</v>
      </c>
      <c r="D58" s="8" t="s">
        <v>698</v>
      </c>
      <c r="E58" s="1">
        <f>VLOOKUP(B58,Nuclides!A:D,4,FALSE)</f>
        <v>21075552</v>
      </c>
      <c r="F58" s="7"/>
      <c r="G58" s="1"/>
      <c r="H58" s="1"/>
      <c r="K58" s="8"/>
      <c r="L58" s="7"/>
      <c r="M58" s="7"/>
    </row>
    <row r="59" spans="2:13" x14ac:dyDescent="0.2">
      <c r="B59" s="8">
        <v>30069</v>
      </c>
      <c r="C59" s="9">
        <v>3.4899999999999998E-10</v>
      </c>
      <c r="D59" s="8" t="s">
        <v>702</v>
      </c>
      <c r="E59" s="1">
        <f>VLOOKUP(B59,Nuclides!A:D,4,FALSE)</f>
        <v>3384</v>
      </c>
      <c r="F59" s="7"/>
      <c r="G59" s="1"/>
      <c r="H59" s="1"/>
      <c r="K59" s="8"/>
      <c r="L59" s="7"/>
      <c r="M59" s="7"/>
    </row>
    <row r="60" spans="2:13" x14ac:dyDescent="0.2">
      <c r="B60" s="8">
        <v>30070</v>
      </c>
      <c r="C60" s="9">
        <v>2.0242000000000001E-9</v>
      </c>
      <c r="D60" s="8" t="s">
        <v>703</v>
      </c>
      <c r="E60" s="1">
        <f>VLOOKUP(B60,Nuclides!A:D,4,FALSE)</f>
        <v>7.2582480000000003E+24</v>
      </c>
      <c r="F60" s="7"/>
      <c r="G60" s="1"/>
      <c r="H60" s="1"/>
      <c r="K60" s="8"/>
      <c r="L60" s="7"/>
      <c r="M60" s="7"/>
    </row>
    <row r="61" spans="2:13" x14ac:dyDescent="0.2">
      <c r="B61" s="8">
        <v>30071</v>
      </c>
      <c r="C61" s="9">
        <v>7.4686000000000005E-9</v>
      </c>
      <c r="D61" s="8" t="s">
        <v>704</v>
      </c>
      <c r="E61" s="1">
        <f>VLOOKUP(B61,Nuclides!A:D,4,FALSE)</f>
        <v>147</v>
      </c>
      <c r="F61" s="7"/>
      <c r="G61" s="1"/>
      <c r="H61" s="1"/>
      <c r="K61" s="8"/>
      <c r="L61" s="7"/>
      <c r="M61" s="7"/>
    </row>
    <row r="62" spans="2:13" x14ac:dyDescent="0.2">
      <c r="B62" s="8">
        <v>30072</v>
      </c>
      <c r="C62" s="9">
        <v>1.9055399999999999E-8</v>
      </c>
      <c r="D62" s="8" t="s">
        <v>705</v>
      </c>
      <c r="E62" s="1">
        <f>VLOOKUP(B62,Nuclides!A:D,4,FALSE)</f>
        <v>167400</v>
      </c>
      <c r="F62" s="7"/>
      <c r="G62" s="1"/>
      <c r="H62" s="1"/>
      <c r="K62" s="8"/>
      <c r="L62" s="7"/>
      <c r="M62" s="7"/>
    </row>
    <row r="63" spans="2:13" x14ac:dyDescent="0.2">
      <c r="B63" s="8">
        <v>30073</v>
      </c>
      <c r="C63" s="9">
        <v>3.7133599999999998E-8</v>
      </c>
      <c r="D63" s="8" t="s">
        <v>706</v>
      </c>
      <c r="E63" s="1">
        <f>VLOOKUP(B63,Nuclides!A:D,4,FALSE)</f>
        <v>23.5</v>
      </c>
      <c r="F63" s="7"/>
      <c r="G63" s="1"/>
      <c r="H63" s="1"/>
      <c r="K63" s="8"/>
      <c r="L63" s="7"/>
      <c r="M63" s="7"/>
    </row>
    <row r="64" spans="2:13" x14ac:dyDescent="0.2">
      <c r="B64" s="8">
        <v>30074</v>
      </c>
      <c r="C64" s="9">
        <v>9.1856800000000002E-8</v>
      </c>
      <c r="D64" s="8" t="s">
        <v>707</v>
      </c>
      <c r="E64" s="1">
        <f>VLOOKUP(B64,Nuclides!A:D,4,FALSE)</f>
        <v>95.6</v>
      </c>
      <c r="F64" s="7"/>
      <c r="G64" s="1"/>
      <c r="H64" s="1"/>
      <c r="K64" s="8"/>
      <c r="L64" s="7"/>
      <c r="M64" s="7"/>
    </row>
    <row r="65" spans="2:13" x14ac:dyDescent="0.2">
      <c r="B65" s="8">
        <v>30075</v>
      </c>
      <c r="C65" s="9">
        <v>1.16845E-7</v>
      </c>
      <c r="D65" s="8" t="s">
        <v>708</v>
      </c>
      <c r="E65" s="1">
        <f>VLOOKUP(B65,Nuclides!A:D,4,FALSE)</f>
        <v>10.199999999999999</v>
      </c>
      <c r="F65" s="7"/>
      <c r="G65" s="1"/>
      <c r="H65" s="1"/>
      <c r="K65" s="8"/>
      <c r="L65" s="7"/>
      <c r="M65" s="7"/>
    </row>
    <row r="66" spans="2:13" x14ac:dyDescent="0.2">
      <c r="B66" s="8">
        <v>30076</v>
      </c>
      <c r="C66" s="9">
        <v>2.11354E-7</v>
      </c>
      <c r="D66" s="8" t="s">
        <v>709</v>
      </c>
      <c r="E66" s="1">
        <f>VLOOKUP(B66,Nuclides!A:D,4,FALSE)</f>
        <v>5.7</v>
      </c>
      <c r="F66" s="7"/>
      <c r="G66" s="1"/>
      <c r="H66" s="1"/>
      <c r="K66" s="8"/>
      <c r="L66" s="7"/>
      <c r="M66" s="7"/>
    </row>
    <row r="67" spans="2:13" x14ac:dyDescent="0.2">
      <c r="B67" s="8">
        <v>30077</v>
      </c>
      <c r="C67" s="9">
        <v>1.40158E-7</v>
      </c>
      <c r="D67" s="8" t="s">
        <v>710</v>
      </c>
      <c r="E67" s="1">
        <f>VLOOKUP(B67,Nuclides!A:D,4,FALSE)</f>
        <v>2.08</v>
      </c>
      <c r="F67" s="7"/>
      <c r="G67" s="1"/>
      <c r="H67" s="1"/>
      <c r="K67" s="8"/>
      <c r="L67" s="7"/>
      <c r="M67" s="7"/>
    </row>
    <row r="68" spans="2:13" x14ac:dyDescent="0.2">
      <c r="B68" s="8">
        <v>30078</v>
      </c>
      <c r="C68" s="9">
        <v>1.3652899999999999E-7</v>
      </c>
      <c r="D68" s="8" t="s">
        <v>711</v>
      </c>
      <c r="E68" s="1">
        <f>VLOOKUP(B68,Nuclides!A:D,4,FALSE)</f>
        <v>1.47</v>
      </c>
      <c r="F68" s="7"/>
      <c r="G68" s="1"/>
      <c r="H68" s="1"/>
      <c r="K68" s="8"/>
      <c r="L68" s="7"/>
      <c r="M68" s="7"/>
    </row>
    <row r="69" spans="2:13" x14ac:dyDescent="0.2">
      <c r="B69" s="8">
        <v>31062</v>
      </c>
      <c r="C69" s="9">
        <v>5.3466800000000001E-8</v>
      </c>
      <c r="D69" s="8" t="s">
        <v>721</v>
      </c>
      <c r="E69" s="1">
        <f>VLOOKUP(B69,Nuclides!A:D,4,FALSE)</f>
        <v>0.116121</v>
      </c>
      <c r="F69" s="7"/>
      <c r="G69" s="1"/>
      <c r="H69" s="1"/>
      <c r="K69" s="8"/>
      <c r="L69" s="7"/>
      <c r="M69" s="7"/>
    </row>
    <row r="70" spans="2:13" x14ac:dyDescent="0.2">
      <c r="B70" s="8">
        <v>31063</v>
      </c>
      <c r="C70" s="9">
        <v>3.07818E-8</v>
      </c>
      <c r="D70" s="8" t="s">
        <v>722</v>
      </c>
      <c r="E70" s="1">
        <f>VLOOKUP(B70,Nuclides!A:D,4,FALSE)</f>
        <v>32.4</v>
      </c>
      <c r="F70" s="7"/>
      <c r="G70" s="1"/>
      <c r="H70" s="1"/>
      <c r="K70" s="8"/>
      <c r="L70" s="7"/>
      <c r="M70" s="7"/>
    </row>
    <row r="71" spans="2:13" x14ac:dyDescent="0.2">
      <c r="B71" s="8">
        <v>31064</v>
      </c>
      <c r="C71" s="9">
        <v>3.6296E-9</v>
      </c>
      <c r="D71" s="8" t="s">
        <v>723</v>
      </c>
      <c r="E71" s="1">
        <f>VLOOKUP(B71,Nuclides!A:D,4,FALSE)</f>
        <v>157.61999999999901</v>
      </c>
      <c r="F71" s="7"/>
      <c r="G71" s="1"/>
      <c r="H71" s="1"/>
      <c r="K71" s="8"/>
      <c r="L71" s="7"/>
      <c r="M71" s="7"/>
    </row>
    <row r="72" spans="2:13" x14ac:dyDescent="0.2">
      <c r="B72" s="8">
        <v>31065</v>
      </c>
      <c r="C72" s="9">
        <v>3.7691999999999998E-9</v>
      </c>
      <c r="D72" s="8" t="s">
        <v>724</v>
      </c>
      <c r="E72" s="1">
        <f>VLOOKUP(B72,Nuclides!A:D,4,FALSE)</f>
        <v>912</v>
      </c>
      <c r="F72" s="7"/>
      <c r="G72" s="1"/>
      <c r="H72" s="1"/>
      <c r="K72" s="8"/>
      <c r="L72" s="7"/>
      <c r="M72" s="7"/>
    </row>
    <row r="73" spans="2:13" x14ac:dyDescent="0.2">
      <c r="B73" s="8">
        <v>31066</v>
      </c>
      <c r="C73" s="9">
        <v>6.9799999999999997E-10</v>
      </c>
      <c r="D73" s="8" t="s">
        <v>725</v>
      </c>
      <c r="E73" s="1">
        <f>VLOOKUP(B73,Nuclides!A:D,4,FALSE)</f>
        <v>34164</v>
      </c>
      <c r="F73" s="7"/>
      <c r="G73" s="1"/>
      <c r="H73" s="1"/>
      <c r="K73" s="8"/>
      <c r="L73" s="7"/>
      <c r="M73" s="7"/>
    </row>
    <row r="74" spans="2:13" x14ac:dyDescent="0.2">
      <c r="B74" s="8">
        <v>31067</v>
      </c>
      <c r="C74" s="9">
        <v>2.094E-10</v>
      </c>
      <c r="D74" s="8" t="s">
        <v>726</v>
      </c>
      <c r="E74" s="1">
        <f>VLOOKUP(B74,Nuclides!A:D,4,FALSE)</f>
        <v>281810.88</v>
      </c>
      <c r="F74" s="7"/>
      <c r="G74" s="1"/>
      <c r="H74" s="1"/>
      <c r="K74" s="8"/>
      <c r="L74" s="7"/>
      <c r="M74" s="7"/>
    </row>
    <row r="75" spans="2:13" hidden="1" x14ac:dyDescent="0.2">
      <c r="B75" s="8">
        <v>31071</v>
      </c>
      <c r="C75" s="9">
        <v>1.3959999999999999E-10</v>
      </c>
      <c r="D75" s="8" t="s">
        <v>730</v>
      </c>
      <c r="E75" s="1" t="str">
        <f>VLOOKUP(B75,Nuclides!A:D,4,FALSE)</f>
        <v>STABLE</v>
      </c>
      <c r="F75" s="7"/>
      <c r="G75" s="1"/>
      <c r="H75" s="1"/>
      <c r="K75" s="8"/>
      <c r="L75" s="7"/>
      <c r="M75" s="7"/>
    </row>
    <row r="76" spans="2:13" x14ac:dyDescent="0.2">
      <c r="B76" s="8">
        <v>31072</v>
      </c>
      <c r="C76" s="9">
        <v>1.6054000000000001E-9</v>
      </c>
      <c r="D76" s="8" t="s">
        <v>731</v>
      </c>
      <c r="E76" s="1">
        <f>VLOOKUP(B76,Nuclides!A:D,4,FALSE)</f>
        <v>50760</v>
      </c>
      <c r="F76" s="7"/>
      <c r="G76" s="1"/>
      <c r="H76" s="1"/>
      <c r="K76" s="8"/>
      <c r="L76" s="7"/>
      <c r="M76" s="7"/>
    </row>
    <row r="77" spans="2:13" x14ac:dyDescent="0.2">
      <c r="B77" s="8">
        <v>31073</v>
      </c>
      <c r="C77" s="9">
        <v>6.2819999999999996E-9</v>
      </c>
      <c r="D77" s="8" t="s">
        <v>732</v>
      </c>
      <c r="E77" s="1">
        <f>VLOOKUP(B77,Nuclides!A:D,4,FALSE)</f>
        <v>17496</v>
      </c>
      <c r="F77" s="7"/>
      <c r="G77" s="1"/>
      <c r="H77" s="1"/>
      <c r="K77" s="8"/>
      <c r="L77" s="7"/>
      <c r="M77" s="7"/>
    </row>
    <row r="78" spans="2:13" x14ac:dyDescent="0.2">
      <c r="B78" s="8">
        <v>31074</v>
      </c>
      <c r="C78" s="9">
        <v>1.7310399999999999E-8</v>
      </c>
      <c r="D78" s="8" t="s">
        <v>733</v>
      </c>
      <c r="E78" s="1">
        <f>VLOOKUP(B78,Nuclides!A:D,4,FALSE)</f>
        <v>487.19999999999902</v>
      </c>
      <c r="F78" s="7"/>
      <c r="G78" s="1"/>
      <c r="H78" s="1"/>
      <c r="K78" s="8"/>
      <c r="L78" s="7"/>
      <c r="M78" s="7"/>
    </row>
    <row r="79" spans="2:13" x14ac:dyDescent="0.2">
      <c r="B79" s="8">
        <v>31075</v>
      </c>
      <c r="C79" s="9">
        <v>5.2838599999999999E-8</v>
      </c>
      <c r="D79" s="8" t="s">
        <v>734</v>
      </c>
      <c r="E79" s="1">
        <f>VLOOKUP(B79,Nuclides!A:D,4,FALSE)</f>
        <v>126</v>
      </c>
      <c r="F79" s="7"/>
      <c r="G79" s="1"/>
      <c r="H79" s="1"/>
      <c r="K79" s="8"/>
      <c r="L79" s="7"/>
      <c r="M79" s="7"/>
    </row>
    <row r="80" spans="2:13" x14ac:dyDescent="0.2">
      <c r="B80" s="8">
        <v>31076</v>
      </c>
      <c r="C80" s="9">
        <v>1.10354E-7</v>
      </c>
      <c r="D80" s="8" t="s">
        <v>735</v>
      </c>
      <c r="E80" s="1">
        <f>VLOOKUP(B80,Nuclides!A:D,4,FALSE)</f>
        <v>32.6</v>
      </c>
      <c r="F80" s="7"/>
      <c r="G80" s="1"/>
      <c r="H80" s="1"/>
      <c r="K80" s="8"/>
      <c r="L80" s="7"/>
      <c r="M80" s="7"/>
    </row>
    <row r="81" spans="2:13" x14ac:dyDescent="0.2">
      <c r="B81" s="8">
        <v>31077</v>
      </c>
      <c r="C81" s="9">
        <v>2.8520300000000002E-7</v>
      </c>
      <c r="D81" s="8" t="s">
        <v>736</v>
      </c>
      <c r="E81" s="1">
        <f>VLOOKUP(B81,Nuclides!A:D,4,FALSE)</f>
        <v>13.2</v>
      </c>
      <c r="F81" s="7"/>
      <c r="G81" s="1"/>
      <c r="H81" s="1"/>
      <c r="K81" s="8"/>
      <c r="L81" s="7"/>
      <c r="M81" s="7"/>
    </row>
    <row r="82" spans="2:13" x14ac:dyDescent="0.2">
      <c r="B82" s="8">
        <v>31078</v>
      </c>
      <c r="C82" s="9">
        <v>3.1842800000000002E-7</v>
      </c>
      <c r="D82" s="8" t="s">
        <v>737</v>
      </c>
      <c r="E82" s="1">
        <f>VLOOKUP(B82,Nuclides!A:D,4,FALSE)</f>
        <v>5.09</v>
      </c>
      <c r="F82" s="7"/>
      <c r="G82" s="1"/>
      <c r="H82" s="1"/>
      <c r="K82" s="8"/>
      <c r="L82" s="7"/>
      <c r="M82" s="7"/>
    </row>
    <row r="83" spans="2:13" x14ac:dyDescent="0.2">
      <c r="B83" s="8">
        <v>31079</v>
      </c>
      <c r="C83" s="9">
        <v>5.0297900000000005E-7</v>
      </c>
      <c r="D83" s="8" t="s">
        <v>738</v>
      </c>
      <c r="E83" s="1">
        <f>VLOOKUP(B83,Nuclides!A:D,4,FALSE)</f>
        <v>2.847</v>
      </c>
      <c r="F83" s="7"/>
      <c r="G83" s="1"/>
      <c r="H83" s="1"/>
      <c r="K83" s="8"/>
      <c r="L83" s="7"/>
      <c r="M83" s="7"/>
    </row>
    <row r="84" spans="2:13" x14ac:dyDescent="0.2">
      <c r="B84" s="8">
        <v>31080</v>
      </c>
      <c r="C84" s="9">
        <v>2.8764600000000001E-7</v>
      </c>
      <c r="D84" s="8" t="s">
        <v>739</v>
      </c>
      <c r="E84" s="1">
        <f>VLOOKUP(B84,Nuclides!A:D,4,FALSE)</f>
        <v>1.9</v>
      </c>
      <c r="F84" s="7"/>
      <c r="G84" s="1"/>
      <c r="H84" s="1"/>
      <c r="K84" s="8"/>
      <c r="L84" s="7"/>
      <c r="M84" s="7"/>
    </row>
    <row r="85" spans="2:13" x14ac:dyDescent="0.2">
      <c r="B85" s="8">
        <v>31081</v>
      </c>
      <c r="C85" s="9">
        <v>2.4779000000000002E-7</v>
      </c>
      <c r="D85" s="8" t="s">
        <v>740</v>
      </c>
      <c r="E85" s="1">
        <f>VLOOKUP(B85,Nuclides!A:D,4,FALSE)</f>
        <v>1.2170000000000001</v>
      </c>
      <c r="F85" s="7"/>
      <c r="G85" s="1"/>
      <c r="H85" s="1"/>
      <c r="K85" s="8"/>
      <c r="L85" s="7"/>
      <c r="M85" s="7"/>
    </row>
    <row r="86" spans="2:13" x14ac:dyDescent="0.2">
      <c r="B86" s="8">
        <v>31082</v>
      </c>
      <c r="C86" s="9">
        <v>7.7129000000000002E-8</v>
      </c>
      <c r="D86" s="8" t="s">
        <v>741</v>
      </c>
      <c r="E86" s="1">
        <f>VLOOKUP(B86,Nuclides!A:D,4,FALSE)</f>
        <v>0.59899999999999998</v>
      </c>
      <c r="F86" s="7"/>
      <c r="G86" s="1"/>
      <c r="H86" s="1"/>
      <c r="K86" s="8"/>
      <c r="L86" s="7"/>
      <c r="M86" s="7"/>
    </row>
    <row r="87" spans="2:13" x14ac:dyDescent="0.2">
      <c r="B87" s="8">
        <v>31083</v>
      </c>
      <c r="C87" s="9">
        <v>3.9227599999999997E-8</v>
      </c>
      <c r="D87" s="8" t="s">
        <v>742</v>
      </c>
      <c r="E87" s="1">
        <f>VLOOKUP(B87,Nuclides!A:D,4,FALSE)</f>
        <v>0.30809999999999998</v>
      </c>
      <c r="F87" s="7"/>
      <c r="G87" s="1"/>
      <c r="H87" s="1"/>
      <c r="K87" s="8"/>
      <c r="L87" s="7"/>
      <c r="M87" s="7"/>
    </row>
    <row r="88" spans="2:13" x14ac:dyDescent="0.2">
      <c r="B88" s="8">
        <v>32061</v>
      </c>
      <c r="C88" s="9">
        <v>1.23546E-8</v>
      </c>
      <c r="D88" s="8" t="s">
        <v>749</v>
      </c>
      <c r="E88" s="1">
        <f>VLOOKUP(B88,Nuclides!A:D,4,FALSE)</f>
        <v>4.3999999999999997E-2</v>
      </c>
      <c r="F88" s="7"/>
      <c r="G88" s="1"/>
      <c r="H88" s="1"/>
      <c r="K88" s="8"/>
      <c r="L88" s="7"/>
      <c r="M88" s="7"/>
    </row>
    <row r="89" spans="2:13" x14ac:dyDescent="0.2">
      <c r="B89" s="8">
        <v>32062</v>
      </c>
      <c r="C89" s="9">
        <v>4.6068000000000003E-9</v>
      </c>
      <c r="D89" s="8" t="s">
        <v>750</v>
      </c>
      <c r="E89" s="1">
        <f>VLOOKUP(B89,Nuclides!A:D,4,FALSE)</f>
        <v>0.129</v>
      </c>
      <c r="F89" s="7"/>
      <c r="G89" s="1"/>
      <c r="H89" s="1"/>
      <c r="K89" s="8"/>
      <c r="L89" s="7"/>
      <c r="M89" s="7"/>
    </row>
    <row r="90" spans="2:13" x14ac:dyDescent="0.2">
      <c r="B90" s="8">
        <v>32063</v>
      </c>
      <c r="C90" s="9">
        <v>6.9799999999999997E-10</v>
      </c>
      <c r="D90" s="8" t="s">
        <v>751</v>
      </c>
      <c r="E90" s="1">
        <f>VLOOKUP(B90,Nuclides!A:D,4,FALSE)</f>
        <v>0.15</v>
      </c>
      <c r="F90" s="7"/>
      <c r="G90" s="1"/>
      <c r="H90" s="1"/>
      <c r="K90" s="8"/>
      <c r="L90" s="7"/>
      <c r="M90" s="7"/>
    </row>
    <row r="91" spans="2:13" x14ac:dyDescent="0.2">
      <c r="B91" s="8">
        <v>32064</v>
      </c>
      <c r="C91" s="9">
        <v>2.094E-10</v>
      </c>
      <c r="D91" s="8" t="s">
        <v>752</v>
      </c>
      <c r="E91" s="1">
        <f>VLOOKUP(B91,Nuclides!A:D,4,FALSE)</f>
        <v>63.7</v>
      </c>
      <c r="F91" s="7"/>
      <c r="G91" s="1"/>
      <c r="H91" s="1"/>
      <c r="K91" s="8"/>
      <c r="L91" s="7"/>
      <c r="M91" s="7"/>
    </row>
    <row r="92" spans="2:13" hidden="1" x14ac:dyDescent="0.2">
      <c r="B92" s="8">
        <v>32072</v>
      </c>
      <c r="C92" s="9">
        <v>6.2819999999999996E-10</v>
      </c>
      <c r="D92" s="8" t="s">
        <v>760</v>
      </c>
      <c r="E92" s="1" t="str">
        <f>VLOOKUP(B92,Nuclides!A:D,4,FALSE)</f>
        <v>STABLE</v>
      </c>
      <c r="F92" s="7"/>
      <c r="G92" s="1"/>
      <c r="H92" s="1"/>
      <c r="K92" s="8"/>
      <c r="L92" s="7"/>
      <c r="M92" s="7"/>
    </row>
    <row r="93" spans="2:13" hidden="1" x14ac:dyDescent="0.2">
      <c r="B93" s="8">
        <v>32073</v>
      </c>
      <c r="C93" s="9">
        <v>1.6752E-9</v>
      </c>
      <c r="D93" s="8" t="s">
        <v>761</v>
      </c>
      <c r="E93" s="1" t="str">
        <f>VLOOKUP(B93,Nuclides!A:D,4,FALSE)</f>
        <v>STABLE</v>
      </c>
      <c r="F93" s="7"/>
      <c r="G93" s="1"/>
      <c r="H93" s="1"/>
      <c r="K93" s="8"/>
      <c r="L93" s="7"/>
      <c r="M93" s="7"/>
    </row>
    <row r="94" spans="2:13" hidden="1" x14ac:dyDescent="0.2">
      <c r="B94" s="8">
        <v>32074</v>
      </c>
      <c r="C94" s="9">
        <v>9.1437999999999998E-9</v>
      </c>
      <c r="D94" s="8" t="s">
        <v>762</v>
      </c>
      <c r="E94" s="1" t="str">
        <f>VLOOKUP(B94,Nuclides!A:D,4,FALSE)</f>
        <v>STABLE</v>
      </c>
      <c r="F94" s="7"/>
      <c r="G94" s="1"/>
      <c r="H94" s="1"/>
      <c r="K94" s="8"/>
      <c r="L94" s="7"/>
      <c r="M94" s="7"/>
    </row>
    <row r="95" spans="2:13" x14ac:dyDescent="0.2">
      <c r="B95" s="8">
        <v>32075</v>
      </c>
      <c r="C95" s="9">
        <v>2.8897200000000001E-8</v>
      </c>
      <c r="D95" s="8" t="s">
        <v>763</v>
      </c>
      <c r="E95" s="1">
        <f>VLOOKUP(B95,Nuclides!A:D,4,FALSE)</f>
        <v>4966.8</v>
      </c>
      <c r="F95" s="7"/>
      <c r="G95" s="1"/>
      <c r="H95" s="1"/>
      <c r="K95" s="8"/>
      <c r="L95" s="7"/>
      <c r="M95" s="7"/>
    </row>
    <row r="96" spans="2:13" hidden="1" x14ac:dyDescent="0.2">
      <c r="B96" s="8">
        <v>32076</v>
      </c>
      <c r="C96" s="9">
        <v>8.4318399999999996E-8</v>
      </c>
      <c r="D96" s="8" t="s">
        <v>764</v>
      </c>
      <c r="E96" s="1" t="str">
        <f>VLOOKUP(B96,Nuclides!A:D,4,FALSE)</f>
        <v>STABLE</v>
      </c>
      <c r="F96" s="7"/>
      <c r="G96" s="1"/>
      <c r="H96" s="1"/>
      <c r="K96" s="8"/>
      <c r="L96" s="7"/>
      <c r="M96" s="7"/>
    </row>
    <row r="97" spans="2:13" x14ac:dyDescent="0.2">
      <c r="B97" s="8">
        <v>32077</v>
      </c>
      <c r="C97" s="9">
        <v>2.26012E-7</v>
      </c>
      <c r="D97" s="8" t="s">
        <v>765</v>
      </c>
      <c r="E97" s="1">
        <f>VLOOKUP(B97,Nuclides!A:D,4,FALSE)</f>
        <v>40680</v>
      </c>
      <c r="F97" s="7"/>
      <c r="G97" s="1"/>
      <c r="H97" s="1"/>
      <c r="K97" s="8"/>
      <c r="L97" s="7"/>
      <c r="M97" s="7"/>
    </row>
    <row r="98" spans="2:13" x14ac:dyDescent="0.2">
      <c r="B98" s="8">
        <v>32078</v>
      </c>
      <c r="C98" s="9">
        <v>5.51909E-7</v>
      </c>
      <c r="D98" s="8" t="s">
        <v>766</v>
      </c>
      <c r="E98" s="1">
        <f>VLOOKUP(B98,Nuclides!A:D,4,FALSE)</f>
        <v>5280</v>
      </c>
      <c r="F98" s="7"/>
      <c r="G98" s="1"/>
      <c r="H98" s="1"/>
      <c r="K98" s="8"/>
      <c r="L98" s="7"/>
      <c r="M98" s="7"/>
    </row>
    <row r="99" spans="2:13" x14ac:dyDescent="0.2">
      <c r="B99" s="8">
        <v>32079</v>
      </c>
      <c r="C99" s="9">
        <v>9.4229999999999996E-7</v>
      </c>
      <c r="D99" s="8" t="s">
        <v>767</v>
      </c>
      <c r="E99" s="1">
        <f>VLOOKUP(B99,Nuclides!A:D,4,FALSE)</f>
        <v>18.98</v>
      </c>
      <c r="F99" s="7"/>
      <c r="G99" s="1"/>
      <c r="H99" s="1"/>
      <c r="K99" s="8"/>
      <c r="L99" s="7"/>
      <c r="M99" s="7"/>
    </row>
    <row r="100" spans="2:13" x14ac:dyDescent="0.2">
      <c r="B100" s="8">
        <v>32080</v>
      </c>
      <c r="C100" s="9">
        <v>1.8628899999999999E-6</v>
      </c>
      <c r="D100" s="8" t="s">
        <v>768</v>
      </c>
      <c r="E100" s="1">
        <f>VLOOKUP(B100,Nuclides!A:D,4,FALSE)</f>
        <v>29.5</v>
      </c>
      <c r="F100" s="7"/>
      <c r="G100" s="1"/>
      <c r="H100" s="1"/>
      <c r="K100" s="8"/>
      <c r="L100" s="7"/>
      <c r="M100" s="7"/>
    </row>
    <row r="101" spans="2:13" x14ac:dyDescent="0.2">
      <c r="B101" s="8">
        <v>32081</v>
      </c>
      <c r="C101" s="9">
        <v>1.81906E-6</v>
      </c>
      <c r="D101" s="8" t="s">
        <v>769</v>
      </c>
      <c r="E101" s="1">
        <f>VLOOKUP(B101,Nuclides!A:D,4,FALSE)</f>
        <v>7.6</v>
      </c>
      <c r="F101" s="7"/>
      <c r="G101" s="1"/>
      <c r="H101" s="1"/>
      <c r="K101" s="8"/>
      <c r="L101" s="7"/>
      <c r="M101" s="7"/>
    </row>
    <row r="102" spans="2:13" x14ac:dyDescent="0.2">
      <c r="B102" s="8">
        <v>32082</v>
      </c>
      <c r="C102" s="9">
        <v>2.1452300000000002E-6</v>
      </c>
      <c r="D102" s="8" t="s">
        <v>770</v>
      </c>
      <c r="E102" s="1">
        <f>VLOOKUP(B102,Nuclides!A:D,4,FALSE)</f>
        <v>4.5599999999999996</v>
      </c>
      <c r="F102" s="7"/>
      <c r="G102" s="1"/>
      <c r="H102" s="1"/>
      <c r="K102" s="8"/>
      <c r="L102" s="7"/>
      <c r="M102" s="7"/>
    </row>
    <row r="103" spans="2:13" x14ac:dyDescent="0.2">
      <c r="B103" s="8">
        <v>32083</v>
      </c>
      <c r="C103" s="9">
        <v>9.9660400000000002E-7</v>
      </c>
      <c r="D103" s="8" t="s">
        <v>771</v>
      </c>
      <c r="E103" s="1">
        <f>VLOOKUP(B103,Nuclides!A:D,4,FALSE)</f>
        <v>1.85</v>
      </c>
      <c r="F103" s="7"/>
      <c r="G103" s="1"/>
      <c r="H103" s="1"/>
      <c r="K103" s="8"/>
      <c r="L103" s="7"/>
      <c r="M103" s="7"/>
    </row>
    <row r="104" spans="2:13" x14ac:dyDescent="0.2">
      <c r="B104" s="8">
        <v>32084</v>
      </c>
      <c r="C104" s="9">
        <v>5.6838100000000004E-7</v>
      </c>
      <c r="D104" s="8" t="s">
        <v>772</v>
      </c>
      <c r="E104" s="1">
        <f>VLOOKUP(B104,Nuclides!A:D,4,FALSE)</f>
        <v>0.95399999999999996</v>
      </c>
      <c r="F104" s="7"/>
      <c r="G104" s="1"/>
      <c r="H104" s="1"/>
      <c r="K104" s="8"/>
      <c r="L104" s="7"/>
      <c r="M104" s="7"/>
    </row>
    <row r="105" spans="2:13" x14ac:dyDescent="0.2">
      <c r="B105" s="8">
        <v>33066</v>
      </c>
      <c r="C105" s="9">
        <v>1.54886E-7</v>
      </c>
      <c r="D105" s="8" t="s">
        <v>781</v>
      </c>
      <c r="E105" s="1">
        <f>VLOOKUP(B105,Nuclides!A:D,4,FALSE)</f>
        <v>9.5769999999999994E-2</v>
      </c>
      <c r="F105" s="7"/>
      <c r="G105" s="1"/>
      <c r="H105" s="1"/>
      <c r="K105" s="8"/>
      <c r="L105" s="7"/>
      <c r="M105" s="7"/>
    </row>
    <row r="106" spans="2:13" x14ac:dyDescent="0.2">
      <c r="B106" s="8">
        <v>33067</v>
      </c>
      <c r="C106" s="9">
        <v>6.7356999999999999E-8</v>
      </c>
      <c r="D106" s="8" t="s">
        <v>782</v>
      </c>
      <c r="E106" s="1">
        <f>VLOOKUP(B106,Nuclides!A:D,4,FALSE)</f>
        <v>42.5</v>
      </c>
      <c r="F106" s="7"/>
      <c r="G106" s="1"/>
      <c r="H106" s="1"/>
      <c r="K106" s="8"/>
      <c r="L106" s="7"/>
      <c r="M106" s="7"/>
    </row>
    <row r="107" spans="2:13" x14ac:dyDescent="0.2">
      <c r="B107" s="8">
        <v>33068</v>
      </c>
      <c r="C107" s="9">
        <v>1.13774E-8</v>
      </c>
      <c r="D107" s="8" t="s">
        <v>783</v>
      </c>
      <c r="E107" s="1">
        <f>VLOOKUP(B107,Nuclides!A:D,4,FALSE)</f>
        <v>151.6</v>
      </c>
      <c r="F107" s="7"/>
      <c r="G107" s="1"/>
      <c r="H107" s="1"/>
      <c r="K107" s="8"/>
      <c r="L107" s="7"/>
      <c r="M107" s="7"/>
    </row>
    <row r="108" spans="2:13" x14ac:dyDescent="0.2">
      <c r="B108" s="8">
        <v>33069</v>
      </c>
      <c r="C108" s="9">
        <v>5.3048000000000001E-9</v>
      </c>
      <c r="D108" s="8" t="s">
        <v>784</v>
      </c>
      <c r="E108" s="1">
        <f>VLOOKUP(B108,Nuclides!A:D,4,FALSE)</f>
        <v>912</v>
      </c>
      <c r="F108" s="7"/>
      <c r="G108" s="1"/>
      <c r="H108" s="1"/>
      <c r="K108" s="8"/>
      <c r="L108" s="7"/>
      <c r="M108" s="7"/>
    </row>
    <row r="109" spans="2:13" x14ac:dyDescent="0.2">
      <c r="B109" s="8">
        <v>33070</v>
      </c>
      <c r="C109" s="9">
        <v>3.4899999999999998E-10</v>
      </c>
      <c r="D109" s="8" t="s">
        <v>785</v>
      </c>
      <c r="E109" s="1">
        <f>VLOOKUP(B109,Nuclides!A:D,4,FALSE)</f>
        <v>3156</v>
      </c>
      <c r="F109" s="7"/>
      <c r="G109" s="1"/>
      <c r="H109" s="1"/>
      <c r="K109" s="8"/>
      <c r="L109" s="7"/>
      <c r="M109" s="7"/>
    </row>
    <row r="110" spans="2:13" x14ac:dyDescent="0.2">
      <c r="B110" s="8">
        <v>33071</v>
      </c>
      <c r="C110" s="9">
        <v>2.094E-10</v>
      </c>
      <c r="D110" s="8" t="s">
        <v>786</v>
      </c>
      <c r="E110" s="1">
        <f>VLOOKUP(B110,Nuclides!A:D,4,FALSE)</f>
        <v>235080</v>
      </c>
      <c r="F110" s="7"/>
      <c r="G110" s="1"/>
      <c r="H110" s="1"/>
      <c r="K110" s="8"/>
      <c r="L110" s="7"/>
      <c r="M110" s="7"/>
    </row>
    <row r="111" spans="2:13" x14ac:dyDescent="0.2">
      <c r="B111" s="8">
        <v>33072</v>
      </c>
      <c r="C111" s="9">
        <v>6.9799999999999994E-11</v>
      </c>
      <c r="D111" s="8" t="s">
        <v>787</v>
      </c>
      <c r="E111" s="1">
        <f>VLOOKUP(B111,Nuclides!A:D,4,FALSE)</f>
        <v>93600</v>
      </c>
      <c r="F111" s="7"/>
      <c r="G111" s="1"/>
      <c r="H111" s="1"/>
      <c r="K111" s="8"/>
      <c r="L111" s="7"/>
      <c r="M111" s="7"/>
    </row>
    <row r="112" spans="2:13" x14ac:dyDescent="0.2">
      <c r="B112" s="8">
        <v>33073</v>
      </c>
      <c r="C112" s="9">
        <v>6.9799999999999994E-11</v>
      </c>
      <c r="D112" s="8" t="s">
        <v>788</v>
      </c>
      <c r="E112" s="1">
        <f>VLOOKUP(B112,Nuclides!A:D,4,FALSE)</f>
        <v>6937920</v>
      </c>
      <c r="F112" s="7"/>
      <c r="G112" s="1"/>
      <c r="H112" s="1"/>
      <c r="K112" s="8"/>
      <c r="L112" s="7"/>
      <c r="M112" s="7"/>
    </row>
    <row r="113" spans="2:13" x14ac:dyDescent="0.2">
      <c r="B113" s="8">
        <v>33074</v>
      </c>
      <c r="C113" s="9">
        <v>2.7919999999999998E-10</v>
      </c>
      <c r="D113" s="8" t="s">
        <v>789</v>
      </c>
      <c r="E113" s="1">
        <f>VLOOKUP(B113,Nuclides!A:D,4,FALSE)</f>
        <v>1535328</v>
      </c>
      <c r="F113" s="7"/>
      <c r="G113" s="1"/>
      <c r="H113" s="1"/>
      <c r="K113" s="8"/>
      <c r="L113" s="7"/>
      <c r="M113" s="7"/>
    </row>
    <row r="114" spans="2:13" hidden="1" x14ac:dyDescent="0.2">
      <c r="B114" s="8">
        <v>33075</v>
      </c>
      <c r="C114" s="9">
        <v>1.7450000000000001E-9</v>
      </c>
      <c r="D114" s="8" t="s">
        <v>790</v>
      </c>
      <c r="E114" s="1" t="str">
        <f>VLOOKUP(B114,Nuclides!A:D,4,FALSE)</f>
        <v>STABLE</v>
      </c>
      <c r="F114" s="7"/>
      <c r="G114" s="1"/>
      <c r="H114" s="1"/>
      <c r="K114" s="8"/>
      <c r="L114" s="7"/>
      <c r="M114" s="7"/>
    </row>
    <row r="115" spans="2:13" x14ac:dyDescent="0.2">
      <c r="B115" s="8">
        <v>33076</v>
      </c>
      <c r="C115" s="9">
        <v>6.4216000000000002E-9</v>
      </c>
      <c r="D115" s="8" t="s">
        <v>791</v>
      </c>
      <c r="E115" s="1">
        <f>VLOOKUP(B115,Nuclides!A:D,4,FALSE)</f>
        <v>94538.880000000005</v>
      </c>
      <c r="F115" s="7"/>
      <c r="G115" s="1"/>
      <c r="H115" s="1"/>
      <c r="K115" s="8"/>
      <c r="L115" s="7"/>
      <c r="M115" s="7"/>
    </row>
    <row r="116" spans="2:13" x14ac:dyDescent="0.2">
      <c r="B116" s="8">
        <v>33077</v>
      </c>
      <c r="C116" s="9">
        <v>2.8687800000000001E-8</v>
      </c>
      <c r="D116" s="8" t="s">
        <v>792</v>
      </c>
      <c r="E116" s="1">
        <f>VLOOKUP(B116,Nuclides!A:D,4,FALSE)</f>
        <v>139788</v>
      </c>
      <c r="F116" s="7"/>
      <c r="G116" s="1"/>
      <c r="H116" s="1"/>
      <c r="K116" s="8"/>
      <c r="L116" s="7"/>
      <c r="M116" s="7"/>
    </row>
    <row r="117" spans="2:13" x14ac:dyDescent="0.2">
      <c r="B117" s="8">
        <v>33078</v>
      </c>
      <c r="C117" s="9">
        <v>8.6621799999999995E-8</v>
      </c>
      <c r="D117" s="8" t="s">
        <v>793</v>
      </c>
      <c r="E117" s="1">
        <f>VLOOKUP(B117,Nuclides!A:D,4,FALSE)</f>
        <v>5442</v>
      </c>
      <c r="F117" s="7"/>
      <c r="G117" s="1"/>
      <c r="H117" s="1"/>
      <c r="K117" s="8"/>
      <c r="L117" s="7"/>
      <c r="M117" s="7"/>
    </row>
    <row r="118" spans="2:13" x14ac:dyDescent="0.2">
      <c r="B118" s="8">
        <v>33079</v>
      </c>
      <c r="C118" s="9">
        <v>2.7152199999999999E-7</v>
      </c>
      <c r="D118" s="8" t="s">
        <v>794</v>
      </c>
      <c r="E118" s="1">
        <f>VLOOKUP(B118,Nuclides!A:D,4,FALSE)</f>
        <v>540.6</v>
      </c>
      <c r="F118" s="7"/>
      <c r="G118" s="1"/>
      <c r="H118" s="1"/>
      <c r="K118" s="8"/>
      <c r="L118" s="7"/>
      <c r="M118" s="7"/>
    </row>
    <row r="119" spans="2:13" x14ac:dyDescent="0.2">
      <c r="B119" s="8">
        <v>33080</v>
      </c>
      <c r="C119" s="9">
        <v>6.6337900000000003E-7</v>
      </c>
      <c r="D119" s="8" t="s">
        <v>795</v>
      </c>
      <c r="E119" s="1">
        <f>VLOOKUP(B119,Nuclides!A:D,4,FALSE)</f>
        <v>15.2</v>
      </c>
      <c r="F119" s="7"/>
      <c r="G119" s="1"/>
      <c r="H119" s="1"/>
      <c r="K119" s="8"/>
      <c r="L119" s="7"/>
      <c r="M119" s="7"/>
    </row>
    <row r="120" spans="2:13" x14ac:dyDescent="0.2">
      <c r="B120" s="8">
        <v>33081</v>
      </c>
      <c r="C120" s="9">
        <v>1.77508E-6</v>
      </c>
      <c r="D120" s="8" t="s">
        <v>796</v>
      </c>
      <c r="E120" s="1">
        <f>VLOOKUP(B120,Nuclides!A:D,4,FALSE)</f>
        <v>33.299999999999997</v>
      </c>
      <c r="F120" s="7"/>
      <c r="G120" s="1"/>
      <c r="H120" s="1"/>
      <c r="K120" s="8"/>
      <c r="L120" s="7"/>
      <c r="M120" s="7"/>
    </row>
    <row r="121" spans="2:13" x14ac:dyDescent="0.2">
      <c r="B121" s="8">
        <v>33082</v>
      </c>
      <c r="C121" s="9">
        <v>2.7661699999999999E-6</v>
      </c>
      <c r="D121" s="8" t="s">
        <v>797</v>
      </c>
      <c r="E121" s="1">
        <f>VLOOKUP(B121,Nuclides!A:D,4,FALSE)</f>
        <v>19.100000000000001</v>
      </c>
      <c r="F121" s="7"/>
      <c r="G121" s="1"/>
      <c r="H121" s="1"/>
      <c r="K121" s="8"/>
      <c r="L121" s="7"/>
      <c r="M121" s="7"/>
    </row>
    <row r="122" spans="2:13" x14ac:dyDescent="0.2">
      <c r="B122" s="8">
        <v>33083</v>
      </c>
      <c r="C122" s="9">
        <v>5.1904000000000003E-6</v>
      </c>
      <c r="D122" s="8" t="s">
        <v>798</v>
      </c>
      <c r="E122" s="1">
        <f>VLOOKUP(B122,Nuclides!A:D,4,FALSE)</f>
        <v>13.4</v>
      </c>
      <c r="F122" s="7"/>
      <c r="G122" s="1"/>
      <c r="H122" s="1"/>
      <c r="K122" s="8"/>
      <c r="L122" s="7"/>
      <c r="M122" s="7"/>
    </row>
    <row r="123" spans="2:13" x14ac:dyDescent="0.2">
      <c r="B123" s="8">
        <v>33084</v>
      </c>
      <c r="C123" s="9">
        <v>3.6175199999999998E-6</v>
      </c>
      <c r="D123" s="8" t="s">
        <v>799</v>
      </c>
      <c r="E123" s="1">
        <f>VLOOKUP(B123,Nuclides!A:D,4,FALSE)</f>
        <v>4.0199999999999996</v>
      </c>
      <c r="F123" s="7"/>
      <c r="G123" s="1"/>
      <c r="H123" s="1"/>
      <c r="K123" s="8"/>
      <c r="L123" s="7"/>
      <c r="M123" s="7"/>
    </row>
    <row r="124" spans="2:13" x14ac:dyDescent="0.2">
      <c r="B124" s="8">
        <v>33085</v>
      </c>
      <c r="C124" s="9">
        <v>3.4113400000000001E-6</v>
      </c>
      <c r="D124" s="8" t="s">
        <v>800</v>
      </c>
      <c r="E124" s="1">
        <f>VLOOKUP(B124,Nuclides!A:D,4,FALSE)</f>
        <v>2.0209999999999999</v>
      </c>
      <c r="F124" s="7"/>
      <c r="G124" s="1"/>
      <c r="H124" s="1"/>
      <c r="K124" s="8"/>
      <c r="L124" s="7"/>
      <c r="M124" s="7"/>
    </row>
    <row r="125" spans="2:13" x14ac:dyDescent="0.2">
      <c r="B125" s="8">
        <v>33086</v>
      </c>
      <c r="C125" s="9">
        <v>1.3008600000000001E-6</v>
      </c>
      <c r="D125" s="8" t="s">
        <v>801</v>
      </c>
      <c r="E125" s="1">
        <f>VLOOKUP(B125,Nuclides!A:D,4,FALSE)</f>
        <v>0.94499999999999995</v>
      </c>
      <c r="F125" s="7"/>
      <c r="G125" s="1"/>
      <c r="H125" s="1"/>
      <c r="K125" s="8"/>
      <c r="L125" s="7"/>
      <c r="M125" s="7"/>
    </row>
    <row r="126" spans="2:13" x14ac:dyDescent="0.2">
      <c r="B126" s="8">
        <v>33087</v>
      </c>
      <c r="C126" s="9">
        <v>7.7450099999999998E-7</v>
      </c>
      <c r="D126" s="8" t="s">
        <v>802</v>
      </c>
      <c r="E126" s="1">
        <f>VLOOKUP(B126,Nuclides!A:D,4,FALSE)</f>
        <v>0.48399999999999999</v>
      </c>
      <c r="F126" s="7"/>
      <c r="G126" s="1"/>
      <c r="H126" s="1"/>
      <c r="K126" s="8"/>
      <c r="L126" s="7"/>
      <c r="M126" s="7"/>
    </row>
    <row r="127" spans="2:13" x14ac:dyDescent="0.2">
      <c r="B127" s="8">
        <v>34068</v>
      </c>
      <c r="C127" s="9">
        <v>2.0828300000000001E-7</v>
      </c>
      <c r="D127" s="8" t="s">
        <v>811</v>
      </c>
      <c r="E127" s="1">
        <f>VLOOKUP(B127,Nuclides!A:D,4,FALSE)</f>
        <v>35.5</v>
      </c>
      <c r="F127" s="7"/>
      <c r="G127" s="1"/>
      <c r="H127" s="1"/>
      <c r="K127" s="8"/>
      <c r="L127" s="7"/>
      <c r="M127" s="7"/>
    </row>
    <row r="128" spans="2:13" x14ac:dyDescent="0.2">
      <c r="B128" s="8">
        <v>34069</v>
      </c>
      <c r="C128" s="9">
        <v>8.0130399999999999E-8</v>
      </c>
      <c r="D128" s="8" t="s">
        <v>812</v>
      </c>
      <c r="E128" s="1">
        <f>VLOOKUP(B128,Nuclides!A:D,4,FALSE)</f>
        <v>27.4</v>
      </c>
      <c r="F128" s="7"/>
      <c r="G128" s="1"/>
      <c r="H128" s="1"/>
      <c r="K128" s="8"/>
      <c r="L128" s="7"/>
      <c r="M128" s="7"/>
    </row>
    <row r="129" spans="2:13" x14ac:dyDescent="0.2">
      <c r="B129" s="8">
        <v>34070</v>
      </c>
      <c r="C129" s="9">
        <v>1.7798999999999999E-8</v>
      </c>
      <c r="D129" s="8" t="s">
        <v>813</v>
      </c>
      <c r="E129" s="1">
        <f>VLOOKUP(B129,Nuclides!A:D,4,FALSE)</f>
        <v>2466</v>
      </c>
      <c r="F129" s="7"/>
      <c r="G129" s="1"/>
      <c r="H129" s="1"/>
      <c r="K129" s="8"/>
      <c r="L129" s="7"/>
      <c r="M129" s="7"/>
    </row>
    <row r="130" spans="2:13" x14ac:dyDescent="0.2">
      <c r="B130" s="8">
        <v>34071</v>
      </c>
      <c r="C130" s="9">
        <v>4.6068000000000003E-9</v>
      </c>
      <c r="D130" s="8" t="s">
        <v>814</v>
      </c>
      <c r="E130" s="1">
        <f>VLOOKUP(B130,Nuclides!A:D,4,FALSE)</f>
        <v>284.39999999999998</v>
      </c>
      <c r="F130" s="7"/>
      <c r="G130" s="1"/>
      <c r="H130" s="1"/>
      <c r="K130" s="8"/>
      <c r="L130" s="7"/>
      <c r="M130" s="7"/>
    </row>
    <row r="131" spans="2:13" x14ac:dyDescent="0.2">
      <c r="B131" s="8">
        <v>34072</v>
      </c>
      <c r="C131" s="9">
        <v>4.1879999999999999E-10</v>
      </c>
      <c r="D131" s="8" t="s">
        <v>815</v>
      </c>
      <c r="E131" s="1">
        <f>VLOOKUP(B131,Nuclides!A:D,4,FALSE)</f>
        <v>725760</v>
      </c>
      <c r="F131" s="7"/>
      <c r="G131" s="1"/>
      <c r="H131" s="1"/>
      <c r="K131" s="8"/>
      <c r="L131" s="7"/>
      <c r="M131" s="7"/>
    </row>
    <row r="132" spans="2:13" x14ac:dyDescent="0.2">
      <c r="B132" s="8">
        <v>34073</v>
      </c>
      <c r="C132" s="9">
        <v>6.9799999999999994E-11</v>
      </c>
      <c r="D132" s="8" t="s">
        <v>816</v>
      </c>
      <c r="E132" s="1">
        <f>VLOOKUP(B132,Nuclides!A:D,4,FALSE)</f>
        <v>25740</v>
      </c>
      <c r="F132" s="7"/>
      <c r="G132" s="1"/>
      <c r="H132" s="1"/>
      <c r="K132" s="8"/>
      <c r="L132" s="7"/>
      <c r="M132" s="7"/>
    </row>
    <row r="133" spans="2:13" hidden="1" x14ac:dyDescent="0.2">
      <c r="B133" s="8">
        <v>34074</v>
      </c>
      <c r="C133" s="9">
        <v>6.9799999999999994E-11</v>
      </c>
      <c r="D133" s="8" t="s">
        <v>817</v>
      </c>
      <c r="E133" s="1" t="str">
        <f>VLOOKUP(B133,Nuclides!A:D,4,FALSE)</f>
        <v>STABLE</v>
      </c>
      <c r="F133" s="7"/>
      <c r="G133" s="1"/>
      <c r="H133" s="1"/>
      <c r="K133" s="8"/>
      <c r="L133" s="7"/>
      <c r="M133" s="7"/>
    </row>
    <row r="134" spans="2:13" x14ac:dyDescent="0.2">
      <c r="B134" s="8">
        <v>34075</v>
      </c>
      <c r="C134" s="9">
        <v>6.9799999999999994E-11</v>
      </c>
      <c r="D134" s="8" t="s">
        <v>818</v>
      </c>
      <c r="E134" s="1">
        <f>VLOOKUP(B134,Nuclides!A:D,4,FALSE)</f>
        <v>10348992</v>
      </c>
      <c r="F134" s="7"/>
      <c r="G134" s="1"/>
      <c r="H134" s="1"/>
      <c r="K134" s="8"/>
      <c r="L134" s="7"/>
      <c r="M134" s="7"/>
    </row>
    <row r="135" spans="2:13" hidden="1" x14ac:dyDescent="0.2">
      <c r="B135" s="8">
        <v>34076</v>
      </c>
      <c r="C135" s="9">
        <v>4.1879999999999999E-10</v>
      </c>
      <c r="D135" s="8" t="s">
        <v>819</v>
      </c>
      <c r="E135" s="1" t="str">
        <f>VLOOKUP(B135,Nuclides!A:D,4,FALSE)</f>
        <v>STABLE</v>
      </c>
      <c r="F135" s="7"/>
      <c r="G135" s="1"/>
      <c r="H135" s="1"/>
      <c r="K135" s="8"/>
      <c r="L135" s="7"/>
      <c r="M135" s="7"/>
    </row>
    <row r="136" spans="2:13" hidden="1" x14ac:dyDescent="0.2">
      <c r="B136" s="8">
        <v>34077</v>
      </c>
      <c r="C136" s="9">
        <v>4.2577999999999999E-9</v>
      </c>
      <c r="D136" s="8" t="s">
        <v>820</v>
      </c>
      <c r="E136" s="1" t="str">
        <f>VLOOKUP(B136,Nuclides!A:D,4,FALSE)</f>
        <v>STABLE</v>
      </c>
      <c r="F136" s="7"/>
      <c r="G136" s="1"/>
      <c r="H136" s="1"/>
      <c r="K136" s="8"/>
      <c r="L136" s="7"/>
      <c r="M136" s="7"/>
    </row>
    <row r="137" spans="2:13" hidden="1" x14ac:dyDescent="0.2">
      <c r="B137" s="8">
        <v>34078</v>
      </c>
      <c r="C137" s="9">
        <v>2.0800399999999999E-8</v>
      </c>
      <c r="D137" s="8" t="s">
        <v>821</v>
      </c>
      <c r="E137" s="1" t="str">
        <f>VLOOKUP(B137,Nuclides!A:D,4,FALSE)</f>
        <v>STABLE</v>
      </c>
      <c r="F137" s="7"/>
      <c r="G137" s="1"/>
      <c r="H137" s="1"/>
      <c r="K137" s="8"/>
      <c r="L137" s="7"/>
      <c r="M137" s="7"/>
    </row>
    <row r="138" spans="2:13" x14ac:dyDescent="0.2">
      <c r="B138" s="8">
        <v>34079</v>
      </c>
      <c r="C138" s="9">
        <v>7.7687399999999995E-8</v>
      </c>
      <c r="D138" s="8" t="s">
        <v>822</v>
      </c>
      <c r="E138" s="1">
        <f>VLOOKUP(B138,Nuclides!A:D,4,FALSE)</f>
        <v>10287777600000</v>
      </c>
      <c r="F138" s="7"/>
      <c r="G138" s="1"/>
      <c r="H138" s="1"/>
      <c r="K138" s="8"/>
      <c r="L138" s="7"/>
      <c r="M138" s="7"/>
    </row>
    <row r="139" spans="2:13" hidden="1" x14ac:dyDescent="0.2">
      <c r="B139" s="8">
        <v>34080</v>
      </c>
      <c r="C139" s="9">
        <v>2.7731500000000002E-7</v>
      </c>
      <c r="D139" s="8" t="s">
        <v>823</v>
      </c>
      <c r="E139" s="1" t="str">
        <f>VLOOKUP(B139,Nuclides!A:D,4,FALSE)</f>
        <v>STABLE</v>
      </c>
      <c r="F139" s="7"/>
      <c r="G139" s="1"/>
      <c r="H139" s="1"/>
      <c r="K139" s="8"/>
      <c r="L139" s="7"/>
      <c r="M139" s="7"/>
    </row>
    <row r="140" spans="2:13" x14ac:dyDescent="0.2">
      <c r="B140" s="8">
        <v>34081</v>
      </c>
      <c r="C140" s="9">
        <v>7.8566900000000005E-7</v>
      </c>
      <c r="D140" s="8" t="s">
        <v>824</v>
      </c>
      <c r="E140" s="1">
        <f>VLOOKUP(B140,Nuclides!A:D,4,FALSE)</f>
        <v>1107</v>
      </c>
      <c r="F140" s="7"/>
      <c r="G140" s="1"/>
      <c r="H140" s="1"/>
      <c r="K140" s="8"/>
      <c r="L140" s="7"/>
      <c r="M140" s="7"/>
    </row>
    <row r="141" spans="2:13" hidden="1" x14ac:dyDescent="0.2">
      <c r="B141" s="8">
        <v>34082</v>
      </c>
      <c r="C141" s="9">
        <v>2.0254600000000001E-6</v>
      </c>
      <c r="D141" s="8" t="s">
        <v>825</v>
      </c>
      <c r="E141" s="1" t="str">
        <f>VLOOKUP(B141,Nuclides!A:D,4,FALSE)</f>
        <v>STABLE</v>
      </c>
      <c r="F141" s="7"/>
      <c r="G141" s="1"/>
      <c r="H141" s="1"/>
      <c r="K141" s="8"/>
      <c r="L141" s="7"/>
      <c r="M141" s="7"/>
    </row>
    <row r="142" spans="2:13" x14ac:dyDescent="0.2">
      <c r="B142" s="8">
        <v>34083</v>
      </c>
      <c r="C142" s="9">
        <v>4.19463E-6</v>
      </c>
      <c r="D142" s="8" t="s">
        <v>826</v>
      </c>
      <c r="E142" s="1">
        <f>VLOOKUP(B142,Nuclides!A:D,4,FALSE)</f>
        <v>1335</v>
      </c>
      <c r="F142" s="7"/>
      <c r="G142" s="1"/>
      <c r="H142" s="1"/>
      <c r="K142" s="8"/>
      <c r="L142" s="7"/>
      <c r="M142" s="7"/>
    </row>
    <row r="143" spans="2:13" x14ac:dyDescent="0.2">
      <c r="B143" s="8">
        <v>34084</v>
      </c>
      <c r="C143" s="9">
        <v>8.9602299999999998E-6</v>
      </c>
      <c r="D143" s="8" t="s">
        <v>827</v>
      </c>
      <c r="E143" s="1">
        <f>VLOOKUP(B143,Nuclides!A:D,4,FALSE)</f>
        <v>195.6</v>
      </c>
      <c r="F143" s="7"/>
      <c r="G143" s="1"/>
      <c r="H143" s="1"/>
      <c r="K143" s="8"/>
      <c r="L143" s="7"/>
      <c r="M143" s="7"/>
    </row>
    <row r="144" spans="2:13" x14ac:dyDescent="0.2">
      <c r="B144" s="8">
        <v>34085</v>
      </c>
      <c r="C144" s="9">
        <v>1.14712E-5</v>
      </c>
      <c r="D144" s="8" t="s">
        <v>828</v>
      </c>
      <c r="E144" s="1">
        <f>VLOOKUP(B144,Nuclides!A:D,4,FALSE)</f>
        <v>32.9</v>
      </c>
      <c r="F144" s="7"/>
      <c r="G144" s="1"/>
      <c r="H144" s="1"/>
      <c r="K144" s="8"/>
      <c r="L144" s="7"/>
      <c r="M144" s="7"/>
    </row>
    <row r="145" spans="2:13" x14ac:dyDescent="0.2">
      <c r="B145" s="8">
        <v>34086</v>
      </c>
      <c r="C145" s="9">
        <v>1.50468E-5</v>
      </c>
      <c r="D145" s="8" t="s">
        <v>829</v>
      </c>
      <c r="E145" s="1">
        <f>VLOOKUP(B145,Nuclides!A:D,4,FALSE)</f>
        <v>14.3</v>
      </c>
      <c r="F145" s="7"/>
      <c r="G145" s="1"/>
      <c r="H145" s="1"/>
      <c r="K145" s="8"/>
      <c r="L145" s="7"/>
      <c r="M145" s="7"/>
    </row>
    <row r="146" spans="2:13" x14ac:dyDescent="0.2">
      <c r="B146" s="8">
        <v>34087</v>
      </c>
      <c r="C146" s="9">
        <v>9.6638099999999996E-6</v>
      </c>
      <c r="D146" s="8" t="s">
        <v>830</v>
      </c>
      <c r="E146" s="1">
        <f>VLOOKUP(B146,Nuclides!A:D,4,FALSE)</f>
        <v>5.5</v>
      </c>
      <c r="F146" s="7"/>
      <c r="G146" s="1"/>
      <c r="H146" s="1"/>
      <c r="K146" s="8"/>
      <c r="L146" s="7"/>
      <c r="M146" s="7"/>
    </row>
    <row r="147" spans="2:13" x14ac:dyDescent="0.2">
      <c r="B147" s="8">
        <v>34088</v>
      </c>
      <c r="C147" s="9">
        <v>6.94342E-6</v>
      </c>
      <c r="D147" s="8" t="s">
        <v>831</v>
      </c>
      <c r="E147" s="1">
        <f>VLOOKUP(B147,Nuclides!A:D,4,FALSE)</f>
        <v>1.53</v>
      </c>
      <c r="F147" s="7"/>
      <c r="G147" s="1"/>
      <c r="H147" s="1"/>
      <c r="K147" s="8"/>
      <c r="L147" s="7"/>
      <c r="M147" s="7"/>
    </row>
    <row r="148" spans="2:13" x14ac:dyDescent="0.2">
      <c r="B148" s="8">
        <v>34089</v>
      </c>
      <c r="C148" s="9">
        <v>2.42506E-6</v>
      </c>
      <c r="D148" s="8" t="s">
        <v>832</v>
      </c>
      <c r="E148" s="1">
        <f>VLOOKUP(B148,Nuclides!A:D,4,FALSE)</f>
        <v>0.43</v>
      </c>
      <c r="F148" s="7"/>
      <c r="G148" s="1"/>
      <c r="H148" s="1"/>
      <c r="K148" s="8"/>
      <c r="L148" s="7"/>
      <c r="M148" s="7"/>
    </row>
    <row r="149" spans="2:13" x14ac:dyDescent="0.2">
      <c r="B149" s="8">
        <v>34090</v>
      </c>
      <c r="C149" s="9">
        <v>9.5751599999999996E-7</v>
      </c>
      <c r="D149" s="8" t="s">
        <v>833</v>
      </c>
      <c r="E149" s="1">
        <f>VLOOKUP(B149,Nuclides!A:D,4,FALSE)</f>
        <v>0.19500000000000001</v>
      </c>
      <c r="F149" s="7"/>
      <c r="G149" s="1"/>
      <c r="H149" s="1"/>
      <c r="K149" s="8"/>
      <c r="L149" s="7"/>
      <c r="M149" s="7"/>
    </row>
    <row r="150" spans="2:13" x14ac:dyDescent="0.2">
      <c r="B150" s="8">
        <v>34091</v>
      </c>
      <c r="C150" s="9">
        <v>1.98581E-7</v>
      </c>
      <c r="D150" s="8" t="s">
        <v>834</v>
      </c>
      <c r="E150" s="1">
        <f>VLOOKUP(B150,Nuclides!A:D,4,FALSE)</f>
        <v>0.27</v>
      </c>
      <c r="F150" s="7"/>
      <c r="G150" s="1"/>
      <c r="H150" s="1"/>
      <c r="K150" s="8"/>
      <c r="L150" s="7"/>
      <c r="M150" s="7"/>
    </row>
    <row r="151" spans="2:13" x14ac:dyDescent="0.2">
      <c r="B151" s="8">
        <v>35070</v>
      </c>
      <c r="C151" s="9">
        <v>6.4355600000000002E-8</v>
      </c>
      <c r="D151" s="8" t="s">
        <v>837</v>
      </c>
      <c r="E151" s="1">
        <f>VLOOKUP(B151,Nuclides!A:D,4,FALSE)</f>
        <v>7.9099999999999906E-2</v>
      </c>
      <c r="F151" s="7"/>
      <c r="G151" s="1"/>
      <c r="H151" s="1"/>
      <c r="K151" s="8"/>
      <c r="L151" s="7"/>
      <c r="M151" s="7"/>
    </row>
    <row r="152" spans="2:13" x14ac:dyDescent="0.2">
      <c r="B152" s="8">
        <v>35071</v>
      </c>
      <c r="C152" s="9">
        <v>1.10982E-8</v>
      </c>
      <c r="D152" s="8" t="s">
        <v>838</v>
      </c>
      <c r="E152" s="1">
        <f>VLOOKUP(B152,Nuclides!A:D,4,FALSE)</f>
        <v>21.4</v>
      </c>
      <c r="F152" s="7"/>
      <c r="G152" s="1"/>
      <c r="H152" s="1"/>
      <c r="K152" s="8"/>
      <c r="L152" s="7"/>
      <c r="M152" s="7"/>
    </row>
    <row r="153" spans="2:13" x14ac:dyDescent="0.2">
      <c r="B153" s="8">
        <v>35072</v>
      </c>
      <c r="C153" s="9">
        <v>3.3503999999999999E-9</v>
      </c>
      <c r="D153" s="8" t="s">
        <v>839</v>
      </c>
      <c r="E153" s="1">
        <f>VLOOKUP(B153,Nuclides!A:D,4,FALSE)</f>
        <v>78.599999999999994</v>
      </c>
      <c r="F153" s="7"/>
      <c r="G153" s="1"/>
      <c r="H153" s="1"/>
      <c r="K153" s="8"/>
      <c r="L153" s="7"/>
      <c r="M153" s="7"/>
    </row>
    <row r="154" spans="2:13" x14ac:dyDescent="0.2">
      <c r="B154" s="8">
        <v>35073</v>
      </c>
      <c r="C154" s="9">
        <v>2.094E-10</v>
      </c>
      <c r="D154" s="8" t="s">
        <v>840</v>
      </c>
      <c r="E154" s="1">
        <f>VLOOKUP(B154,Nuclides!A:D,4,FALSE)</f>
        <v>204</v>
      </c>
      <c r="F154" s="7"/>
      <c r="G154" s="1"/>
      <c r="H154" s="1"/>
      <c r="K154" s="8"/>
      <c r="L154" s="7"/>
      <c r="M154" s="7"/>
    </row>
    <row r="155" spans="2:13" x14ac:dyDescent="0.2">
      <c r="B155" s="8">
        <v>35078</v>
      </c>
      <c r="C155" s="9">
        <v>5.5839999999999995E-10</v>
      </c>
      <c r="D155" s="8" t="s">
        <v>845</v>
      </c>
      <c r="E155" s="1">
        <f>VLOOKUP(B155,Nuclides!A:D,4,FALSE)</f>
        <v>387</v>
      </c>
      <c r="F155" s="7"/>
      <c r="G155" s="1"/>
      <c r="H155" s="1"/>
      <c r="K155" s="8"/>
      <c r="L155" s="7"/>
      <c r="M155" s="7"/>
    </row>
    <row r="156" spans="2:13" hidden="1" x14ac:dyDescent="0.2">
      <c r="B156" s="8">
        <v>35079</v>
      </c>
      <c r="C156" s="9">
        <v>1.3262E-9</v>
      </c>
      <c r="D156" s="8" t="s">
        <v>846</v>
      </c>
      <c r="E156" s="1" t="str">
        <f>VLOOKUP(B156,Nuclides!A:D,4,FALSE)</f>
        <v>STABLE</v>
      </c>
      <c r="F156" s="7"/>
      <c r="G156" s="1"/>
      <c r="H156" s="1"/>
      <c r="K156" s="8"/>
      <c r="L156" s="7"/>
      <c r="M156" s="7"/>
    </row>
    <row r="157" spans="2:13" x14ac:dyDescent="0.2">
      <c r="B157" s="8">
        <v>35080</v>
      </c>
      <c r="C157" s="9">
        <v>1.2215000000000001E-8</v>
      </c>
      <c r="D157" s="8" t="s">
        <v>847</v>
      </c>
      <c r="E157" s="1">
        <f>VLOOKUP(B157,Nuclides!A:D,4,FALSE)</f>
        <v>1060.8</v>
      </c>
      <c r="F157" s="7"/>
      <c r="G157" s="1"/>
      <c r="H157" s="1"/>
      <c r="K157" s="8"/>
      <c r="L157" s="7"/>
      <c r="M157" s="7"/>
    </row>
    <row r="158" spans="2:13" hidden="1" x14ac:dyDescent="0.2">
      <c r="B158" s="8">
        <v>35081</v>
      </c>
      <c r="C158" s="9">
        <v>4.89996E-8</v>
      </c>
      <c r="D158" s="8" t="s">
        <v>848</v>
      </c>
      <c r="E158" s="1" t="str">
        <f>VLOOKUP(B158,Nuclides!A:D,4,FALSE)</f>
        <v>STABLE</v>
      </c>
      <c r="F158" s="7"/>
      <c r="G158" s="1"/>
      <c r="H158" s="1"/>
      <c r="K158" s="8"/>
      <c r="L158" s="7"/>
      <c r="M158" s="7"/>
    </row>
    <row r="159" spans="2:13" x14ac:dyDescent="0.2">
      <c r="B159" s="8">
        <v>35082</v>
      </c>
      <c r="C159" s="9">
        <v>1.91182E-7</v>
      </c>
      <c r="D159" s="8" t="s">
        <v>849</v>
      </c>
      <c r="E159" s="1">
        <f>VLOOKUP(B159,Nuclides!A:D,4,FALSE)</f>
        <v>127015.19999999899</v>
      </c>
      <c r="F159" s="7"/>
      <c r="G159" s="1"/>
      <c r="H159" s="1"/>
      <c r="K159" s="8"/>
      <c r="L159" s="7"/>
      <c r="M159" s="7"/>
    </row>
    <row r="160" spans="2:13" x14ac:dyDescent="0.2">
      <c r="B160" s="8">
        <v>35083</v>
      </c>
      <c r="C160" s="9">
        <v>6.7468700000000004E-7</v>
      </c>
      <c r="D160" s="8" t="s">
        <v>850</v>
      </c>
      <c r="E160" s="1">
        <f>VLOOKUP(B160,Nuclides!A:D,4,FALSE)</f>
        <v>8546.4</v>
      </c>
      <c r="F160" s="7"/>
      <c r="G160" s="1"/>
      <c r="H160" s="1"/>
      <c r="K160" s="8"/>
      <c r="L160" s="7"/>
      <c r="M160" s="7"/>
    </row>
    <row r="161" spans="2:13" x14ac:dyDescent="0.2">
      <c r="B161" s="8">
        <v>35084</v>
      </c>
      <c r="C161" s="9">
        <v>1.9777799999999998E-6</v>
      </c>
      <c r="D161" s="8" t="s">
        <v>851</v>
      </c>
      <c r="E161" s="1">
        <f>VLOOKUP(B161,Nuclides!A:D,4,FALSE)</f>
        <v>1905.6</v>
      </c>
      <c r="F161" s="7"/>
      <c r="G161" s="1"/>
      <c r="H161" s="1"/>
      <c r="K161" s="8"/>
      <c r="L161" s="7"/>
      <c r="M161" s="7"/>
    </row>
    <row r="162" spans="2:13" x14ac:dyDescent="0.2">
      <c r="B162" s="8">
        <v>35085</v>
      </c>
      <c r="C162" s="9">
        <v>5.9023600000000002E-6</v>
      </c>
      <c r="D162" s="8" t="s">
        <v>852</v>
      </c>
      <c r="E162" s="1">
        <f>VLOOKUP(B162,Nuclides!A:D,4,FALSE)</f>
        <v>174</v>
      </c>
      <c r="F162" s="7"/>
      <c r="G162" s="1"/>
      <c r="H162" s="1"/>
      <c r="K162" s="8"/>
      <c r="L162" s="7"/>
      <c r="M162" s="7"/>
    </row>
    <row r="163" spans="2:13" x14ac:dyDescent="0.2">
      <c r="B163" s="8">
        <v>35086</v>
      </c>
      <c r="C163" s="9">
        <v>1.11154E-5</v>
      </c>
      <c r="D163" s="8" t="s">
        <v>853</v>
      </c>
      <c r="E163" s="1">
        <f>VLOOKUP(B163,Nuclides!A:D,4,FALSE)</f>
        <v>55.1</v>
      </c>
      <c r="F163" s="7"/>
      <c r="G163" s="1"/>
      <c r="H163" s="1"/>
      <c r="K163" s="8"/>
      <c r="L163" s="7"/>
      <c r="M163" s="7"/>
    </row>
    <row r="164" spans="2:13" x14ac:dyDescent="0.2">
      <c r="B164" s="8">
        <v>35087</v>
      </c>
      <c r="C164" s="9">
        <v>2.1094499999999999E-5</v>
      </c>
      <c r="D164" s="8" t="s">
        <v>854</v>
      </c>
      <c r="E164" s="1">
        <f>VLOOKUP(B164,Nuclides!A:D,4,FALSE)</f>
        <v>55.65</v>
      </c>
      <c r="F164" s="7"/>
      <c r="G164" s="1"/>
      <c r="H164" s="1"/>
      <c r="K164" s="8"/>
      <c r="L164" s="7"/>
      <c r="M164" s="7"/>
    </row>
    <row r="165" spans="2:13" x14ac:dyDescent="0.2">
      <c r="B165" s="8">
        <v>35088</v>
      </c>
      <c r="C165" s="9">
        <v>2.08134E-5</v>
      </c>
      <c r="D165" s="8" t="s">
        <v>855</v>
      </c>
      <c r="E165" s="1">
        <f>VLOOKUP(B165,Nuclides!A:D,4,FALSE)</f>
        <v>16.34</v>
      </c>
      <c r="F165" s="7"/>
      <c r="G165" s="1"/>
      <c r="H165" s="1"/>
      <c r="K165" s="8"/>
      <c r="L165" s="7"/>
      <c r="M165" s="7"/>
    </row>
    <row r="166" spans="2:13" x14ac:dyDescent="0.2">
      <c r="B166" s="8">
        <v>35089</v>
      </c>
      <c r="C166" s="9">
        <v>2.2754600000000001E-5</v>
      </c>
      <c r="D166" s="8" t="s">
        <v>856</v>
      </c>
      <c r="E166" s="1">
        <f>VLOOKUP(B166,Nuclides!A:D,4,FALSE)</f>
        <v>4.3570000000000002</v>
      </c>
      <c r="F166" s="7"/>
      <c r="G166" s="1"/>
      <c r="H166" s="1"/>
      <c r="K166" s="8"/>
      <c r="L166" s="7"/>
      <c r="M166" s="7"/>
    </row>
    <row r="167" spans="2:13" x14ac:dyDescent="0.2">
      <c r="B167" s="8">
        <v>35090</v>
      </c>
      <c r="C167" s="9">
        <v>1.1881E-5</v>
      </c>
      <c r="D167" s="8" t="s">
        <v>857</v>
      </c>
      <c r="E167" s="1">
        <f>VLOOKUP(B167,Nuclides!A:D,4,FALSE)</f>
        <v>1.92</v>
      </c>
      <c r="F167" s="7"/>
      <c r="G167" s="1"/>
      <c r="H167" s="1"/>
      <c r="K167" s="8"/>
      <c r="L167" s="7"/>
      <c r="M167" s="7"/>
    </row>
    <row r="168" spans="2:13" x14ac:dyDescent="0.2">
      <c r="B168" s="8">
        <v>35091</v>
      </c>
      <c r="C168" s="9">
        <v>7.73377E-6</v>
      </c>
      <c r="D168" s="8" t="s">
        <v>858</v>
      </c>
      <c r="E168" s="1">
        <f>VLOOKUP(B168,Nuclides!A:D,4,FALSE)</f>
        <v>0.54300000000000004</v>
      </c>
      <c r="F168" s="7"/>
      <c r="G168" s="1"/>
      <c r="H168" s="1"/>
      <c r="K168" s="8"/>
      <c r="L168" s="7"/>
      <c r="M168" s="7"/>
    </row>
    <row r="169" spans="2:13" x14ac:dyDescent="0.2">
      <c r="B169" s="8">
        <v>35092</v>
      </c>
      <c r="C169" s="9">
        <v>2.3635700000000001E-6</v>
      </c>
      <c r="D169" s="8" t="s">
        <v>859</v>
      </c>
      <c r="E169" s="1">
        <f>VLOOKUP(B169,Nuclides!A:D,4,FALSE)</f>
        <v>0.314</v>
      </c>
      <c r="F169" s="7"/>
      <c r="G169" s="1"/>
      <c r="H169" s="1"/>
      <c r="K169" s="8"/>
      <c r="L169" s="7"/>
      <c r="M169" s="7"/>
    </row>
    <row r="170" spans="2:13" x14ac:dyDescent="0.2">
      <c r="B170" s="8">
        <v>36071</v>
      </c>
      <c r="C170" s="9">
        <v>9.1500800000000004E-7</v>
      </c>
      <c r="D170" s="8" t="s">
        <v>868</v>
      </c>
      <c r="E170" s="1">
        <f>VLOOKUP(B170,Nuclides!A:D,4,FALSE)</f>
        <v>0.1</v>
      </c>
      <c r="F170" s="7"/>
      <c r="G170" s="1"/>
      <c r="H170" s="1"/>
      <c r="K170" s="8"/>
      <c r="L170" s="7"/>
      <c r="M170" s="7"/>
    </row>
    <row r="171" spans="2:13" x14ac:dyDescent="0.2">
      <c r="B171" s="8">
        <v>36072</v>
      </c>
      <c r="C171" s="9">
        <v>2.8799500000000001E-7</v>
      </c>
      <c r="D171" s="8" t="s">
        <v>869</v>
      </c>
      <c r="E171" s="1">
        <f>VLOOKUP(B171,Nuclides!A:D,4,FALSE)</f>
        <v>17.100000000000001</v>
      </c>
      <c r="F171" s="7"/>
      <c r="G171" s="1"/>
      <c r="H171" s="1"/>
      <c r="K171" s="8"/>
      <c r="L171" s="7"/>
      <c r="M171" s="7"/>
    </row>
    <row r="172" spans="2:13" x14ac:dyDescent="0.2">
      <c r="B172" s="8">
        <v>36073</v>
      </c>
      <c r="C172" s="9">
        <v>5.9330000000000003E-8</v>
      </c>
      <c r="D172" s="8" t="s">
        <v>870</v>
      </c>
      <c r="E172" s="1">
        <f>VLOOKUP(B172,Nuclides!A:D,4,FALSE)</f>
        <v>27.3</v>
      </c>
      <c r="F172" s="7"/>
      <c r="G172" s="1"/>
      <c r="H172" s="1"/>
      <c r="K172" s="8"/>
      <c r="L172" s="7"/>
      <c r="M172" s="7"/>
    </row>
    <row r="173" spans="2:13" x14ac:dyDescent="0.2">
      <c r="B173" s="8">
        <v>36074</v>
      </c>
      <c r="C173" s="9">
        <v>1.04002E-8</v>
      </c>
      <c r="D173" s="8" t="s">
        <v>871</v>
      </c>
      <c r="E173" s="1">
        <f>VLOOKUP(B173,Nuclides!A:D,4,FALSE)</f>
        <v>690</v>
      </c>
      <c r="F173" s="7"/>
      <c r="G173" s="1"/>
      <c r="H173" s="1"/>
      <c r="K173" s="8"/>
      <c r="L173" s="7"/>
      <c r="M173" s="7"/>
    </row>
    <row r="174" spans="2:13" x14ac:dyDescent="0.2">
      <c r="B174" s="8">
        <v>36075</v>
      </c>
      <c r="C174" s="9">
        <v>2.3732E-9</v>
      </c>
      <c r="D174" s="8" t="s">
        <v>872</v>
      </c>
      <c r="E174" s="1">
        <f>VLOOKUP(B174,Nuclides!A:D,4,FALSE)</f>
        <v>276</v>
      </c>
      <c r="F174" s="7"/>
      <c r="G174" s="1"/>
      <c r="H174" s="1"/>
      <c r="K174" s="8"/>
      <c r="L174" s="7"/>
      <c r="M174" s="7"/>
    </row>
    <row r="175" spans="2:13" x14ac:dyDescent="0.2">
      <c r="B175" s="8">
        <v>36076</v>
      </c>
      <c r="C175" s="9">
        <v>2.7919999999999998E-10</v>
      </c>
      <c r="D175" s="8" t="s">
        <v>873</v>
      </c>
      <c r="E175" s="1">
        <f>VLOOKUP(B175,Nuclides!A:D,4,FALSE)</f>
        <v>53280</v>
      </c>
      <c r="F175" s="7"/>
      <c r="G175" s="1"/>
      <c r="H175" s="1"/>
      <c r="K175" s="8"/>
      <c r="L175" s="7"/>
      <c r="M175" s="7"/>
    </row>
    <row r="176" spans="2:13" x14ac:dyDescent="0.2">
      <c r="B176" s="8">
        <v>36077</v>
      </c>
      <c r="C176" s="9">
        <v>6.9799999999999994E-11</v>
      </c>
      <c r="D176" s="8" t="s">
        <v>874</v>
      </c>
      <c r="E176" s="1">
        <f>VLOOKUP(B176,Nuclides!A:D,4,FALSE)</f>
        <v>4464</v>
      </c>
      <c r="F176" s="7"/>
      <c r="G176" s="1"/>
      <c r="H176" s="1"/>
      <c r="K176" s="8"/>
      <c r="L176" s="7"/>
      <c r="M176" s="7"/>
    </row>
    <row r="177" spans="2:13" x14ac:dyDescent="0.2">
      <c r="B177" s="8">
        <v>36079</v>
      </c>
      <c r="C177" s="9">
        <v>6.9799999999999994E-11</v>
      </c>
      <c r="D177" s="8" t="s">
        <v>876</v>
      </c>
      <c r="E177" s="1">
        <f>VLOOKUP(B177,Nuclides!A:D,4,FALSE)</f>
        <v>126144</v>
      </c>
      <c r="F177" s="7"/>
      <c r="G177" s="1"/>
      <c r="H177" s="1"/>
      <c r="K177" s="8"/>
      <c r="L177" s="7"/>
      <c r="M177" s="7"/>
    </row>
    <row r="178" spans="2:13" hidden="1" x14ac:dyDescent="0.2">
      <c r="B178" s="8">
        <v>36080</v>
      </c>
      <c r="C178" s="9">
        <v>6.2819999999999996E-10</v>
      </c>
      <c r="D178" s="8" t="s">
        <v>877</v>
      </c>
      <c r="E178" s="1" t="str">
        <f>VLOOKUP(B178,Nuclides!A:D,4,FALSE)</f>
        <v>STABLE</v>
      </c>
      <c r="F178" s="7"/>
      <c r="G178" s="1"/>
      <c r="H178" s="1"/>
      <c r="K178" s="8"/>
      <c r="L178" s="7"/>
      <c r="M178" s="7"/>
    </row>
    <row r="179" spans="2:13" x14ac:dyDescent="0.2">
      <c r="B179" s="8">
        <v>36081</v>
      </c>
      <c r="C179" s="9">
        <v>3.6296E-9</v>
      </c>
      <c r="D179" s="8" t="s">
        <v>878</v>
      </c>
      <c r="E179" s="1">
        <f>VLOOKUP(B179,Nuclides!A:D,4,FALSE)</f>
        <v>7226690400000</v>
      </c>
      <c r="F179" s="7"/>
      <c r="G179" s="1"/>
      <c r="H179" s="1"/>
      <c r="K179" s="8"/>
      <c r="L179" s="7"/>
      <c r="M179" s="7"/>
    </row>
    <row r="180" spans="2:13" hidden="1" x14ac:dyDescent="0.2">
      <c r="B180" s="8">
        <v>36082</v>
      </c>
      <c r="C180" s="9">
        <v>1.7589599999999999E-8</v>
      </c>
      <c r="D180" s="8" t="s">
        <v>879</v>
      </c>
      <c r="E180" s="1" t="str">
        <f>VLOOKUP(B180,Nuclides!A:D,4,FALSE)</f>
        <v>STABLE</v>
      </c>
      <c r="F180" s="7"/>
      <c r="G180" s="1"/>
      <c r="H180" s="1"/>
      <c r="K180" s="8"/>
      <c r="L180" s="7"/>
      <c r="M180" s="7"/>
    </row>
    <row r="181" spans="2:13" hidden="1" x14ac:dyDescent="0.2">
      <c r="B181" s="8">
        <v>36083</v>
      </c>
      <c r="C181" s="9">
        <v>8.7110399999999999E-8</v>
      </c>
      <c r="D181" s="8" t="s">
        <v>880</v>
      </c>
      <c r="E181" s="1" t="str">
        <f>VLOOKUP(B181,Nuclides!A:D,4,FALSE)</f>
        <v>STABLE</v>
      </c>
      <c r="F181" s="7"/>
      <c r="G181" s="1"/>
      <c r="H181" s="1"/>
      <c r="K181" s="8"/>
      <c r="L181" s="7"/>
      <c r="M181" s="7"/>
    </row>
    <row r="182" spans="2:13" hidden="1" x14ac:dyDescent="0.2">
      <c r="B182" s="8">
        <v>36084</v>
      </c>
      <c r="C182" s="9">
        <v>3.6777600000000002E-7</v>
      </c>
      <c r="D182" s="8" t="s">
        <v>881</v>
      </c>
      <c r="E182" s="1" t="str">
        <f>VLOOKUP(B182,Nuclides!A:D,4,FALSE)</f>
        <v>STABLE</v>
      </c>
      <c r="F182" s="7"/>
      <c r="G182" s="1"/>
      <c r="H182" s="1"/>
      <c r="K182" s="8"/>
      <c r="L182" s="7"/>
      <c r="M182" s="7"/>
    </row>
    <row r="183" spans="2:13" x14ac:dyDescent="0.2">
      <c r="B183" s="8">
        <v>36085</v>
      </c>
      <c r="C183" s="9">
        <v>1.2485100000000001E-6</v>
      </c>
      <c r="D183" s="8" t="s">
        <v>882</v>
      </c>
      <c r="E183" s="1">
        <f>VLOOKUP(B183,Nuclides!A:D,4,FALSE)</f>
        <v>338897066.39999998</v>
      </c>
      <c r="F183" s="7"/>
      <c r="G183" s="1"/>
      <c r="H183" s="1"/>
      <c r="K183" s="8"/>
      <c r="L183" s="7"/>
      <c r="M183" s="7"/>
    </row>
    <row r="184" spans="2:13" hidden="1" x14ac:dyDescent="0.2">
      <c r="B184" s="8">
        <v>36086</v>
      </c>
      <c r="C184" s="9">
        <v>3.5988199999999999E-6</v>
      </c>
      <c r="D184" s="8" t="s">
        <v>883</v>
      </c>
      <c r="E184" s="1" t="str">
        <f>VLOOKUP(B184,Nuclides!A:D,4,FALSE)</f>
        <v>STABLE</v>
      </c>
      <c r="F184" s="7"/>
      <c r="G184" s="1"/>
      <c r="H184" s="1"/>
      <c r="K184" s="8"/>
      <c r="L184" s="7"/>
      <c r="M184" s="7"/>
    </row>
    <row r="185" spans="2:13" x14ac:dyDescent="0.2">
      <c r="B185" s="8">
        <v>36087</v>
      </c>
      <c r="C185" s="9">
        <v>8.6558999999999996E-6</v>
      </c>
      <c r="D185" s="8" t="s">
        <v>884</v>
      </c>
      <c r="E185" s="1">
        <f>VLOOKUP(B185,Nuclides!A:D,4,FALSE)</f>
        <v>4578</v>
      </c>
      <c r="F185" s="7"/>
      <c r="G185" s="1"/>
      <c r="H185" s="1"/>
      <c r="K185" s="8"/>
      <c r="L185" s="7"/>
      <c r="M185" s="7"/>
    </row>
    <row r="186" spans="2:13" x14ac:dyDescent="0.2">
      <c r="B186" s="8">
        <v>36088</v>
      </c>
      <c r="C186" s="9">
        <v>1.8726E-5</v>
      </c>
      <c r="D186" s="8" t="s">
        <v>885</v>
      </c>
      <c r="E186" s="1">
        <f>VLOOKUP(B186,Nuclides!A:D,4,FALSE)</f>
        <v>10170</v>
      </c>
      <c r="F186" s="7"/>
      <c r="G186" s="1"/>
      <c r="H186" s="1"/>
      <c r="K186" s="8"/>
      <c r="L186" s="7"/>
      <c r="M186" s="7"/>
    </row>
    <row r="187" spans="2:13" x14ac:dyDescent="0.2">
      <c r="B187" s="8">
        <v>36089</v>
      </c>
      <c r="C187" s="9">
        <v>3.0769899999999998E-5</v>
      </c>
      <c r="D187" s="8" t="s">
        <v>886</v>
      </c>
      <c r="E187" s="1">
        <f>VLOOKUP(B187,Nuclides!A:D,4,FALSE)</f>
        <v>189</v>
      </c>
      <c r="F187" s="7"/>
      <c r="G187" s="1"/>
      <c r="H187" s="1"/>
      <c r="K187" s="8"/>
      <c r="L187" s="7"/>
      <c r="M187" s="7"/>
    </row>
    <row r="188" spans="2:13" x14ac:dyDescent="0.2">
      <c r="B188" s="8">
        <v>36090</v>
      </c>
      <c r="C188" s="9">
        <v>4.4976399999999999E-5</v>
      </c>
      <c r="D188" s="8" t="s">
        <v>887</v>
      </c>
      <c r="E188" s="1">
        <f>VLOOKUP(B188,Nuclides!A:D,4,FALSE)</f>
        <v>32.32</v>
      </c>
      <c r="F188" s="7"/>
      <c r="G188" s="1"/>
      <c r="H188" s="1"/>
      <c r="K188" s="8"/>
      <c r="L188" s="7"/>
      <c r="M188" s="7"/>
    </row>
    <row r="189" spans="2:13" x14ac:dyDescent="0.2">
      <c r="B189" s="8">
        <v>36091</v>
      </c>
      <c r="C189" s="9">
        <v>4.1325800000000003E-5</v>
      </c>
      <c r="D189" s="8" t="s">
        <v>888</v>
      </c>
      <c r="E189" s="1">
        <f>VLOOKUP(B189,Nuclides!A:D,4,FALSE)</f>
        <v>8.57</v>
      </c>
      <c r="F189" s="7"/>
      <c r="G189" s="1"/>
      <c r="H189" s="1"/>
      <c r="K189" s="8"/>
      <c r="L189" s="7"/>
      <c r="M189" s="7"/>
    </row>
    <row r="190" spans="2:13" x14ac:dyDescent="0.2">
      <c r="B190" s="8">
        <v>36092</v>
      </c>
      <c r="C190" s="9">
        <v>3.6357099999999998E-5</v>
      </c>
      <c r="D190" s="8" t="s">
        <v>889</v>
      </c>
      <c r="E190" s="1">
        <f>VLOOKUP(B190,Nuclides!A:D,4,FALSE)</f>
        <v>1.84</v>
      </c>
      <c r="F190" s="7"/>
      <c r="G190" s="1"/>
      <c r="H190" s="1"/>
      <c r="K190" s="8"/>
      <c r="L190" s="7"/>
      <c r="M190" s="7"/>
    </row>
    <row r="191" spans="2:13" x14ac:dyDescent="0.2">
      <c r="B191" s="8">
        <v>36093</v>
      </c>
      <c r="C191" s="9">
        <v>1.60266E-5</v>
      </c>
      <c r="D191" s="8" t="s">
        <v>890</v>
      </c>
      <c r="E191" s="1">
        <f>VLOOKUP(B191,Nuclides!A:D,4,FALSE)</f>
        <v>1.286</v>
      </c>
      <c r="F191" s="7"/>
      <c r="G191" s="1"/>
      <c r="H191" s="1"/>
      <c r="K191" s="8"/>
      <c r="L191" s="7"/>
      <c r="M191" s="7"/>
    </row>
    <row r="192" spans="2:13" x14ac:dyDescent="0.2">
      <c r="B192" s="8">
        <v>36094</v>
      </c>
      <c r="C192" s="9">
        <v>7.7108099999999998E-6</v>
      </c>
      <c r="D192" s="8" t="s">
        <v>891</v>
      </c>
      <c r="E192" s="1">
        <f>VLOOKUP(B192,Nuclides!A:D,4,FALSE)</f>
        <v>0.21199999999999999</v>
      </c>
      <c r="F192" s="7"/>
      <c r="G192" s="1"/>
      <c r="H192" s="1"/>
      <c r="K192" s="8"/>
      <c r="L192" s="7"/>
      <c r="M192" s="7"/>
    </row>
    <row r="193" spans="2:13" x14ac:dyDescent="0.2">
      <c r="B193" s="8">
        <v>36095</v>
      </c>
      <c r="C193" s="9">
        <v>1.9912500000000002E-6</v>
      </c>
      <c r="D193" s="8" t="s">
        <v>892</v>
      </c>
      <c r="E193" s="1">
        <f>VLOOKUP(B193,Nuclides!A:D,4,FALSE)</f>
        <v>0.114</v>
      </c>
      <c r="F193" s="7"/>
      <c r="G193" s="1"/>
      <c r="H193" s="1"/>
      <c r="K193" s="8"/>
      <c r="L193" s="7"/>
      <c r="M193" s="7"/>
    </row>
    <row r="194" spans="2:13" x14ac:dyDescent="0.2">
      <c r="B194" s="8">
        <v>36096</v>
      </c>
      <c r="C194" s="9">
        <v>6.5514300000000001E-7</v>
      </c>
      <c r="D194" s="8" t="s">
        <v>893</v>
      </c>
      <c r="E194" s="1">
        <f>VLOOKUP(B194,Nuclides!A:D,4,FALSE)</f>
        <v>0.08</v>
      </c>
      <c r="F194" s="7"/>
      <c r="G194" s="1"/>
      <c r="H194" s="1"/>
      <c r="K194" s="8"/>
      <c r="L194" s="7"/>
      <c r="M194" s="7"/>
    </row>
    <row r="195" spans="2:13" x14ac:dyDescent="0.2">
      <c r="B195" s="8">
        <v>36097</v>
      </c>
      <c r="C195" s="9">
        <v>1.0484E-7</v>
      </c>
      <c r="D195" s="8" t="s">
        <v>894</v>
      </c>
      <c r="E195" s="1">
        <f>VLOOKUP(B195,Nuclides!A:D,4,FALSE)</f>
        <v>6.3E-2</v>
      </c>
      <c r="F195" s="7"/>
      <c r="G195" s="1"/>
      <c r="H195" s="1"/>
      <c r="K195" s="8"/>
      <c r="L195" s="7"/>
      <c r="M195" s="7"/>
    </row>
    <row r="196" spans="2:13" x14ac:dyDescent="0.2">
      <c r="B196" s="8">
        <v>37074</v>
      </c>
      <c r="C196" s="9">
        <v>2.2335999999999999E-8</v>
      </c>
      <c r="D196" s="8" t="s">
        <v>899</v>
      </c>
      <c r="E196" s="1">
        <f>VLOOKUP(B196,Nuclides!A:D,4,FALSE)</f>
        <v>6.4899999999999999E-2</v>
      </c>
      <c r="F196" s="7"/>
      <c r="G196" s="1"/>
      <c r="H196" s="1"/>
      <c r="K196" s="8"/>
      <c r="L196" s="7"/>
      <c r="M196" s="7"/>
    </row>
    <row r="197" spans="2:13" x14ac:dyDescent="0.2">
      <c r="B197" s="8">
        <v>37075</v>
      </c>
      <c r="C197" s="9">
        <v>2.6524000000000001E-9</v>
      </c>
      <c r="D197" s="8" t="s">
        <v>900</v>
      </c>
      <c r="E197" s="1">
        <f>VLOOKUP(B197,Nuclides!A:D,4,FALSE)</f>
        <v>19</v>
      </c>
      <c r="F197" s="7"/>
      <c r="G197" s="1"/>
      <c r="H197" s="1"/>
      <c r="K197" s="8"/>
      <c r="L197" s="7"/>
      <c r="M197" s="7"/>
    </row>
    <row r="198" spans="2:13" x14ac:dyDescent="0.2">
      <c r="B198" s="8">
        <v>37076</v>
      </c>
      <c r="C198" s="9">
        <v>6.2819999999999996E-10</v>
      </c>
      <c r="D198" s="8" t="s">
        <v>901</v>
      </c>
      <c r="E198" s="1">
        <f>VLOOKUP(B198,Nuclides!A:D,4,FALSE)</f>
        <v>36.5</v>
      </c>
      <c r="F198" s="7"/>
      <c r="G198" s="1"/>
      <c r="H198" s="1"/>
      <c r="K198" s="8"/>
      <c r="L198" s="7"/>
      <c r="M198" s="7"/>
    </row>
    <row r="199" spans="2:13" x14ac:dyDescent="0.2">
      <c r="B199" s="8">
        <v>37082</v>
      </c>
      <c r="C199" s="9">
        <v>1.3959999999999999E-10</v>
      </c>
      <c r="D199" s="8" t="s">
        <v>907</v>
      </c>
      <c r="E199" s="1">
        <f>VLOOKUP(B199,Nuclides!A:D,4,FALSE)</f>
        <v>75.45</v>
      </c>
      <c r="F199" s="7"/>
      <c r="G199" s="1"/>
      <c r="H199" s="1"/>
      <c r="K199" s="8"/>
      <c r="L199" s="7"/>
      <c r="M199" s="7"/>
    </row>
    <row r="200" spans="2:13" x14ac:dyDescent="0.2">
      <c r="B200" s="8">
        <v>37083</v>
      </c>
      <c r="C200" s="9">
        <v>9.772000000000001E-10</v>
      </c>
      <c r="D200" s="8" t="s">
        <v>908</v>
      </c>
      <c r="E200" s="1">
        <f>VLOOKUP(B200,Nuclides!A:D,4,FALSE)</f>
        <v>7447680</v>
      </c>
      <c r="F200" s="7"/>
      <c r="G200" s="1"/>
      <c r="H200" s="1"/>
      <c r="K200" s="8"/>
      <c r="L200" s="7"/>
      <c r="M200" s="7"/>
    </row>
    <row r="201" spans="2:13" x14ac:dyDescent="0.2">
      <c r="B201" s="8">
        <v>37084</v>
      </c>
      <c r="C201" s="9">
        <v>8.0269999999999997E-9</v>
      </c>
      <c r="D201" s="8" t="s">
        <v>909</v>
      </c>
      <c r="E201" s="1">
        <f>VLOOKUP(B201,Nuclides!A:D,4,FALSE)</f>
        <v>2835648</v>
      </c>
      <c r="F201" s="7"/>
      <c r="G201" s="1"/>
      <c r="H201" s="1"/>
      <c r="K201" s="8"/>
      <c r="L201" s="7"/>
      <c r="M201" s="7"/>
    </row>
    <row r="202" spans="2:13" hidden="1" x14ac:dyDescent="0.2">
      <c r="B202" s="8">
        <v>37085</v>
      </c>
      <c r="C202" s="9">
        <v>3.8878599999999998E-8</v>
      </c>
      <c r="D202" s="8" t="s">
        <v>910</v>
      </c>
      <c r="E202" s="1" t="str">
        <f>VLOOKUP(B202,Nuclides!A:D,4,FALSE)</f>
        <v>STABLE</v>
      </c>
      <c r="F202" s="7"/>
      <c r="G202" s="1"/>
      <c r="H202" s="1"/>
      <c r="K202" s="8"/>
      <c r="L202" s="7"/>
      <c r="M202" s="7"/>
    </row>
    <row r="203" spans="2:13" x14ac:dyDescent="0.2">
      <c r="B203" s="8">
        <v>37086</v>
      </c>
      <c r="C203" s="9">
        <v>1.7149899999999999E-7</v>
      </c>
      <c r="D203" s="8" t="s">
        <v>911</v>
      </c>
      <c r="E203" s="1">
        <f>VLOOKUP(B203,Nuclides!A:D,4,FALSE)</f>
        <v>1610668.8</v>
      </c>
      <c r="F203" s="7"/>
      <c r="G203" s="1"/>
      <c r="H203" s="1"/>
      <c r="K203" s="8"/>
      <c r="L203" s="7"/>
      <c r="M203" s="7"/>
    </row>
    <row r="204" spans="2:13" x14ac:dyDescent="0.2">
      <c r="B204" s="8">
        <v>37087</v>
      </c>
      <c r="C204" s="9">
        <v>6.7273199999999997E-7</v>
      </c>
      <c r="D204" s="8" t="s">
        <v>912</v>
      </c>
      <c r="E204" s="1">
        <f>VLOOKUP(B204,Nuclides!A:D,4,FALSE)</f>
        <v>1.56841272E+18</v>
      </c>
      <c r="F204" s="7"/>
      <c r="G204" s="1"/>
      <c r="H204" s="1"/>
      <c r="K204" s="8"/>
      <c r="L204" s="7"/>
      <c r="M204" s="7"/>
    </row>
    <row r="205" spans="2:13" x14ac:dyDescent="0.2">
      <c r="B205" s="8">
        <v>37088</v>
      </c>
      <c r="C205" s="9">
        <v>2.2233399999999998E-6</v>
      </c>
      <c r="D205" s="8" t="s">
        <v>913</v>
      </c>
      <c r="E205" s="1">
        <f>VLOOKUP(B205,Nuclides!A:D,4,FALSE)</f>
        <v>1066.3799999999901</v>
      </c>
      <c r="F205" s="7"/>
      <c r="G205" s="1"/>
      <c r="H205" s="1"/>
      <c r="K205" s="8"/>
      <c r="L205" s="7"/>
      <c r="M205" s="7"/>
    </row>
    <row r="206" spans="2:13" x14ac:dyDescent="0.2">
      <c r="B206" s="8">
        <v>37089</v>
      </c>
      <c r="C206" s="9">
        <v>7.1252500000000001E-6</v>
      </c>
      <c r="D206" s="8" t="s">
        <v>914</v>
      </c>
      <c r="E206" s="1">
        <f>VLOOKUP(B206,Nuclides!A:D,4,FALSE)</f>
        <v>919.2</v>
      </c>
      <c r="F206" s="7"/>
      <c r="G206" s="1"/>
      <c r="H206" s="1"/>
      <c r="K206" s="8"/>
      <c r="L206" s="7"/>
      <c r="M206" s="7"/>
    </row>
    <row r="207" spans="2:13" x14ac:dyDescent="0.2">
      <c r="B207" s="8">
        <v>37090</v>
      </c>
      <c r="C207" s="9">
        <v>1.5968799999999999E-5</v>
      </c>
      <c r="D207" s="8" t="s">
        <v>915</v>
      </c>
      <c r="E207" s="1">
        <f>VLOOKUP(B207,Nuclides!A:D,4,FALSE)</f>
        <v>158</v>
      </c>
      <c r="F207" s="7"/>
      <c r="G207" s="1"/>
      <c r="H207" s="1"/>
      <c r="K207" s="8"/>
      <c r="L207" s="7"/>
      <c r="M207" s="7"/>
    </row>
    <row r="208" spans="2:13" x14ac:dyDescent="0.2">
      <c r="B208" s="8">
        <v>37091</v>
      </c>
      <c r="C208" s="9">
        <v>3.4290299999999999E-5</v>
      </c>
      <c r="D208" s="8" t="s">
        <v>916</v>
      </c>
      <c r="E208" s="1">
        <f>VLOOKUP(B208,Nuclides!A:D,4,FALSE)</f>
        <v>58.2</v>
      </c>
      <c r="F208" s="7"/>
      <c r="G208" s="1"/>
      <c r="H208" s="1"/>
      <c r="K208" s="8"/>
      <c r="L208" s="7"/>
      <c r="M208" s="7"/>
    </row>
    <row r="209" spans="2:13" x14ac:dyDescent="0.2">
      <c r="B209" s="8">
        <v>37092</v>
      </c>
      <c r="C209" s="9">
        <v>4.6752799999999997E-5</v>
      </c>
      <c r="D209" s="8" t="s">
        <v>917</v>
      </c>
      <c r="E209" s="1">
        <f>VLOOKUP(B209,Nuclides!A:D,4,FALSE)</f>
        <v>4.492</v>
      </c>
      <c r="F209" s="7"/>
      <c r="G209" s="1"/>
      <c r="H209" s="1"/>
      <c r="K209" s="8"/>
      <c r="L209" s="7"/>
      <c r="M209" s="7"/>
    </row>
    <row r="210" spans="2:13" x14ac:dyDescent="0.2">
      <c r="B210" s="8">
        <v>37093</v>
      </c>
      <c r="C210" s="9">
        <v>5.9101300000000003E-5</v>
      </c>
      <c r="D210" s="8" t="s">
        <v>918</v>
      </c>
      <c r="E210" s="1">
        <f>VLOOKUP(B210,Nuclides!A:D,4,FALSE)</f>
        <v>5.84</v>
      </c>
      <c r="F210" s="7"/>
      <c r="G210" s="1"/>
      <c r="H210" s="1"/>
      <c r="K210" s="8"/>
      <c r="L210" s="7"/>
      <c r="M210" s="7"/>
    </row>
    <row r="211" spans="2:13" x14ac:dyDescent="0.2">
      <c r="B211" s="8">
        <v>37094</v>
      </c>
      <c r="C211" s="9">
        <v>4.0043999999999998E-5</v>
      </c>
      <c r="D211" s="8" t="s">
        <v>919</v>
      </c>
      <c r="E211" s="1">
        <f>VLOOKUP(B211,Nuclides!A:D,4,FALSE)</f>
        <v>2.702</v>
      </c>
      <c r="F211" s="7"/>
      <c r="G211" s="1"/>
      <c r="H211" s="1"/>
      <c r="K211" s="8"/>
      <c r="L211" s="7"/>
      <c r="M211" s="7"/>
    </row>
    <row r="212" spans="2:13" x14ac:dyDescent="0.2">
      <c r="B212" s="8">
        <v>37095</v>
      </c>
      <c r="C212" s="9">
        <v>3.0660600000000003E-5</v>
      </c>
      <c r="D212" s="8" t="s">
        <v>920</v>
      </c>
      <c r="E212" s="1">
        <f>VLOOKUP(B212,Nuclides!A:D,4,FALSE)</f>
        <v>0.37769999999999998</v>
      </c>
      <c r="F212" s="7"/>
      <c r="G212" s="1"/>
      <c r="H212" s="1"/>
      <c r="K212" s="8"/>
      <c r="L212" s="7"/>
      <c r="M212" s="7"/>
    </row>
    <row r="213" spans="2:13" x14ac:dyDescent="0.2">
      <c r="B213" s="8">
        <v>37096</v>
      </c>
      <c r="C213" s="9">
        <v>1.19838E-5</v>
      </c>
      <c r="D213" s="8" t="s">
        <v>921</v>
      </c>
      <c r="E213" s="1">
        <f>VLOOKUP(B213,Nuclides!A:D,4,FALSE)</f>
        <v>0.20300000000000001</v>
      </c>
      <c r="F213" s="7"/>
      <c r="G213" s="1"/>
      <c r="H213" s="1"/>
      <c r="K213" s="8"/>
      <c r="L213" s="7"/>
      <c r="M213" s="7"/>
    </row>
    <row r="214" spans="2:13" x14ac:dyDescent="0.2">
      <c r="B214" s="8">
        <v>37097</v>
      </c>
      <c r="C214" s="9">
        <v>5.6120599999999998E-6</v>
      </c>
      <c r="D214" s="8" t="s">
        <v>922</v>
      </c>
      <c r="E214" s="1">
        <f>VLOOKUP(B214,Nuclides!A:D,4,FALSE)</f>
        <v>0.1691</v>
      </c>
      <c r="F214" s="7"/>
      <c r="G214" s="1"/>
      <c r="H214" s="1"/>
      <c r="K214" s="8"/>
      <c r="L214" s="7"/>
      <c r="M214" s="7"/>
    </row>
    <row r="215" spans="2:13" x14ac:dyDescent="0.2">
      <c r="B215" s="8">
        <v>37098</v>
      </c>
      <c r="C215" s="9">
        <v>1.6683599999999999E-6</v>
      </c>
      <c r="D215" s="8" t="s">
        <v>923</v>
      </c>
      <c r="E215" s="1">
        <f>VLOOKUP(B215,Nuclides!A:D,4,FALSE)</f>
        <v>0.10199999999999999</v>
      </c>
      <c r="F215" s="7"/>
      <c r="G215" s="1"/>
      <c r="H215" s="1"/>
      <c r="K215" s="8"/>
      <c r="L215" s="7"/>
      <c r="M215" s="7"/>
    </row>
    <row r="216" spans="2:13" x14ac:dyDescent="0.2">
      <c r="B216" s="8">
        <v>37099</v>
      </c>
      <c r="C216" s="9">
        <v>4.79177E-7</v>
      </c>
      <c r="D216" s="8" t="s">
        <v>924</v>
      </c>
      <c r="E216" s="1">
        <f>VLOOKUP(B216,Nuclides!A:D,4,FALSE)</f>
        <v>5.3999999999999999E-2</v>
      </c>
      <c r="F216" s="7"/>
      <c r="G216" s="1"/>
      <c r="H216" s="1"/>
      <c r="K216" s="8"/>
      <c r="L216" s="7"/>
      <c r="M216" s="7"/>
    </row>
    <row r="217" spans="2:13" x14ac:dyDescent="0.2">
      <c r="B217" s="8">
        <v>37100</v>
      </c>
      <c r="C217" s="9">
        <v>1.08609E-7</v>
      </c>
      <c r="D217" s="8" t="s">
        <v>925</v>
      </c>
      <c r="E217" s="1">
        <f>VLOOKUP(B217,Nuclides!A:D,4,FALSE)</f>
        <v>5.0999999999999997E-2</v>
      </c>
      <c r="F217" s="7"/>
      <c r="G217" s="1"/>
      <c r="H217" s="1"/>
      <c r="K217" s="8"/>
      <c r="L217" s="7"/>
      <c r="M217" s="7"/>
    </row>
    <row r="218" spans="2:13" x14ac:dyDescent="0.2">
      <c r="B218" s="8">
        <v>38077</v>
      </c>
      <c r="C218" s="9">
        <v>1.40996E-8</v>
      </c>
      <c r="D218" s="8" t="s">
        <v>933</v>
      </c>
      <c r="E218" s="1">
        <f>VLOOKUP(B218,Nuclides!A:D,4,FALSE)</f>
        <v>9</v>
      </c>
      <c r="F218" s="7"/>
      <c r="G218" s="1"/>
      <c r="H218" s="1"/>
      <c r="K218" s="8"/>
      <c r="L218" s="7"/>
      <c r="M218" s="7"/>
    </row>
    <row r="219" spans="2:13" x14ac:dyDescent="0.2">
      <c r="B219" s="8">
        <v>38078</v>
      </c>
      <c r="C219" s="9">
        <v>1.1866E-9</v>
      </c>
      <c r="D219" s="8" t="s">
        <v>934</v>
      </c>
      <c r="E219" s="1">
        <f>VLOOKUP(B219,Nuclides!A:D,4,FALSE)</f>
        <v>160</v>
      </c>
      <c r="F219" s="7"/>
      <c r="G219" s="1"/>
      <c r="H219" s="1"/>
      <c r="K219" s="8"/>
      <c r="L219" s="7"/>
      <c r="M219" s="7"/>
    </row>
    <row r="220" spans="2:13" x14ac:dyDescent="0.2">
      <c r="B220" s="8">
        <v>38079</v>
      </c>
      <c r="C220" s="9">
        <v>6.9799999999999994E-11</v>
      </c>
      <c r="D220" s="8" t="s">
        <v>935</v>
      </c>
      <c r="E220" s="1">
        <f>VLOOKUP(B220,Nuclides!A:D,4,FALSE)</f>
        <v>135</v>
      </c>
      <c r="F220" s="7"/>
      <c r="G220" s="1"/>
      <c r="H220" s="1"/>
      <c r="K220" s="8"/>
      <c r="L220" s="7"/>
      <c r="M220" s="7"/>
    </row>
    <row r="221" spans="2:13" hidden="1" x14ac:dyDescent="0.2">
      <c r="B221" s="8">
        <v>38084</v>
      </c>
      <c r="C221" s="9">
        <v>2.094E-10</v>
      </c>
      <c r="D221" s="8" t="s">
        <v>940</v>
      </c>
      <c r="E221" s="1" t="str">
        <f>VLOOKUP(B221,Nuclides!A:D,4,FALSE)</f>
        <v>STABLE</v>
      </c>
      <c r="F221" s="7"/>
      <c r="G221" s="1"/>
      <c r="H221" s="1"/>
      <c r="K221" s="8"/>
      <c r="L221" s="7"/>
      <c r="M221" s="7"/>
    </row>
    <row r="222" spans="2:13" x14ac:dyDescent="0.2">
      <c r="B222" s="8">
        <v>38085</v>
      </c>
      <c r="C222" s="9">
        <v>9.0739999999999999E-10</v>
      </c>
      <c r="D222" s="8" t="s">
        <v>941</v>
      </c>
      <c r="E222" s="1">
        <f>VLOOKUP(B222,Nuclides!A:D,4,FALSE)</f>
        <v>5602953.5999999996</v>
      </c>
      <c r="F222" s="7"/>
      <c r="G222" s="1"/>
      <c r="H222" s="1"/>
      <c r="K222" s="8"/>
      <c r="L222" s="7"/>
      <c r="M222" s="7"/>
    </row>
    <row r="223" spans="2:13" hidden="1" x14ac:dyDescent="0.2">
      <c r="B223" s="8">
        <v>38086</v>
      </c>
      <c r="C223" s="9">
        <v>7.6082000000000003E-9</v>
      </c>
      <c r="D223" s="8" t="s">
        <v>942</v>
      </c>
      <c r="E223" s="1" t="str">
        <f>VLOOKUP(B223,Nuclides!A:D,4,FALSE)</f>
        <v>STABLE</v>
      </c>
      <c r="F223" s="7"/>
      <c r="G223" s="1"/>
      <c r="H223" s="1"/>
      <c r="K223" s="8"/>
      <c r="L223" s="7"/>
      <c r="M223" s="7"/>
    </row>
    <row r="224" spans="2:13" hidden="1" x14ac:dyDescent="0.2">
      <c r="B224" s="8">
        <v>38087</v>
      </c>
      <c r="C224" s="9">
        <v>3.9786000000000003E-8</v>
      </c>
      <c r="D224" s="8" t="s">
        <v>943</v>
      </c>
      <c r="E224" s="1" t="str">
        <f>VLOOKUP(B224,Nuclides!A:D,4,FALSE)</f>
        <v>STABLE</v>
      </c>
      <c r="F224" s="7"/>
      <c r="G224" s="1"/>
      <c r="H224" s="1"/>
      <c r="K224" s="8"/>
      <c r="L224" s="7"/>
      <c r="M224" s="7"/>
    </row>
    <row r="225" spans="2:13" hidden="1" x14ac:dyDescent="0.2">
      <c r="B225" s="8">
        <v>38088</v>
      </c>
      <c r="C225" s="9">
        <v>1.7450000000000001E-7</v>
      </c>
      <c r="D225" s="8" t="s">
        <v>944</v>
      </c>
      <c r="E225" s="1" t="str">
        <f>VLOOKUP(B225,Nuclides!A:D,4,FALSE)</f>
        <v>STABLE</v>
      </c>
      <c r="F225" s="7"/>
      <c r="G225" s="1"/>
      <c r="H225" s="1"/>
      <c r="K225" s="8"/>
      <c r="L225" s="7"/>
      <c r="M225" s="7"/>
    </row>
    <row r="226" spans="2:13" x14ac:dyDescent="0.2">
      <c r="B226" s="8">
        <v>38089</v>
      </c>
      <c r="C226" s="9">
        <v>7.3234199999999995E-7</v>
      </c>
      <c r="D226" s="8" t="s">
        <v>945</v>
      </c>
      <c r="E226" s="1">
        <f>VLOOKUP(B226,Nuclides!A:D,4,FALSE)</f>
        <v>4368643.2</v>
      </c>
      <c r="F226" s="7"/>
      <c r="G226" s="1"/>
      <c r="H226" s="1"/>
      <c r="K226" s="8"/>
      <c r="L226" s="7"/>
      <c r="M226" s="7"/>
    </row>
    <row r="227" spans="2:13" x14ac:dyDescent="0.2">
      <c r="B227" s="8">
        <v>38090</v>
      </c>
      <c r="C227" s="9">
        <v>2.4836900000000002E-6</v>
      </c>
      <c r="D227" s="8" t="s">
        <v>946</v>
      </c>
      <c r="E227" s="1">
        <f>VLOOKUP(B227,Nuclides!A:D,4,FALSE)</f>
        <v>912014640</v>
      </c>
      <c r="F227" s="7"/>
      <c r="G227" s="1"/>
      <c r="H227" s="1"/>
      <c r="K227" s="8"/>
      <c r="L227" s="7"/>
      <c r="M227" s="7"/>
    </row>
    <row r="228" spans="2:13" x14ac:dyDescent="0.2">
      <c r="B228" s="8">
        <v>38091</v>
      </c>
      <c r="C228" s="9">
        <v>7.0508499999999996E-6</v>
      </c>
      <c r="D228" s="8" t="s">
        <v>947</v>
      </c>
      <c r="E228" s="1">
        <f>VLOOKUP(B228,Nuclides!A:D,4,FALSE)</f>
        <v>34740</v>
      </c>
      <c r="F228" s="7"/>
      <c r="G228" s="1"/>
      <c r="H228" s="1"/>
      <c r="K228" s="8"/>
      <c r="L228" s="7"/>
      <c r="M228" s="7"/>
    </row>
    <row r="229" spans="2:13" x14ac:dyDescent="0.2">
      <c r="B229" s="8">
        <v>38092</v>
      </c>
      <c r="C229" s="9">
        <v>1.6656399999999999E-5</v>
      </c>
      <c r="D229" s="8" t="s">
        <v>948</v>
      </c>
      <c r="E229" s="1">
        <f>VLOOKUP(B229,Nuclides!A:D,4,FALSE)</f>
        <v>9399.6</v>
      </c>
      <c r="F229" s="7"/>
      <c r="G229" s="1"/>
      <c r="H229" s="1"/>
      <c r="K229" s="8"/>
      <c r="L229" s="7"/>
      <c r="M229" s="7"/>
    </row>
    <row r="230" spans="2:13" x14ac:dyDescent="0.2">
      <c r="B230" s="8">
        <v>38093</v>
      </c>
      <c r="C230" s="9">
        <v>3.3427199999999997E-5</v>
      </c>
      <c r="D230" s="8" t="s">
        <v>949</v>
      </c>
      <c r="E230" s="1">
        <f>VLOOKUP(B230,Nuclides!A:D,4,FALSE)</f>
        <v>445.79999999999899</v>
      </c>
      <c r="F230" s="7"/>
      <c r="G230" s="1"/>
      <c r="H230" s="1"/>
      <c r="K230" s="8"/>
      <c r="L230" s="7"/>
      <c r="M230" s="7"/>
    </row>
    <row r="231" spans="2:13" x14ac:dyDescent="0.2">
      <c r="B231" s="8">
        <v>38094</v>
      </c>
      <c r="C231" s="9">
        <v>5.7698400000000003E-5</v>
      </c>
      <c r="D231" s="8" t="s">
        <v>950</v>
      </c>
      <c r="E231" s="1">
        <f>VLOOKUP(B231,Nuclides!A:D,4,FALSE)</f>
        <v>75.3</v>
      </c>
      <c r="F231" s="7"/>
      <c r="G231" s="1"/>
      <c r="H231" s="1"/>
      <c r="K231" s="8"/>
      <c r="L231" s="7"/>
      <c r="M231" s="7"/>
    </row>
    <row r="232" spans="2:13" x14ac:dyDescent="0.2">
      <c r="B232" s="8">
        <v>38095</v>
      </c>
      <c r="C232" s="9">
        <v>7.0071099999999994E-5</v>
      </c>
      <c r="D232" s="8" t="s">
        <v>951</v>
      </c>
      <c r="E232" s="1">
        <f>VLOOKUP(B232,Nuclides!A:D,4,FALSE)</f>
        <v>23.9</v>
      </c>
      <c r="F232" s="7"/>
      <c r="G232" s="1"/>
      <c r="H232" s="1"/>
      <c r="K232" s="8"/>
      <c r="L232" s="7"/>
      <c r="M232" s="7"/>
    </row>
    <row r="233" spans="2:13" x14ac:dyDescent="0.2">
      <c r="B233" s="8">
        <v>38096</v>
      </c>
      <c r="C233" s="9">
        <v>7.1081599999999994E-5</v>
      </c>
      <c r="D233" s="8" t="s">
        <v>952</v>
      </c>
      <c r="E233" s="1">
        <f>VLOOKUP(B233,Nuclides!A:D,4,FALSE)</f>
        <v>1.07</v>
      </c>
      <c r="F233" s="7"/>
      <c r="G233" s="1"/>
      <c r="H233" s="1"/>
      <c r="K233" s="8"/>
      <c r="L233" s="7"/>
      <c r="M233" s="7"/>
    </row>
    <row r="234" spans="2:13" x14ac:dyDescent="0.2">
      <c r="B234" s="8">
        <v>38097</v>
      </c>
      <c r="C234" s="9">
        <v>4.5796800000000002E-5</v>
      </c>
      <c r="D234" s="8" t="s">
        <v>953</v>
      </c>
      <c r="E234" s="1">
        <f>VLOOKUP(B234,Nuclides!A:D,4,FALSE)</f>
        <v>0.42899999999999999</v>
      </c>
      <c r="F234" s="7"/>
      <c r="G234" s="1"/>
      <c r="H234" s="1"/>
      <c r="K234" s="8"/>
      <c r="L234" s="7"/>
      <c r="M234" s="7"/>
    </row>
    <row r="235" spans="2:13" x14ac:dyDescent="0.2">
      <c r="B235" s="8">
        <v>38098</v>
      </c>
      <c r="C235" s="9">
        <v>2.60672E-5</v>
      </c>
      <c r="D235" s="8" t="s">
        <v>954</v>
      </c>
      <c r="E235" s="1">
        <f>VLOOKUP(B235,Nuclides!A:D,4,FALSE)</f>
        <v>0.65300000000000002</v>
      </c>
      <c r="F235" s="7"/>
      <c r="G235" s="1"/>
      <c r="H235" s="1"/>
      <c r="K235" s="8"/>
      <c r="L235" s="7"/>
      <c r="M235" s="7"/>
    </row>
    <row r="236" spans="2:13" x14ac:dyDescent="0.2">
      <c r="B236" s="8">
        <v>38099</v>
      </c>
      <c r="C236" s="9">
        <v>8.4500599999999995E-6</v>
      </c>
      <c r="D236" s="8" t="s">
        <v>955</v>
      </c>
      <c r="E236" s="1">
        <f>VLOOKUP(B236,Nuclides!A:D,4,FALSE)</f>
        <v>0.26900000000000002</v>
      </c>
      <c r="F236" s="7"/>
      <c r="G236" s="1"/>
      <c r="H236" s="1"/>
      <c r="K236" s="8"/>
      <c r="L236" s="7"/>
      <c r="M236" s="7"/>
    </row>
    <row r="237" spans="2:13" x14ac:dyDescent="0.2">
      <c r="B237" s="8">
        <v>38100</v>
      </c>
      <c r="C237" s="9">
        <v>2.6510000000000001E-6</v>
      </c>
      <c r="D237" s="8" t="s">
        <v>956</v>
      </c>
      <c r="E237" s="1">
        <f>VLOOKUP(B237,Nuclides!A:D,4,FALSE)</f>
        <v>0.20200000000000001</v>
      </c>
      <c r="F237" s="7"/>
      <c r="G237" s="1"/>
      <c r="H237" s="1"/>
      <c r="K237" s="8"/>
      <c r="L237" s="7"/>
      <c r="M237" s="7"/>
    </row>
    <row r="238" spans="2:13" x14ac:dyDescent="0.2">
      <c r="B238" s="8">
        <v>39080</v>
      </c>
      <c r="C238" s="9">
        <v>4.9746499999999999E-7</v>
      </c>
      <c r="D238" s="8" t="s">
        <v>968</v>
      </c>
      <c r="E238" s="1">
        <f>VLOOKUP(B238,Nuclides!A:D,4,FALSE)</f>
        <v>30.1</v>
      </c>
      <c r="F238" s="7"/>
      <c r="G238" s="1"/>
      <c r="H238" s="1"/>
      <c r="K238" s="8"/>
      <c r="L238" s="7"/>
      <c r="M238" s="7"/>
    </row>
    <row r="239" spans="2:13" x14ac:dyDescent="0.2">
      <c r="B239" s="8">
        <v>39081</v>
      </c>
      <c r="C239" s="9">
        <v>7.9222999999999994E-8</v>
      </c>
      <c r="D239" s="8" t="s">
        <v>969</v>
      </c>
      <c r="E239" s="1">
        <f>VLOOKUP(B239,Nuclides!A:D,4,FALSE)</f>
        <v>70.400000000000006</v>
      </c>
      <c r="F239" s="7"/>
      <c r="G239" s="1"/>
      <c r="H239" s="1"/>
      <c r="K239" s="8"/>
      <c r="L239" s="7"/>
      <c r="M239" s="7"/>
    </row>
    <row r="240" spans="2:13" x14ac:dyDescent="0.2">
      <c r="B240" s="8">
        <v>39082</v>
      </c>
      <c r="C240" s="9">
        <v>6.4216000000000002E-9</v>
      </c>
      <c r="D240" s="8" t="s">
        <v>970</v>
      </c>
      <c r="E240" s="1">
        <f>VLOOKUP(B240,Nuclides!A:D,4,FALSE)</f>
        <v>8.3000000000000007</v>
      </c>
      <c r="F240" s="7"/>
      <c r="G240" s="1"/>
      <c r="H240" s="1"/>
      <c r="K240" s="8"/>
      <c r="L240" s="7"/>
      <c r="M240" s="7"/>
    </row>
    <row r="241" spans="2:13" x14ac:dyDescent="0.2">
      <c r="B241" s="8">
        <v>39083</v>
      </c>
      <c r="C241" s="9">
        <v>1.3262E-9</v>
      </c>
      <c r="D241" s="8" t="s">
        <v>971</v>
      </c>
      <c r="E241" s="1">
        <f>VLOOKUP(B241,Nuclides!A:D,4,FALSE)</f>
        <v>424.8</v>
      </c>
      <c r="F241" s="7"/>
      <c r="G241" s="1"/>
      <c r="H241" s="1"/>
      <c r="K241" s="8"/>
      <c r="L241" s="7"/>
      <c r="M241" s="7"/>
    </row>
    <row r="242" spans="2:13" x14ac:dyDescent="0.2">
      <c r="B242" s="8">
        <v>39087</v>
      </c>
      <c r="C242" s="9">
        <v>2.094E-10</v>
      </c>
      <c r="D242" s="8" t="s">
        <v>975</v>
      </c>
      <c r="E242" s="1">
        <f>VLOOKUP(B242,Nuclides!A:D,4,FALSE)</f>
        <v>287280</v>
      </c>
      <c r="F242" s="7"/>
      <c r="G242" s="1"/>
      <c r="H242" s="1"/>
      <c r="K242" s="8"/>
      <c r="L242" s="7"/>
      <c r="M242" s="7"/>
    </row>
    <row r="243" spans="2:13" x14ac:dyDescent="0.2">
      <c r="B243" s="8">
        <v>39088</v>
      </c>
      <c r="C243" s="9">
        <v>1.3959999999999999E-9</v>
      </c>
      <c r="D243" s="8" t="s">
        <v>976</v>
      </c>
      <c r="E243" s="1">
        <f>VLOOKUP(B243,Nuclides!A:D,4,FALSE)</f>
        <v>9212486.4000000004</v>
      </c>
      <c r="F243" s="7"/>
      <c r="G243" s="1"/>
      <c r="H243" s="1"/>
      <c r="K243" s="8"/>
      <c r="L243" s="7"/>
      <c r="M243" s="7"/>
    </row>
    <row r="244" spans="2:13" hidden="1" x14ac:dyDescent="0.2">
      <c r="B244" s="8">
        <v>39089</v>
      </c>
      <c r="C244" s="9">
        <v>1.02606E-8</v>
      </c>
      <c r="D244" s="8" t="s">
        <v>977</v>
      </c>
      <c r="E244" s="1" t="str">
        <f>VLOOKUP(B244,Nuclides!A:D,4,FALSE)</f>
        <v>STABLE</v>
      </c>
      <c r="F244" s="7"/>
      <c r="G244" s="1"/>
      <c r="H244" s="1"/>
      <c r="K244" s="8"/>
      <c r="L244" s="7"/>
      <c r="M244" s="7"/>
    </row>
    <row r="245" spans="2:13" x14ac:dyDescent="0.2">
      <c r="B245" s="8">
        <v>39090</v>
      </c>
      <c r="C245" s="9">
        <v>5.6468199999999997E-8</v>
      </c>
      <c r="D245" s="8" t="s">
        <v>978</v>
      </c>
      <c r="E245" s="1">
        <f>VLOOKUP(B245,Nuclides!A:D,4,FALSE)</f>
        <v>230590.8</v>
      </c>
      <c r="F245" s="7"/>
      <c r="G245" s="1"/>
      <c r="H245" s="1"/>
      <c r="K245" s="8"/>
      <c r="L245" s="7"/>
      <c r="M245" s="7"/>
    </row>
    <row r="246" spans="2:13" x14ac:dyDescent="0.2">
      <c r="B246" s="8">
        <v>39091</v>
      </c>
      <c r="C246" s="9">
        <v>2.53234E-7</v>
      </c>
      <c r="D246" s="8" t="s">
        <v>979</v>
      </c>
      <c r="E246" s="1">
        <f>VLOOKUP(B246,Nuclides!A:D,4,FALSE)</f>
        <v>5055264</v>
      </c>
      <c r="F246" s="7"/>
      <c r="G246" s="1"/>
      <c r="H246" s="1"/>
      <c r="K246" s="8"/>
      <c r="L246" s="7"/>
      <c r="M246" s="7"/>
    </row>
    <row r="247" spans="2:13" x14ac:dyDescent="0.2">
      <c r="B247" s="8">
        <v>39092</v>
      </c>
      <c r="C247" s="9">
        <v>9.8885700000000005E-7</v>
      </c>
      <c r="D247" s="8" t="s">
        <v>980</v>
      </c>
      <c r="E247" s="1">
        <f>VLOOKUP(B247,Nuclides!A:D,4,FALSE)</f>
        <v>12744</v>
      </c>
      <c r="F247" s="7"/>
      <c r="G247" s="1"/>
      <c r="H247" s="1"/>
      <c r="K247" s="8"/>
      <c r="L247" s="7"/>
      <c r="M247" s="7"/>
    </row>
    <row r="248" spans="2:13" x14ac:dyDescent="0.2">
      <c r="B248" s="8">
        <v>39093</v>
      </c>
      <c r="C248" s="9">
        <v>3.5352999999999998E-6</v>
      </c>
      <c r="D248" s="8" t="s">
        <v>981</v>
      </c>
      <c r="E248" s="1">
        <f>VLOOKUP(B248,Nuclides!A:D,4,FALSE)</f>
        <v>36648</v>
      </c>
      <c r="F248" s="7"/>
      <c r="G248" s="1"/>
      <c r="H248" s="1"/>
      <c r="K248" s="8"/>
      <c r="L248" s="7"/>
      <c r="M248" s="7"/>
    </row>
    <row r="249" spans="2:13" x14ac:dyDescent="0.2">
      <c r="B249" s="8">
        <v>39094</v>
      </c>
      <c r="C249" s="9">
        <v>9.3795799999999994E-6</v>
      </c>
      <c r="D249" s="8" t="s">
        <v>982</v>
      </c>
      <c r="E249" s="1">
        <f>VLOOKUP(B249,Nuclides!A:D,4,FALSE)</f>
        <v>1122</v>
      </c>
      <c r="F249" s="7"/>
      <c r="G249" s="1"/>
      <c r="H249" s="1"/>
      <c r="K249" s="8"/>
      <c r="L249" s="7"/>
      <c r="M249" s="7"/>
    </row>
    <row r="250" spans="2:13" x14ac:dyDescent="0.2">
      <c r="B250" s="8">
        <v>39095</v>
      </c>
      <c r="C250" s="9">
        <v>2.52543E-5</v>
      </c>
      <c r="D250" s="8" t="s">
        <v>983</v>
      </c>
      <c r="E250" s="1">
        <f>VLOOKUP(B250,Nuclides!A:D,4,FALSE)</f>
        <v>618</v>
      </c>
      <c r="F250" s="7"/>
      <c r="G250" s="1"/>
      <c r="H250" s="1"/>
      <c r="K250" s="8"/>
      <c r="L250" s="7"/>
      <c r="M250" s="7"/>
    </row>
    <row r="251" spans="2:13" x14ac:dyDescent="0.2">
      <c r="B251" s="8">
        <v>39096</v>
      </c>
      <c r="C251" s="9">
        <v>4.24339E-5</v>
      </c>
      <c r="D251" s="8" t="s">
        <v>984</v>
      </c>
      <c r="E251" s="1">
        <f>VLOOKUP(B251,Nuclides!A:D,4,FALSE)</f>
        <v>5.34</v>
      </c>
      <c r="F251" s="7"/>
      <c r="G251" s="1"/>
      <c r="H251" s="1"/>
      <c r="K251" s="8"/>
      <c r="L251" s="7"/>
      <c r="M251" s="7"/>
    </row>
    <row r="252" spans="2:13" x14ac:dyDescent="0.2">
      <c r="B252" s="8">
        <v>39097</v>
      </c>
      <c r="C252" s="9">
        <v>6.9031900000000006E-5</v>
      </c>
      <c r="D252" s="8" t="s">
        <v>985</v>
      </c>
      <c r="E252" s="1">
        <f>VLOOKUP(B252,Nuclides!A:D,4,FALSE)</f>
        <v>3.75</v>
      </c>
      <c r="F252" s="7"/>
      <c r="G252" s="1"/>
      <c r="H252" s="1"/>
      <c r="K252" s="8"/>
      <c r="L252" s="7"/>
      <c r="M252" s="7"/>
    </row>
    <row r="253" spans="2:13" x14ac:dyDescent="0.2">
      <c r="B253" s="8">
        <v>39098</v>
      </c>
      <c r="C253" s="9">
        <v>6.3832900000000003E-5</v>
      </c>
      <c r="D253" s="8" t="s">
        <v>986</v>
      </c>
      <c r="E253" s="1">
        <f>VLOOKUP(B253,Nuclides!A:D,4,FALSE)</f>
        <v>0.54800000000000004</v>
      </c>
      <c r="F253" s="7"/>
      <c r="G253" s="1"/>
      <c r="H253" s="1"/>
      <c r="K253" s="8"/>
      <c r="L253" s="7"/>
      <c r="M253" s="7"/>
    </row>
    <row r="254" spans="2:13" x14ac:dyDescent="0.2">
      <c r="B254" s="8">
        <v>39099</v>
      </c>
      <c r="C254" s="9">
        <v>5.4675700000000002E-5</v>
      </c>
      <c r="D254" s="8" t="s">
        <v>987</v>
      </c>
      <c r="E254" s="1">
        <f>VLOOKUP(B254,Nuclides!A:D,4,FALSE)</f>
        <v>1.484</v>
      </c>
      <c r="F254" s="7"/>
      <c r="G254" s="1"/>
      <c r="H254" s="1"/>
      <c r="K254" s="8"/>
      <c r="L254" s="7"/>
      <c r="M254" s="7"/>
    </row>
    <row r="255" spans="2:13" x14ac:dyDescent="0.2">
      <c r="B255" s="8">
        <v>39100</v>
      </c>
      <c r="C255" s="9">
        <v>2.6766799999999999E-5</v>
      </c>
      <c r="D255" s="8" t="s">
        <v>988</v>
      </c>
      <c r="E255" s="1">
        <f>VLOOKUP(B255,Nuclides!A:D,4,FALSE)</f>
        <v>0.73499999999999999</v>
      </c>
      <c r="F255" s="7"/>
      <c r="G255" s="1"/>
      <c r="H255" s="1"/>
      <c r="K255" s="8"/>
      <c r="L255" s="7"/>
      <c r="M255" s="7"/>
    </row>
    <row r="256" spans="2:13" x14ac:dyDescent="0.2">
      <c r="B256" s="8">
        <v>39101</v>
      </c>
      <c r="C256" s="9">
        <v>1.21421E-5</v>
      </c>
      <c r="D256" s="8" t="s">
        <v>989</v>
      </c>
      <c r="E256" s="1">
        <f>VLOOKUP(B256,Nuclides!A:D,4,FALSE)</f>
        <v>0.45</v>
      </c>
      <c r="F256" s="7"/>
      <c r="G256" s="1"/>
      <c r="H256" s="1"/>
      <c r="K256" s="8"/>
      <c r="L256" s="7"/>
      <c r="M256" s="7"/>
    </row>
    <row r="257" spans="2:13" x14ac:dyDescent="0.2">
      <c r="B257" s="8">
        <v>39102</v>
      </c>
      <c r="C257" s="9">
        <v>3.1645899999999999E-6</v>
      </c>
      <c r="D257" s="8" t="s">
        <v>990</v>
      </c>
      <c r="E257" s="1">
        <f>VLOOKUP(B257,Nuclides!A:D,4,FALSE)</f>
        <v>0.36</v>
      </c>
      <c r="F257" s="7"/>
      <c r="G257" s="1"/>
      <c r="H257" s="1"/>
      <c r="K257" s="8"/>
      <c r="L257" s="7"/>
      <c r="M257" s="7"/>
    </row>
    <row r="258" spans="2:13" x14ac:dyDescent="0.2">
      <c r="B258" s="8">
        <v>40081</v>
      </c>
      <c r="C258" s="9">
        <v>8.33552E-7</v>
      </c>
      <c r="D258" s="8" t="s">
        <v>1001</v>
      </c>
      <c r="E258" s="1">
        <f>VLOOKUP(B258,Nuclides!A:D,4,FALSE)</f>
        <v>5.5</v>
      </c>
      <c r="F258" s="7"/>
      <c r="G258" s="1"/>
      <c r="H258" s="1"/>
      <c r="K258" s="8"/>
      <c r="L258" s="7"/>
      <c r="M258" s="7"/>
    </row>
    <row r="259" spans="2:13" x14ac:dyDescent="0.2">
      <c r="B259" s="8">
        <v>40082</v>
      </c>
      <c r="C259" s="9">
        <v>1.09865E-7</v>
      </c>
      <c r="D259" s="8" t="s">
        <v>1002</v>
      </c>
      <c r="E259" s="1">
        <f>VLOOKUP(B259,Nuclides!A:D,4,FALSE)</f>
        <v>32</v>
      </c>
      <c r="F259" s="7"/>
      <c r="G259" s="1"/>
      <c r="H259" s="1"/>
      <c r="K259" s="8"/>
      <c r="L259" s="7"/>
      <c r="M259" s="7"/>
    </row>
    <row r="260" spans="2:13" x14ac:dyDescent="0.2">
      <c r="B260" s="8">
        <v>40083</v>
      </c>
      <c r="C260" s="9">
        <v>1.8845999999999999E-8</v>
      </c>
      <c r="D260" s="8" t="s">
        <v>1003</v>
      </c>
      <c r="E260" s="1">
        <f>VLOOKUP(B260,Nuclides!A:D,4,FALSE)</f>
        <v>42</v>
      </c>
      <c r="F260" s="7"/>
      <c r="G260" s="1"/>
      <c r="H260" s="1"/>
      <c r="K260" s="8"/>
      <c r="L260" s="7"/>
      <c r="M260" s="7"/>
    </row>
    <row r="261" spans="2:13" x14ac:dyDescent="0.2">
      <c r="B261" s="8">
        <v>40084</v>
      </c>
      <c r="C261" s="9">
        <v>1.8148E-9</v>
      </c>
      <c r="D261" s="8" t="s">
        <v>1004</v>
      </c>
      <c r="E261" s="1">
        <f>VLOOKUP(B261,Nuclides!A:D,4,FALSE)</f>
        <v>1548</v>
      </c>
      <c r="F261" s="7"/>
      <c r="G261" s="1"/>
      <c r="H261" s="1"/>
      <c r="K261" s="8"/>
      <c r="L261" s="7"/>
      <c r="M261" s="7"/>
    </row>
    <row r="262" spans="2:13" x14ac:dyDescent="0.2">
      <c r="B262" s="8">
        <v>40085</v>
      </c>
      <c r="C262" s="9">
        <v>4.8860000000000005E-10</v>
      </c>
      <c r="D262" s="8" t="s">
        <v>1005</v>
      </c>
      <c r="E262" s="1">
        <f>VLOOKUP(B262,Nuclides!A:D,4,FALSE)</f>
        <v>471.6</v>
      </c>
      <c r="F262" s="7"/>
      <c r="G262" s="1"/>
      <c r="H262" s="1"/>
      <c r="K262" s="8"/>
      <c r="L262" s="7"/>
      <c r="M262" s="7"/>
    </row>
    <row r="263" spans="2:13" x14ac:dyDescent="0.2">
      <c r="B263" s="8">
        <v>40086</v>
      </c>
      <c r="C263" s="9">
        <v>1.3959999999999999E-10</v>
      </c>
      <c r="D263" s="8" t="s">
        <v>1006</v>
      </c>
      <c r="E263" s="1">
        <f>VLOOKUP(B263,Nuclides!A:D,4,FALSE)</f>
        <v>59400</v>
      </c>
      <c r="F263" s="7"/>
      <c r="G263" s="1"/>
      <c r="H263" s="1"/>
      <c r="K263" s="8"/>
      <c r="L263" s="7"/>
      <c r="M263" s="7"/>
    </row>
    <row r="264" spans="2:13" x14ac:dyDescent="0.2">
      <c r="B264" s="8">
        <v>40089</v>
      </c>
      <c r="C264" s="9">
        <v>1.3959999999999999E-10</v>
      </c>
      <c r="D264" s="8" t="s">
        <v>1009</v>
      </c>
      <c r="E264" s="1">
        <f>VLOOKUP(B264,Nuclides!A:D,4,FALSE)</f>
        <v>282276</v>
      </c>
      <c r="F264" s="7"/>
      <c r="G264" s="1"/>
      <c r="H264" s="1"/>
      <c r="K264" s="8"/>
      <c r="L264" s="7"/>
      <c r="M264" s="7"/>
    </row>
    <row r="265" spans="2:13" hidden="1" x14ac:dyDescent="0.2">
      <c r="B265" s="8">
        <v>40090</v>
      </c>
      <c r="C265" s="9">
        <v>9.772000000000001E-10</v>
      </c>
      <c r="D265" s="8" t="s">
        <v>1010</v>
      </c>
      <c r="E265" s="1" t="str">
        <f>VLOOKUP(B265,Nuclides!A:D,4,FALSE)</f>
        <v>STABLE</v>
      </c>
      <c r="F265" s="7"/>
      <c r="G265" s="1"/>
      <c r="H265" s="1"/>
      <c r="K265" s="8"/>
      <c r="L265" s="7"/>
      <c r="M265" s="7"/>
    </row>
    <row r="266" spans="2:13" hidden="1" x14ac:dyDescent="0.2">
      <c r="B266" s="8">
        <v>40091</v>
      </c>
      <c r="C266" s="9">
        <v>7.3987999999999997E-9</v>
      </c>
      <c r="D266" s="8" t="s">
        <v>1011</v>
      </c>
      <c r="E266" s="1" t="str">
        <f>VLOOKUP(B266,Nuclides!A:D,4,FALSE)</f>
        <v>STABLE</v>
      </c>
      <c r="F266" s="7"/>
      <c r="G266" s="1"/>
      <c r="H266" s="1"/>
      <c r="K266" s="8"/>
      <c r="L266" s="7"/>
      <c r="M266" s="7"/>
    </row>
    <row r="267" spans="2:13" hidden="1" x14ac:dyDescent="0.2">
      <c r="B267" s="8">
        <v>40092</v>
      </c>
      <c r="C267" s="9">
        <v>3.8041000000000003E-8</v>
      </c>
      <c r="D267" s="8" t="s">
        <v>1012</v>
      </c>
      <c r="E267" s="1" t="str">
        <f>VLOOKUP(B267,Nuclides!A:D,4,FALSE)</f>
        <v>STABLE</v>
      </c>
      <c r="F267" s="7"/>
      <c r="G267" s="1"/>
      <c r="H267" s="1"/>
      <c r="K267" s="8"/>
      <c r="L267" s="7"/>
      <c r="M267" s="7"/>
    </row>
    <row r="268" spans="2:13" x14ac:dyDescent="0.2">
      <c r="B268" s="8">
        <v>40093</v>
      </c>
      <c r="C268" s="9">
        <v>1.91601E-7</v>
      </c>
      <c r="D268" s="8" t="s">
        <v>1013</v>
      </c>
      <c r="E268" s="1">
        <f>VLOOKUP(B268,Nuclides!A:D,4,FALSE)</f>
        <v>50807736000000</v>
      </c>
      <c r="F268" s="7"/>
      <c r="G268" s="1"/>
      <c r="H268" s="1"/>
      <c r="K268" s="8"/>
      <c r="L268" s="7"/>
      <c r="M268" s="7"/>
    </row>
    <row r="269" spans="2:13" hidden="1" x14ac:dyDescent="0.2">
      <c r="B269" s="8">
        <v>40094</v>
      </c>
      <c r="C269" s="9">
        <v>8.0276999999999998E-7</v>
      </c>
      <c r="D269" s="8" t="s">
        <v>1014</v>
      </c>
      <c r="E269" s="1" t="str">
        <f>VLOOKUP(B269,Nuclides!A:D,4,FALSE)</f>
        <v>STABLE</v>
      </c>
      <c r="F269" s="7"/>
      <c r="G269" s="1"/>
      <c r="H269" s="1"/>
      <c r="K269" s="8"/>
      <c r="L269" s="7"/>
      <c r="M269" s="7"/>
    </row>
    <row r="270" spans="2:13" x14ac:dyDescent="0.2">
      <c r="B270" s="8">
        <v>40095</v>
      </c>
      <c r="C270" s="9">
        <v>2.8452599999999998E-6</v>
      </c>
      <c r="D270" s="8" t="s">
        <v>1015</v>
      </c>
      <c r="E270" s="1">
        <f>VLOOKUP(B270,Nuclides!A:D,4,FALSE)</f>
        <v>5532364.7999999998</v>
      </c>
      <c r="F270" s="7"/>
      <c r="G270" s="1"/>
      <c r="H270" s="1"/>
      <c r="K270" s="8"/>
      <c r="L270" s="7"/>
      <c r="M270" s="7"/>
    </row>
    <row r="271" spans="2:13" x14ac:dyDescent="0.2">
      <c r="B271" s="8">
        <v>40096</v>
      </c>
      <c r="C271" s="9">
        <v>8.3706299999999995E-6</v>
      </c>
      <c r="D271" s="8" t="s">
        <v>1016</v>
      </c>
      <c r="E271" s="1">
        <f>VLOOKUP(B271,Nuclides!A:D,4,FALSE)</f>
        <v>7.4160360000000004E+26</v>
      </c>
      <c r="F271" s="7"/>
      <c r="G271" s="1"/>
      <c r="H271" s="1"/>
      <c r="K271" s="8"/>
      <c r="L271" s="7"/>
      <c r="M271" s="7"/>
    </row>
    <row r="272" spans="2:13" x14ac:dyDescent="0.2">
      <c r="B272" s="8">
        <v>40097</v>
      </c>
      <c r="C272" s="9">
        <v>2.0043699999999999E-5</v>
      </c>
      <c r="D272" s="8" t="s">
        <v>1017</v>
      </c>
      <c r="E272" s="1">
        <f>VLOOKUP(B272,Nuclides!A:D,4,FALSE)</f>
        <v>60296.3999999999</v>
      </c>
      <c r="F272" s="7"/>
      <c r="G272" s="1"/>
      <c r="H272" s="1"/>
      <c r="K272" s="8"/>
      <c r="L272" s="7"/>
      <c r="M272" s="7"/>
    </row>
    <row r="273" spans="2:13" x14ac:dyDescent="0.2">
      <c r="B273" s="8">
        <v>40098</v>
      </c>
      <c r="C273" s="9">
        <v>4.1214899999999997E-5</v>
      </c>
      <c r="D273" s="8" t="s">
        <v>1018</v>
      </c>
      <c r="E273" s="1">
        <f>VLOOKUP(B273,Nuclides!A:D,4,FALSE)</f>
        <v>30.7</v>
      </c>
      <c r="F273" s="7"/>
      <c r="G273" s="1"/>
      <c r="H273" s="1"/>
      <c r="K273" s="8"/>
      <c r="L273" s="7"/>
      <c r="M273" s="7"/>
    </row>
    <row r="274" spans="2:13" x14ac:dyDescent="0.2">
      <c r="B274" s="8">
        <v>40099</v>
      </c>
      <c r="C274" s="9">
        <v>6.3559599999999994E-5</v>
      </c>
      <c r="D274" s="8" t="s">
        <v>1019</v>
      </c>
      <c r="E274" s="1">
        <f>VLOOKUP(B274,Nuclides!A:D,4,FALSE)</f>
        <v>2.1</v>
      </c>
      <c r="F274" s="7"/>
      <c r="G274" s="1"/>
      <c r="H274" s="1"/>
      <c r="K274" s="8"/>
      <c r="L274" s="7"/>
      <c r="M274" s="7"/>
    </row>
    <row r="275" spans="2:13" x14ac:dyDescent="0.2">
      <c r="B275" s="8">
        <v>40100</v>
      </c>
      <c r="C275" s="9">
        <v>7.5980800000000003E-5</v>
      </c>
      <c r="D275" s="8" t="s">
        <v>1020</v>
      </c>
      <c r="E275" s="1">
        <f>VLOOKUP(B275,Nuclides!A:D,4,FALSE)</f>
        <v>7.1</v>
      </c>
      <c r="F275" s="7"/>
      <c r="G275" s="1"/>
      <c r="H275" s="1"/>
      <c r="K275" s="8"/>
      <c r="L275" s="7"/>
      <c r="M275" s="7"/>
    </row>
    <row r="276" spans="2:13" x14ac:dyDescent="0.2">
      <c r="B276" s="8">
        <v>40101</v>
      </c>
      <c r="C276" s="9">
        <v>6.0205099999999997E-5</v>
      </c>
      <c r="D276" s="8" t="s">
        <v>1021</v>
      </c>
      <c r="E276" s="1">
        <f>VLOOKUP(B276,Nuclides!A:D,4,FALSE)</f>
        <v>2.2999999999999998</v>
      </c>
      <c r="F276" s="7"/>
      <c r="G276" s="1"/>
      <c r="H276" s="1"/>
      <c r="K276" s="8"/>
      <c r="L276" s="7"/>
      <c r="M276" s="7"/>
    </row>
    <row r="277" spans="2:13" x14ac:dyDescent="0.2">
      <c r="B277" s="8">
        <v>40102</v>
      </c>
      <c r="C277" s="9">
        <v>3.4218199999999997E-5</v>
      </c>
      <c r="D277" s="8" t="s">
        <v>1022</v>
      </c>
      <c r="E277" s="1">
        <f>VLOOKUP(B277,Nuclides!A:D,4,FALSE)</f>
        <v>2.9</v>
      </c>
      <c r="F277" s="7"/>
      <c r="G277" s="1"/>
      <c r="H277" s="1"/>
      <c r="K277" s="8"/>
      <c r="L277" s="7"/>
      <c r="M277" s="7"/>
    </row>
    <row r="278" spans="2:13" x14ac:dyDescent="0.2">
      <c r="B278" s="8">
        <v>41084</v>
      </c>
      <c r="C278" s="9">
        <v>1.23821E-5</v>
      </c>
      <c r="D278" s="8" t="s">
        <v>1035</v>
      </c>
      <c r="E278" s="1">
        <f>VLOOKUP(B278,Nuclides!A:D,4,FALSE)</f>
        <v>9.8000000000000007</v>
      </c>
      <c r="F278" s="7"/>
      <c r="G278" s="1"/>
      <c r="H278" s="1"/>
      <c r="K278" s="8"/>
      <c r="L278" s="7"/>
      <c r="M278" s="7"/>
    </row>
    <row r="279" spans="2:13" x14ac:dyDescent="0.2">
      <c r="B279" s="8">
        <v>41085</v>
      </c>
      <c r="C279" s="9">
        <v>3.6280600000000002E-6</v>
      </c>
      <c r="D279" s="8" t="s">
        <v>1036</v>
      </c>
      <c r="E279" s="1">
        <f>VLOOKUP(B279,Nuclides!A:D,4,FALSE)</f>
        <v>20.5</v>
      </c>
      <c r="F279" s="7"/>
      <c r="G279" s="1"/>
      <c r="H279" s="1"/>
      <c r="K279" s="8"/>
      <c r="L279" s="7"/>
      <c r="M279" s="7"/>
    </row>
    <row r="280" spans="2:13" x14ac:dyDescent="0.2">
      <c r="B280" s="8">
        <v>41086</v>
      </c>
      <c r="C280" s="9">
        <v>7.1531000000000002E-7</v>
      </c>
      <c r="D280" s="8" t="s">
        <v>1037</v>
      </c>
      <c r="E280" s="1">
        <f>VLOOKUP(B280,Nuclides!A:D,4,FALSE)</f>
        <v>88</v>
      </c>
      <c r="F280" s="7"/>
      <c r="G280" s="1"/>
      <c r="H280" s="1"/>
      <c r="K280" s="8"/>
      <c r="L280" s="7"/>
      <c r="M280" s="7"/>
    </row>
    <row r="281" spans="2:13" x14ac:dyDescent="0.2">
      <c r="B281" s="8">
        <v>41087</v>
      </c>
      <c r="C281" s="9">
        <v>1.42252E-7</v>
      </c>
      <c r="D281" s="8" t="s">
        <v>1038</v>
      </c>
      <c r="E281" s="1">
        <f>VLOOKUP(B281,Nuclides!A:D,4,FALSE)</f>
        <v>222</v>
      </c>
      <c r="F281" s="7"/>
      <c r="G281" s="1"/>
      <c r="H281" s="1"/>
      <c r="K281" s="8"/>
      <c r="L281" s="7"/>
      <c r="M281" s="7"/>
    </row>
    <row r="282" spans="2:13" x14ac:dyDescent="0.2">
      <c r="B282" s="8">
        <v>41088</v>
      </c>
      <c r="C282" s="9">
        <v>3.0711999999999997E-8</v>
      </c>
      <c r="D282" s="8" t="s">
        <v>1039</v>
      </c>
      <c r="E282" s="1">
        <f>VLOOKUP(B282,Nuclides!A:D,4,FALSE)</f>
        <v>873</v>
      </c>
      <c r="F282" s="7"/>
      <c r="G282" s="1"/>
      <c r="H282" s="1"/>
      <c r="K282" s="8"/>
      <c r="L282" s="7"/>
      <c r="M282" s="7"/>
    </row>
    <row r="283" spans="2:13" x14ac:dyDescent="0.2">
      <c r="B283" s="8">
        <v>41089</v>
      </c>
      <c r="C283" s="9">
        <v>1.10284E-8</v>
      </c>
      <c r="D283" s="8" t="s">
        <v>1040</v>
      </c>
      <c r="E283" s="1">
        <f>VLOOKUP(B283,Nuclides!A:D,4,FALSE)</f>
        <v>7307.99999999999</v>
      </c>
      <c r="F283" s="7"/>
      <c r="G283" s="1"/>
      <c r="H283" s="1"/>
      <c r="K283" s="8"/>
      <c r="L283" s="7"/>
      <c r="M283" s="7"/>
    </row>
    <row r="284" spans="2:13" x14ac:dyDescent="0.2">
      <c r="B284" s="8">
        <v>41090</v>
      </c>
      <c r="C284" s="9">
        <v>2.9316000000000001E-9</v>
      </c>
      <c r="D284" s="8" t="s">
        <v>1041</v>
      </c>
      <c r="E284" s="1">
        <f>VLOOKUP(B284,Nuclides!A:D,4,FALSE)</f>
        <v>52560</v>
      </c>
      <c r="F284" s="7"/>
      <c r="G284" s="1"/>
      <c r="H284" s="1"/>
      <c r="K284" s="8"/>
      <c r="L284" s="7"/>
      <c r="M284" s="7"/>
    </row>
    <row r="285" spans="2:13" x14ac:dyDescent="0.2">
      <c r="B285" s="8">
        <v>41091</v>
      </c>
      <c r="C285" s="9">
        <v>1.047E-9</v>
      </c>
      <c r="D285" s="8" t="s">
        <v>1042</v>
      </c>
      <c r="E285" s="1">
        <f>VLOOKUP(B285,Nuclides!A:D,4,FALSE)</f>
        <v>21459168000</v>
      </c>
      <c r="F285" s="7"/>
      <c r="G285" s="1"/>
      <c r="H285" s="1"/>
      <c r="K285" s="8"/>
      <c r="L285" s="7"/>
      <c r="M285" s="7"/>
    </row>
    <row r="286" spans="2:13" x14ac:dyDescent="0.2">
      <c r="B286" s="8">
        <v>41092</v>
      </c>
      <c r="C286" s="9">
        <v>5.5839999999999995E-10</v>
      </c>
      <c r="D286" s="8" t="s">
        <v>1043</v>
      </c>
      <c r="E286" s="1">
        <f>VLOOKUP(B286,Nuclides!A:D,4,FALSE)</f>
        <v>1095048720000000</v>
      </c>
      <c r="F286" s="7"/>
      <c r="G286" s="1"/>
      <c r="H286" s="1"/>
      <c r="K286" s="8"/>
      <c r="L286" s="7"/>
      <c r="M286" s="7"/>
    </row>
    <row r="287" spans="2:13" hidden="1" x14ac:dyDescent="0.2">
      <c r="B287" s="8">
        <v>41093</v>
      </c>
      <c r="C287" s="9">
        <v>1.047E-9</v>
      </c>
      <c r="D287" s="8" t="s">
        <v>1044</v>
      </c>
      <c r="E287" s="1" t="str">
        <f>VLOOKUP(B287,Nuclides!A:D,4,FALSE)</f>
        <v>STABLE</v>
      </c>
      <c r="F287" s="7"/>
      <c r="G287" s="1"/>
      <c r="H287" s="1"/>
      <c r="K287" s="8"/>
      <c r="L287" s="7"/>
      <c r="M287" s="7"/>
    </row>
    <row r="288" spans="2:13" x14ac:dyDescent="0.2">
      <c r="B288" s="8">
        <v>41094</v>
      </c>
      <c r="C288" s="9">
        <v>9.4928000000000001E-9</v>
      </c>
      <c r="D288" s="8" t="s">
        <v>1045</v>
      </c>
      <c r="E288" s="1">
        <f>VLOOKUP(B288,Nuclides!A:D,4,FALSE)</f>
        <v>640619280000</v>
      </c>
      <c r="F288" s="7"/>
      <c r="G288" s="1"/>
      <c r="H288" s="1"/>
      <c r="K288" s="8"/>
      <c r="L288" s="7"/>
      <c r="M288" s="7"/>
    </row>
    <row r="289" spans="2:13" x14ac:dyDescent="0.2">
      <c r="B289" s="8">
        <v>41095</v>
      </c>
      <c r="C289" s="9">
        <v>5.4444000000000001E-8</v>
      </c>
      <c r="D289" s="8" t="s">
        <v>1046</v>
      </c>
      <c r="E289" s="1">
        <f>VLOOKUP(B289,Nuclides!A:D,4,FALSE)</f>
        <v>3023222.4</v>
      </c>
      <c r="F289" s="7"/>
      <c r="G289" s="1"/>
      <c r="H289" s="1"/>
      <c r="K289" s="8"/>
      <c r="L289" s="7"/>
      <c r="M289" s="7"/>
    </row>
    <row r="290" spans="2:13" x14ac:dyDescent="0.2">
      <c r="B290" s="8">
        <v>41096</v>
      </c>
      <c r="C290" s="9">
        <v>2.5281600000000001E-7</v>
      </c>
      <c r="D290" s="8" t="s">
        <v>1047</v>
      </c>
      <c r="E290" s="1">
        <f>VLOOKUP(B290,Nuclides!A:D,4,FALSE)</f>
        <v>84060</v>
      </c>
      <c r="F290" s="7"/>
      <c r="G290" s="1"/>
      <c r="H290" s="1"/>
      <c r="K290" s="8"/>
      <c r="L290" s="7"/>
      <c r="M290" s="7"/>
    </row>
    <row r="291" spans="2:13" x14ac:dyDescent="0.2">
      <c r="B291" s="8">
        <v>41097</v>
      </c>
      <c r="C291" s="9">
        <v>1.08365E-6</v>
      </c>
      <c r="D291" s="8" t="s">
        <v>1048</v>
      </c>
      <c r="E291" s="1">
        <f>VLOOKUP(B291,Nuclides!A:D,4,FALSE)</f>
        <v>4326</v>
      </c>
      <c r="F291" s="7"/>
      <c r="G291" s="1"/>
      <c r="H291" s="1"/>
      <c r="K291" s="8"/>
      <c r="L291" s="7"/>
      <c r="M291" s="7"/>
    </row>
    <row r="292" spans="2:13" x14ac:dyDescent="0.2">
      <c r="B292" s="8">
        <v>41098</v>
      </c>
      <c r="C292" s="9">
        <v>3.5865299999999999E-6</v>
      </c>
      <c r="D292" s="8" t="s">
        <v>1049</v>
      </c>
      <c r="E292" s="1">
        <f>VLOOKUP(B292,Nuclides!A:D,4,FALSE)</f>
        <v>2.86</v>
      </c>
      <c r="F292" s="7"/>
      <c r="G292" s="1"/>
      <c r="H292" s="1"/>
      <c r="K292" s="8"/>
      <c r="L292" s="7"/>
      <c r="M292" s="7"/>
    </row>
    <row r="293" spans="2:13" x14ac:dyDescent="0.2">
      <c r="B293" s="8">
        <v>41099</v>
      </c>
      <c r="C293" s="9">
        <v>1.1817100000000001E-5</v>
      </c>
      <c r="D293" s="8" t="s">
        <v>1050</v>
      </c>
      <c r="E293" s="1">
        <f>VLOOKUP(B293,Nuclides!A:D,4,FALSE)</f>
        <v>15</v>
      </c>
      <c r="F293" s="7"/>
      <c r="G293" s="1"/>
      <c r="H293" s="1"/>
      <c r="K293" s="8"/>
      <c r="L293" s="7"/>
      <c r="M293" s="7"/>
    </row>
    <row r="294" spans="2:13" x14ac:dyDescent="0.2">
      <c r="B294" s="8">
        <v>41100</v>
      </c>
      <c r="C294" s="9">
        <v>2.34096E-5</v>
      </c>
      <c r="D294" s="8" t="s">
        <v>1051</v>
      </c>
      <c r="E294" s="1">
        <f>VLOOKUP(B294,Nuclides!A:D,4,FALSE)</f>
        <v>1.5</v>
      </c>
      <c r="F294" s="7"/>
      <c r="G294" s="1"/>
      <c r="H294" s="1"/>
      <c r="K294" s="8"/>
      <c r="L294" s="7"/>
      <c r="M294" s="7"/>
    </row>
    <row r="295" spans="2:13" x14ac:dyDescent="0.2">
      <c r="B295" s="8">
        <v>41101</v>
      </c>
      <c r="C295" s="9">
        <v>4.60276E-5</v>
      </c>
      <c r="D295" s="8" t="s">
        <v>1052</v>
      </c>
      <c r="E295" s="1">
        <f>VLOOKUP(B295,Nuclides!A:D,4,FALSE)</f>
        <v>7.1</v>
      </c>
      <c r="F295" s="7"/>
      <c r="G295" s="1"/>
      <c r="H295" s="1"/>
      <c r="K295" s="8"/>
      <c r="L295" s="7"/>
      <c r="M295" s="7"/>
    </row>
    <row r="296" spans="2:13" x14ac:dyDescent="0.2">
      <c r="B296" s="8">
        <v>41102</v>
      </c>
      <c r="C296" s="9">
        <v>4.4322E-5</v>
      </c>
      <c r="D296" s="8" t="s">
        <v>1053</v>
      </c>
      <c r="E296" s="1">
        <f>VLOOKUP(B296,Nuclides!A:D,4,FALSE)</f>
        <v>4.3</v>
      </c>
      <c r="F296" s="7"/>
      <c r="G296" s="1"/>
      <c r="H296" s="1"/>
      <c r="K296" s="8"/>
      <c r="L296" s="7"/>
      <c r="M296" s="7"/>
    </row>
    <row r="297" spans="2:13" x14ac:dyDescent="0.2">
      <c r="B297" s="8">
        <v>41103</v>
      </c>
      <c r="C297" s="9">
        <v>3.9722999999999999E-5</v>
      </c>
      <c r="D297" s="8" t="s">
        <v>1054</v>
      </c>
      <c r="E297" s="1">
        <f>VLOOKUP(B297,Nuclides!A:D,4,FALSE)</f>
        <v>1.5</v>
      </c>
      <c r="F297" s="7"/>
      <c r="G297" s="1"/>
      <c r="H297" s="1"/>
      <c r="K297" s="8"/>
      <c r="L297" s="7"/>
      <c r="M297" s="7"/>
    </row>
    <row r="298" spans="2:13" x14ac:dyDescent="0.2">
      <c r="B298" s="8">
        <v>41104</v>
      </c>
      <c r="C298" s="9">
        <v>1.87679E-5</v>
      </c>
      <c r="D298" s="8" t="s">
        <v>1055</v>
      </c>
      <c r="E298" s="1">
        <f>VLOOKUP(B298,Nuclides!A:D,4,FALSE)</f>
        <v>4.9000000000000004</v>
      </c>
      <c r="F298" s="7"/>
      <c r="G298" s="1"/>
      <c r="H298" s="1"/>
      <c r="K298" s="8"/>
      <c r="L298" s="7"/>
      <c r="M298" s="7"/>
    </row>
    <row r="299" spans="2:13" x14ac:dyDescent="0.2">
      <c r="B299" s="8">
        <v>41105</v>
      </c>
      <c r="C299" s="9">
        <v>8.94752E-6</v>
      </c>
      <c r="D299" s="8" t="s">
        <v>1056</v>
      </c>
      <c r="E299" s="1">
        <f>VLOOKUP(B299,Nuclides!A:D,4,FALSE)</f>
        <v>2.95</v>
      </c>
      <c r="F299" s="7"/>
      <c r="G299" s="1"/>
      <c r="H299" s="1"/>
      <c r="K299" s="8"/>
      <c r="L299" s="7"/>
      <c r="M299" s="7"/>
    </row>
    <row r="300" spans="2:13" x14ac:dyDescent="0.2">
      <c r="B300" s="8">
        <v>41106</v>
      </c>
      <c r="C300" s="9">
        <v>2.97034E-6</v>
      </c>
      <c r="D300" s="8" t="s">
        <v>1057</v>
      </c>
      <c r="E300" s="1">
        <f>VLOOKUP(B300,Nuclides!A:D,4,FALSE)</f>
        <v>1.02</v>
      </c>
      <c r="F300" s="7"/>
      <c r="G300" s="1"/>
      <c r="H300" s="1"/>
      <c r="K300" s="8"/>
      <c r="L300" s="7"/>
      <c r="M300" s="7"/>
    </row>
    <row r="301" spans="2:13" x14ac:dyDescent="0.2">
      <c r="B301" s="8">
        <v>42087</v>
      </c>
      <c r="C301" s="9">
        <v>1.3649400000000001E-6</v>
      </c>
      <c r="D301" s="8" t="s">
        <v>1073</v>
      </c>
      <c r="E301" s="1">
        <f>VLOOKUP(B301,Nuclides!A:D,4,FALSE)</f>
        <v>14.02</v>
      </c>
      <c r="F301" s="7"/>
      <c r="G301" s="1"/>
      <c r="H301" s="1"/>
      <c r="K301" s="8"/>
      <c r="L301" s="7"/>
      <c r="M301" s="7"/>
    </row>
    <row r="302" spans="2:13" x14ac:dyDescent="0.2">
      <c r="B302" s="8">
        <v>42088</v>
      </c>
      <c r="C302" s="9">
        <v>4.94324E-7</v>
      </c>
      <c r="D302" s="8" t="s">
        <v>1074</v>
      </c>
      <c r="E302" s="1">
        <f>VLOOKUP(B302,Nuclides!A:D,4,FALSE)</f>
        <v>480</v>
      </c>
      <c r="F302" s="7"/>
      <c r="G302" s="1"/>
      <c r="H302" s="1"/>
      <c r="K302" s="8"/>
      <c r="L302" s="7"/>
      <c r="M302" s="7"/>
    </row>
    <row r="303" spans="2:13" x14ac:dyDescent="0.2">
      <c r="B303" s="8">
        <v>42089</v>
      </c>
      <c r="C303" s="9">
        <v>2.0577E-7</v>
      </c>
      <c r="D303" s="8" t="s">
        <v>1075</v>
      </c>
      <c r="E303" s="1">
        <f>VLOOKUP(B303,Nuclides!A:D,4,FALSE)</f>
        <v>126.6</v>
      </c>
      <c r="F303" s="7"/>
      <c r="G303" s="1"/>
      <c r="H303" s="1"/>
      <c r="K303" s="8"/>
      <c r="L303" s="7"/>
      <c r="M303" s="7"/>
    </row>
    <row r="304" spans="2:13" x14ac:dyDescent="0.2">
      <c r="B304" s="8">
        <v>42090</v>
      </c>
      <c r="C304" s="9">
        <v>6.4774400000000003E-8</v>
      </c>
      <c r="D304" s="8" t="s">
        <v>1076</v>
      </c>
      <c r="E304" s="1">
        <f>VLOOKUP(B304,Nuclides!A:D,4,FALSE)</f>
        <v>20016</v>
      </c>
      <c r="F304" s="7"/>
      <c r="G304" s="1"/>
      <c r="H304" s="1"/>
      <c r="K304" s="8"/>
      <c r="L304" s="7"/>
      <c r="M304" s="7"/>
    </row>
    <row r="305" spans="2:13" x14ac:dyDescent="0.2">
      <c r="B305" s="8">
        <v>42091</v>
      </c>
      <c r="C305" s="9">
        <v>2.3034E-8</v>
      </c>
      <c r="D305" s="8" t="s">
        <v>1077</v>
      </c>
      <c r="E305" s="1">
        <f>VLOOKUP(B305,Nuclides!A:D,4,FALSE)</f>
        <v>929.4</v>
      </c>
      <c r="F305" s="7"/>
      <c r="G305" s="1"/>
      <c r="H305" s="1"/>
      <c r="K305" s="8"/>
      <c r="L305" s="7"/>
      <c r="M305" s="7"/>
    </row>
    <row r="306" spans="2:13" hidden="1" x14ac:dyDescent="0.2">
      <c r="B306" s="8">
        <v>42092</v>
      </c>
      <c r="C306" s="9">
        <v>6.9102000000000004E-9</v>
      </c>
      <c r="D306" s="8" t="s">
        <v>1078</v>
      </c>
      <c r="E306" s="1" t="str">
        <f>VLOOKUP(B306,Nuclides!A:D,4,FALSE)</f>
        <v>STABLE</v>
      </c>
      <c r="F306" s="7"/>
      <c r="G306" s="1"/>
      <c r="H306" s="1"/>
      <c r="K306" s="8"/>
      <c r="L306" s="7"/>
      <c r="M306" s="7"/>
    </row>
    <row r="307" spans="2:13" x14ac:dyDescent="0.2">
      <c r="B307" s="8">
        <v>42093</v>
      </c>
      <c r="C307" s="9">
        <v>2.2335999999999998E-9</v>
      </c>
      <c r="D307" s="8" t="s">
        <v>1079</v>
      </c>
      <c r="E307" s="1">
        <f>VLOOKUP(B307,Nuclides!A:D,4,FALSE)</f>
        <v>126230400000</v>
      </c>
      <c r="F307" s="7"/>
      <c r="G307" s="1"/>
      <c r="H307" s="1"/>
      <c r="K307" s="8"/>
      <c r="L307" s="7"/>
      <c r="M307" s="7"/>
    </row>
    <row r="308" spans="2:13" hidden="1" x14ac:dyDescent="0.2">
      <c r="B308" s="8">
        <v>42094</v>
      </c>
      <c r="C308" s="9">
        <v>6.9799999999999997E-10</v>
      </c>
      <c r="D308" s="8" t="s">
        <v>1080</v>
      </c>
      <c r="E308" s="1" t="str">
        <f>VLOOKUP(B308,Nuclides!A:D,4,FALSE)</f>
        <v>STABLE</v>
      </c>
      <c r="F308" s="7"/>
      <c r="G308" s="1"/>
      <c r="H308" s="1"/>
      <c r="K308" s="8"/>
      <c r="L308" s="7"/>
      <c r="M308" s="7"/>
    </row>
    <row r="309" spans="2:13" hidden="1" x14ac:dyDescent="0.2">
      <c r="B309" s="8">
        <v>42095</v>
      </c>
      <c r="C309" s="9">
        <v>1.1167999999999999E-9</v>
      </c>
      <c r="D309" s="8" t="s">
        <v>1081</v>
      </c>
      <c r="E309" s="1" t="str">
        <f>VLOOKUP(B309,Nuclides!A:D,4,FALSE)</f>
        <v>STABLE</v>
      </c>
      <c r="F309" s="7"/>
      <c r="G309" s="1"/>
      <c r="H309" s="1"/>
      <c r="K309" s="8"/>
      <c r="L309" s="7"/>
      <c r="M309" s="7"/>
    </row>
    <row r="310" spans="2:13" hidden="1" x14ac:dyDescent="0.2">
      <c r="B310" s="8">
        <v>42096</v>
      </c>
      <c r="C310" s="9">
        <v>5.3048000000000001E-9</v>
      </c>
      <c r="D310" s="8" t="s">
        <v>1082</v>
      </c>
      <c r="E310" s="1" t="str">
        <f>VLOOKUP(B310,Nuclides!A:D,4,FALSE)</f>
        <v>STABLE</v>
      </c>
      <c r="F310" s="7"/>
      <c r="G310" s="1"/>
      <c r="H310" s="1"/>
      <c r="K310" s="8"/>
      <c r="L310" s="7"/>
      <c r="M310" s="7"/>
    </row>
    <row r="311" spans="2:13" hidden="1" x14ac:dyDescent="0.2">
      <c r="B311" s="8">
        <v>42097</v>
      </c>
      <c r="C311" s="9">
        <v>2.6663600000000001E-8</v>
      </c>
      <c r="D311" s="8" t="s">
        <v>1083</v>
      </c>
      <c r="E311" s="1" t="str">
        <f>VLOOKUP(B311,Nuclides!A:D,4,FALSE)</f>
        <v>STABLE</v>
      </c>
      <c r="F311" s="7"/>
      <c r="G311" s="1"/>
      <c r="H311" s="1"/>
      <c r="K311" s="8"/>
      <c r="L311" s="7"/>
      <c r="M311" s="7"/>
    </row>
    <row r="312" spans="2:13" hidden="1" x14ac:dyDescent="0.2">
      <c r="B312" s="8">
        <v>42098</v>
      </c>
      <c r="C312" s="9">
        <v>1.3778500000000001E-7</v>
      </c>
      <c r="D312" s="8" t="s">
        <v>1084</v>
      </c>
      <c r="E312" s="1" t="str">
        <f>VLOOKUP(B312,Nuclides!A:D,4,FALSE)</f>
        <v>STABLE</v>
      </c>
      <c r="F312" s="7"/>
      <c r="G312" s="1"/>
      <c r="H312" s="1"/>
      <c r="K312" s="8"/>
      <c r="L312" s="7"/>
      <c r="M312" s="7"/>
    </row>
    <row r="313" spans="2:13" x14ac:dyDescent="0.2">
      <c r="B313" s="8">
        <v>42099</v>
      </c>
      <c r="C313" s="9">
        <v>5.6489100000000005E-7</v>
      </c>
      <c r="D313" s="8" t="s">
        <v>1085</v>
      </c>
      <c r="E313" s="1">
        <f>VLOOKUP(B313,Nuclides!A:D,4,FALSE)</f>
        <v>237513.60000000001</v>
      </c>
      <c r="F313" s="7"/>
      <c r="G313" s="1"/>
      <c r="H313" s="1"/>
      <c r="K313" s="8"/>
      <c r="L313" s="7"/>
      <c r="M313" s="7"/>
    </row>
    <row r="314" spans="2:13" x14ac:dyDescent="0.2">
      <c r="B314" s="8">
        <v>42100</v>
      </c>
      <c r="C314" s="9">
        <v>1.9744300000000001E-6</v>
      </c>
      <c r="D314" s="8" t="s">
        <v>1086</v>
      </c>
      <c r="E314" s="1">
        <f>VLOOKUP(B314,Nuclides!A:D,4,FALSE)</f>
        <v>2.3037048000000002E+26</v>
      </c>
      <c r="F314" s="7"/>
      <c r="G314" s="1"/>
      <c r="H314" s="1"/>
      <c r="K314" s="8"/>
      <c r="L314" s="7"/>
      <c r="M314" s="7"/>
    </row>
    <row r="315" spans="2:13" x14ac:dyDescent="0.2">
      <c r="B315" s="8">
        <v>42101</v>
      </c>
      <c r="C315" s="9">
        <v>5.4125700000000001E-6</v>
      </c>
      <c r="D315" s="8" t="s">
        <v>1087</v>
      </c>
      <c r="E315" s="1">
        <f>VLOOKUP(B315,Nuclides!A:D,4,FALSE)</f>
        <v>876.599999999999</v>
      </c>
      <c r="F315" s="7"/>
      <c r="G315" s="1"/>
      <c r="H315" s="1"/>
      <c r="K315" s="8"/>
      <c r="L315" s="7"/>
      <c r="M315" s="7"/>
    </row>
    <row r="316" spans="2:13" x14ac:dyDescent="0.2">
      <c r="B316" s="8">
        <v>42102</v>
      </c>
      <c r="C316" s="9">
        <v>1.28553E-5</v>
      </c>
      <c r="D316" s="8" t="s">
        <v>1088</v>
      </c>
      <c r="E316" s="1">
        <f>VLOOKUP(B316,Nuclides!A:D,4,FALSE)</f>
        <v>678</v>
      </c>
      <c r="F316" s="7"/>
      <c r="G316" s="1"/>
      <c r="H316" s="1"/>
      <c r="K316" s="8"/>
      <c r="L316" s="7"/>
      <c r="M316" s="7"/>
    </row>
    <row r="317" spans="2:13" x14ac:dyDescent="0.2">
      <c r="B317" s="8">
        <v>42103</v>
      </c>
      <c r="C317" s="9">
        <v>2.0372699999999999E-5</v>
      </c>
      <c r="D317" s="8" t="s">
        <v>1089</v>
      </c>
      <c r="E317" s="1">
        <f>VLOOKUP(B317,Nuclides!A:D,4,FALSE)</f>
        <v>67.5</v>
      </c>
      <c r="F317" s="7"/>
      <c r="G317" s="1"/>
      <c r="H317" s="1"/>
      <c r="K317" s="8"/>
      <c r="L317" s="7"/>
      <c r="M317" s="7"/>
    </row>
    <row r="318" spans="2:13" x14ac:dyDescent="0.2">
      <c r="B318" s="8">
        <v>42104</v>
      </c>
      <c r="C318" s="9">
        <v>2.5771599999999999E-5</v>
      </c>
      <c r="D318" s="8" t="s">
        <v>1090</v>
      </c>
      <c r="E318" s="1">
        <f>VLOOKUP(B318,Nuclides!A:D,4,FALSE)</f>
        <v>60</v>
      </c>
      <c r="F318" s="7"/>
      <c r="G318" s="1"/>
      <c r="H318" s="1"/>
      <c r="K318" s="8"/>
      <c r="L318" s="7"/>
      <c r="M318" s="7"/>
    </row>
    <row r="319" spans="2:13" x14ac:dyDescent="0.2">
      <c r="B319" s="8">
        <v>42105</v>
      </c>
      <c r="C319" s="9">
        <v>2.09034E-5</v>
      </c>
      <c r="D319" s="8" t="s">
        <v>1091</v>
      </c>
      <c r="E319" s="1">
        <f>VLOOKUP(B319,Nuclides!A:D,4,FALSE)</f>
        <v>35.6</v>
      </c>
      <c r="F319" s="7"/>
      <c r="G319" s="1"/>
      <c r="H319" s="1"/>
      <c r="K319" s="8"/>
      <c r="L319" s="7"/>
      <c r="M319" s="7"/>
    </row>
    <row r="320" spans="2:13" x14ac:dyDescent="0.2">
      <c r="B320" s="8">
        <v>42106</v>
      </c>
      <c r="C320" s="9">
        <v>1.37088E-5</v>
      </c>
      <c r="D320" s="8" t="s">
        <v>1092</v>
      </c>
      <c r="E320" s="1">
        <f>VLOOKUP(B320,Nuclides!A:D,4,FALSE)</f>
        <v>8.73</v>
      </c>
      <c r="F320" s="7"/>
      <c r="G320" s="1"/>
      <c r="H320" s="1"/>
      <c r="K320" s="8"/>
      <c r="L320" s="7"/>
      <c r="M320" s="7"/>
    </row>
    <row r="321" spans="2:13" x14ac:dyDescent="0.2">
      <c r="B321" s="8">
        <v>42107</v>
      </c>
      <c r="C321" s="9">
        <v>6.7137099999999996E-6</v>
      </c>
      <c r="D321" s="8" t="s">
        <v>1093</v>
      </c>
      <c r="E321" s="1">
        <f>VLOOKUP(B321,Nuclides!A:D,4,FALSE)</f>
        <v>3.5</v>
      </c>
      <c r="F321" s="7"/>
      <c r="G321" s="1"/>
      <c r="H321" s="1"/>
      <c r="K321" s="8"/>
      <c r="L321" s="7"/>
      <c r="M321" s="7"/>
    </row>
    <row r="322" spans="2:13" x14ac:dyDescent="0.2">
      <c r="B322" s="8">
        <v>42108</v>
      </c>
      <c r="C322" s="9">
        <v>3.2891200000000001E-6</v>
      </c>
      <c r="D322" s="8" t="s">
        <v>1094</v>
      </c>
      <c r="E322" s="1">
        <f>VLOOKUP(B322,Nuclides!A:D,4,FALSE)</f>
        <v>1.0900000000000001</v>
      </c>
      <c r="F322" s="7"/>
      <c r="G322" s="1"/>
      <c r="H322" s="1"/>
      <c r="K322" s="8"/>
      <c r="L322" s="7"/>
      <c r="M322" s="7"/>
    </row>
    <row r="323" spans="2:13" x14ac:dyDescent="0.2">
      <c r="B323" s="8">
        <v>43090</v>
      </c>
      <c r="C323" s="9">
        <v>1.40403E-6</v>
      </c>
      <c r="D323" s="8" t="s">
        <v>1110</v>
      </c>
      <c r="E323" s="1">
        <f>VLOOKUP(B323,Nuclides!A:D,4,FALSE)</f>
        <v>8.6999999999999993</v>
      </c>
      <c r="F323" s="7"/>
      <c r="G323" s="1"/>
      <c r="H323" s="1"/>
      <c r="K323" s="8"/>
      <c r="L323" s="7"/>
      <c r="M323" s="7"/>
    </row>
    <row r="324" spans="2:13" x14ac:dyDescent="0.2">
      <c r="B324" s="8">
        <v>43091</v>
      </c>
      <c r="C324" s="9">
        <v>6.1542699999999997E-7</v>
      </c>
      <c r="D324" s="8" t="s">
        <v>1111</v>
      </c>
      <c r="E324" s="1">
        <f>VLOOKUP(B324,Nuclides!A:D,4,FALSE)</f>
        <v>188.4</v>
      </c>
      <c r="F324" s="7"/>
      <c r="G324" s="1"/>
      <c r="H324" s="1"/>
      <c r="K324" s="8"/>
      <c r="L324" s="7"/>
      <c r="M324" s="7"/>
    </row>
    <row r="325" spans="2:13" x14ac:dyDescent="0.2">
      <c r="B325" s="8">
        <v>43092</v>
      </c>
      <c r="C325" s="9">
        <v>2.05352E-7</v>
      </c>
      <c r="D325" s="8" t="s">
        <v>1112</v>
      </c>
      <c r="E325" s="1">
        <f>VLOOKUP(B325,Nuclides!A:D,4,FALSE)</f>
        <v>255</v>
      </c>
      <c r="F325" s="7"/>
      <c r="G325" s="1"/>
      <c r="H325" s="1"/>
      <c r="K325" s="8"/>
      <c r="L325" s="7"/>
      <c r="M325" s="7"/>
    </row>
    <row r="326" spans="2:13" x14ac:dyDescent="0.2">
      <c r="B326" s="8">
        <v>43093</v>
      </c>
      <c r="C326" s="9">
        <v>6.3866999999999999E-8</v>
      </c>
      <c r="D326" s="8" t="s">
        <v>1113</v>
      </c>
      <c r="E326" s="1">
        <f>VLOOKUP(B326,Nuclides!A:D,4,FALSE)</f>
        <v>9900</v>
      </c>
      <c r="F326" s="7"/>
      <c r="G326" s="1"/>
      <c r="H326" s="1"/>
      <c r="K326" s="8"/>
      <c r="L326" s="7"/>
      <c r="M326" s="7"/>
    </row>
    <row r="327" spans="2:13" x14ac:dyDescent="0.2">
      <c r="B327" s="8">
        <v>43094</v>
      </c>
      <c r="C327" s="9">
        <v>1.5355999999999999E-8</v>
      </c>
      <c r="D327" s="8" t="s">
        <v>1114</v>
      </c>
      <c r="E327" s="1">
        <f>VLOOKUP(B327,Nuclides!A:D,4,FALSE)</f>
        <v>17580</v>
      </c>
      <c r="F327" s="7"/>
      <c r="G327" s="1"/>
      <c r="H327" s="1"/>
      <c r="K327" s="8"/>
      <c r="L327" s="7"/>
      <c r="M327" s="7"/>
    </row>
    <row r="328" spans="2:13" x14ac:dyDescent="0.2">
      <c r="B328" s="8">
        <v>43095</v>
      </c>
      <c r="C328" s="9">
        <v>5.1652000000000003E-9</v>
      </c>
      <c r="D328" s="8" t="s">
        <v>1115</v>
      </c>
      <c r="E328" s="1">
        <f>VLOOKUP(B328,Nuclides!A:D,4,FALSE)</f>
        <v>72000</v>
      </c>
      <c r="F328" s="7"/>
      <c r="G328" s="1"/>
      <c r="H328" s="1"/>
      <c r="K328" s="8"/>
      <c r="L328" s="7"/>
      <c r="M328" s="7"/>
    </row>
    <row r="329" spans="2:13" x14ac:dyDescent="0.2">
      <c r="B329" s="8">
        <v>43096</v>
      </c>
      <c r="C329" s="9">
        <v>9.772000000000001E-10</v>
      </c>
      <c r="D329" s="8" t="s">
        <v>1116</v>
      </c>
      <c r="E329" s="1">
        <f>VLOOKUP(B329,Nuclides!A:D,4,FALSE)</f>
        <v>369792</v>
      </c>
      <c r="F329" s="7"/>
      <c r="G329" s="1"/>
      <c r="H329" s="1"/>
      <c r="K329" s="8"/>
      <c r="L329" s="7"/>
      <c r="M329" s="7"/>
    </row>
    <row r="330" spans="2:13" x14ac:dyDescent="0.2">
      <c r="B330" s="8">
        <v>43097</v>
      </c>
      <c r="C330" s="9">
        <v>3.4899999999999998E-10</v>
      </c>
      <c r="D330" s="8" t="s">
        <v>1117</v>
      </c>
      <c r="E330" s="1">
        <f>VLOOKUP(B330,Nuclides!A:D,4,FALSE)</f>
        <v>132857496000000</v>
      </c>
      <c r="F330" s="7"/>
      <c r="G330" s="1"/>
      <c r="H330" s="1"/>
      <c r="K330" s="8"/>
      <c r="L330" s="7"/>
      <c r="M330" s="7"/>
    </row>
    <row r="331" spans="2:13" x14ac:dyDescent="0.2">
      <c r="B331" s="8">
        <v>43098</v>
      </c>
      <c r="C331" s="9">
        <v>4.1879999999999999E-10</v>
      </c>
      <c r="D331" s="8" t="s">
        <v>1118</v>
      </c>
      <c r="E331" s="1">
        <f>VLOOKUP(B331,Nuclides!A:D,4,FALSE)</f>
        <v>132541920000000</v>
      </c>
      <c r="F331" s="7"/>
      <c r="G331" s="1"/>
      <c r="H331" s="1"/>
      <c r="K331" s="8"/>
      <c r="L331" s="7"/>
      <c r="M331" s="7"/>
    </row>
    <row r="332" spans="2:13" x14ac:dyDescent="0.2">
      <c r="B332" s="8">
        <v>43099</v>
      </c>
      <c r="C332" s="9">
        <v>3.8389999999999997E-9</v>
      </c>
      <c r="D332" s="8" t="s">
        <v>1119</v>
      </c>
      <c r="E332" s="1">
        <f>VLOOKUP(B332,Nuclides!A:D,4,FALSE)</f>
        <v>6661809360000</v>
      </c>
      <c r="F332" s="7"/>
      <c r="G332" s="1"/>
      <c r="H332" s="1"/>
      <c r="K332" s="8"/>
      <c r="L332" s="7"/>
      <c r="M332" s="7"/>
    </row>
    <row r="333" spans="2:13" x14ac:dyDescent="0.2">
      <c r="B333" s="8">
        <v>43100</v>
      </c>
      <c r="C333" s="9">
        <v>1.75198E-8</v>
      </c>
      <c r="D333" s="8" t="s">
        <v>1120</v>
      </c>
      <c r="E333" s="1">
        <f>VLOOKUP(B333,Nuclides!A:D,4,FALSE)</f>
        <v>15.46</v>
      </c>
      <c r="F333" s="7"/>
      <c r="G333" s="1"/>
      <c r="H333" s="1"/>
      <c r="K333" s="8"/>
      <c r="L333" s="7"/>
      <c r="M333" s="7"/>
    </row>
    <row r="334" spans="2:13" x14ac:dyDescent="0.2">
      <c r="B334" s="8">
        <v>43101</v>
      </c>
      <c r="C334" s="9">
        <v>8.9204400000000004E-8</v>
      </c>
      <c r="D334" s="8" t="s">
        <v>1121</v>
      </c>
      <c r="E334" s="1">
        <f>VLOOKUP(B334,Nuclides!A:D,4,FALSE)</f>
        <v>841.19999999999902</v>
      </c>
      <c r="F334" s="7"/>
      <c r="G334" s="1"/>
      <c r="H334" s="1"/>
      <c r="K334" s="8"/>
      <c r="L334" s="7"/>
      <c r="M334" s="7"/>
    </row>
    <row r="335" spans="2:13" x14ac:dyDescent="0.2">
      <c r="B335" s="8">
        <v>43102</v>
      </c>
      <c r="C335" s="9">
        <v>3.5444399999999999E-7</v>
      </c>
      <c r="D335" s="8" t="s">
        <v>1122</v>
      </c>
      <c r="E335" s="1">
        <f>VLOOKUP(B335,Nuclides!A:D,4,FALSE)</f>
        <v>5.28</v>
      </c>
      <c r="F335" s="7"/>
      <c r="G335" s="1"/>
      <c r="H335" s="1"/>
      <c r="K335" s="8"/>
      <c r="L335" s="7"/>
      <c r="M335" s="7"/>
    </row>
    <row r="336" spans="2:13" x14ac:dyDescent="0.2">
      <c r="B336" s="8">
        <v>43103</v>
      </c>
      <c r="C336" s="9">
        <v>1.2004899999999999E-6</v>
      </c>
      <c r="D336" s="8" t="s">
        <v>1123</v>
      </c>
      <c r="E336" s="1">
        <f>VLOOKUP(B336,Nuclides!A:D,4,FALSE)</f>
        <v>54.2</v>
      </c>
      <c r="F336" s="7"/>
      <c r="G336" s="1"/>
      <c r="H336" s="1"/>
      <c r="K336" s="8"/>
      <c r="L336" s="7"/>
      <c r="M336" s="7"/>
    </row>
    <row r="337" spans="2:13" x14ac:dyDescent="0.2">
      <c r="B337" s="8">
        <v>43104</v>
      </c>
      <c r="C337" s="9">
        <v>2.31192E-6</v>
      </c>
      <c r="D337" s="8" t="s">
        <v>1124</v>
      </c>
      <c r="E337" s="1">
        <f>VLOOKUP(B337,Nuclides!A:D,4,FALSE)</f>
        <v>1098</v>
      </c>
      <c r="F337" s="7"/>
      <c r="G337" s="1"/>
      <c r="H337" s="1"/>
      <c r="K337" s="8"/>
      <c r="L337" s="7"/>
      <c r="M337" s="7"/>
    </row>
    <row r="338" spans="2:13" x14ac:dyDescent="0.2">
      <c r="B338" s="8">
        <v>43105</v>
      </c>
      <c r="C338" s="9">
        <v>4.2495599999999997E-6</v>
      </c>
      <c r="D338" s="8" t="s">
        <v>1125</v>
      </c>
      <c r="E338" s="1">
        <f>VLOOKUP(B338,Nuclides!A:D,4,FALSE)</f>
        <v>456</v>
      </c>
      <c r="F338" s="7"/>
      <c r="G338" s="1"/>
      <c r="H338" s="1"/>
      <c r="K338" s="8"/>
      <c r="L338" s="7"/>
      <c r="M338" s="7"/>
    </row>
    <row r="339" spans="2:13" x14ac:dyDescent="0.2">
      <c r="B339" s="8">
        <v>43106</v>
      </c>
      <c r="C339" s="9">
        <v>3.7151100000000001E-6</v>
      </c>
      <c r="D339" s="8" t="s">
        <v>1126</v>
      </c>
      <c r="E339" s="1">
        <f>VLOOKUP(B339,Nuclides!A:D,4,FALSE)</f>
        <v>35.6</v>
      </c>
      <c r="F339" s="7"/>
      <c r="G339" s="1"/>
      <c r="H339" s="1"/>
      <c r="K339" s="8"/>
      <c r="L339" s="7"/>
      <c r="M339" s="7"/>
    </row>
    <row r="340" spans="2:13" x14ac:dyDescent="0.2">
      <c r="B340" s="8">
        <v>43107</v>
      </c>
      <c r="C340" s="9">
        <v>3.5595899999999999E-6</v>
      </c>
      <c r="D340" s="8" t="s">
        <v>1127</v>
      </c>
      <c r="E340" s="1">
        <f>VLOOKUP(B340,Nuclides!A:D,4,FALSE)</f>
        <v>21.2</v>
      </c>
      <c r="F340" s="7"/>
      <c r="G340" s="1"/>
      <c r="H340" s="1"/>
      <c r="K340" s="8"/>
      <c r="L340" s="7"/>
      <c r="M340" s="7"/>
    </row>
    <row r="341" spans="2:13" x14ac:dyDescent="0.2">
      <c r="B341" s="8">
        <v>43108</v>
      </c>
      <c r="C341" s="9">
        <v>1.99942E-6</v>
      </c>
      <c r="D341" s="8" t="s">
        <v>1128</v>
      </c>
      <c r="E341" s="1">
        <f>VLOOKUP(B341,Nuclides!A:D,4,FALSE)</f>
        <v>5.17</v>
      </c>
      <c r="F341" s="7"/>
      <c r="G341" s="1"/>
      <c r="H341" s="1"/>
      <c r="K341" s="8"/>
      <c r="L341" s="7"/>
      <c r="M341" s="7"/>
    </row>
    <row r="342" spans="2:13" x14ac:dyDescent="0.2">
      <c r="B342" s="8">
        <v>43109</v>
      </c>
      <c r="C342" s="9">
        <v>1.4637799999999999E-6</v>
      </c>
      <c r="D342" s="8" t="s">
        <v>1129</v>
      </c>
      <c r="E342" s="1">
        <f>VLOOKUP(B342,Nuclides!A:D,4,FALSE)</f>
        <v>0.86</v>
      </c>
      <c r="F342" s="7"/>
      <c r="G342" s="1"/>
      <c r="H342" s="1"/>
      <c r="K342" s="8"/>
      <c r="L342" s="7"/>
      <c r="M342" s="7"/>
    </row>
    <row r="343" spans="2:13" x14ac:dyDescent="0.2">
      <c r="B343" s="8">
        <v>43110</v>
      </c>
      <c r="C343" s="9">
        <v>8.9113699999999999E-7</v>
      </c>
      <c r="D343" s="8" t="s">
        <v>1130</v>
      </c>
      <c r="E343" s="1">
        <f>VLOOKUP(B343,Nuclides!A:D,4,FALSE)</f>
        <v>0.92</v>
      </c>
      <c r="F343" s="7"/>
      <c r="G343" s="1"/>
      <c r="H343" s="1"/>
      <c r="K343" s="8"/>
      <c r="L343" s="7"/>
      <c r="M343" s="7"/>
    </row>
    <row r="344" spans="2:13" x14ac:dyDescent="0.2">
      <c r="B344" s="8">
        <v>44092</v>
      </c>
      <c r="C344" s="9">
        <v>6.6379800000000005E-7</v>
      </c>
      <c r="D344" s="8" t="s">
        <v>1149</v>
      </c>
      <c r="E344" s="1">
        <f>VLOOKUP(B344,Nuclides!A:D,4,FALSE)</f>
        <v>219</v>
      </c>
      <c r="F344" s="7"/>
      <c r="G344" s="1"/>
      <c r="H344" s="1"/>
      <c r="K344" s="8"/>
      <c r="L344" s="7"/>
      <c r="M344" s="7"/>
    </row>
    <row r="345" spans="2:13" x14ac:dyDescent="0.2">
      <c r="B345" s="8">
        <v>44093</v>
      </c>
      <c r="C345" s="9">
        <v>3.0753899999999999E-7</v>
      </c>
      <c r="D345" s="8" t="s">
        <v>1150</v>
      </c>
      <c r="E345" s="1">
        <f>VLOOKUP(B345,Nuclides!A:D,4,FALSE)</f>
        <v>59.7</v>
      </c>
      <c r="F345" s="7"/>
      <c r="G345" s="1"/>
      <c r="H345" s="1"/>
      <c r="K345" s="8"/>
      <c r="L345" s="7"/>
      <c r="M345" s="7"/>
    </row>
    <row r="346" spans="2:13" x14ac:dyDescent="0.2">
      <c r="B346" s="8">
        <v>44094</v>
      </c>
      <c r="C346" s="9">
        <v>1.8629599999999999E-7</v>
      </c>
      <c r="D346" s="8" t="s">
        <v>1151</v>
      </c>
      <c r="E346" s="1">
        <f>VLOOKUP(B346,Nuclides!A:D,4,FALSE)</f>
        <v>3108</v>
      </c>
      <c r="F346" s="7"/>
      <c r="G346" s="1"/>
      <c r="H346" s="1"/>
      <c r="K346" s="8"/>
      <c r="L346" s="7"/>
      <c r="M346" s="7"/>
    </row>
    <row r="347" spans="2:13" x14ac:dyDescent="0.2">
      <c r="B347" s="8">
        <v>44095</v>
      </c>
      <c r="C347" s="9">
        <v>5.24896E-8</v>
      </c>
      <c r="D347" s="8" t="s">
        <v>1152</v>
      </c>
      <c r="E347" s="1">
        <f>VLOOKUP(B347,Nuclides!A:D,4,FALSE)</f>
        <v>5914.8</v>
      </c>
      <c r="F347" s="7"/>
      <c r="G347" s="1"/>
      <c r="H347" s="1"/>
      <c r="K347" s="8"/>
      <c r="L347" s="7"/>
      <c r="M347" s="7"/>
    </row>
    <row r="348" spans="2:13" hidden="1" x14ac:dyDescent="0.2">
      <c r="B348" s="8">
        <v>44096</v>
      </c>
      <c r="C348" s="9">
        <v>2.0870199999999999E-8</v>
      </c>
      <c r="D348" s="8" t="s">
        <v>1153</v>
      </c>
      <c r="E348" s="1" t="str">
        <f>VLOOKUP(B348,Nuclides!A:D,4,FALSE)</f>
        <v>STABLE</v>
      </c>
      <c r="F348" s="7"/>
      <c r="G348" s="1"/>
      <c r="H348" s="1"/>
      <c r="K348" s="8"/>
      <c r="L348" s="7"/>
      <c r="M348" s="7"/>
    </row>
    <row r="349" spans="2:13" x14ac:dyDescent="0.2">
      <c r="B349" s="8">
        <v>44097</v>
      </c>
      <c r="C349" s="9">
        <v>5.2350000000000002E-9</v>
      </c>
      <c r="D349" s="8" t="s">
        <v>1154</v>
      </c>
      <c r="E349" s="1">
        <f>VLOOKUP(B349,Nuclides!A:D,4,FALSE)</f>
        <v>244512</v>
      </c>
      <c r="F349" s="7"/>
      <c r="G349" s="1"/>
      <c r="H349" s="1"/>
      <c r="K349" s="8"/>
      <c r="L349" s="7"/>
      <c r="M349" s="7"/>
    </row>
    <row r="350" spans="2:13" hidden="1" x14ac:dyDescent="0.2">
      <c r="B350" s="8">
        <v>44098</v>
      </c>
      <c r="C350" s="9">
        <v>1.5355999999999999E-9</v>
      </c>
      <c r="D350" s="8" t="s">
        <v>1155</v>
      </c>
      <c r="E350" s="1" t="str">
        <f>VLOOKUP(B350,Nuclides!A:D,4,FALSE)</f>
        <v>STABLE</v>
      </c>
      <c r="F350" s="7"/>
      <c r="G350" s="1"/>
      <c r="H350" s="1"/>
      <c r="K350" s="8"/>
      <c r="L350" s="7"/>
      <c r="M350" s="7"/>
    </row>
    <row r="351" spans="2:13" hidden="1" x14ac:dyDescent="0.2">
      <c r="B351" s="8">
        <v>44099</v>
      </c>
      <c r="C351" s="9">
        <v>6.9799999999999994E-11</v>
      </c>
      <c r="D351" s="8" t="s">
        <v>1156</v>
      </c>
      <c r="E351" s="1" t="str">
        <f>VLOOKUP(B351,Nuclides!A:D,4,FALSE)</f>
        <v>STABLE</v>
      </c>
      <c r="F351" s="7"/>
      <c r="G351" s="1"/>
      <c r="H351" s="1"/>
      <c r="K351" s="8"/>
      <c r="L351" s="7"/>
      <c r="M351" s="7"/>
    </row>
    <row r="352" spans="2:13" hidden="1" x14ac:dyDescent="0.2">
      <c r="B352" s="8">
        <v>44101</v>
      </c>
      <c r="C352" s="9">
        <v>6.9799999999999997E-10</v>
      </c>
      <c r="D352" s="8" t="s">
        <v>1158</v>
      </c>
      <c r="E352" s="1" t="str">
        <f>VLOOKUP(B352,Nuclides!A:D,4,FALSE)</f>
        <v>STABLE</v>
      </c>
      <c r="F352" s="7"/>
      <c r="G352" s="1"/>
      <c r="H352" s="1"/>
      <c r="K352" s="8"/>
      <c r="L352" s="7"/>
      <c r="M352" s="7"/>
    </row>
    <row r="353" spans="2:13" hidden="1" x14ac:dyDescent="0.2">
      <c r="B353" s="8">
        <v>44102</v>
      </c>
      <c r="C353" s="9">
        <v>2.7222E-9</v>
      </c>
      <c r="D353" s="8" t="s">
        <v>1159</v>
      </c>
      <c r="E353" s="1" t="str">
        <f>VLOOKUP(B353,Nuclides!A:D,4,FALSE)</f>
        <v>STABLE</v>
      </c>
      <c r="F353" s="7"/>
      <c r="G353" s="1"/>
      <c r="H353" s="1"/>
      <c r="K353" s="8"/>
      <c r="L353" s="7"/>
      <c r="M353" s="7"/>
    </row>
    <row r="354" spans="2:13" x14ac:dyDescent="0.2">
      <c r="B354" s="8">
        <v>44103</v>
      </c>
      <c r="C354" s="9">
        <v>1.0190799999999999E-8</v>
      </c>
      <c r="D354" s="8" t="s">
        <v>1160</v>
      </c>
      <c r="E354" s="1">
        <f>VLOOKUP(B354,Nuclides!A:D,4,FALSE)</f>
        <v>3390940.8</v>
      </c>
      <c r="F354" s="7"/>
      <c r="G354" s="1"/>
      <c r="H354" s="1"/>
      <c r="K354" s="8"/>
      <c r="L354" s="7"/>
      <c r="M354" s="7"/>
    </row>
    <row r="355" spans="2:13" hidden="1" x14ac:dyDescent="0.2">
      <c r="B355" s="8">
        <v>44104</v>
      </c>
      <c r="C355" s="9">
        <v>3.8250399999999997E-8</v>
      </c>
      <c r="D355" s="8" t="s">
        <v>1161</v>
      </c>
      <c r="E355" s="1" t="str">
        <f>VLOOKUP(B355,Nuclides!A:D,4,FALSE)</f>
        <v>STABLE</v>
      </c>
      <c r="F355" s="7"/>
      <c r="G355" s="1"/>
      <c r="H355" s="1"/>
      <c r="K355" s="8"/>
      <c r="L355" s="7"/>
      <c r="M355" s="7"/>
    </row>
    <row r="356" spans="2:13" x14ac:dyDescent="0.2">
      <c r="B356" s="8">
        <v>44105</v>
      </c>
      <c r="C356" s="9">
        <v>1.02676E-7</v>
      </c>
      <c r="D356" s="8" t="s">
        <v>1162</v>
      </c>
      <c r="E356" s="1">
        <f>VLOOKUP(B356,Nuclides!A:D,4,FALSE)</f>
        <v>15984</v>
      </c>
      <c r="F356" s="7"/>
      <c r="G356" s="1"/>
      <c r="H356" s="1"/>
      <c r="K356" s="8"/>
      <c r="L356" s="7"/>
      <c r="M356" s="7"/>
    </row>
    <row r="357" spans="2:13" x14ac:dyDescent="0.2">
      <c r="B357" s="8">
        <v>44106</v>
      </c>
      <c r="C357" s="9">
        <v>2.7277799999999998E-7</v>
      </c>
      <c r="D357" s="8" t="s">
        <v>1163</v>
      </c>
      <c r="E357" s="1">
        <f>VLOOKUP(B357,Nuclides!A:D,4,FALSE)</f>
        <v>32123520</v>
      </c>
      <c r="F357" s="7"/>
      <c r="G357" s="1"/>
      <c r="H357" s="1"/>
      <c r="K357" s="8"/>
      <c r="L357" s="7"/>
      <c r="M357" s="7"/>
    </row>
    <row r="358" spans="2:13" x14ac:dyDescent="0.2">
      <c r="B358" s="8">
        <v>44107</v>
      </c>
      <c r="C358" s="9">
        <v>4.65915E-7</v>
      </c>
      <c r="D358" s="8" t="s">
        <v>1164</v>
      </c>
      <c r="E358" s="1">
        <f>VLOOKUP(B358,Nuclides!A:D,4,FALSE)</f>
        <v>225</v>
      </c>
      <c r="F358" s="7"/>
      <c r="G358" s="1"/>
      <c r="H358" s="1"/>
      <c r="K358" s="8"/>
      <c r="L358" s="7"/>
      <c r="M358" s="7"/>
    </row>
    <row r="359" spans="2:13" x14ac:dyDescent="0.2">
      <c r="B359" s="8">
        <v>44108</v>
      </c>
      <c r="C359" s="9">
        <v>8.6021500000000003E-7</v>
      </c>
      <c r="D359" s="8" t="s">
        <v>1165</v>
      </c>
      <c r="E359" s="1">
        <f>VLOOKUP(B359,Nuclides!A:D,4,FALSE)</f>
        <v>273</v>
      </c>
      <c r="F359" s="7"/>
      <c r="G359" s="1"/>
      <c r="H359" s="1"/>
      <c r="K359" s="8"/>
      <c r="L359" s="7"/>
      <c r="M359" s="7"/>
    </row>
    <row r="360" spans="2:13" x14ac:dyDescent="0.2">
      <c r="B360" s="8">
        <v>44109</v>
      </c>
      <c r="C360" s="9">
        <v>9.19057E-7</v>
      </c>
      <c r="D360" s="8" t="s">
        <v>1166</v>
      </c>
      <c r="E360" s="1">
        <f>VLOOKUP(B360,Nuclides!A:D,4,FALSE)</f>
        <v>34.5</v>
      </c>
      <c r="F360" s="7"/>
      <c r="G360" s="1"/>
      <c r="H360" s="1"/>
      <c r="K360" s="8"/>
      <c r="L360" s="7"/>
      <c r="M360" s="7"/>
    </row>
    <row r="361" spans="2:13" x14ac:dyDescent="0.2">
      <c r="B361" s="8">
        <v>44110</v>
      </c>
      <c r="C361" s="9">
        <v>1.2280600000000001E-6</v>
      </c>
      <c r="D361" s="8" t="s">
        <v>1167</v>
      </c>
      <c r="E361" s="1">
        <f>VLOOKUP(B361,Nuclides!A:D,4,FALSE)</f>
        <v>11.6</v>
      </c>
      <c r="F361" s="7"/>
      <c r="G361" s="1"/>
      <c r="H361" s="1"/>
      <c r="K361" s="8"/>
      <c r="L361" s="7"/>
      <c r="M361" s="7"/>
    </row>
    <row r="362" spans="2:13" x14ac:dyDescent="0.2">
      <c r="B362" s="8">
        <v>44111</v>
      </c>
      <c r="C362" s="9">
        <v>1.0775000000000001E-6</v>
      </c>
      <c r="D362" s="8" t="s">
        <v>1168</v>
      </c>
      <c r="E362" s="1">
        <f>VLOOKUP(B362,Nuclides!A:D,4,FALSE)</f>
        <v>2.12</v>
      </c>
      <c r="F362" s="7"/>
      <c r="G362" s="1"/>
      <c r="H362" s="1"/>
      <c r="K362" s="8"/>
      <c r="L362" s="7"/>
      <c r="M362" s="7"/>
    </row>
    <row r="363" spans="2:13" x14ac:dyDescent="0.2">
      <c r="B363" s="8">
        <v>44112</v>
      </c>
      <c r="C363" s="9">
        <v>1.1597300000000001E-6</v>
      </c>
      <c r="D363" s="8" t="s">
        <v>1169</v>
      </c>
      <c r="E363" s="1">
        <f>VLOOKUP(B363,Nuclides!A:D,4,FALSE)</f>
        <v>1.75</v>
      </c>
      <c r="F363" s="7"/>
      <c r="G363" s="1"/>
      <c r="H363" s="1"/>
      <c r="K363" s="8"/>
      <c r="L363" s="7"/>
      <c r="M363" s="7"/>
    </row>
    <row r="364" spans="2:13" x14ac:dyDescent="0.2">
      <c r="B364" s="8">
        <v>44113</v>
      </c>
      <c r="C364" s="9">
        <v>8.3808899999999998E-7</v>
      </c>
      <c r="D364" s="8" t="s">
        <v>1170</v>
      </c>
      <c r="E364" s="1">
        <f>VLOOKUP(B364,Nuclides!A:D,4,FALSE)</f>
        <v>0.8</v>
      </c>
      <c r="F364" s="7"/>
      <c r="G364" s="1"/>
      <c r="H364" s="1"/>
      <c r="K364" s="8"/>
      <c r="L364" s="7"/>
      <c r="M364" s="7"/>
    </row>
    <row r="365" spans="2:13" x14ac:dyDescent="0.2">
      <c r="B365" s="8">
        <v>45094</v>
      </c>
      <c r="C365" s="9">
        <v>6.1375099999999997E-7</v>
      </c>
      <c r="D365" s="8" t="s">
        <v>1187</v>
      </c>
      <c r="E365" s="1">
        <f>VLOOKUP(B365,Nuclides!A:D,4,FALSE)</f>
        <v>66</v>
      </c>
      <c r="F365" s="7"/>
      <c r="G365" s="1"/>
      <c r="H365" s="1"/>
      <c r="K365" s="8"/>
      <c r="L365" s="7"/>
      <c r="M365" s="7"/>
    </row>
    <row r="366" spans="2:13" x14ac:dyDescent="0.2">
      <c r="B366" s="8">
        <v>45095</v>
      </c>
      <c r="C366" s="9">
        <v>3.2254599999999998E-7</v>
      </c>
      <c r="D366" s="8" t="s">
        <v>1188</v>
      </c>
      <c r="E366" s="1">
        <f>VLOOKUP(B366,Nuclides!A:D,4,FALSE)</f>
        <v>301.2</v>
      </c>
      <c r="F366" s="7"/>
      <c r="G366" s="1"/>
      <c r="H366" s="1"/>
      <c r="K366" s="8"/>
      <c r="L366" s="7"/>
      <c r="M366" s="7"/>
    </row>
    <row r="367" spans="2:13" x14ac:dyDescent="0.2">
      <c r="B367" s="8">
        <v>45096</v>
      </c>
      <c r="C367" s="9">
        <v>1.3143300000000001E-7</v>
      </c>
      <c r="D367" s="8" t="s">
        <v>1189</v>
      </c>
      <c r="E367" s="1">
        <f>VLOOKUP(B367,Nuclides!A:D,4,FALSE)</f>
        <v>594</v>
      </c>
      <c r="F367" s="7"/>
      <c r="G367" s="1"/>
      <c r="H367" s="1"/>
      <c r="K367" s="8"/>
      <c r="L367" s="7"/>
      <c r="M367" s="7"/>
    </row>
    <row r="368" spans="2:13" x14ac:dyDescent="0.2">
      <c r="B368" s="8">
        <v>45097</v>
      </c>
      <c r="C368" s="9">
        <v>4.3485399999999997E-8</v>
      </c>
      <c r="D368" s="8" t="s">
        <v>1190</v>
      </c>
      <c r="E368" s="1">
        <f>VLOOKUP(B368,Nuclides!A:D,4,FALSE)</f>
        <v>1842</v>
      </c>
      <c r="F368" s="7"/>
      <c r="G368" s="1"/>
      <c r="H368" s="1"/>
      <c r="K368" s="8"/>
      <c r="L368" s="7"/>
      <c r="M368" s="7"/>
    </row>
    <row r="369" spans="2:13" x14ac:dyDescent="0.2">
      <c r="B369" s="8">
        <v>45098</v>
      </c>
      <c r="C369" s="9">
        <v>1.40996E-8</v>
      </c>
      <c r="D369" s="8" t="s">
        <v>1191</v>
      </c>
      <c r="E369" s="1">
        <f>VLOOKUP(B369,Nuclides!A:D,4,FALSE)</f>
        <v>523.20000000000005</v>
      </c>
      <c r="F369" s="7"/>
      <c r="G369" s="1"/>
      <c r="H369" s="1"/>
      <c r="K369" s="8"/>
      <c r="L369" s="7"/>
      <c r="M369" s="7"/>
    </row>
    <row r="370" spans="2:13" x14ac:dyDescent="0.2">
      <c r="B370" s="8">
        <v>45099</v>
      </c>
      <c r="C370" s="9">
        <v>2.5826000000000002E-9</v>
      </c>
      <c r="D370" s="8" t="s">
        <v>1192</v>
      </c>
      <c r="E370" s="1">
        <f>VLOOKUP(B370,Nuclides!A:D,4,FALSE)</f>
        <v>1391040</v>
      </c>
      <c r="F370" s="7"/>
      <c r="G370" s="1"/>
      <c r="H370" s="1"/>
      <c r="K370" s="8"/>
      <c r="L370" s="7"/>
      <c r="M370" s="7"/>
    </row>
    <row r="371" spans="2:13" x14ac:dyDescent="0.2">
      <c r="B371" s="8">
        <v>45100</v>
      </c>
      <c r="C371" s="9">
        <v>5.5839999999999995E-10</v>
      </c>
      <c r="D371" s="8" t="s">
        <v>1193</v>
      </c>
      <c r="E371" s="1">
        <f>VLOOKUP(B371,Nuclides!A:D,4,FALSE)</f>
        <v>74880</v>
      </c>
      <c r="F371" s="7"/>
      <c r="G371" s="1"/>
      <c r="H371" s="1"/>
      <c r="K371" s="8"/>
      <c r="L371" s="7"/>
      <c r="M371" s="7"/>
    </row>
    <row r="372" spans="2:13" x14ac:dyDescent="0.2">
      <c r="B372" s="8">
        <v>45101</v>
      </c>
      <c r="C372" s="9">
        <v>6.9799999999999994E-11</v>
      </c>
      <c r="D372" s="8" t="s">
        <v>1194</v>
      </c>
      <c r="E372" s="1">
        <f>VLOOKUP(B372,Nuclides!A:D,4,FALSE)</f>
        <v>104140080</v>
      </c>
      <c r="F372" s="7"/>
      <c r="G372" s="1"/>
      <c r="H372" s="1"/>
      <c r="K372" s="8"/>
      <c r="L372" s="7"/>
      <c r="M372" s="7"/>
    </row>
    <row r="373" spans="2:13" x14ac:dyDescent="0.2">
      <c r="B373" s="8">
        <v>45104</v>
      </c>
      <c r="C373" s="9">
        <v>6.9799999999999994E-11</v>
      </c>
      <c r="D373" s="8" t="s">
        <v>1197</v>
      </c>
      <c r="E373" s="1">
        <f>VLOOKUP(B373,Nuclides!A:D,4,FALSE)</f>
        <v>42.3</v>
      </c>
      <c r="F373" s="7"/>
      <c r="G373" s="1"/>
      <c r="H373" s="1"/>
      <c r="K373" s="8"/>
      <c r="L373" s="7"/>
      <c r="M373" s="7"/>
    </row>
    <row r="374" spans="2:13" x14ac:dyDescent="0.2">
      <c r="B374" s="8">
        <v>45105</v>
      </c>
      <c r="C374" s="9">
        <v>6.2819999999999996E-10</v>
      </c>
      <c r="D374" s="8" t="s">
        <v>1198</v>
      </c>
      <c r="E374" s="1">
        <f>VLOOKUP(B374,Nuclides!A:D,4,FALSE)</f>
        <v>127296</v>
      </c>
      <c r="F374" s="7"/>
      <c r="G374" s="1"/>
      <c r="H374" s="1"/>
      <c r="K374" s="8"/>
      <c r="L374" s="7"/>
      <c r="M374" s="7"/>
    </row>
    <row r="375" spans="2:13" x14ac:dyDescent="0.2">
      <c r="B375" s="8">
        <v>45106</v>
      </c>
      <c r="C375" s="9">
        <v>2.0242000000000001E-9</v>
      </c>
      <c r="D375" s="8" t="s">
        <v>1199</v>
      </c>
      <c r="E375" s="1">
        <f>VLOOKUP(B375,Nuclides!A:D,4,FALSE)</f>
        <v>30.07</v>
      </c>
      <c r="F375" s="7"/>
      <c r="G375" s="1"/>
      <c r="H375" s="1"/>
      <c r="K375" s="8"/>
      <c r="L375" s="7"/>
      <c r="M375" s="7"/>
    </row>
    <row r="376" spans="2:13" x14ac:dyDescent="0.2">
      <c r="B376" s="8">
        <v>45107</v>
      </c>
      <c r="C376" s="9">
        <v>1.1307599999999999E-8</v>
      </c>
      <c r="D376" s="8" t="s">
        <v>1200</v>
      </c>
      <c r="E376" s="1">
        <f>VLOOKUP(B376,Nuclides!A:D,4,FALSE)</f>
        <v>1302</v>
      </c>
      <c r="F376" s="7"/>
      <c r="G376" s="1"/>
      <c r="H376" s="1"/>
      <c r="K376" s="8"/>
      <c r="L376" s="7"/>
      <c r="M376" s="7"/>
    </row>
    <row r="377" spans="2:13" x14ac:dyDescent="0.2">
      <c r="B377" s="8">
        <v>45108</v>
      </c>
      <c r="C377" s="9">
        <v>3.5458400000000001E-8</v>
      </c>
      <c r="D377" s="8" t="s">
        <v>1201</v>
      </c>
      <c r="E377" s="1">
        <f>VLOOKUP(B377,Nuclides!A:D,4,FALSE)</f>
        <v>16.8</v>
      </c>
      <c r="F377" s="7"/>
      <c r="G377" s="1"/>
      <c r="H377" s="1"/>
      <c r="K377" s="8"/>
      <c r="L377" s="7"/>
      <c r="M377" s="7"/>
    </row>
    <row r="378" spans="2:13" x14ac:dyDescent="0.2">
      <c r="B378" s="8">
        <v>45109</v>
      </c>
      <c r="C378" s="9">
        <v>1.1845100000000001E-7</v>
      </c>
      <c r="D378" s="8" t="s">
        <v>1202</v>
      </c>
      <c r="E378" s="1">
        <f>VLOOKUP(B378,Nuclides!A:D,4,FALSE)</f>
        <v>80</v>
      </c>
      <c r="F378" s="7"/>
      <c r="G378" s="1"/>
      <c r="H378" s="1"/>
      <c r="K378" s="8"/>
      <c r="L378" s="7"/>
      <c r="M378" s="7"/>
    </row>
    <row r="379" spans="2:13" x14ac:dyDescent="0.2">
      <c r="B379" s="8">
        <v>45110</v>
      </c>
      <c r="C379" s="9">
        <v>2.3075900000000001E-7</v>
      </c>
      <c r="D379" s="8" t="s">
        <v>1203</v>
      </c>
      <c r="E379" s="1">
        <f>VLOOKUP(B379,Nuclides!A:D,4,FALSE)</f>
        <v>28.5</v>
      </c>
      <c r="F379" s="7"/>
      <c r="G379" s="1"/>
      <c r="H379" s="1"/>
      <c r="K379" s="8"/>
      <c r="L379" s="7"/>
      <c r="M379" s="7"/>
    </row>
    <row r="380" spans="2:13" x14ac:dyDescent="0.2">
      <c r="B380" s="8">
        <v>45111</v>
      </c>
      <c r="C380" s="9">
        <v>5.2454700000000004E-7</v>
      </c>
      <c r="D380" s="8" t="s">
        <v>1204</v>
      </c>
      <c r="E380" s="1">
        <f>VLOOKUP(B380,Nuclides!A:D,4,FALSE)</f>
        <v>11</v>
      </c>
      <c r="F380" s="7"/>
      <c r="G380" s="1"/>
      <c r="H380" s="1"/>
      <c r="K380" s="8"/>
      <c r="L380" s="7"/>
      <c r="M380" s="7"/>
    </row>
    <row r="381" spans="2:13" x14ac:dyDescent="0.2">
      <c r="B381" s="8">
        <v>45112</v>
      </c>
      <c r="C381" s="9">
        <v>7.0169899999999996E-7</v>
      </c>
      <c r="D381" s="8" t="s">
        <v>1205</v>
      </c>
      <c r="E381" s="1">
        <f>VLOOKUP(B381,Nuclides!A:D,4,FALSE)</f>
        <v>3.6</v>
      </c>
      <c r="F381" s="7"/>
      <c r="G381" s="1"/>
      <c r="H381" s="1"/>
      <c r="K381" s="8"/>
      <c r="L381" s="7"/>
      <c r="M381" s="7"/>
    </row>
    <row r="382" spans="2:13" x14ac:dyDescent="0.2">
      <c r="B382" s="8">
        <v>45113</v>
      </c>
      <c r="C382" s="9">
        <v>1.12546E-6</v>
      </c>
      <c r="D382" s="8" t="s">
        <v>1206</v>
      </c>
      <c r="E382" s="1">
        <f>VLOOKUP(B382,Nuclides!A:D,4,FALSE)</f>
        <v>2.8</v>
      </c>
      <c r="F382" s="7"/>
      <c r="G382" s="1"/>
      <c r="H382" s="1"/>
      <c r="K382" s="8"/>
      <c r="L382" s="7"/>
      <c r="M382" s="7"/>
    </row>
    <row r="383" spans="2:13" x14ac:dyDescent="0.2">
      <c r="B383" s="8">
        <v>45114</v>
      </c>
      <c r="C383" s="9">
        <v>9.5535299999999997E-7</v>
      </c>
      <c r="D383" s="8" t="s">
        <v>1207</v>
      </c>
      <c r="E383" s="1">
        <f>VLOOKUP(B383,Nuclides!A:D,4,FALSE)</f>
        <v>1.85</v>
      </c>
      <c r="F383" s="7"/>
      <c r="G383" s="1"/>
      <c r="H383" s="1"/>
      <c r="K383" s="8"/>
      <c r="L383" s="7"/>
      <c r="M383" s="7"/>
    </row>
    <row r="384" spans="2:13" x14ac:dyDescent="0.2">
      <c r="B384" s="8">
        <v>46096</v>
      </c>
      <c r="C384" s="9">
        <v>1.01678E-6</v>
      </c>
      <c r="D384" s="8" t="s">
        <v>1226</v>
      </c>
      <c r="E384" s="1">
        <f>VLOOKUP(B384,Nuclides!A:D,4,FALSE)</f>
        <v>122</v>
      </c>
      <c r="F384" s="7"/>
      <c r="G384" s="1"/>
      <c r="H384" s="1"/>
      <c r="K384" s="8"/>
      <c r="L384" s="7"/>
      <c r="M384" s="7"/>
    </row>
    <row r="385" spans="2:13" x14ac:dyDescent="0.2">
      <c r="B385" s="8">
        <v>46097</v>
      </c>
      <c r="C385" s="9">
        <v>6.3483099999999995E-7</v>
      </c>
      <c r="D385" s="8" t="s">
        <v>1227</v>
      </c>
      <c r="E385" s="1">
        <f>VLOOKUP(B385,Nuclides!A:D,4,FALSE)</f>
        <v>186</v>
      </c>
      <c r="F385" s="7"/>
      <c r="G385" s="1"/>
      <c r="H385" s="1"/>
      <c r="K385" s="8"/>
      <c r="L385" s="7"/>
      <c r="M385" s="7"/>
    </row>
    <row r="386" spans="2:13" x14ac:dyDescent="0.2">
      <c r="B386" s="8">
        <v>46098</v>
      </c>
      <c r="C386" s="9">
        <v>4.7254599999999998E-7</v>
      </c>
      <c r="D386" s="8" t="s">
        <v>1228</v>
      </c>
      <c r="E386" s="1">
        <f>VLOOKUP(B386,Nuclides!A:D,4,FALSE)</f>
        <v>1062</v>
      </c>
      <c r="F386" s="7"/>
      <c r="G386" s="1"/>
      <c r="H386" s="1"/>
      <c r="K386" s="8"/>
      <c r="L386" s="7"/>
      <c r="M386" s="7"/>
    </row>
    <row r="387" spans="2:13" x14ac:dyDescent="0.2">
      <c r="B387" s="8">
        <v>46099</v>
      </c>
      <c r="C387" s="9">
        <v>2.3006100000000001E-7</v>
      </c>
      <c r="D387" s="8" t="s">
        <v>1229</v>
      </c>
      <c r="E387" s="1">
        <f>VLOOKUP(B387,Nuclides!A:D,4,FALSE)</f>
        <v>1284</v>
      </c>
      <c r="F387" s="7"/>
      <c r="G387" s="1"/>
      <c r="H387" s="1"/>
      <c r="K387" s="8"/>
      <c r="L387" s="7"/>
      <c r="M387" s="7"/>
    </row>
    <row r="388" spans="2:13" x14ac:dyDescent="0.2">
      <c r="B388" s="8">
        <v>46100</v>
      </c>
      <c r="C388" s="9">
        <v>1.0449100000000001E-7</v>
      </c>
      <c r="D388" s="8" t="s">
        <v>1230</v>
      </c>
      <c r="E388" s="1">
        <f>VLOOKUP(B388,Nuclides!A:D,4,FALSE)</f>
        <v>313632</v>
      </c>
      <c r="F388" s="7"/>
      <c r="G388" s="1"/>
      <c r="H388" s="1"/>
      <c r="K388" s="8"/>
      <c r="L388" s="7"/>
      <c r="M388" s="7"/>
    </row>
    <row r="389" spans="2:13" x14ac:dyDescent="0.2">
      <c r="B389" s="8">
        <v>46101</v>
      </c>
      <c r="C389" s="9">
        <v>3.1898599999999998E-8</v>
      </c>
      <c r="D389" s="8" t="s">
        <v>1231</v>
      </c>
      <c r="E389" s="1">
        <f>VLOOKUP(B389,Nuclides!A:D,4,FALSE)</f>
        <v>30492</v>
      </c>
      <c r="F389" s="7"/>
      <c r="G389" s="1"/>
      <c r="H389" s="1"/>
      <c r="K389" s="8"/>
      <c r="L389" s="7"/>
      <c r="M389" s="7"/>
    </row>
    <row r="390" spans="2:13" hidden="1" x14ac:dyDescent="0.2">
      <c r="B390" s="8">
        <v>46102</v>
      </c>
      <c r="C390" s="9">
        <v>9.8418000000000005E-9</v>
      </c>
      <c r="D390" s="8" t="s">
        <v>1232</v>
      </c>
      <c r="E390" s="1" t="str">
        <f>VLOOKUP(B390,Nuclides!A:D,4,FALSE)</f>
        <v>STABLE</v>
      </c>
      <c r="F390" s="7"/>
      <c r="G390" s="1"/>
      <c r="H390" s="1"/>
      <c r="K390" s="8"/>
      <c r="L390" s="7"/>
      <c r="M390" s="7"/>
    </row>
    <row r="391" spans="2:13" x14ac:dyDescent="0.2">
      <c r="B391" s="8">
        <v>46103</v>
      </c>
      <c r="C391" s="9">
        <v>2.094E-9</v>
      </c>
      <c r="D391" s="8" t="s">
        <v>1233</v>
      </c>
      <c r="E391" s="1">
        <f>VLOOKUP(B391,Nuclides!A:D,4,FALSE)</f>
        <v>1468022.4</v>
      </c>
      <c r="F391" s="7"/>
      <c r="G391" s="1"/>
      <c r="H391" s="1"/>
      <c r="K391" s="8"/>
      <c r="L391" s="7"/>
      <c r="M391" s="7"/>
    </row>
    <row r="392" spans="2:13" hidden="1" x14ac:dyDescent="0.2">
      <c r="B392" s="8">
        <v>46104</v>
      </c>
      <c r="C392" s="9">
        <v>7.6779999999999997E-10</v>
      </c>
      <c r="D392" s="8" t="s">
        <v>1234</v>
      </c>
      <c r="E392" s="1" t="str">
        <f>VLOOKUP(B392,Nuclides!A:D,4,FALSE)</f>
        <v>STABLE</v>
      </c>
      <c r="F392" s="7"/>
      <c r="G392" s="1"/>
      <c r="H392" s="1"/>
      <c r="K392" s="8"/>
      <c r="L392" s="7"/>
      <c r="M392" s="7"/>
    </row>
    <row r="393" spans="2:13" hidden="1" x14ac:dyDescent="0.2">
      <c r="B393" s="8">
        <v>46105</v>
      </c>
      <c r="C393" s="9">
        <v>2.094E-10</v>
      </c>
      <c r="D393" s="8" t="s">
        <v>1235</v>
      </c>
      <c r="E393" s="1" t="str">
        <f>VLOOKUP(B393,Nuclides!A:D,4,FALSE)</f>
        <v>STABLE</v>
      </c>
      <c r="F393" s="7"/>
      <c r="G393" s="1"/>
      <c r="H393" s="1"/>
      <c r="K393" s="8"/>
      <c r="L393" s="7"/>
      <c r="M393" s="7"/>
    </row>
    <row r="394" spans="2:13" x14ac:dyDescent="0.2">
      <c r="B394" s="8">
        <v>46107</v>
      </c>
      <c r="C394" s="9">
        <v>6.9799999999999994E-11</v>
      </c>
      <c r="D394" s="8" t="s">
        <v>1237</v>
      </c>
      <c r="E394" s="1">
        <f>VLOOKUP(B394,Nuclides!A:D,4,FALSE)</f>
        <v>205124400000000</v>
      </c>
      <c r="F394" s="7"/>
      <c r="G394" s="1"/>
      <c r="H394" s="1"/>
      <c r="K394" s="8"/>
      <c r="L394" s="7"/>
      <c r="M394" s="7"/>
    </row>
    <row r="395" spans="2:13" hidden="1" x14ac:dyDescent="0.2">
      <c r="B395" s="8">
        <v>46108</v>
      </c>
      <c r="C395" s="9">
        <v>4.1879999999999999E-10</v>
      </c>
      <c r="D395" s="8" t="s">
        <v>1238</v>
      </c>
      <c r="E395" s="1" t="str">
        <f>VLOOKUP(B395,Nuclides!A:D,4,FALSE)</f>
        <v>STABLE</v>
      </c>
      <c r="F395" s="7"/>
      <c r="G395" s="1"/>
      <c r="H395" s="1"/>
      <c r="K395" s="8"/>
      <c r="L395" s="7"/>
      <c r="M395" s="7"/>
    </row>
    <row r="396" spans="2:13" x14ac:dyDescent="0.2">
      <c r="B396" s="8">
        <v>46109</v>
      </c>
      <c r="C396" s="9">
        <v>2.094E-9</v>
      </c>
      <c r="D396" s="8" t="s">
        <v>1239</v>
      </c>
      <c r="E396" s="1">
        <f>VLOOKUP(B396,Nuclides!A:D,4,FALSE)</f>
        <v>49324.32</v>
      </c>
      <c r="F396" s="7"/>
      <c r="G396" s="1"/>
      <c r="H396" s="1"/>
      <c r="K396" s="8"/>
      <c r="L396" s="7"/>
      <c r="M396" s="7"/>
    </row>
    <row r="397" spans="2:13" hidden="1" x14ac:dyDescent="0.2">
      <c r="B397" s="8">
        <v>46110</v>
      </c>
      <c r="C397" s="9">
        <v>1.6403000000000001E-8</v>
      </c>
      <c r="D397" s="8" t="s">
        <v>1240</v>
      </c>
      <c r="E397" s="1" t="str">
        <f>VLOOKUP(B397,Nuclides!A:D,4,FALSE)</f>
        <v>STABLE</v>
      </c>
      <c r="F397" s="7"/>
      <c r="G397" s="1"/>
      <c r="H397" s="1"/>
      <c r="K397" s="8"/>
      <c r="L397" s="7"/>
      <c r="M397" s="7"/>
    </row>
    <row r="398" spans="2:13" x14ac:dyDescent="0.2">
      <c r="B398" s="8">
        <v>46111</v>
      </c>
      <c r="C398" s="9">
        <v>4.62774E-8</v>
      </c>
      <c r="D398" s="8" t="s">
        <v>1241</v>
      </c>
      <c r="E398" s="1">
        <f>VLOOKUP(B398,Nuclides!A:D,4,FALSE)</f>
        <v>1404</v>
      </c>
      <c r="F398" s="7"/>
      <c r="G398" s="1"/>
      <c r="H398" s="1"/>
      <c r="K398" s="8"/>
      <c r="L398" s="7"/>
      <c r="M398" s="7"/>
    </row>
    <row r="399" spans="2:13" x14ac:dyDescent="0.2">
      <c r="B399" s="8">
        <v>46112</v>
      </c>
      <c r="C399" s="9">
        <v>1.7121899999999999E-7</v>
      </c>
      <c r="D399" s="8" t="s">
        <v>1242</v>
      </c>
      <c r="E399" s="1">
        <f>VLOOKUP(B399,Nuclides!A:D,4,FALSE)</f>
        <v>75744</v>
      </c>
      <c r="F399" s="7"/>
      <c r="G399" s="1"/>
      <c r="H399" s="1"/>
      <c r="K399" s="8"/>
      <c r="L399" s="7"/>
      <c r="M399" s="7"/>
    </row>
    <row r="400" spans="2:13" x14ac:dyDescent="0.2">
      <c r="B400" s="8">
        <v>46113</v>
      </c>
      <c r="C400" s="9">
        <v>3.0083799999999998E-7</v>
      </c>
      <c r="D400" s="8" t="s">
        <v>1243</v>
      </c>
      <c r="E400" s="1">
        <f>VLOOKUP(B400,Nuclides!A:D,4,FALSE)</f>
        <v>93</v>
      </c>
      <c r="F400" s="7"/>
      <c r="G400" s="1"/>
      <c r="H400" s="1"/>
      <c r="K400" s="8"/>
      <c r="L400" s="7"/>
      <c r="M400" s="7"/>
    </row>
    <row r="401" spans="2:13" x14ac:dyDescent="0.2">
      <c r="B401" s="8">
        <v>46114</v>
      </c>
      <c r="C401" s="9">
        <v>6.9681299999999998E-7</v>
      </c>
      <c r="D401" s="8" t="s">
        <v>1244</v>
      </c>
      <c r="E401" s="1">
        <f>VLOOKUP(B401,Nuclides!A:D,4,FALSE)</f>
        <v>145.19999999999999</v>
      </c>
      <c r="F401" s="7"/>
      <c r="G401" s="1"/>
      <c r="H401" s="1"/>
      <c r="K401" s="8"/>
      <c r="L401" s="7"/>
      <c r="M401" s="7"/>
    </row>
    <row r="402" spans="2:13" x14ac:dyDescent="0.2">
      <c r="B402" s="8">
        <v>46115</v>
      </c>
      <c r="C402" s="9">
        <v>8.6586900000000004E-7</v>
      </c>
      <c r="D402" s="8" t="s">
        <v>1245</v>
      </c>
      <c r="E402" s="1">
        <f>VLOOKUP(B402,Nuclides!A:D,4,FALSE)</f>
        <v>25</v>
      </c>
      <c r="F402" s="7"/>
      <c r="G402" s="1"/>
      <c r="H402" s="1"/>
      <c r="K402" s="8"/>
      <c r="L402" s="7"/>
      <c r="M402" s="7"/>
    </row>
    <row r="403" spans="2:13" x14ac:dyDescent="0.2">
      <c r="B403" s="8">
        <v>46116</v>
      </c>
      <c r="C403" s="9">
        <v>1.26596E-6</v>
      </c>
      <c r="D403" s="8" t="s">
        <v>1246</v>
      </c>
      <c r="E403" s="1">
        <f>VLOOKUP(B403,Nuclides!A:D,4,FALSE)</f>
        <v>11.8</v>
      </c>
      <c r="F403" s="7"/>
      <c r="G403" s="1"/>
      <c r="H403" s="1"/>
      <c r="K403" s="8"/>
      <c r="L403" s="7"/>
      <c r="M403" s="7"/>
    </row>
    <row r="404" spans="2:13" x14ac:dyDescent="0.2">
      <c r="B404" s="8">
        <v>46117</v>
      </c>
      <c r="C404" s="9">
        <v>1.0788299999999999E-6</v>
      </c>
      <c r="D404" s="8" t="s">
        <v>1247</v>
      </c>
      <c r="E404" s="1">
        <f>VLOOKUP(B404,Nuclides!A:D,4,FALSE)</f>
        <v>4.3</v>
      </c>
      <c r="F404" s="7"/>
      <c r="G404" s="1"/>
      <c r="H404" s="1"/>
      <c r="K404" s="8"/>
      <c r="L404" s="7"/>
      <c r="M404" s="7"/>
    </row>
    <row r="405" spans="2:13" x14ac:dyDescent="0.2">
      <c r="B405" s="8">
        <v>46118</v>
      </c>
      <c r="C405" s="9">
        <v>1.07506E-6</v>
      </c>
      <c r="D405" s="8" t="s">
        <v>1248</v>
      </c>
      <c r="E405" s="1">
        <f>VLOOKUP(B405,Nuclides!A:D,4,FALSE)</f>
        <v>1.9</v>
      </c>
      <c r="F405" s="7"/>
      <c r="G405" s="1"/>
      <c r="H405" s="1"/>
      <c r="K405" s="8"/>
      <c r="L405" s="7"/>
      <c r="M405" s="7"/>
    </row>
    <row r="406" spans="2:13" x14ac:dyDescent="0.2">
      <c r="B406" s="8">
        <v>47096</v>
      </c>
      <c r="C406" s="9">
        <v>6.9409100000000002E-7</v>
      </c>
      <c r="D406" s="8" t="s">
        <v>1261</v>
      </c>
      <c r="E406" s="1">
        <f>VLOOKUP(B406,Nuclides!A:D,4,FALSE)</f>
        <v>4.4000000000000004</v>
      </c>
      <c r="F406" s="7"/>
      <c r="G406" s="1"/>
      <c r="H406" s="1"/>
      <c r="K406" s="8"/>
      <c r="L406" s="7"/>
      <c r="M406" s="7"/>
    </row>
    <row r="407" spans="2:13" x14ac:dyDescent="0.2">
      <c r="B407" s="8">
        <v>47097</v>
      </c>
      <c r="C407" s="9">
        <v>4.5321099999999999E-7</v>
      </c>
      <c r="D407" s="8" t="s">
        <v>1262</v>
      </c>
      <c r="E407" s="1">
        <f>VLOOKUP(B407,Nuclides!A:D,4,FALSE)</f>
        <v>25.5</v>
      </c>
      <c r="F407" s="7"/>
      <c r="G407" s="1"/>
      <c r="H407" s="1"/>
      <c r="K407" s="8"/>
      <c r="L407" s="7"/>
      <c r="M407" s="7"/>
    </row>
    <row r="408" spans="2:13" x14ac:dyDescent="0.2">
      <c r="B408" s="8">
        <v>47098</v>
      </c>
      <c r="C408" s="9">
        <v>1.9509100000000001E-7</v>
      </c>
      <c r="D408" s="8" t="s">
        <v>1263</v>
      </c>
      <c r="E408" s="1">
        <f>VLOOKUP(B408,Nuclides!A:D,4,FALSE)</f>
        <v>47.5</v>
      </c>
      <c r="F408" s="7"/>
      <c r="G408" s="1"/>
      <c r="H408" s="1"/>
      <c r="K408" s="8"/>
      <c r="L408" s="7"/>
      <c r="M408" s="7"/>
    </row>
    <row r="409" spans="2:13" x14ac:dyDescent="0.2">
      <c r="B409" s="8">
        <v>47099</v>
      </c>
      <c r="C409" s="9">
        <v>7.4057800000000003E-8</v>
      </c>
      <c r="D409" s="8" t="s">
        <v>1264</v>
      </c>
      <c r="E409" s="1">
        <f>VLOOKUP(B409,Nuclides!A:D,4,FALSE)</f>
        <v>124</v>
      </c>
      <c r="F409" s="7"/>
      <c r="G409" s="1"/>
      <c r="H409" s="1"/>
      <c r="K409" s="8"/>
      <c r="L409" s="7"/>
      <c r="M409" s="7"/>
    </row>
    <row r="410" spans="2:13" x14ac:dyDescent="0.2">
      <c r="B410" s="8">
        <v>47100</v>
      </c>
      <c r="C410" s="9">
        <v>2.0940000000000001E-8</v>
      </c>
      <c r="D410" s="8" t="s">
        <v>1265</v>
      </c>
      <c r="E410" s="1">
        <f>VLOOKUP(B410,Nuclides!A:D,4,FALSE)</f>
        <v>120.6</v>
      </c>
      <c r="F410" s="7"/>
      <c r="G410" s="1"/>
      <c r="H410" s="1"/>
      <c r="K410" s="8"/>
      <c r="L410" s="7"/>
      <c r="M410" s="7"/>
    </row>
    <row r="411" spans="2:13" x14ac:dyDescent="0.2">
      <c r="B411" s="8">
        <v>47101</v>
      </c>
      <c r="C411" s="9">
        <v>5.7934000000000003E-9</v>
      </c>
      <c r="D411" s="8" t="s">
        <v>1266</v>
      </c>
      <c r="E411" s="1">
        <f>VLOOKUP(B411,Nuclides!A:D,4,FALSE)</f>
        <v>666</v>
      </c>
      <c r="F411" s="7"/>
      <c r="G411" s="1"/>
      <c r="H411" s="1"/>
      <c r="K411" s="8"/>
      <c r="L411" s="7"/>
      <c r="M411" s="7"/>
    </row>
    <row r="412" spans="2:13" x14ac:dyDescent="0.2">
      <c r="B412" s="8">
        <v>47102</v>
      </c>
      <c r="C412" s="9">
        <v>1.1866E-9</v>
      </c>
      <c r="D412" s="8" t="s">
        <v>1267</v>
      </c>
      <c r="E412" s="1">
        <f>VLOOKUP(B412,Nuclides!A:D,4,FALSE)</f>
        <v>774</v>
      </c>
      <c r="F412" s="7"/>
      <c r="G412" s="1"/>
      <c r="H412" s="1"/>
      <c r="K412" s="8"/>
      <c r="L412" s="7"/>
      <c r="M412" s="7"/>
    </row>
    <row r="413" spans="2:13" x14ac:dyDescent="0.2">
      <c r="B413" s="8">
        <v>47103</v>
      </c>
      <c r="C413" s="9">
        <v>2.7919999999999998E-10</v>
      </c>
      <c r="D413" s="8" t="s">
        <v>1268</v>
      </c>
      <c r="E413" s="1">
        <f>VLOOKUP(B413,Nuclides!A:D,4,FALSE)</f>
        <v>3942</v>
      </c>
      <c r="F413" s="7"/>
      <c r="G413" s="1"/>
      <c r="H413" s="1"/>
      <c r="K413" s="8"/>
      <c r="L413" s="7"/>
      <c r="M413" s="7"/>
    </row>
    <row r="414" spans="2:13" x14ac:dyDescent="0.2">
      <c r="B414" s="8">
        <v>47111</v>
      </c>
      <c r="C414" s="9">
        <v>4.8860000000000005E-10</v>
      </c>
      <c r="D414" s="8" t="s">
        <v>1276</v>
      </c>
      <c r="E414" s="1">
        <f>VLOOKUP(B414,Nuclides!A:D,4,FALSE)</f>
        <v>643680</v>
      </c>
      <c r="F414" s="7"/>
      <c r="G414" s="1"/>
      <c r="H414" s="1"/>
      <c r="K414" s="8"/>
      <c r="L414" s="7"/>
      <c r="M414" s="7"/>
    </row>
    <row r="415" spans="2:13" x14ac:dyDescent="0.2">
      <c r="B415" s="8">
        <v>47112</v>
      </c>
      <c r="C415" s="9">
        <v>3.3503999999999999E-9</v>
      </c>
      <c r="D415" s="8" t="s">
        <v>1277</v>
      </c>
      <c r="E415" s="1">
        <f>VLOOKUP(B415,Nuclides!A:D,4,FALSE)</f>
        <v>11268</v>
      </c>
      <c r="F415" s="7"/>
      <c r="G415" s="1"/>
      <c r="H415" s="1"/>
      <c r="K415" s="8"/>
      <c r="L415" s="7"/>
      <c r="M415" s="7"/>
    </row>
    <row r="416" spans="2:13" x14ac:dyDescent="0.2">
      <c r="B416" s="8">
        <v>47113</v>
      </c>
      <c r="C416" s="9">
        <v>2.3801799999999999E-8</v>
      </c>
      <c r="D416" s="8" t="s">
        <v>1278</v>
      </c>
      <c r="E416" s="1">
        <f>VLOOKUP(B416,Nuclides!A:D,4,FALSE)</f>
        <v>19332</v>
      </c>
      <c r="F416" s="7"/>
      <c r="G416" s="1"/>
      <c r="H416" s="1"/>
      <c r="K416" s="8"/>
      <c r="L416" s="7"/>
      <c r="M416" s="7"/>
    </row>
    <row r="417" spans="2:13" x14ac:dyDescent="0.2">
      <c r="B417" s="8">
        <v>47114</v>
      </c>
      <c r="C417" s="9">
        <v>5.8562200000000003E-8</v>
      </c>
      <c r="D417" s="8" t="s">
        <v>1279</v>
      </c>
      <c r="E417" s="1">
        <f>VLOOKUP(B417,Nuclides!A:D,4,FALSE)</f>
        <v>4.5999999999999996</v>
      </c>
      <c r="F417" s="7"/>
      <c r="G417" s="1"/>
      <c r="H417" s="1"/>
      <c r="K417" s="8"/>
      <c r="L417" s="7"/>
      <c r="M417" s="7"/>
    </row>
    <row r="418" spans="2:13" x14ac:dyDescent="0.2">
      <c r="B418" s="8">
        <v>47115</v>
      </c>
      <c r="C418" s="9">
        <v>2.05421E-7</v>
      </c>
      <c r="D418" s="8" t="s">
        <v>1280</v>
      </c>
      <c r="E418" s="1">
        <f>VLOOKUP(B418,Nuclides!A:D,4,FALSE)</f>
        <v>1200</v>
      </c>
      <c r="F418" s="7"/>
      <c r="G418" s="1"/>
      <c r="H418" s="1"/>
      <c r="K418" s="8"/>
      <c r="L418" s="7"/>
      <c r="M418" s="7"/>
    </row>
    <row r="419" spans="2:13" x14ac:dyDescent="0.2">
      <c r="B419" s="8">
        <v>47116</v>
      </c>
      <c r="C419" s="9">
        <v>3.3845999999999997E-7</v>
      </c>
      <c r="D419" s="8" t="s">
        <v>1281</v>
      </c>
      <c r="E419" s="1">
        <f>VLOOKUP(B419,Nuclides!A:D,4,FALSE)</f>
        <v>237</v>
      </c>
      <c r="F419" s="7"/>
      <c r="G419" s="1"/>
      <c r="H419" s="1"/>
      <c r="K419" s="8"/>
      <c r="L419" s="7"/>
      <c r="M419" s="7"/>
    </row>
    <row r="420" spans="2:13" x14ac:dyDescent="0.2">
      <c r="B420" s="8">
        <v>47117</v>
      </c>
      <c r="C420" s="9">
        <v>7.5090799999999999E-7</v>
      </c>
      <c r="D420" s="8" t="s">
        <v>1282</v>
      </c>
      <c r="E420" s="1">
        <f>VLOOKUP(B420,Nuclides!A:D,4,FALSE)</f>
        <v>72.8</v>
      </c>
      <c r="F420" s="7"/>
      <c r="G420" s="1"/>
      <c r="H420" s="1"/>
      <c r="K420" s="8"/>
      <c r="L420" s="7"/>
      <c r="M420" s="7"/>
    </row>
    <row r="421" spans="2:13" x14ac:dyDescent="0.2">
      <c r="B421" s="8">
        <v>47118</v>
      </c>
      <c r="C421" s="9">
        <v>8.1540399999999996E-7</v>
      </c>
      <c r="D421" s="8" t="s">
        <v>1283</v>
      </c>
      <c r="E421" s="1">
        <f>VLOOKUP(B421,Nuclides!A:D,4,FALSE)</f>
        <v>3.76</v>
      </c>
      <c r="F421" s="7"/>
      <c r="G421" s="1"/>
      <c r="H421" s="1"/>
      <c r="K421" s="8"/>
      <c r="L421" s="7"/>
      <c r="M421" s="7"/>
    </row>
    <row r="422" spans="2:13" x14ac:dyDescent="0.2">
      <c r="B422" s="8">
        <v>47119</v>
      </c>
      <c r="C422" s="9">
        <v>1.1639800000000001E-6</v>
      </c>
      <c r="D422" s="8" t="s">
        <v>1284</v>
      </c>
      <c r="E422" s="1">
        <f>VLOOKUP(B422,Nuclides!A:D,4,FALSE)</f>
        <v>6</v>
      </c>
      <c r="F422" s="7"/>
      <c r="G422" s="1"/>
      <c r="H422" s="1"/>
      <c r="K422" s="8"/>
      <c r="L422" s="7"/>
      <c r="M422" s="7"/>
    </row>
    <row r="423" spans="2:13" x14ac:dyDescent="0.2">
      <c r="B423" s="8">
        <v>47120</v>
      </c>
      <c r="C423" s="9">
        <v>8.9993099999999996E-7</v>
      </c>
      <c r="D423" s="8" t="s">
        <v>1285</v>
      </c>
      <c r="E423" s="1">
        <f>VLOOKUP(B423,Nuclides!A:D,4,FALSE)</f>
        <v>1.23</v>
      </c>
      <c r="F423" s="7"/>
      <c r="G423" s="1"/>
      <c r="H423" s="1"/>
      <c r="K423" s="8"/>
      <c r="L423" s="7"/>
      <c r="M423" s="7"/>
    </row>
    <row r="424" spans="2:13" x14ac:dyDescent="0.2">
      <c r="B424" s="8">
        <v>47121</v>
      </c>
      <c r="C424" s="9">
        <v>8.7536200000000003E-7</v>
      </c>
      <c r="D424" s="8" t="s">
        <v>1286</v>
      </c>
      <c r="E424" s="1">
        <f>VLOOKUP(B424,Nuclides!A:D,4,FALSE)</f>
        <v>0.78</v>
      </c>
      <c r="F424" s="7"/>
      <c r="G424" s="1"/>
      <c r="H424" s="1"/>
      <c r="K424" s="8"/>
      <c r="L424" s="7"/>
      <c r="M424" s="7"/>
    </row>
    <row r="425" spans="2:13" x14ac:dyDescent="0.2">
      <c r="B425" s="8">
        <v>47122</v>
      </c>
      <c r="C425" s="9">
        <v>4.9013600000000002E-7</v>
      </c>
      <c r="D425" s="8" t="s">
        <v>1287</v>
      </c>
      <c r="E425" s="1">
        <f>VLOOKUP(B425,Nuclides!A:D,4,FALSE)</f>
        <v>0.52900000000000003</v>
      </c>
      <c r="F425" s="7"/>
      <c r="G425" s="1"/>
      <c r="H425" s="1"/>
      <c r="K425" s="8"/>
      <c r="L425" s="7"/>
      <c r="M425" s="7"/>
    </row>
    <row r="426" spans="2:13" x14ac:dyDescent="0.2">
      <c r="B426" s="8">
        <v>47123</v>
      </c>
      <c r="C426" s="9">
        <v>3.1395999999999999E-7</v>
      </c>
      <c r="D426" s="8" t="s">
        <v>1288</v>
      </c>
      <c r="E426" s="1">
        <f>VLOOKUP(B426,Nuclides!A:D,4,FALSE)</f>
        <v>0.3</v>
      </c>
      <c r="F426" s="7"/>
      <c r="G426" s="1"/>
      <c r="H426" s="1"/>
      <c r="K426" s="8"/>
      <c r="L426" s="7"/>
      <c r="M426" s="7"/>
    </row>
    <row r="427" spans="2:13" x14ac:dyDescent="0.2">
      <c r="B427" s="8">
        <v>48097</v>
      </c>
      <c r="C427" s="9">
        <v>1.47627E-7</v>
      </c>
      <c r="D427" s="8" t="s">
        <v>1299</v>
      </c>
      <c r="E427" s="1">
        <f>VLOOKUP(B427,Nuclides!A:D,4,FALSE)</f>
        <v>1.1000000000000001</v>
      </c>
      <c r="F427" s="7"/>
      <c r="G427" s="1"/>
      <c r="H427" s="1"/>
      <c r="K427" s="8"/>
      <c r="L427" s="7"/>
      <c r="M427" s="7"/>
    </row>
    <row r="428" spans="2:13" x14ac:dyDescent="0.2">
      <c r="B428" s="8">
        <v>48098</v>
      </c>
      <c r="C428" s="9">
        <v>8.3550599999999996E-8</v>
      </c>
      <c r="D428" s="8" t="s">
        <v>1300</v>
      </c>
      <c r="E428" s="1">
        <f>VLOOKUP(B428,Nuclides!A:D,4,FALSE)</f>
        <v>9.1999999999999993</v>
      </c>
      <c r="F428" s="7"/>
      <c r="G428" s="1"/>
      <c r="H428" s="1"/>
      <c r="K428" s="8"/>
      <c r="L428" s="7"/>
      <c r="M428" s="7"/>
    </row>
    <row r="429" spans="2:13" x14ac:dyDescent="0.2">
      <c r="B429" s="8">
        <v>48099</v>
      </c>
      <c r="C429" s="9">
        <v>2.4220600000000001E-8</v>
      </c>
      <c r="D429" s="8" t="s">
        <v>1301</v>
      </c>
      <c r="E429" s="1">
        <f>VLOOKUP(B429,Nuclides!A:D,4,FALSE)</f>
        <v>16</v>
      </c>
      <c r="F429" s="7"/>
      <c r="G429" s="1"/>
      <c r="H429" s="1"/>
      <c r="K429" s="8"/>
      <c r="L429" s="7"/>
      <c r="M429" s="7"/>
    </row>
    <row r="430" spans="2:13" x14ac:dyDescent="0.2">
      <c r="B430" s="8">
        <v>48100</v>
      </c>
      <c r="C430" s="9">
        <v>1.10982E-8</v>
      </c>
      <c r="D430" s="8" t="s">
        <v>1302</v>
      </c>
      <c r="E430" s="1">
        <f>VLOOKUP(B430,Nuclides!A:D,4,FALSE)</f>
        <v>49.1</v>
      </c>
      <c r="F430" s="7"/>
      <c r="G430" s="1"/>
      <c r="H430" s="1"/>
      <c r="K430" s="8"/>
      <c r="L430" s="7"/>
      <c r="M430" s="7"/>
    </row>
    <row r="431" spans="2:13" x14ac:dyDescent="0.2">
      <c r="B431" s="8">
        <v>48101</v>
      </c>
      <c r="C431" s="9">
        <v>2.8618000000000002E-9</v>
      </c>
      <c r="D431" s="8" t="s">
        <v>1303</v>
      </c>
      <c r="E431" s="1">
        <f>VLOOKUP(B431,Nuclides!A:D,4,FALSE)</f>
        <v>81.599999999999994</v>
      </c>
      <c r="F431" s="7"/>
      <c r="G431" s="1"/>
      <c r="H431" s="1"/>
      <c r="K431" s="8"/>
      <c r="L431" s="7"/>
      <c r="M431" s="7"/>
    </row>
    <row r="432" spans="2:13" x14ac:dyDescent="0.2">
      <c r="B432" s="8">
        <v>48102</v>
      </c>
      <c r="C432" s="9">
        <v>8.3759999999999998E-10</v>
      </c>
      <c r="D432" s="8" t="s">
        <v>1304</v>
      </c>
      <c r="E432" s="1">
        <f>VLOOKUP(B432,Nuclides!A:D,4,FALSE)</f>
        <v>330</v>
      </c>
      <c r="F432" s="7"/>
      <c r="G432" s="1"/>
      <c r="H432" s="1"/>
      <c r="K432" s="8"/>
      <c r="L432" s="7"/>
      <c r="M432" s="7"/>
    </row>
    <row r="433" spans="2:13" x14ac:dyDescent="0.2">
      <c r="B433" s="8">
        <v>48103</v>
      </c>
      <c r="C433" s="9">
        <v>2.094E-10</v>
      </c>
      <c r="D433" s="8" t="s">
        <v>1305</v>
      </c>
      <c r="E433" s="1">
        <f>VLOOKUP(B433,Nuclides!A:D,4,FALSE)</f>
        <v>438</v>
      </c>
      <c r="F433" s="7"/>
      <c r="G433" s="1"/>
      <c r="H433" s="1"/>
      <c r="K433" s="8"/>
      <c r="L433" s="7"/>
      <c r="M433" s="7"/>
    </row>
    <row r="434" spans="2:13" x14ac:dyDescent="0.2">
      <c r="B434" s="8">
        <v>48104</v>
      </c>
      <c r="C434" s="9">
        <v>6.9799999999999994E-11</v>
      </c>
      <c r="D434" s="8" t="s">
        <v>1306</v>
      </c>
      <c r="E434" s="1">
        <f>VLOOKUP(B434,Nuclides!A:D,4,FALSE)</f>
        <v>3462</v>
      </c>
      <c r="F434" s="7"/>
      <c r="G434" s="1"/>
      <c r="H434" s="1"/>
      <c r="K434" s="8"/>
      <c r="L434" s="7"/>
      <c r="M434" s="7"/>
    </row>
    <row r="435" spans="2:13" hidden="1" x14ac:dyDescent="0.2">
      <c r="B435" s="8">
        <v>48112</v>
      </c>
      <c r="C435" s="9">
        <v>6.9799999999999994E-11</v>
      </c>
      <c r="D435" s="8" t="s">
        <v>1314</v>
      </c>
      <c r="E435" s="1" t="str">
        <f>VLOOKUP(B435,Nuclides!A:D,4,FALSE)</f>
        <v>STABLE</v>
      </c>
      <c r="F435" s="7"/>
      <c r="G435" s="1"/>
      <c r="H435" s="1"/>
      <c r="K435" s="8"/>
      <c r="L435" s="7"/>
      <c r="M435" s="7"/>
    </row>
    <row r="436" spans="2:13" x14ac:dyDescent="0.2">
      <c r="B436" s="8">
        <v>48113</v>
      </c>
      <c r="C436" s="9">
        <v>1.3959999999999999E-10</v>
      </c>
      <c r="D436" s="8" t="s">
        <v>1315</v>
      </c>
      <c r="E436" s="1">
        <f>VLOOKUP(B436,Nuclides!A:D,4,FALSE)</f>
        <v>2.5246080000000001E+23</v>
      </c>
      <c r="F436" s="7"/>
      <c r="G436" s="1"/>
      <c r="H436" s="1"/>
      <c r="K436" s="8"/>
      <c r="L436" s="7"/>
      <c r="M436" s="7"/>
    </row>
    <row r="437" spans="2:13" x14ac:dyDescent="0.2">
      <c r="B437" s="8">
        <v>48114</v>
      </c>
      <c r="C437" s="9">
        <v>2.3732E-9</v>
      </c>
      <c r="D437" s="8" t="s">
        <v>1316</v>
      </c>
      <c r="E437" s="1">
        <f>VLOOKUP(B437,Nuclides!A:D,4,FALSE)</f>
        <v>6.627096E+25</v>
      </c>
      <c r="F437" s="7"/>
      <c r="G437" s="1"/>
      <c r="H437" s="1"/>
      <c r="K437" s="8"/>
      <c r="L437" s="7"/>
      <c r="M437" s="7"/>
    </row>
    <row r="438" spans="2:13" x14ac:dyDescent="0.2">
      <c r="B438" s="8">
        <v>48115</v>
      </c>
      <c r="C438" s="9">
        <v>8.3061999999999993E-9</v>
      </c>
      <c r="D438" s="8" t="s">
        <v>1317</v>
      </c>
      <c r="E438" s="1">
        <f>VLOOKUP(B438,Nuclides!A:D,4,FALSE)</f>
        <v>192456</v>
      </c>
      <c r="F438" s="7"/>
      <c r="G438" s="1"/>
      <c r="H438" s="1"/>
      <c r="K438" s="8"/>
      <c r="L438" s="7"/>
      <c r="M438" s="7"/>
    </row>
    <row r="439" spans="2:13" x14ac:dyDescent="0.2">
      <c r="B439" s="8">
        <v>48116</v>
      </c>
      <c r="C439" s="9">
        <v>4.6975399999999997E-8</v>
      </c>
      <c r="D439" s="8" t="s">
        <v>1318</v>
      </c>
      <c r="E439" s="1">
        <f>VLOOKUP(B439,Nuclides!A:D,4,FALSE)</f>
        <v>1.0414008E+27</v>
      </c>
      <c r="F439" s="7"/>
      <c r="G439" s="1"/>
      <c r="H439" s="1"/>
      <c r="K439" s="8"/>
      <c r="L439" s="7"/>
      <c r="M439" s="7"/>
    </row>
    <row r="440" spans="2:13" x14ac:dyDescent="0.2">
      <c r="B440" s="8">
        <v>48117</v>
      </c>
      <c r="C440" s="9">
        <v>1.03513E-7</v>
      </c>
      <c r="D440" s="8" t="s">
        <v>1319</v>
      </c>
      <c r="E440" s="1">
        <f>VLOOKUP(B440,Nuclides!A:D,4,FALSE)</f>
        <v>8964</v>
      </c>
      <c r="F440" s="7"/>
      <c r="G440" s="1"/>
      <c r="H440" s="1"/>
      <c r="K440" s="8"/>
      <c r="L440" s="7"/>
      <c r="M440" s="7"/>
    </row>
    <row r="441" spans="2:13" x14ac:dyDescent="0.2">
      <c r="B441" s="8">
        <v>48118</v>
      </c>
      <c r="C441" s="9">
        <v>3.1500699999999998E-7</v>
      </c>
      <c r="D441" s="8" t="s">
        <v>1320</v>
      </c>
      <c r="E441" s="1">
        <f>VLOOKUP(B441,Nuclides!A:D,4,FALSE)</f>
        <v>3018</v>
      </c>
      <c r="F441" s="7"/>
      <c r="G441" s="1"/>
      <c r="H441" s="1"/>
      <c r="K441" s="8"/>
      <c r="L441" s="7"/>
      <c r="M441" s="7"/>
    </row>
    <row r="442" spans="2:13" x14ac:dyDescent="0.2">
      <c r="B442" s="8">
        <v>48119</v>
      </c>
      <c r="C442" s="9">
        <v>4.4804599999999999E-7</v>
      </c>
      <c r="D442" s="8" t="s">
        <v>1321</v>
      </c>
      <c r="E442" s="1">
        <f>VLOOKUP(B442,Nuclides!A:D,4,FALSE)</f>
        <v>161.4</v>
      </c>
      <c r="F442" s="7"/>
      <c r="G442" s="1"/>
      <c r="H442" s="1"/>
      <c r="K442" s="8"/>
      <c r="L442" s="7"/>
      <c r="M442" s="7"/>
    </row>
    <row r="443" spans="2:13" x14ac:dyDescent="0.2">
      <c r="B443" s="8">
        <v>48120</v>
      </c>
      <c r="C443" s="9">
        <v>9.0083900000000004E-7</v>
      </c>
      <c r="D443" s="8" t="s">
        <v>1322</v>
      </c>
      <c r="E443" s="1">
        <f>VLOOKUP(B443,Nuclides!A:D,4,FALSE)</f>
        <v>50.8</v>
      </c>
      <c r="F443" s="7"/>
      <c r="G443" s="1"/>
      <c r="H443" s="1"/>
      <c r="K443" s="8"/>
      <c r="L443" s="7"/>
      <c r="M443" s="7"/>
    </row>
    <row r="444" spans="2:13" x14ac:dyDescent="0.2">
      <c r="B444" s="8">
        <v>48121</v>
      </c>
      <c r="C444" s="9">
        <v>9.6463599999999998E-7</v>
      </c>
      <c r="D444" s="8" t="s">
        <v>1323</v>
      </c>
      <c r="E444" s="1">
        <f>VLOOKUP(B444,Nuclides!A:D,4,FALSE)</f>
        <v>13.5</v>
      </c>
      <c r="F444" s="7"/>
      <c r="G444" s="1"/>
      <c r="H444" s="1"/>
      <c r="K444" s="8"/>
      <c r="L444" s="7"/>
      <c r="M444" s="7"/>
    </row>
    <row r="445" spans="2:13" x14ac:dyDescent="0.2">
      <c r="B445" s="8">
        <v>48122</v>
      </c>
      <c r="C445" s="9">
        <v>1.2531900000000001E-6</v>
      </c>
      <c r="D445" s="8" t="s">
        <v>1324</v>
      </c>
      <c r="E445" s="1">
        <f>VLOOKUP(B445,Nuclides!A:D,4,FALSE)</f>
        <v>5.24</v>
      </c>
      <c r="F445" s="7"/>
      <c r="G445" s="1"/>
      <c r="H445" s="1"/>
      <c r="K445" s="8"/>
      <c r="L445" s="7"/>
      <c r="M445" s="7"/>
    </row>
    <row r="446" spans="2:13" x14ac:dyDescent="0.2">
      <c r="B446" s="8">
        <v>48123</v>
      </c>
      <c r="C446" s="9">
        <v>1.0122400000000001E-6</v>
      </c>
      <c r="D446" s="8" t="s">
        <v>1325</v>
      </c>
      <c r="E446" s="1">
        <f>VLOOKUP(B446,Nuclides!A:D,4,FALSE)</f>
        <v>2.1</v>
      </c>
      <c r="F446" s="7"/>
      <c r="G446" s="1"/>
      <c r="H446" s="1"/>
      <c r="K446" s="8"/>
      <c r="L446" s="7"/>
      <c r="M446" s="7"/>
    </row>
    <row r="447" spans="2:13" x14ac:dyDescent="0.2">
      <c r="B447" s="8">
        <v>48124</v>
      </c>
      <c r="C447" s="9">
        <v>9.6309999999999994E-7</v>
      </c>
      <c r="D447" s="8" t="s">
        <v>1326</v>
      </c>
      <c r="E447" s="1">
        <f>VLOOKUP(B447,Nuclides!A:D,4,FALSE)</f>
        <v>1.25</v>
      </c>
      <c r="F447" s="7"/>
      <c r="G447" s="1"/>
      <c r="H447" s="1"/>
      <c r="K447" s="8"/>
      <c r="L447" s="7"/>
      <c r="M447" s="7"/>
    </row>
    <row r="448" spans="2:13" x14ac:dyDescent="0.2">
      <c r="B448" s="8">
        <v>48125</v>
      </c>
      <c r="C448" s="9">
        <v>6.6617100000000002E-7</v>
      </c>
      <c r="D448" s="8" t="s">
        <v>1327</v>
      </c>
      <c r="E448" s="1">
        <f>VLOOKUP(B448,Nuclides!A:D,4,FALSE)</f>
        <v>0.68</v>
      </c>
      <c r="F448" s="7"/>
      <c r="G448" s="1"/>
      <c r="H448" s="1"/>
      <c r="K448" s="8"/>
      <c r="L448" s="7"/>
      <c r="M448" s="7"/>
    </row>
    <row r="449" spans="2:13" x14ac:dyDescent="0.2">
      <c r="B449" s="8">
        <v>48126</v>
      </c>
      <c r="C449" s="9">
        <v>5.5749299999999997E-7</v>
      </c>
      <c r="D449" s="8" t="s">
        <v>1328</v>
      </c>
      <c r="E449" s="1">
        <f>VLOOKUP(B449,Nuclides!A:D,4,FALSE)</f>
        <v>0.51500000000000001</v>
      </c>
      <c r="F449" s="7"/>
      <c r="G449" s="1"/>
      <c r="H449" s="1"/>
      <c r="K449" s="8"/>
      <c r="L449" s="7"/>
      <c r="M449" s="7"/>
    </row>
    <row r="450" spans="2:13" x14ac:dyDescent="0.2">
      <c r="B450" s="8">
        <v>49100</v>
      </c>
      <c r="C450" s="9">
        <v>3.8620299999999998E-7</v>
      </c>
      <c r="D450" s="8" t="s">
        <v>1339</v>
      </c>
      <c r="E450" s="1">
        <f>VLOOKUP(B450,Nuclides!A:D,4,FALSE)</f>
        <v>5.8</v>
      </c>
      <c r="F450" s="7"/>
      <c r="G450" s="1"/>
      <c r="H450" s="1"/>
      <c r="K450" s="8"/>
      <c r="L450" s="7"/>
      <c r="M450" s="7"/>
    </row>
    <row r="451" spans="2:13" x14ac:dyDescent="0.2">
      <c r="B451" s="8">
        <v>49101</v>
      </c>
      <c r="C451" s="9">
        <v>2.7843199999999999E-7</v>
      </c>
      <c r="D451" s="8" t="s">
        <v>1340</v>
      </c>
      <c r="E451" s="1">
        <f>VLOOKUP(B451,Nuclides!A:D,4,FALSE)</f>
        <v>15.1</v>
      </c>
      <c r="F451" s="7"/>
      <c r="G451" s="1"/>
      <c r="H451" s="1"/>
      <c r="K451" s="8"/>
      <c r="L451" s="7"/>
      <c r="M451" s="7"/>
    </row>
    <row r="452" spans="2:13" x14ac:dyDescent="0.2">
      <c r="B452" s="8">
        <v>49102</v>
      </c>
      <c r="C452" s="9">
        <v>1.26129E-7</v>
      </c>
      <c r="D452" s="8" t="s">
        <v>1341</v>
      </c>
      <c r="E452" s="1">
        <f>VLOOKUP(B452,Nuclides!A:D,4,FALSE)</f>
        <v>23.3</v>
      </c>
      <c r="F452" s="7"/>
      <c r="G452" s="1"/>
      <c r="H452" s="1"/>
      <c r="K452" s="8"/>
      <c r="L452" s="7"/>
      <c r="M452" s="7"/>
    </row>
    <row r="453" spans="2:13" x14ac:dyDescent="0.2">
      <c r="B453" s="8">
        <v>49103</v>
      </c>
      <c r="C453" s="9">
        <v>5.5281600000000003E-8</v>
      </c>
      <c r="D453" s="8" t="s">
        <v>1342</v>
      </c>
      <c r="E453" s="1">
        <f>VLOOKUP(B453,Nuclides!A:D,4,FALSE)</f>
        <v>65</v>
      </c>
      <c r="F453" s="7"/>
      <c r="G453" s="1"/>
      <c r="H453" s="1"/>
      <c r="K453" s="8"/>
      <c r="L453" s="7"/>
      <c r="M453" s="7"/>
    </row>
    <row r="454" spans="2:13" x14ac:dyDescent="0.2">
      <c r="B454" s="8">
        <v>49104</v>
      </c>
      <c r="C454" s="9">
        <v>1.3052599999999999E-8</v>
      </c>
      <c r="D454" s="8" t="s">
        <v>1343</v>
      </c>
      <c r="E454" s="1">
        <f>VLOOKUP(B454,Nuclides!A:D,4,FALSE)</f>
        <v>108</v>
      </c>
      <c r="F454" s="7"/>
      <c r="G454" s="1"/>
      <c r="H454" s="1"/>
      <c r="K454" s="8"/>
      <c r="L454" s="7"/>
      <c r="M454" s="7"/>
    </row>
    <row r="455" spans="2:13" x14ac:dyDescent="0.2">
      <c r="B455" s="8">
        <v>49105</v>
      </c>
      <c r="C455" s="9">
        <v>3.4201999999999998E-9</v>
      </c>
      <c r="D455" s="8" t="s">
        <v>1344</v>
      </c>
      <c r="E455" s="1">
        <f>VLOOKUP(B455,Nuclides!A:D,4,FALSE)</f>
        <v>304.2</v>
      </c>
      <c r="F455" s="7"/>
      <c r="G455" s="1"/>
      <c r="H455" s="1"/>
      <c r="K455" s="8"/>
      <c r="L455" s="7"/>
      <c r="M455" s="7"/>
    </row>
    <row r="456" spans="2:13" x14ac:dyDescent="0.2">
      <c r="B456" s="8">
        <v>49106</v>
      </c>
      <c r="C456" s="9">
        <v>6.2819999999999996E-10</v>
      </c>
      <c r="D456" s="8" t="s">
        <v>1345</v>
      </c>
      <c r="E456" s="1">
        <f>VLOOKUP(B456,Nuclides!A:D,4,FALSE)</f>
        <v>372</v>
      </c>
      <c r="F456" s="7"/>
      <c r="G456" s="1"/>
      <c r="H456" s="1"/>
      <c r="K456" s="8"/>
      <c r="L456" s="7"/>
      <c r="M456" s="7"/>
    </row>
    <row r="457" spans="2:13" x14ac:dyDescent="0.2">
      <c r="B457" s="8">
        <v>49107</v>
      </c>
      <c r="C457" s="9">
        <v>1.3959999999999999E-10</v>
      </c>
      <c r="D457" s="8" t="s">
        <v>1346</v>
      </c>
      <c r="E457" s="1">
        <f>VLOOKUP(B457,Nuclides!A:D,4,FALSE)</f>
        <v>1944</v>
      </c>
      <c r="F457" s="7"/>
      <c r="G457" s="1"/>
      <c r="H457" s="1"/>
      <c r="K457" s="8"/>
      <c r="L457" s="7"/>
      <c r="M457" s="7"/>
    </row>
    <row r="458" spans="2:13" x14ac:dyDescent="0.2">
      <c r="B458" s="8">
        <v>49108</v>
      </c>
      <c r="C458" s="9">
        <v>6.9799999999999994E-11</v>
      </c>
      <c r="D458" s="8" t="s">
        <v>1347</v>
      </c>
      <c r="E458" s="1">
        <f>VLOOKUP(B458,Nuclides!A:D,4,FALSE)</f>
        <v>3480</v>
      </c>
      <c r="F458" s="7"/>
      <c r="G458" s="1"/>
      <c r="H458" s="1"/>
      <c r="K458" s="8"/>
      <c r="L458" s="7"/>
      <c r="M458" s="7"/>
    </row>
    <row r="459" spans="2:13" x14ac:dyDescent="0.2">
      <c r="B459" s="8">
        <v>49116</v>
      </c>
      <c r="C459" s="9">
        <v>5.5839999999999995E-10</v>
      </c>
      <c r="D459" s="8" t="s">
        <v>1355</v>
      </c>
      <c r="E459" s="1">
        <f>VLOOKUP(B459,Nuclides!A:D,4,FALSE)</f>
        <v>14.1</v>
      </c>
      <c r="F459" s="7"/>
      <c r="G459" s="1"/>
      <c r="H459" s="1"/>
      <c r="K459" s="8"/>
      <c r="L459" s="7"/>
      <c r="M459" s="7"/>
    </row>
    <row r="460" spans="2:13" x14ac:dyDescent="0.2">
      <c r="B460" s="8">
        <v>49117</v>
      </c>
      <c r="C460" s="9">
        <v>4.0484000000000002E-9</v>
      </c>
      <c r="D460" s="8" t="s">
        <v>1356</v>
      </c>
      <c r="E460" s="1">
        <f>VLOOKUP(B460,Nuclides!A:D,4,FALSE)</f>
        <v>2592</v>
      </c>
      <c r="F460" s="7"/>
      <c r="G460" s="1"/>
      <c r="H460" s="1"/>
      <c r="K460" s="8"/>
      <c r="L460" s="7"/>
      <c r="M460" s="7"/>
    </row>
    <row r="461" spans="2:13" x14ac:dyDescent="0.2">
      <c r="B461" s="8">
        <v>49118</v>
      </c>
      <c r="C461" s="9">
        <v>1.3820400000000001E-8</v>
      </c>
      <c r="D461" s="8" t="s">
        <v>1357</v>
      </c>
      <c r="E461" s="1">
        <f>VLOOKUP(B461,Nuclides!A:D,4,FALSE)</f>
        <v>5</v>
      </c>
      <c r="F461" s="7"/>
      <c r="G461" s="1"/>
      <c r="H461" s="1"/>
      <c r="K461" s="8"/>
      <c r="L461" s="7"/>
      <c r="M461" s="7"/>
    </row>
    <row r="462" spans="2:13" x14ac:dyDescent="0.2">
      <c r="B462" s="8">
        <v>49119</v>
      </c>
      <c r="C462" s="9">
        <v>5.8911200000000001E-8</v>
      </c>
      <c r="D462" s="8" t="s">
        <v>1358</v>
      </c>
      <c r="E462" s="1">
        <f>VLOOKUP(B462,Nuclides!A:D,4,FALSE)</f>
        <v>144</v>
      </c>
      <c r="F462" s="7"/>
      <c r="G462" s="1"/>
      <c r="H462" s="1"/>
      <c r="K462" s="8"/>
      <c r="L462" s="7"/>
      <c r="M462" s="7"/>
    </row>
    <row r="463" spans="2:13" x14ac:dyDescent="0.2">
      <c r="B463" s="8">
        <v>49120</v>
      </c>
      <c r="C463" s="9">
        <v>1.2466300000000001E-7</v>
      </c>
      <c r="D463" s="8" t="s">
        <v>1359</v>
      </c>
      <c r="E463" s="1">
        <f>VLOOKUP(B463,Nuclides!A:D,4,FALSE)</f>
        <v>3.08</v>
      </c>
      <c r="F463" s="7"/>
      <c r="G463" s="1"/>
      <c r="H463" s="1"/>
      <c r="K463" s="8"/>
      <c r="L463" s="7"/>
      <c r="M463" s="7"/>
    </row>
    <row r="464" spans="2:13" x14ac:dyDescent="0.2">
      <c r="B464" s="8">
        <v>49121</v>
      </c>
      <c r="C464" s="9">
        <v>3.4516099999999998E-7</v>
      </c>
      <c r="D464" s="8" t="s">
        <v>1360</v>
      </c>
      <c r="E464" s="1">
        <f>VLOOKUP(B464,Nuclides!A:D,4,FALSE)</f>
        <v>23.1</v>
      </c>
      <c r="F464" s="7"/>
      <c r="G464" s="1"/>
      <c r="H464" s="1"/>
      <c r="K464" s="8"/>
      <c r="L464" s="7"/>
      <c r="M464" s="7"/>
    </row>
    <row r="465" spans="2:13" x14ac:dyDescent="0.2">
      <c r="B465" s="8">
        <v>49122</v>
      </c>
      <c r="C465" s="9">
        <v>4.7289499999999997E-7</v>
      </c>
      <c r="D465" s="8" t="s">
        <v>1361</v>
      </c>
      <c r="E465" s="1">
        <f>VLOOKUP(B465,Nuclides!A:D,4,FALSE)</f>
        <v>1.5</v>
      </c>
      <c r="F465" s="7"/>
      <c r="G465" s="1"/>
      <c r="H465" s="1"/>
      <c r="K465" s="8"/>
      <c r="L465" s="7"/>
      <c r="M465" s="7"/>
    </row>
    <row r="466" spans="2:13" x14ac:dyDescent="0.2">
      <c r="B466" s="8">
        <v>49123</v>
      </c>
      <c r="C466" s="9">
        <v>9.5437500000000007E-7</v>
      </c>
      <c r="D466" s="8" t="s">
        <v>1362</v>
      </c>
      <c r="E466" s="1">
        <f>VLOOKUP(B466,Nuclides!A:D,4,FALSE)</f>
        <v>6.17</v>
      </c>
      <c r="F466" s="7"/>
      <c r="G466" s="1"/>
      <c r="H466" s="1"/>
      <c r="K466" s="8"/>
      <c r="L466" s="7"/>
      <c r="M466" s="7"/>
    </row>
    <row r="467" spans="2:13" x14ac:dyDescent="0.2">
      <c r="B467" s="8">
        <v>49124</v>
      </c>
      <c r="C467" s="9">
        <v>9.8082999999999998E-7</v>
      </c>
      <c r="D467" s="8" t="s">
        <v>1363</v>
      </c>
      <c r="E467" s="1">
        <f>VLOOKUP(B467,Nuclides!A:D,4,FALSE)</f>
        <v>3.12</v>
      </c>
      <c r="F467" s="7"/>
      <c r="G467" s="1"/>
      <c r="H467" s="1"/>
      <c r="K467" s="8"/>
      <c r="L467" s="7"/>
      <c r="M467" s="7"/>
    </row>
    <row r="468" spans="2:13" x14ac:dyDescent="0.2">
      <c r="B468" s="8">
        <v>49125</v>
      </c>
      <c r="C468" s="9">
        <v>1.4791299999999999E-6</v>
      </c>
      <c r="D468" s="8" t="s">
        <v>1364</v>
      </c>
      <c r="E468" s="1">
        <f>VLOOKUP(B468,Nuclides!A:D,4,FALSE)</f>
        <v>2.36</v>
      </c>
      <c r="F468" s="7"/>
      <c r="G468" s="1"/>
      <c r="H468" s="1"/>
      <c r="K468" s="8"/>
      <c r="L468" s="7"/>
      <c r="M468" s="7"/>
    </row>
    <row r="469" spans="2:13" x14ac:dyDescent="0.2">
      <c r="B469" s="8">
        <v>49126</v>
      </c>
      <c r="C469" s="9">
        <v>1.58404E-6</v>
      </c>
      <c r="D469" s="8" t="s">
        <v>1365</v>
      </c>
      <c r="E469" s="1">
        <f>VLOOKUP(B469,Nuclides!A:D,4,FALSE)</f>
        <v>1.53</v>
      </c>
      <c r="F469" s="7"/>
      <c r="G469" s="1"/>
      <c r="H469" s="1"/>
      <c r="K469" s="8"/>
      <c r="L469" s="7"/>
      <c r="M469" s="7"/>
    </row>
    <row r="470" spans="2:13" x14ac:dyDescent="0.2">
      <c r="B470" s="8">
        <v>49127</v>
      </c>
      <c r="C470" s="9">
        <v>2.5987199999999999E-6</v>
      </c>
      <c r="D470" s="8" t="s">
        <v>1366</v>
      </c>
      <c r="E470" s="1">
        <f>VLOOKUP(B470,Nuclides!A:D,4,FALSE)</f>
        <v>1.0900000000000001</v>
      </c>
      <c r="F470" s="7"/>
      <c r="G470" s="1"/>
      <c r="H470" s="1"/>
      <c r="K470" s="8"/>
      <c r="L470" s="7"/>
      <c r="M470" s="7"/>
    </row>
    <row r="471" spans="2:13" x14ac:dyDescent="0.2">
      <c r="B471" s="8">
        <v>49128</v>
      </c>
      <c r="C471" s="9">
        <v>2.9635699999999999E-6</v>
      </c>
      <c r="D471" s="8" t="s">
        <v>1367</v>
      </c>
      <c r="E471" s="1">
        <f>VLOOKUP(B471,Nuclides!A:D,4,FALSE)</f>
        <v>0.84</v>
      </c>
      <c r="F471" s="7"/>
      <c r="G471" s="1"/>
      <c r="H471" s="1"/>
      <c r="K471" s="8"/>
      <c r="L471" s="7"/>
      <c r="M471" s="7"/>
    </row>
    <row r="472" spans="2:13" x14ac:dyDescent="0.2">
      <c r="B472" s="8">
        <v>49129</v>
      </c>
      <c r="C472" s="9">
        <v>3.9897000000000001E-6</v>
      </c>
      <c r="D472" s="8" t="s">
        <v>1368</v>
      </c>
      <c r="E472" s="1">
        <f>VLOOKUP(B472,Nuclides!A:D,4,FALSE)</f>
        <v>0.61099999999999999</v>
      </c>
      <c r="F472" s="7"/>
      <c r="G472" s="1"/>
      <c r="H472" s="1"/>
      <c r="K472" s="8"/>
      <c r="L472" s="7"/>
      <c r="M472" s="7"/>
    </row>
    <row r="473" spans="2:13" x14ac:dyDescent="0.2">
      <c r="B473" s="8">
        <v>49130</v>
      </c>
      <c r="C473" s="9">
        <v>2.80645E-6</v>
      </c>
      <c r="D473" s="8" t="s">
        <v>1369</v>
      </c>
      <c r="E473" s="1">
        <f>VLOOKUP(B473,Nuclides!A:D,4,FALSE)</f>
        <v>0.28999999999999998</v>
      </c>
      <c r="F473" s="7"/>
      <c r="G473" s="1"/>
      <c r="H473" s="1"/>
      <c r="K473" s="8"/>
      <c r="L473" s="7"/>
      <c r="M473" s="7"/>
    </row>
    <row r="474" spans="2:13" x14ac:dyDescent="0.2">
      <c r="B474" s="8">
        <v>49131</v>
      </c>
      <c r="C474" s="9">
        <v>1.9545399999999999E-6</v>
      </c>
      <c r="D474" s="8" t="s">
        <v>1370</v>
      </c>
      <c r="E474" s="1">
        <f>VLOOKUP(B474,Nuclides!A:D,4,FALSE)</f>
        <v>0.28000000000000003</v>
      </c>
      <c r="F474" s="7"/>
      <c r="G474" s="1"/>
      <c r="H474" s="1"/>
      <c r="K474" s="8"/>
      <c r="L474" s="7"/>
      <c r="M474" s="7"/>
    </row>
    <row r="475" spans="2:13" x14ac:dyDescent="0.2">
      <c r="B475" s="8">
        <v>49132</v>
      </c>
      <c r="C475" s="9">
        <v>5.43114E-7</v>
      </c>
      <c r="D475" s="8" t="s">
        <v>1371</v>
      </c>
      <c r="E475" s="1">
        <f>VLOOKUP(B475,Nuclides!A:D,4,FALSE)</f>
        <v>0.20699999999999999</v>
      </c>
      <c r="F475" s="7"/>
      <c r="G475" s="1"/>
      <c r="H475" s="1"/>
      <c r="K475" s="8"/>
      <c r="L475" s="7"/>
      <c r="M475" s="7"/>
    </row>
    <row r="476" spans="2:13" x14ac:dyDescent="0.2">
      <c r="B476" s="8">
        <v>50103</v>
      </c>
      <c r="C476" s="9">
        <v>1.7791999999999999E-7</v>
      </c>
      <c r="D476" s="8" t="s">
        <v>1380</v>
      </c>
      <c r="E476" s="1">
        <f>VLOOKUP(B476,Nuclides!A:D,4,FALSE)</f>
        <v>7</v>
      </c>
      <c r="F476" s="7"/>
      <c r="G476" s="1"/>
      <c r="H476" s="1"/>
      <c r="K476" s="8"/>
      <c r="L476" s="7"/>
      <c r="M476" s="7"/>
    </row>
    <row r="477" spans="2:13" x14ac:dyDescent="0.2">
      <c r="B477" s="8">
        <v>50104</v>
      </c>
      <c r="C477" s="9">
        <v>3.5458400000000001E-8</v>
      </c>
      <c r="D477" s="8" t="s">
        <v>1381</v>
      </c>
      <c r="E477" s="1">
        <f>VLOOKUP(B477,Nuclides!A:D,4,FALSE)</f>
        <v>20.8</v>
      </c>
      <c r="F477" s="7"/>
      <c r="G477" s="1"/>
      <c r="H477" s="1"/>
      <c r="K477" s="8"/>
      <c r="L477" s="7"/>
      <c r="M477" s="7"/>
    </row>
    <row r="478" spans="2:13" x14ac:dyDescent="0.2">
      <c r="B478" s="8">
        <v>50105</v>
      </c>
      <c r="C478" s="9">
        <v>5.6537999999999996E-9</v>
      </c>
      <c r="D478" s="8" t="s">
        <v>1382</v>
      </c>
      <c r="E478" s="1">
        <f>VLOOKUP(B478,Nuclides!A:D,4,FALSE)</f>
        <v>32.700000000000003</v>
      </c>
      <c r="F478" s="7"/>
      <c r="G478" s="1"/>
      <c r="H478" s="1"/>
      <c r="K478" s="8"/>
      <c r="L478" s="7"/>
      <c r="M478" s="7"/>
    </row>
    <row r="479" spans="2:13" x14ac:dyDescent="0.2">
      <c r="B479" s="8">
        <v>50106</v>
      </c>
      <c r="C479" s="9">
        <v>6.9799999999999997E-10</v>
      </c>
      <c r="D479" s="8" t="s">
        <v>1383</v>
      </c>
      <c r="E479" s="1">
        <f>VLOOKUP(B479,Nuclides!A:D,4,FALSE)</f>
        <v>115</v>
      </c>
      <c r="F479" s="7"/>
      <c r="G479" s="1"/>
      <c r="H479" s="1"/>
      <c r="K479" s="8"/>
      <c r="L479" s="7"/>
      <c r="M479" s="7"/>
    </row>
    <row r="480" spans="2:13" hidden="1" x14ac:dyDescent="0.2">
      <c r="B480" s="8">
        <v>50118</v>
      </c>
      <c r="C480" s="9">
        <v>4.1879999999999999E-10</v>
      </c>
      <c r="D480" s="8" t="s">
        <v>1394</v>
      </c>
      <c r="E480" s="1" t="str">
        <f>VLOOKUP(B480,Nuclides!A:D,4,FALSE)</f>
        <v>STABLE</v>
      </c>
      <c r="F480" s="7"/>
      <c r="G480" s="1"/>
      <c r="H480" s="1"/>
      <c r="K480" s="8"/>
      <c r="L480" s="7"/>
      <c r="M480" s="7"/>
    </row>
    <row r="481" spans="2:13" hidden="1" x14ac:dyDescent="0.2">
      <c r="B481" s="8">
        <v>50119</v>
      </c>
      <c r="C481" s="9">
        <v>1.6752E-9</v>
      </c>
      <c r="D481" s="8" t="s">
        <v>1395</v>
      </c>
      <c r="E481" s="1" t="str">
        <f>VLOOKUP(B481,Nuclides!A:D,4,FALSE)</f>
        <v>STABLE</v>
      </c>
      <c r="F481" s="7"/>
      <c r="G481" s="1"/>
      <c r="H481" s="1"/>
      <c r="K481" s="8"/>
      <c r="L481" s="7"/>
      <c r="M481" s="7"/>
    </row>
    <row r="482" spans="2:13" hidden="1" x14ac:dyDescent="0.2">
      <c r="B482" s="8">
        <v>50120</v>
      </c>
      <c r="C482" s="9">
        <v>1.0819000000000001E-8</v>
      </c>
      <c r="D482" s="8" t="s">
        <v>1396</v>
      </c>
      <c r="E482" s="1" t="str">
        <f>VLOOKUP(B482,Nuclides!A:D,4,FALSE)</f>
        <v>STABLE</v>
      </c>
      <c r="F482" s="7"/>
      <c r="G482" s="1"/>
      <c r="H482" s="1"/>
      <c r="K482" s="8"/>
      <c r="L482" s="7"/>
      <c r="M482" s="7"/>
    </row>
    <row r="483" spans="2:13" x14ac:dyDescent="0.2">
      <c r="B483" s="8">
        <v>50121</v>
      </c>
      <c r="C483" s="9">
        <v>3.3364400000000002E-8</v>
      </c>
      <c r="D483" s="8" t="s">
        <v>1397</v>
      </c>
      <c r="E483" s="1">
        <f>VLOOKUP(B483,Nuclides!A:D,4,FALSE)</f>
        <v>97308</v>
      </c>
      <c r="F483" s="7"/>
      <c r="G483" s="1"/>
      <c r="H483" s="1"/>
      <c r="K483" s="8"/>
      <c r="L483" s="7"/>
      <c r="M483" s="7"/>
    </row>
    <row r="484" spans="2:13" hidden="1" x14ac:dyDescent="0.2">
      <c r="B484" s="8">
        <v>50122</v>
      </c>
      <c r="C484" s="9">
        <v>1.41485E-7</v>
      </c>
      <c r="D484" s="8" t="s">
        <v>1398</v>
      </c>
      <c r="E484" s="1" t="str">
        <f>VLOOKUP(B484,Nuclides!A:D,4,FALSE)</f>
        <v>STABLE</v>
      </c>
      <c r="F484" s="7"/>
      <c r="G484" s="1"/>
      <c r="H484" s="1"/>
      <c r="K484" s="8"/>
      <c r="L484" s="7"/>
      <c r="M484" s="7"/>
    </row>
    <row r="485" spans="2:13" x14ac:dyDescent="0.2">
      <c r="B485" s="8">
        <v>50123</v>
      </c>
      <c r="C485" s="9">
        <v>2.9993099999999999E-7</v>
      </c>
      <c r="D485" s="8" t="s">
        <v>1399</v>
      </c>
      <c r="E485" s="1">
        <f>VLOOKUP(B485,Nuclides!A:D,4,FALSE)</f>
        <v>11162879.999999899</v>
      </c>
      <c r="F485" s="7"/>
      <c r="G485" s="1"/>
      <c r="H485" s="1"/>
      <c r="K485" s="8"/>
      <c r="L485" s="7"/>
      <c r="M485" s="7"/>
    </row>
    <row r="486" spans="2:13" x14ac:dyDescent="0.2">
      <c r="B486" s="8">
        <v>50124</v>
      </c>
      <c r="C486" s="9">
        <v>8.3606399999999999E-7</v>
      </c>
      <c r="D486" s="8" t="s">
        <v>1400</v>
      </c>
      <c r="E486" s="1">
        <f>VLOOKUP(B486,Nuclides!A:D,4,FALSE)</f>
        <v>3.786912E+28</v>
      </c>
      <c r="F486" s="7"/>
      <c r="G486" s="1"/>
      <c r="H486" s="1"/>
      <c r="K486" s="8"/>
      <c r="L486" s="7"/>
      <c r="M486" s="7"/>
    </row>
    <row r="487" spans="2:13" x14ac:dyDescent="0.2">
      <c r="B487" s="8">
        <v>50125</v>
      </c>
      <c r="C487" s="9">
        <v>1.4695700000000001E-6</v>
      </c>
      <c r="D487" s="8" t="s">
        <v>1401</v>
      </c>
      <c r="E487" s="1">
        <f>VLOOKUP(B487,Nuclides!A:D,4,FALSE)</f>
        <v>832896</v>
      </c>
      <c r="F487" s="7"/>
      <c r="G487" s="1"/>
      <c r="H487" s="1"/>
      <c r="K487" s="8"/>
      <c r="L487" s="7"/>
      <c r="M487" s="7"/>
    </row>
    <row r="488" spans="2:13" x14ac:dyDescent="0.2">
      <c r="B488" s="8">
        <v>50126</v>
      </c>
      <c r="C488" s="9">
        <v>3.19907E-6</v>
      </c>
      <c r="D488" s="8" t="s">
        <v>1402</v>
      </c>
      <c r="E488" s="1">
        <f>VLOOKUP(B488,Nuclides!A:D,4,FALSE)</f>
        <v>7258248000000</v>
      </c>
      <c r="F488" s="7"/>
      <c r="G488" s="1"/>
      <c r="H488" s="1"/>
      <c r="K488" s="8"/>
      <c r="L488" s="7"/>
      <c r="M488" s="7"/>
    </row>
    <row r="489" spans="2:13" x14ac:dyDescent="0.2">
      <c r="B489" s="8">
        <v>50127</v>
      </c>
      <c r="C489" s="9">
        <v>5.3452799999999998E-6</v>
      </c>
      <c r="D489" s="8" t="s">
        <v>1403</v>
      </c>
      <c r="E489" s="1">
        <f>VLOOKUP(B489,Nuclides!A:D,4,FALSE)</f>
        <v>7560</v>
      </c>
      <c r="F489" s="7"/>
      <c r="G489" s="1"/>
      <c r="H489" s="1"/>
      <c r="K489" s="8"/>
      <c r="L489" s="7"/>
      <c r="M489" s="7"/>
    </row>
    <row r="490" spans="2:13" x14ac:dyDescent="0.2">
      <c r="B490" s="8">
        <v>50128</v>
      </c>
      <c r="C490" s="9">
        <v>1.02392E-5</v>
      </c>
      <c r="D490" s="8" t="s">
        <v>1404</v>
      </c>
      <c r="E490" s="1">
        <f>VLOOKUP(B490,Nuclides!A:D,4,FALSE)</f>
        <v>3544.2</v>
      </c>
      <c r="F490" s="7"/>
      <c r="G490" s="1"/>
      <c r="H490" s="1"/>
      <c r="K490" s="8"/>
      <c r="L490" s="7"/>
      <c r="M490" s="7"/>
    </row>
    <row r="491" spans="2:13" x14ac:dyDescent="0.2">
      <c r="B491" s="8">
        <v>50129</v>
      </c>
      <c r="C491" s="9">
        <v>1.5143000000000001E-5</v>
      </c>
      <c r="D491" s="8" t="s">
        <v>1405</v>
      </c>
      <c r="E491" s="1">
        <f>VLOOKUP(B491,Nuclides!A:D,4,FALSE)</f>
        <v>133.80000000000001</v>
      </c>
      <c r="F491" s="7"/>
      <c r="G491" s="1"/>
      <c r="H491" s="1"/>
      <c r="K491" s="8"/>
      <c r="L491" s="7"/>
      <c r="M491" s="7"/>
    </row>
    <row r="492" spans="2:13" x14ac:dyDescent="0.2">
      <c r="B492" s="8">
        <v>50130</v>
      </c>
      <c r="C492" s="9">
        <v>2.2957200000000001E-5</v>
      </c>
      <c r="D492" s="8" t="s">
        <v>1406</v>
      </c>
      <c r="E492" s="1">
        <f>VLOOKUP(B492,Nuclides!A:D,4,FALSE)</f>
        <v>223.2</v>
      </c>
      <c r="F492" s="7"/>
      <c r="G492" s="1"/>
      <c r="H492" s="1"/>
      <c r="K492" s="8"/>
      <c r="L492" s="7"/>
      <c r="M492" s="7"/>
    </row>
    <row r="493" spans="2:13" x14ac:dyDescent="0.2">
      <c r="B493" s="8">
        <v>50131</v>
      </c>
      <c r="C493" s="9">
        <v>2.2952800000000002E-5</v>
      </c>
      <c r="D493" s="8" t="s">
        <v>1407</v>
      </c>
      <c r="E493" s="1">
        <f>VLOOKUP(B493,Nuclides!A:D,4,FALSE)</f>
        <v>56</v>
      </c>
      <c r="F493" s="7"/>
      <c r="G493" s="1"/>
      <c r="H493" s="1"/>
      <c r="K493" s="8"/>
      <c r="L493" s="7"/>
      <c r="M493" s="7"/>
    </row>
    <row r="494" spans="2:13" x14ac:dyDescent="0.2">
      <c r="B494" s="8">
        <v>50132</v>
      </c>
      <c r="C494" s="9">
        <v>2.00485E-5</v>
      </c>
      <c r="D494" s="8" t="s">
        <v>1408</v>
      </c>
      <c r="E494" s="1">
        <f>VLOOKUP(B494,Nuclides!A:D,4,FALSE)</f>
        <v>39.700000000000003</v>
      </c>
      <c r="F494" s="7"/>
      <c r="G494" s="1"/>
      <c r="H494" s="1"/>
      <c r="K494" s="8"/>
      <c r="L494" s="7"/>
      <c r="M494" s="7"/>
    </row>
    <row r="495" spans="2:13" x14ac:dyDescent="0.2">
      <c r="B495" s="8">
        <v>50133</v>
      </c>
      <c r="C495" s="9">
        <v>7.7809599999999994E-6</v>
      </c>
      <c r="D495" s="8" t="s">
        <v>1409</v>
      </c>
      <c r="E495" s="1">
        <f>VLOOKUP(B495,Nuclides!A:D,4,FALSE)</f>
        <v>1.46</v>
      </c>
      <c r="F495" s="7"/>
      <c r="G495" s="1"/>
      <c r="H495" s="1"/>
      <c r="K495" s="8"/>
      <c r="L495" s="7"/>
      <c r="M495" s="7"/>
    </row>
    <row r="496" spans="2:13" x14ac:dyDescent="0.2">
      <c r="B496" s="8">
        <v>50134</v>
      </c>
      <c r="C496" s="9">
        <v>2.86354E-6</v>
      </c>
      <c r="D496" s="8" t="s">
        <v>1410</v>
      </c>
      <c r="E496" s="1">
        <f>VLOOKUP(B496,Nuclides!A:D,4,FALSE)</f>
        <v>1.05</v>
      </c>
      <c r="F496" s="7"/>
      <c r="G496" s="1"/>
      <c r="H496" s="1"/>
      <c r="K496" s="8"/>
      <c r="L496" s="7"/>
      <c r="M496" s="7"/>
    </row>
    <row r="497" spans="2:13" x14ac:dyDescent="0.2">
      <c r="B497" s="8">
        <v>51108</v>
      </c>
      <c r="C497" s="9">
        <v>5.9937300000000003E-7</v>
      </c>
      <c r="D497" s="8" t="s">
        <v>1421</v>
      </c>
      <c r="E497" s="1">
        <f>VLOOKUP(B497,Nuclides!A:D,4,FALSE)</f>
        <v>7.4</v>
      </c>
      <c r="F497" s="7"/>
      <c r="G497" s="1"/>
      <c r="H497" s="1"/>
      <c r="K497" s="8"/>
      <c r="L497" s="7"/>
      <c r="M497" s="7"/>
    </row>
    <row r="498" spans="2:13" x14ac:dyDescent="0.2">
      <c r="B498" s="8">
        <v>51109</v>
      </c>
      <c r="C498" s="9">
        <v>1.1126100000000001E-7</v>
      </c>
      <c r="D498" s="8" t="s">
        <v>1422</v>
      </c>
      <c r="E498" s="1">
        <f>VLOOKUP(B498,Nuclides!A:D,4,FALSE)</f>
        <v>17</v>
      </c>
      <c r="F498" s="7"/>
      <c r="G498" s="1"/>
      <c r="H498" s="1"/>
      <c r="K498" s="8"/>
      <c r="L498" s="7"/>
      <c r="M498" s="7"/>
    </row>
    <row r="499" spans="2:13" x14ac:dyDescent="0.2">
      <c r="B499" s="8">
        <v>51110</v>
      </c>
      <c r="C499" s="9">
        <v>1.34016E-8</v>
      </c>
      <c r="D499" s="8" t="s">
        <v>1423</v>
      </c>
      <c r="E499" s="1">
        <f>VLOOKUP(B499,Nuclides!A:D,4,FALSE)</f>
        <v>23</v>
      </c>
      <c r="F499" s="7"/>
      <c r="G499" s="1"/>
      <c r="H499" s="1"/>
      <c r="K499" s="8"/>
      <c r="L499" s="7"/>
      <c r="M499" s="7"/>
    </row>
    <row r="500" spans="2:13" x14ac:dyDescent="0.2">
      <c r="B500" s="8">
        <v>51111</v>
      </c>
      <c r="C500" s="9">
        <v>1.6054000000000001E-9</v>
      </c>
      <c r="D500" s="8" t="s">
        <v>1424</v>
      </c>
      <c r="E500" s="1">
        <f>VLOOKUP(B500,Nuclides!A:D,4,FALSE)</f>
        <v>75</v>
      </c>
      <c r="F500" s="7"/>
      <c r="G500" s="1"/>
      <c r="H500" s="1"/>
      <c r="K500" s="8"/>
      <c r="L500" s="7"/>
      <c r="M500" s="7"/>
    </row>
    <row r="501" spans="2:13" x14ac:dyDescent="0.2">
      <c r="B501" s="8">
        <v>51119</v>
      </c>
      <c r="C501" s="9">
        <v>1.3959999999999999E-10</v>
      </c>
      <c r="D501" s="8" t="s">
        <v>1432</v>
      </c>
      <c r="E501" s="1">
        <f>VLOOKUP(B501,Nuclides!A:D,4,FALSE)</f>
        <v>137484</v>
      </c>
      <c r="F501" s="7"/>
      <c r="G501" s="1"/>
      <c r="H501" s="1"/>
      <c r="K501" s="8"/>
      <c r="L501" s="7"/>
      <c r="M501" s="7"/>
    </row>
    <row r="502" spans="2:13" x14ac:dyDescent="0.2">
      <c r="B502" s="8">
        <v>51120</v>
      </c>
      <c r="C502" s="9">
        <v>4.8860000000000005E-10</v>
      </c>
      <c r="D502" s="8" t="s">
        <v>1433</v>
      </c>
      <c r="E502" s="1">
        <f>VLOOKUP(B502,Nuclides!A:D,4,FALSE)</f>
        <v>953.4</v>
      </c>
      <c r="F502" s="7"/>
      <c r="G502" s="1"/>
      <c r="H502" s="1"/>
      <c r="K502" s="8"/>
      <c r="L502" s="7"/>
      <c r="M502" s="7"/>
    </row>
    <row r="503" spans="2:13" hidden="1" x14ac:dyDescent="0.2">
      <c r="B503" s="8">
        <v>51121</v>
      </c>
      <c r="C503" s="9">
        <v>1.2563999999999999E-9</v>
      </c>
      <c r="D503" s="8" t="s">
        <v>1434</v>
      </c>
      <c r="E503" s="1" t="str">
        <f>VLOOKUP(B503,Nuclides!A:D,4,FALSE)</f>
        <v>STABLE</v>
      </c>
      <c r="F503" s="7"/>
      <c r="G503" s="1"/>
      <c r="H503" s="1"/>
      <c r="K503" s="8"/>
      <c r="L503" s="7"/>
      <c r="M503" s="7"/>
    </row>
    <row r="504" spans="2:13" x14ac:dyDescent="0.2">
      <c r="B504" s="8">
        <v>51122</v>
      </c>
      <c r="C504" s="9">
        <v>5.3746E-9</v>
      </c>
      <c r="D504" s="8" t="s">
        <v>1435</v>
      </c>
      <c r="E504" s="1">
        <f>VLOOKUP(B504,Nuclides!A:D,4,FALSE)</f>
        <v>235336.32000000001</v>
      </c>
      <c r="F504" s="7"/>
      <c r="G504" s="1"/>
      <c r="H504" s="1"/>
      <c r="K504" s="8"/>
      <c r="L504" s="7"/>
      <c r="M504" s="7"/>
    </row>
    <row r="505" spans="2:13" hidden="1" x14ac:dyDescent="0.2">
      <c r="B505" s="8">
        <v>51123</v>
      </c>
      <c r="C505" s="9">
        <v>2.6314599999999999E-8</v>
      </c>
      <c r="D505" s="8" t="s">
        <v>1436</v>
      </c>
      <c r="E505" s="1" t="str">
        <f>VLOOKUP(B505,Nuclides!A:D,4,FALSE)</f>
        <v>STABLE</v>
      </c>
      <c r="F505" s="7"/>
      <c r="G505" s="1"/>
      <c r="H505" s="1"/>
      <c r="K505" s="8"/>
      <c r="L505" s="7"/>
      <c r="M505" s="7"/>
    </row>
    <row r="506" spans="2:13" x14ac:dyDescent="0.2">
      <c r="B506" s="8">
        <v>51124</v>
      </c>
      <c r="C506" s="9">
        <v>7.28014E-8</v>
      </c>
      <c r="D506" s="8" t="s">
        <v>1437</v>
      </c>
      <c r="E506" s="1">
        <f>VLOOKUP(B506,Nuclides!A:D,4,FALSE)</f>
        <v>5201280</v>
      </c>
      <c r="F506" s="7"/>
      <c r="G506" s="1"/>
      <c r="H506" s="1"/>
      <c r="K506" s="8"/>
      <c r="L506" s="7"/>
      <c r="M506" s="7"/>
    </row>
    <row r="507" spans="2:13" x14ac:dyDescent="0.2">
      <c r="B507" s="8">
        <v>51125</v>
      </c>
      <c r="C507" s="9">
        <v>2.6831100000000003E-7</v>
      </c>
      <c r="D507" s="8" t="s">
        <v>1438</v>
      </c>
      <c r="E507" s="1">
        <f>VLOOKUP(B507,Nuclides!A:D,4,FALSE)</f>
        <v>87053533.055999994</v>
      </c>
      <c r="F507" s="7"/>
      <c r="G507" s="1"/>
      <c r="H507" s="1"/>
      <c r="K507" s="8"/>
      <c r="L507" s="7"/>
      <c r="M507" s="7"/>
    </row>
    <row r="508" spans="2:13" x14ac:dyDescent="0.2">
      <c r="B508" s="8">
        <v>51126</v>
      </c>
      <c r="C508" s="9">
        <v>5.6084300000000001E-7</v>
      </c>
      <c r="D508" s="8" t="s">
        <v>1439</v>
      </c>
      <c r="E508" s="1">
        <f>VLOOKUP(B508,Nuclides!A:D,4,FALSE)</f>
        <v>1067040</v>
      </c>
      <c r="F508" s="7"/>
      <c r="G508" s="1"/>
      <c r="H508" s="1"/>
      <c r="K508" s="8"/>
      <c r="L508" s="7"/>
      <c r="M508" s="7"/>
    </row>
    <row r="509" spans="2:13" x14ac:dyDescent="0.2">
      <c r="B509" s="8">
        <v>51127</v>
      </c>
      <c r="C509" s="9">
        <v>1.5382500000000001E-6</v>
      </c>
      <c r="D509" s="8" t="s">
        <v>1440</v>
      </c>
      <c r="E509" s="1">
        <f>VLOOKUP(B509,Nuclides!A:D,4,FALSE)</f>
        <v>332640</v>
      </c>
      <c r="F509" s="7"/>
      <c r="G509" s="1"/>
      <c r="H509" s="1"/>
      <c r="K509" s="8"/>
      <c r="L509" s="7"/>
      <c r="M509" s="7"/>
    </row>
    <row r="510" spans="2:13" x14ac:dyDescent="0.2">
      <c r="B510" s="8">
        <v>51128</v>
      </c>
      <c r="C510" s="9">
        <v>2.82515E-6</v>
      </c>
      <c r="D510" s="8" t="s">
        <v>1441</v>
      </c>
      <c r="E510" s="1">
        <f>VLOOKUP(B510,Nuclides!A:D,4,FALSE)</f>
        <v>32580</v>
      </c>
      <c r="F510" s="7"/>
      <c r="G510" s="1"/>
      <c r="H510" s="1"/>
      <c r="K510" s="8"/>
      <c r="L510" s="7"/>
      <c r="M510" s="7"/>
    </row>
    <row r="511" spans="2:13" x14ac:dyDescent="0.2">
      <c r="B511" s="8">
        <v>51129</v>
      </c>
      <c r="C511" s="9">
        <v>6.9429400000000003E-6</v>
      </c>
      <c r="D511" s="8" t="s">
        <v>1442</v>
      </c>
      <c r="E511" s="1">
        <f>VLOOKUP(B511,Nuclides!A:D,4,FALSE)</f>
        <v>15717.5999999999</v>
      </c>
      <c r="F511" s="7"/>
      <c r="G511" s="1"/>
      <c r="H511" s="1"/>
      <c r="K511" s="8"/>
      <c r="L511" s="7"/>
      <c r="M511" s="7"/>
    </row>
    <row r="512" spans="2:13" x14ac:dyDescent="0.2">
      <c r="B512" s="8">
        <v>51130</v>
      </c>
      <c r="C512" s="9">
        <v>1.3030999999999999E-5</v>
      </c>
      <c r="D512" s="8" t="s">
        <v>1443</v>
      </c>
      <c r="E512" s="1">
        <f>VLOOKUP(B512,Nuclides!A:D,4,FALSE)</f>
        <v>2370</v>
      </c>
      <c r="F512" s="7"/>
      <c r="G512" s="1"/>
      <c r="H512" s="1"/>
      <c r="K512" s="8"/>
      <c r="L512" s="7"/>
      <c r="M512" s="7"/>
    </row>
    <row r="513" spans="2:13" x14ac:dyDescent="0.2">
      <c r="B513" s="8">
        <v>51131</v>
      </c>
      <c r="C513" s="9">
        <v>2.8943100000000001E-5</v>
      </c>
      <c r="D513" s="8" t="s">
        <v>1444</v>
      </c>
      <c r="E513" s="1">
        <f>VLOOKUP(B513,Nuclides!A:D,4,FALSE)</f>
        <v>1381.8</v>
      </c>
      <c r="F513" s="7"/>
      <c r="G513" s="1"/>
      <c r="H513" s="1"/>
      <c r="K513" s="8"/>
      <c r="L513" s="7"/>
      <c r="M513" s="7"/>
    </row>
    <row r="514" spans="2:13" x14ac:dyDescent="0.2">
      <c r="B514" s="8">
        <v>51132</v>
      </c>
      <c r="C514" s="9">
        <v>4.0145699999999997E-5</v>
      </c>
      <c r="D514" s="8" t="s">
        <v>1445</v>
      </c>
      <c r="E514" s="1">
        <f>VLOOKUP(B514,Nuclides!A:D,4,FALSE)</f>
        <v>167.4</v>
      </c>
      <c r="F514" s="7"/>
      <c r="G514" s="1"/>
      <c r="H514" s="1"/>
      <c r="K514" s="8"/>
      <c r="L514" s="7"/>
      <c r="M514" s="7"/>
    </row>
    <row r="515" spans="2:13" x14ac:dyDescent="0.2">
      <c r="B515" s="8">
        <v>51133</v>
      </c>
      <c r="C515" s="9">
        <v>5.31325E-5</v>
      </c>
      <c r="D515" s="8" t="s">
        <v>1446</v>
      </c>
      <c r="E515" s="1">
        <f>VLOOKUP(B515,Nuclides!A:D,4,FALSE)</f>
        <v>140.39999999999901</v>
      </c>
      <c r="F515" s="7"/>
      <c r="G515" s="1"/>
      <c r="H515" s="1"/>
      <c r="K515" s="8"/>
      <c r="L515" s="7"/>
      <c r="M515" s="7"/>
    </row>
    <row r="516" spans="2:13" x14ac:dyDescent="0.2">
      <c r="B516" s="8">
        <v>51134</v>
      </c>
      <c r="C516" s="9">
        <v>2.96874E-5</v>
      </c>
      <c r="D516" s="8" t="s">
        <v>1447</v>
      </c>
      <c r="E516" s="1">
        <f>VLOOKUP(B516,Nuclides!A:D,4,FALSE)</f>
        <v>0.78</v>
      </c>
      <c r="F516" s="7"/>
      <c r="G516" s="1"/>
      <c r="H516" s="1"/>
      <c r="K516" s="8"/>
      <c r="L516" s="7"/>
      <c r="M516" s="7"/>
    </row>
    <row r="517" spans="2:13" x14ac:dyDescent="0.2">
      <c r="B517" s="8">
        <v>51135</v>
      </c>
      <c r="C517" s="9">
        <v>1.80646E-5</v>
      </c>
      <c r="D517" s="8" t="s">
        <v>1448</v>
      </c>
      <c r="E517" s="1">
        <f>VLOOKUP(B517,Nuclides!A:D,4,FALSE)</f>
        <v>1.679</v>
      </c>
      <c r="F517" s="7"/>
      <c r="G517" s="1"/>
      <c r="H517" s="1"/>
      <c r="K517" s="8"/>
      <c r="L517" s="7"/>
      <c r="M517" s="7"/>
    </row>
    <row r="518" spans="2:13" x14ac:dyDescent="0.2">
      <c r="B518" s="8">
        <v>51136</v>
      </c>
      <c r="C518" s="9">
        <v>5.6405399999999999E-6</v>
      </c>
      <c r="D518" s="8" t="s">
        <v>1449</v>
      </c>
      <c r="E518" s="1">
        <f>VLOOKUP(B518,Nuclides!A:D,4,FALSE)</f>
        <v>0.92300000000000004</v>
      </c>
      <c r="F518" s="7"/>
      <c r="G518" s="1"/>
      <c r="H518" s="1"/>
      <c r="K518" s="8"/>
      <c r="L518" s="7"/>
      <c r="M518" s="7"/>
    </row>
    <row r="519" spans="2:13" x14ac:dyDescent="0.2">
      <c r="B519" s="8">
        <v>52106</v>
      </c>
      <c r="C519" s="9">
        <v>1.8392300000000001E-6</v>
      </c>
      <c r="D519" s="8" t="s">
        <v>1455</v>
      </c>
      <c r="E519" s="1">
        <f>VLOOKUP(B519,Nuclides!A:D,4,FALSE)</f>
        <v>6.9999999999999994E-5</v>
      </c>
      <c r="F519" s="7"/>
      <c r="G519" s="1"/>
      <c r="H519" s="1"/>
      <c r="K519" s="8"/>
      <c r="L519" s="7"/>
      <c r="M519" s="7"/>
    </row>
    <row r="520" spans="2:13" x14ac:dyDescent="0.2">
      <c r="B520" s="8">
        <v>52107</v>
      </c>
      <c r="C520" s="9">
        <v>3.4209000000000001E-7</v>
      </c>
      <c r="D520" s="8" t="s">
        <v>1456</v>
      </c>
      <c r="E520" s="1">
        <f>VLOOKUP(B520,Nuclides!A:D,4,FALSE)</f>
        <v>3.0999999999999999E-3</v>
      </c>
      <c r="F520" s="7"/>
      <c r="G520" s="1"/>
      <c r="H520" s="1"/>
      <c r="K520" s="8"/>
      <c r="L520" s="7"/>
      <c r="M520" s="7"/>
    </row>
    <row r="521" spans="2:13" x14ac:dyDescent="0.2">
      <c r="B521" s="8">
        <v>52108</v>
      </c>
      <c r="C521" s="9">
        <v>6.2122000000000005E-8</v>
      </c>
      <c r="D521" s="8" t="s">
        <v>1457</v>
      </c>
      <c r="E521" s="1">
        <f>VLOOKUP(B521,Nuclides!A:D,4,FALSE)</f>
        <v>2.1</v>
      </c>
      <c r="F521" s="7"/>
      <c r="G521" s="1"/>
      <c r="H521" s="1"/>
      <c r="K521" s="8"/>
      <c r="L521" s="7"/>
      <c r="M521" s="7"/>
    </row>
    <row r="522" spans="2:13" x14ac:dyDescent="0.2">
      <c r="B522" s="8">
        <v>52109</v>
      </c>
      <c r="C522" s="9">
        <v>7.1196000000000001E-9</v>
      </c>
      <c r="D522" s="8" t="s">
        <v>1458</v>
      </c>
      <c r="E522" s="1">
        <f>VLOOKUP(B522,Nuclides!A:D,4,FALSE)</f>
        <v>4.5999999999999996</v>
      </c>
      <c r="F522" s="7"/>
      <c r="G522" s="1"/>
      <c r="H522" s="1"/>
      <c r="K522" s="8"/>
      <c r="L522" s="7"/>
      <c r="M522" s="7"/>
    </row>
    <row r="523" spans="2:13" x14ac:dyDescent="0.2">
      <c r="B523" s="8">
        <v>52110</v>
      </c>
      <c r="C523" s="9">
        <v>7.6779999999999997E-10</v>
      </c>
      <c r="D523" s="8" t="s">
        <v>1459</v>
      </c>
      <c r="E523" s="1">
        <f>VLOOKUP(B523,Nuclides!A:D,4,FALSE)</f>
        <v>18.600000000000001</v>
      </c>
      <c r="F523" s="7"/>
      <c r="G523" s="1"/>
      <c r="H523" s="1"/>
      <c r="K523" s="8"/>
      <c r="L523" s="7"/>
      <c r="M523" s="7"/>
    </row>
    <row r="524" spans="2:13" hidden="1" x14ac:dyDescent="0.2">
      <c r="B524" s="8">
        <v>52120</v>
      </c>
      <c r="C524" s="9">
        <v>6.9799999999999994E-11</v>
      </c>
      <c r="D524" s="8" t="s">
        <v>1469</v>
      </c>
      <c r="E524" s="1" t="str">
        <f>VLOOKUP(B524,Nuclides!A:D,4,FALSE)</f>
        <v>STABLE</v>
      </c>
      <c r="F524" s="7"/>
      <c r="G524" s="1"/>
      <c r="H524" s="1"/>
      <c r="K524" s="8"/>
      <c r="L524" s="7"/>
      <c r="M524" s="7"/>
    </row>
    <row r="525" spans="2:13" x14ac:dyDescent="0.2">
      <c r="B525" s="8">
        <v>52121</v>
      </c>
      <c r="C525" s="9">
        <v>1.3959999999999999E-10</v>
      </c>
      <c r="D525" s="8" t="s">
        <v>1470</v>
      </c>
      <c r="E525" s="1">
        <f>VLOOKUP(B525,Nuclides!A:D,4,FALSE)</f>
        <v>1656288</v>
      </c>
      <c r="F525" s="7"/>
      <c r="G525" s="1"/>
      <c r="H525" s="1"/>
      <c r="K525" s="8"/>
      <c r="L525" s="7"/>
      <c r="M525" s="7"/>
    </row>
    <row r="526" spans="2:13" x14ac:dyDescent="0.2">
      <c r="B526" s="8">
        <v>52123</v>
      </c>
      <c r="C526" s="9">
        <v>3.4899999999999998E-10</v>
      </c>
      <c r="D526" s="8" t="s">
        <v>1472</v>
      </c>
      <c r="E526" s="1">
        <f>VLOOKUP(B526,Nuclides!A:D,4,FALSE)</f>
        <v>2.9032991999999999E+24</v>
      </c>
      <c r="F526" s="7"/>
      <c r="G526" s="1"/>
      <c r="H526" s="1"/>
      <c r="K526" s="8"/>
      <c r="L526" s="7"/>
      <c r="M526" s="7"/>
    </row>
    <row r="527" spans="2:13" hidden="1" x14ac:dyDescent="0.2">
      <c r="B527" s="8">
        <v>52124</v>
      </c>
      <c r="C527" s="9">
        <v>1.7450000000000001E-9</v>
      </c>
      <c r="D527" s="8" t="s">
        <v>1473</v>
      </c>
      <c r="E527" s="1" t="str">
        <f>VLOOKUP(B527,Nuclides!A:D,4,FALSE)</f>
        <v>STABLE</v>
      </c>
      <c r="F527" s="7"/>
      <c r="G527" s="1"/>
      <c r="H527" s="1"/>
      <c r="K527" s="8"/>
      <c r="L527" s="7"/>
      <c r="M527" s="7"/>
    </row>
    <row r="528" spans="2:13" hidden="1" x14ac:dyDescent="0.2">
      <c r="B528" s="8">
        <v>52125</v>
      </c>
      <c r="C528" s="9">
        <v>7.2591999999999999E-9</v>
      </c>
      <c r="D528" s="8" t="s">
        <v>1474</v>
      </c>
      <c r="E528" s="1" t="str">
        <f>VLOOKUP(B528,Nuclides!A:D,4,FALSE)</f>
        <v>STABLE</v>
      </c>
      <c r="F528" s="7"/>
      <c r="G528" s="1"/>
      <c r="H528" s="1"/>
      <c r="K528" s="8"/>
      <c r="L528" s="7"/>
      <c r="M528" s="7"/>
    </row>
    <row r="529" spans="2:13" hidden="1" x14ac:dyDescent="0.2">
      <c r="B529" s="8">
        <v>52126</v>
      </c>
      <c r="C529" s="9">
        <v>4.3485399999999997E-8</v>
      </c>
      <c r="D529" s="8" t="s">
        <v>1475</v>
      </c>
      <c r="E529" s="1" t="str">
        <f>VLOOKUP(B529,Nuclides!A:D,4,FALSE)</f>
        <v>STABLE</v>
      </c>
      <c r="F529" s="7"/>
      <c r="G529" s="1"/>
      <c r="H529" s="1"/>
      <c r="K529" s="8"/>
      <c r="L529" s="7"/>
      <c r="M529" s="7"/>
    </row>
    <row r="530" spans="2:13" x14ac:dyDescent="0.2">
      <c r="B530" s="8">
        <v>52127</v>
      </c>
      <c r="C530" s="9">
        <v>1.2982799999999999E-7</v>
      </c>
      <c r="D530" s="8" t="s">
        <v>1476</v>
      </c>
      <c r="E530" s="1">
        <f>VLOOKUP(B530,Nuclides!A:D,4,FALSE)</f>
        <v>33660</v>
      </c>
      <c r="F530" s="7"/>
      <c r="G530" s="1"/>
      <c r="H530" s="1"/>
      <c r="K530" s="8"/>
      <c r="L530" s="7"/>
      <c r="M530" s="7"/>
    </row>
    <row r="531" spans="2:13" x14ac:dyDescent="0.2">
      <c r="B531" s="8">
        <v>52128</v>
      </c>
      <c r="C531" s="9">
        <v>5.3620399999999995E-7</v>
      </c>
      <c r="D531" s="8" t="s">
        <v>1477</v>
      </c>
      <c r="E531" s="1">
        <f>VLOOKUP(B531,Nuclides!A:D,4,FALSE)</f>
        <v>7.6053815999999996E+31</v>
      </c>
      <c r="F531" s="7"/>
      <c r="G531" s="1"/>
      <c r="H531" s="1"/>
      <c r="K531" s="8"/>
      <c r="L531" s="7"/>
      <c r="M531" s="7"/>
    </row>
    <row r="532" spans="2:13" x14ac:dyDescent="0.2">
      <c r="B532" s="8">
        <v>52129</v>
      </c>
      <c r="C532" s="9">
        <v>1.3836500000000001E-6</v>
      </c>
      <c r="D532" s="8" t="s">
        <v>1478</v>
      </c>
      <c r="E532" s="1">
        <f>VLOOKUP(B532,Nuclides!A:D,4,FALSE)</f>
        <v>4194</v>
      </c>
      <c r="F532" s="7"/>
      <c r="G532" s="1"/>
      <c r="H532" s="1"/>
      <c r="K532" s="8"/>
      <c r="L532" s="7"/>
      <c r="M532" s="7"/>
    </row>
    <row r="533" spans="2:13" x14ac:dyDescent="0.2">
      <c r="B533" s="8">
        <v>52130</v>
      </c>
      <c r="C533" s="9">
        <v>4.09768E-6</v>
      </c>
      <c r="D533" s="8" t="s">
        <v>1479</v>
      </c>
      <c r="E533" s="1">
        <f>VLOOKUP(B533,Nuclides!A:D,4,FALSE)</f>
        <v>9.46728E+31</v>
      </c>
      <c r="F533" s="7"/>
      <c r="G533" s="1"/>
      <c r="H533" s="1"/>
      <c r="K533" s="8"/>
      <c r="L533" s="7"/>
      <c r="M533" s="7"/>
    </row>
    <row r="534" spans="2:13" x14ac:dyDescent="0.2">
      <c r="B534" s="8">
        <v>52131</v>
      </c>
      <c r="C534" s="9">
        <v>9.6286999999999998E-6</v>
      </c>
      <c r="D534" s="8" t="s">
        <v>1480</v>
      </c>
      <c r="E534" s="1">
        <f>VLOOKUP(B534,Nuclides!A:D,4,FALSE)</f>
        <v>1500</v>
      </c>
      <c r="F534" s="7"/>
      <c r="G534" s="1"/>
      <c r="H534" s="1"/>
      <c r="K534" s="8"/>
      <c r="L534" s="7"/>
      <c r="M534" s="7"/>
    </row>
    <row r="535" spans="2:13" x14ac:dyDescent="0.2">
      <c r="B535" s="8">
        <v>52132</v>
      </c>
      <c r="C535" s="9">
        <v>2.2436400000000001E-5</v>
      </c>
      <c r="D535" s="8" t="s">
        <v>1481</v>
      </c>
      <c r="E535" s="1">
        <f>VLOOKUP(B535,Nuclides!A:D,4,FALSE)</f>
        <v>276825.59999999998</v>
      </c>
      <c r="F535" s="7"/>
      <c r="G535" s="1"/>
      <c r="H535" s="1"/>
      <c r="K535" s="8"/>
      <c r="L535" s="7"/>
      <c r="M535" s="7"/>
    </row>
    <row r="536" spans="2:13" x14ac:dyDescent="0.2">
      <c r="B536" s="8">
        <v>52133</v>
      </c>
      <c r="C536" s="9">
        <v>4.2425999999999997E-5</v>
      </c>
      <c r="D536" s="8" t="s">
        <v>1482</v>
      </c>
      <c r="E536" s="1">
        <f>VLOOKUP(B536,Nuclides!A:D,4,FALSE)</f>
        <v>750</v>
      </c>
      <c r="F536" s="7"/>
      <c r="G536" s="1"/>
      <c r="H536" s="1"/>
      <c r="K536" s="8"/>
      <c r="L536" s="7"/>
      <c r="M536" s="7"/>
    </row>
    <row r="537" spans="2:13" x14ac:dyDescent="0.2">
      <c r="B537" s="8">
        <v>52134</v>
      </c>
      <c r="C537" s="9">
        <v>7.2801799999999998E-5</v>
      </c>
      <c r="D537" s="8" t="s">
        <v>1483</v>
      </c>
      <c r="E537" s="1">
        <f>VLOOKUP(B537,Nuclides!A:D,4,FALSE)</f>
        <v>2508</v>
      </c>
      <c r="F537" s="7"/>
      <c r="G537" s="1"/>
      <c r="H537" s="1"/>
      <c r="K537" s="8"/>
      <c r="L537" s="7"/>
      <c r="M537" s="7"/>
    </row>
    <row r="538" spans="2:13" x14ac:dyDescent="0.2">
      <c r="B538" s="8">
        <v>52135</v>
      </c>
      <c r="C538" s="9">
        <v>6.9629100000000001E-5</v>
      </c>
      <c r="D538" s="8" t="s">
        <v>1484</v>
      </c>
      <c r="E538" s="1">
        <f>VLOOKUP(B538,Nuclides!A:D,4,FALSE)</f>
        <v>19</v>
      </c>
      <c r="F538" s="7"/>
      <c r="G538" s="1"/>
      <c r="H538" s="1"/>
      <c r="K538" s="8"/>
      <c r="L538" s="7"/>
      <c r="M538" s="7"/>
    </row>
    <row r="539" spans="2:13" x14ac:dyDescent="0.2">
      <c r="B539" s="8">
        <v>52136</v>
      </c>
      <c r="C539" s="9">
        <v>5.66803E-5</v>
      </c>
      <c r="D539" s="8" t="s">
        <v>1485</v>
      </c>
      <c r="E539" s="1">
        <f>VLOOKUP(B539,Nuclides!A:D,4,FALSE)</f>
        <v>17.63</v>
      </c>
      <c r="F539" s="7"/>
      <c r="G539" s="1"/>
      <c r="H539" s="1"/>
      <c r="K539" s="8"/>
      <c r="L539" s="7"/>
      <c r="M539" s="7"/>
    </row>
    <row r="540" spans="2:13" x14ac:dyDescent="0.2">
      <c r="B540" s="8">
        <v>52137</v>
      </c>
      <c r="C540" s="9">
        <v>2.8348200000000001E-5</v>
      </c>
      <c r="D540" s="8" t="s">
        <v>1486</v>
      </c>
      <c r="E540" s="1">
        <f>VLOOKUP(B540,Nuclides!A:D,4,FALSE)</f>
        <v>2.4900000000000002</v>
      </c>
      <c r="F540" s="7"/>
      <c r="G540" s="1"/>
      <c r="H540" s="1"/>
      <c r="K540" s="8"/>
      <c r="L540" s="7"/>
      <c r="M540" s="7"/>
    </row>
    <row r="541" spans="2:13" x14ac:dyDescent="0.2">
      <c r="B541" s="8">
        <v>52138</v>
      </c>
      <c r="C541" s="9">
        <v>1.2497099999999999E-5</v>
      </c>
      <c r="D541" s="8" t="s">
        <v>1487</v>
      </c>
      <c r="E541" s="1">
        <f>VLOOKUP(B541,Nuclides!A:D,4,FALSE)</f>
        <v>1.4</v>
      </c>
      <c r="F541" s="7"/>
      <c r="G541" s="1"/>
      <c r="H541" s="1"/>
      <c r="K541" s="8"/>
      <c r="L541" s="7"/>
      <c r="M541" s="7"/>
    </row>
    <row r="542" spans="2:13" x14ac:dyDescent="0.2">
      <c r="B542" s="8">
        <v>53110</v>
      </c>
      <c r="C542" s="9">
        <v>2.92804E-6</v>
      </c>
      <c r="D542" s="8" t="s">
        <v>1494</v>
      </c>
      <c r="E542" s="1">
        <f>VLOOKUP(B542,Nuclides!A:D,4,FALSE)</f>
        <v>0.65</v>
      </c>
      <c r="F542" s="7"/>
      <c r="G542" s="1"/>
      <c r="H542" s="1"/>
      <c r="K542" s="8"/>
      <c r="L542" s="7"/>
      <c r="M542" s="7"/>
    </row>
    <row r="543" spans="2:13" x14ac:dyDescent="0.2">
      <c r="B543" s="8">
        <v>53111</v>
      </c>
      <c r="C543" s="9">
        <v>7.1195999999999998E-7</v>
      </c>
      <c r="D543" s="8" t="s">
        <v>1495</v>
      </c>
      <c r="E543" s="1">
        <f>VLOOKUP(B543,Nuclides!A:D,4,FALSE)</f>
        <v>2.5</v>
      </c>
      <c r="F543" s="7"/>
      <c r="G543" s="1"/>
      <c r="H543" s="1"/>
      <c r="K543" s="8"/>
      <c r="L543" s="7"/>
      <c r="M543" s="7"/>
    </row>
    <row r="544" spans="2:13" x14ac:dyDescent="0.2">
      <c r="B544" s="8">
        <v>53112</v>
      </c>
      <c r="C544" s="9">
        <v>9.6742799999999997E-8</v>
      </c>
      <c r="D544" s="8" t="s">
        <v>1496</v>
      </c>
      <c r="E544" s="1">
        <f>VLOOKUP(B544,Nuclides!A:D,4,FALSE)</f>
        <v>3.34</v>
      </c>
      <c r="F544" s="7"/>
      <c r="G544" s="1"/>
      <c r="H544" s="1"/>
      <c r="K544" s="8"/>
      <c r="L544" s="7"/>
      <c r="M544" s="7"/>
    </row>
    <row r="545" spans="2:13" x14ac:dyDescent="0.2">
      <c r="B545" s="8">
        <v>53113</v>
      </c>
      <c r="C545" s="9">
        <v>1.1167999999999999E-8</v>
      </c>
      <c r="D545" s="8" t="s">
        <v>1497</v>
      </c>
      <c r="E545" s="1">
        <f>VLOOKUP(B545,Nuclides!A:D,4,FALSE)</f>
        <v>6.6</v>
      </c>
      <c r="F545" s="7"/>
      <c r="G545" s="1"/>
      <c r="H545" s="1"/>
      <c r="K545" s="8"/>
      <c r="L545" s="7"/>
      <c r="M545" s="7"/>
    </row>
    <row r="546" spans="2:13" x14ac:dyDescent="0.2">
      <c r="B546" s="8">
        <v>53114</v>
      </c>
      <c r="C546" s="9">
        <v>5.5839999999999995E-10</v>
      </c>
      <c r="D546" s="8" t="s">
        <v>1498</v>
      </c>
      <c r="E546" s="1">
        <f>VLOOKUP(B546,Nuclides!A:D,4,FALSE)</f>
        <v>2.1</v>
      </c>
      <c r="F546" s="7"/>
      <c r="G546" s="1"/>
      <c r="H546" s="1"/>
      <c r="K546" s="8"/>
      <c r="L546" s="7"/>
      <c r="M546" s="7"/>
    </row>
    <row r="547" spans="2:13" x14ac:dyDescent="0.2">
      <c r="B547" s="8">
        <v>53126</v>
      </c>
      <c r="C547" s="9">
        <v>2.094E-10</v>
      </c>
      <c r="D547" s="8" t="s">
        <v>1510</v>
      </c>
      <c r="E547" s="1">
        <f>VLOOKUP(B547,Nuclides!A:D,4,FALSE)</f>
        <v>1117152</v>
      </c>
      <c r="F547" s="7"/>
      <c r="G547" s="1"/>
      <c r="H547" s="1"/>
      <c r="K547" s="8"/>
      <c r="L547" s="7"/>
      <c r="M547" s="7"/>
    </row>
    <row r="548" spans="2:13" hidden="1" x14ac:dyDescent="0.2">
      <c r="B548" s="8">
        <v>53127</v>
      </c>
      <c r="C548" s="9">
        <v>2.3034000000000001E-9</v>
      </c>
      <c r="D548" s="8" t="s">
        <v>1511</v>
      </c>
      <c r="E548" s="1" t="str">
        <f>VLOOKUP(B548,Nuclides!A:D,4,FALSE)</f>
        <v>STABLE</v>
      </c>
      <c r="F548" s="7"/>
      <c r="G548" s="1"/>
      <c r="H548" s="1"/>
      <c r="K548" s="8"/>
      <c r="L548" s="7"/>
      <c r="M548" s="7"/>
    </row>
    <row r="549" spans="2:13" x14ac:dyDescent="0.2">
      <c r="B549" s="8">
        <v>53128</v>
      </c>
      <c r="C549" s="9">
        <v>1.2424399999999999E-8</v>
      </c>
      <c r="D549" s="8" t="s">
        <v>1512</v>
      </c>
      <c r="E549" s="1">
        <f>VLOOKUP(B549,Nuclides!A:D,4,FALSE)</f>
        <v>1499.3999999999901</v>
      </c>
      <c r="F549" s="7"/>
      <c r="G549" s="1"/>
      <c r="H549" s="1"/>
      <c r="K549" s="8"/>
      <c r="L549" s="7"/>
      <c r="M549" s="7"/>
    </row>
    <row r="550" spans="2:13" x14ac:dyDescent="0.2">
      <c r="B550" s="8">
        <v>53129</v>
      </c>
      <c r="C550" s="9">
        <v>6.9800000000000003E-8</v>
      </c>
      <c r="D550" s="8" t="s">
        <v>1513</v>
      </c>
      <c r="E550" s="1">
        <f>VLOOKUP(B550,Nuclides!A:D,4,FALSE)</f>
        <v>495454320000000</v>
      </c>
      <c r="F550" s="7"/>
      <c r="G550" s="1"/>
      <c r="H550" s="1"/>
      <c r="K550" s="8"/>
      <c r="L550" s="7"/>
      <c r="M550" s="7"/>
    </row>
    <row r="551" spans="2:13" x14ac:dyDescent="0.2">
      <c r="B551" s="8">
        <v>53130</v>
      </c>
      <c r="C551" s="9">
        <v>2.2838599999999999E-7</v>
      </c>
      <c r="D551" s="8" t="s">
        <v>1514</v>
      </c>
      <c r="E551" s="1">
        <f>VLOOKUP(B551,Nuclides!A:D,4,FALSE)</f>
        <v>44496</v>
      </c>
      <c r="F551" s="7"/>
      <c r="G551" s="1"/>
      <c r="H551" s="1"/>
      <c r="K551" s="8"/>
      <c r="L551" s="7"/>
      <c r="M551" s="7"/>
    </row>
    <row r="552" spans="2:13" x14ac:dyDescent="0.2">
      <c r="B552" s="8">
        <v>53131</v>
      </c>
      <c r="C552" s="9">
        <v>9.0132699999999996E-7</v>
      </c>
      <c r="D552" s="8" t="s">
        <v>1515</v>
      </c>
      <c r="E552" s="1">
        <f>VLOOKUP(B552,Nuclides!A:D,4,FALSE)</f>
        <v>693377.28</v>
      </c>
      <c r="F552" s="7"/>
      <c r="G552" s="1"/>
      <c r="H552" s="1"/>
      <c r="K552" s="8"/>
      <c r="L552" s="7"/>
      <c r="M552" s="7"/>
    </row>
    <row r="553" spans="2:13" x14ac:dyDescent="0.2">
      <c r="B553" s="8">
        <v>53132</v>
      </c>
      <c r="C553" s="9">
        <v>2.3850699999999998E-6</v>
      </c>
      <c r="D553" s="8" t="s">
        <v>1516</v>
      </c>
      <c r="E553" s="1">
        <f>VLOOKUP(B553,Nuclides!A:D,4,FALSE)</f>
        <v>8262</v>
      </c>
      <c r="F553" s="7"/>
      <c r="G553" s="1"/>
      <c r="H553" s="1"/>
      <c r="K553" s="8"/>
      <c r="L553" s="7"/>
      <c r="M553" s="7"/>
    </row>
    <row r="554" spans="2:13" x14ac:dyDescent="0.2">
      <c r="B554" s="8">
        <v>53133</v>
      </c>
      <c r="C554" s="9">
        <v>7.7290899999999996E-6</v>
      </c>
      <c r="D554" s="8" t="s">
        <v>1517</v>
      </c>
      <c r="E554" s="1">
        <f>VLOOKUP(B554,Nuclides!A:D,4,FALSE)</f>
        <v>74988</v>
      </c>
      <c r="F554" s="7"/>
      <c r="G554" s="1"/>
      <c r="H554" s="1"/>
      <c r="K554" s="8"/>
      <c r="L554" s="7"/>
      <c r="M554" s="7"/>
    </row>
    <row r="555" spans="2:13" x14ac:dyDescent="0.2">
      <c r="B555" s="8">
        <v>53134</v>
      </c>
      <c r="C555" s="9">
        <v>1.9100700000000002E-5</v>
      </c>
      <c r="D555" s="8" t="s">
        <v>1518</v>
      </c>
      <c r="E555" s="1">
        <f>VLOOKUP(B555,Nuclides!A:D,4,FALSE)</f>
        <v>3150</v>
      </c>
      <c r="F555" s="7"/>
      <c r="G555" s="1"/>
      <c r="H555" s="1"/>
      <c r="K555" s="8"/>
      <c r="L555" s="7"/>
      <c r="M555" s="7"/>
    </row>
    <row r="556" spans="2:13" x14ac:dyDescent="0.2">
      <c r="B556" s="8">
        <v>53135</v>
      </c>
      <c r="C556" s="9">
        <v>4.9772399999999998E-5</v>
      </c>
      <c r="D556" s="8" t="s">
        <v>1519</v>
      </c>
      <c r="E556" s="1">
        <f>VLOOKUP(B556,Nuclides!A:D,4,FALSE)</f>
        <v>23688</v>
      </c>
      <c r="F556" s="7"/>
      <c r="G556" s="1"/>
      <c r="H556" s="1"/>
      <c r="K556" s="8"/>
      <c r="L556" s="7"/>
      <c r="M556" s="7"/>
    </row>
    <row r="557" spans="2:13" x14ac:dyDescent="0.2">
      <c r="B557" s="8">
        <v>53136</v>
      </c>
      <c r="C557" s="9">
        <v>5.83337E-5</v>
      </c>
      <c r="D557" s="8" t="s">
        <v>1520</v>
      </c>
      <c r="E557" s="1">
        <f>VLOOKUP(B557,Nuclides!A:D,4,FALSE)</f>
        <v>83.4</v>
      </c>
      <c r="F557" s="7"/>
      <c r="G557" s="1"/>
      <c r="H557" s="1"/>
      <c r="K557" s="8"/>
      <c r="L557" s="7"/>
      <c r="M557" s="7"/>
    </row>
    <row r="558" spans="2:13" x14ac:dyDescent="0.2">
      <c r="B558" s="8">
        <v>53137</v>
      </c>
      <c r="C558" s="9">
        <v>7.1020700000000003E-5</v>
      </c>
      <c r="D558" s="8" t="s">
        <v>1521</v>
      </c>
      <c r="E558" s="1">
        <f>VLOOKUP(B558,Nuclides!A:D,4,FALSE)</f>
        <v>24.5</v>
      </c>
      <c r="F558" s="7"/>
      <c r="G558" s="1"/>
      <c r="H558" s="1"/>
      <c r="K558" s="8"/>
      <c r="L558" s="7"/>
      <c r="M558" s="7"/>
    </row>
    <row r="559" spans="2:13" x14ac:dyDescent="0.2">
      <c r="B559" s="8">
        <v>53138</v>
      </c>
      <c r="C559" s="9">
        <v>4.5197200000000002E-5</v>
      </c>
      <c r="D559" s="8" t="s">
        <v>1522</v>
      </c>
      <c r="E559" s="1">
        <f>VLOOKUP(B559,Nuclides!A:D,4,FALSE)</f>
        <v>6.23</v>
      </c>
      <c r="F559" s="7"/>
      <c r="G559" s="1"/>
      <c r="H559" s="1"/>
      <c r="K559" s="8"/>
      <c r="L559" s="7"/>
      <c r="M559" s="7"/>
    </row>
    <row r="560" spans="2:13" x14ac:dyDescent="0.2">
      <c r="B560" s="8">
        <v>53139</v>
      </c>
      <c r="C560" s="9">
        <v>3.6078300000000003E-5</v>
      </c>
      <c r="D560" s="8" t="s">
        <v>1523</v>
      </c>
      <c r="E560" s="1">
        <f>VLOOKUP(B560,Nuclides!A:D,4,FALSE)</f>
        <v>2.2799999999999998</v>
      </c>
      <c r="F560" s="7"/>
      <c r="G560" s="1"/>
      <c r="H560" s="1"/>
      <c r="K560" s="8"/>
      <c r="L560" s="7"/>
      <c r="M560" s="7"/>
    </row>
    <row r="561" spans="2:13" x14ac:dyDescent="0.2">
      <c r="B561" s="8">
        <v>53140</v>
      </c>
      <c r="C561" s="9">
        <v>1.4052299999999999E-5</v>
      </c>
      <c r="D561" s="8" t="s">
        <v>1524</v>
      </c>
      <c r="E561" s="1">
        <f>VLOOKUP(B561,Nuclides!A:D,4,FALSE)</f>
        <v>0.86</v>
      </c>
      <c r="F561" s="7"/>
      <c r="G561" s="1"/>
      <c r="H561" s="1"/>
      <c r="K561" s="8"/>
      <c r="L561" s="7"/>
      <c r="M561" s="7"/>
    </row>
    <row r="562" spans="2:13" x14ac:dyDescent="0.2">
      <c r="B562" s="8">
        <v>53141</v>
      </c>
      <c r="C562" s="9">
        <v>5.9477300000000002E-6</v>
      </c>
      <c r="D562" s="8" t="s">
        <v>1525</v>
      </c>
      <c r="E562" s="1">
        <f>VLOOKUP(B562,Nuclides!A:D,4,FALSE)</f>
        <v>0.43</v>
      </c>
      <c r="F562" s="7"/>
      <c r="G562" s="1"/>
      <c r="H562" s="1"/>
      <c r="K562" s="8"/>
      <c r="L562" s="7"/>
      <c r="M562" s="7"/>
    </row>
    <row r="563" spans="2:13" x14ac:dyDescent="0.2">
      <c r="B563" s="8">
        <v>53142</v>
      </c>
      <c r="C563" s="9">
        <v>1.31119E-6</v>
      </c>
      <c r="D563" s="8" t="s">
        <v>1526</v>
      </c>
      <c r="E563" s="1">
        <f>VLOOKUP(B563,Nuclides!A:D,4,FALSE)</f>
        <v>0.222</v>
      </c>
      <c r="F563" s="7"/>
      <c r="G563" s="1"/>
      <c r="H563" s="1"/>
      <c r="K563" s="8"/>
      <c r="L563" s="7"/>
      <c r="M563" s="7"/>
    </row>
    <row r="564" spans="2:13" x14ac:dyDescent="0.2">
      <c r="B564" s="8">
        <v>54110</v>
      </c>
      <c r="C564" s="9">
        <v>3.0872500000000001E-7</v>
      </c>
      <c r="D564" s="8" t="s">
        <v>1531</v>
      </c>
      <c r="E564" s="1">
        <f>VLOOKUP(B564,Nuclides!A:D,4,FALSE)</f>
        <v>9.2999999999999999E-2</v>
      </c>
      <c r="F564" s="7"/>
      <c r="G564" s="1"/>
      <c r="H564" s="1"/>
      <c r="K564" s="8"/>
      <c r="L564" s="7"/>
      <c r="M564" s="7"/>
    </row>
    <row r="565" spans="2:13" x14ac:dyDescent="0.2">
      <c r="B565" s="8">
        <v>54111</v>
      </c>
      <c r="C565" s="9">
        <v>4.2577999999999999E-8</v>
      </c>
      <c r="D565" s="8" t="s">
        <v>1532</v>
      </c>
      <c r="E565" s="1">
        <f>VLOOKUP(B565,Nuclides!A:D,4,FALSE)</f>
        <v>0.81</v>
      </c>
      <c r="F565" s="7"/>
      <c r="G565" s="1"/>
      <c r="H565" s="1"/>
      <c r="K565" s="8"/>
      <c r="L565" s="7"/>
      <c r="M565" s="7"/>
    </row>
    <row r="566" spans="2:13" x14ac:dyDescent="0.2">
      <c r="B566" s="8">
        <v>54112</v>
      </c>
      <c r="C566" s="9">
        <v>5.1652000000000003E-9</v>
      </c>
      <c r="D566" s="8" t="s">
        <v>1533</v>
      </c>
      <c r="E566" s="1">
        <f>VLOOKUP(B566,Nuclides!A:D,4,FALSE)</f>
        <v>2.7</v>
      </c>
      <c r="F566" s="7"/>
      <c r="G566" s="1"/>
      <c r="H566" s="1"/>
      <c r="K566" s="8"/>
      <c r="L566" s="7"/>
      <c r="M566" s="7"/>
    </row>
    <row r="567" spans="2:13" x14ac:dyDescent="0.2">
      <c r="B567" s="8">
        <v>54113</v>
      </c>
      <c r="C567" s="9">
        <v>4.1879999999999999E-10</v>
      </c>
      <c r="D567" s="8" t="s">
        <v>1534</v>
      </c>
      <c r="E567" s="1">
        <f>VLOOKUP(B567,Nuclides!A:D,4,FALSE)</f>
        <v>2.74</v>
      </c>
      <c r="F567" s="7"/>
      <c r="G567" s="1"/>
      <c r="H567" s="1"/>
      <c r="K567" s="8"/>
      <c r="L567" s="7"/>
      <c r="M567" s="7"/>
    </row>
    <row r="568" spans="2:13" x14ac:dyDescent="0.2">
      <c r="B568" s="8">
        <v>54114</v>
      </c>
      <c r="C568" s="9">
        <v>6.9799999999999994E-11</v>
      </c>
      <c r="D568" s="8" t="s">
        <v>1535</v>
      </c>
      <c r="E568" s="1">
        <f>VLOOKUP(B568,Nuclides!A:D,4,FALSE)</f>
        <v>10</v>
      </c>
      <c r="F568" s="7"/>
      <c r="G568" s="1"/>
      <c r="H568" s="1"/>
      <c r="K568" s="8"/>
      <c r="L568" s="7"/>
      <c r="M568" s="7"/>
    </row>
    <row r="569" spans="2:13" hidden="1" x14ac:dyDescent="0.2">
      <c r="B569" s="8">
        <v>54128</v>
      </c>
      <c r="C569" s="9">
        <v>6.9799999999999994E-11</v>
      </c>
      <c r="D569" s="8" t="s">
        <v>1549</v>
      </c>
      <c r="E569" s="1" t="str">
        <f>VLOOKUP(B569,Nuclides!A:D,4,FALSE)</f>
        <v>STABLE</v>
      </c>
      <c r="F569" s="7"/>
      <c r="G569" s="1"/>
      <c r="H569" s="1"/>
      <c r="K569" s="8"/>
      <c r="L569" s="7"/>
      <c r="M569" s="7"/>
    </row>
    <row r="570" spans="2:13" hidden="1" x14ac:dyDescent="0.2">
      <c r="B570" s="8">
        <v>54129</v>
      </c>
      <c r="C570" s="9">
        <v>1.3262E-9</v>
      </c>
      <c r="D570" s="8" t="s">
        <v>1550</v>
      </c>
      <c r="E570" s="1" t="str">
        <f>VLOOKUP(B570,Nuclides!A:D,4,FALSE)</f>
        <v>STABLE</v>
      </c>
      <c r="F570" s="7"/>
      <c r="G570" s="1"/>
      <c r="H570" s="1"/>
      <c r="K570" s="8"/>
      <c r="L570" s="7"/>
      <c r="M570" s="7"/>
    </row>
    <row r="571" spans="2:13" hidden="1" x14ac:dyDescent="0.2">
      <c r="B571" s="8">
        <v>54130</v>
      </c>
      <c r="C571" s="9">
        <v>8.5155999999999998E-9</v>
      </c>
      <c r="D571" s="8" t="s">
        <v>1551</v>
      </c>
      <c r="E571" s="1" t="str">
        <f>VLOOKUP(B571,Nuclides!A:D,4,FALSE)</f>
        <v>STABLE</v>
      </c>
      <c r="F571" s="7"/>
      <c r="G571" s="1"/>
      <c r="H571" s="1"/>
      <c r="K571" s="8"/>
      <c r="L571" s="7"/>
      <c r="M571" s="7"/>
    </row>
    <row r="572" spans="2:13" hidden="1" x14ac:dyDescent="0.2">
      <c r="B572" s="8">
        <v>54131</v>
      </c>
      <c r="C572" s="9">
        <v>4.2089400000000002E-8</v>
      </c>
      <c r="D572" s="8" t="s">
        <v>1552</v>
      </c>
      <c r="E572" s="1" t="str">
        <f>VLOOKUP(B572,Nuclides!A:D,4,FALSE)</f>
        <v>STABLE</v>
      </c>
      <c r="F572" s="7"/>
      <c r="G572" s="1"/>
      <c r="H572" s="1"/>
      <c r="K572" s="8"/>
      <c r="L572" s="7"/>
      <c r="M572" s="7"/>
    </row>
    <row r="573" spans="2:13" hidden="1" x14ac:dyDescent="0.2">
      <c r="B573" s="8">
        <v>54132</v>
      </c>
      <c r="C573" s="9">
        <v>2.3620299999999999E-7</v>
      </c>
      <c r="D573" s="8" t="s">
        <v>1553</v>
      </c>
      <c r="E573" s="1" t="str">
        <f>VLOOKUP(B573,Nuclides!A:D,4,FALSE)</f>
        <v>STABLE</v>
      </c>
      <c r="F573" s="7"/>
      <c r="G573" s="1"/>
      <c r="H573" s="1"/>
      <c r="K573" s="8"/>
      <c r="L573" s="7"/>
      <c r="M573" s="7"/>
    </row>
    <row r="574" spans="2:13" x14ac:dyDescent="0.2">
      <c r="B574" s="8">
        <v>54133</v>
      </c>
      <c r="C574" s="9">
        <v>7.68917E-7</v>
      </c>
      <c r="D574" s="8" t="s">
        <v>1554</v>
      </c>
      <c r="E574" s="1">
        <f>VLOOKUP(B574,Nuclides!A:D,4,FALSE)</f>
        <v>453383.99999999901</v>
      </c>
      <c r="F574" s="7"/>
      <c r="G574" s="1"/>
      <c r="H574" s="1"/>
      <c r="K574" s="8"/>
      <c r="L574" s="7"/>
      <c r="M574" s="7"/>
    </row>
    <row r="575" spans="2:13" x14ac:dyDescent="0.2">
      <c r="B575" s="8">
        <v>54134</v>
      </c>
      <c r="C575" s="9">
        <v>2.70922E-6</v>
      </c>
      <c r="D575" s="8" t="s">
        <v>1555</v>
      </c>
      <c r="E575" s="1">
        <f>VLOOKUP(B575,Nuclides!A:D,4,FALSE)</f>
        <v>1.8303407999999899E+30</v>
      </c>
      <c r="F575" s="7"/>
      <c r="G575" s="1"/>
      <c r="H575" s="1"/>
      <c r="K575" s="8"/>
      <c r="L575" s="7"/>
      <c r="M575" s="7"/>
    </row>
    <row r="576" spans="2:13" x14ac:dyDescent="0.2">
      <c r="B576" s="8">
        <v>54135</v>
      </c>
      <c r="C576" s="9">
        <v>7.2907499999999996E-6</v>
      </c>
      <c r="D576" s="8" t="s">
        <v>1556</v>
      </c>
      <c r="E576" s="1">
        <f>VLOOKUP(B576,Nuclides!A:D,4,FALSE)</f>
        <v>32904</v>
      </c>
      <c r="F576" s="7"/>
      <c r="G576" s="1"/>
      <c r="H576" s="1"/>
      <c r="K576" s="8"/>
      <c r="L576" s="7"/>
      <c r="M576" s="7"/>
    </row>
    <row r="577" spans="2:13" x14ac:dyDescent="0.2">
      <c r="B577" s="8">
        <v>54136</v>
      </c>
      <c r="C577" s="9">
        <v>2.0393800000000001E-5</v>
      </c>
      <c r="D577" s="8" t="s">
        <v>1557</v>
      </c>
      <c r="E577" s="1">
        <f>VLOOKUP(B577,Nuclides!A:D,4,FALSE)</f>
        <v>7.573824E+28</v>
      </c>
      <c r="F577" s="7"/>
      <c r="G577" s="1"/>
      <c r="H577" s="1"/>
      <c r="K577" s="8"/>
      <c r="L577" s="7"/>
      <c r="M577" s="7"/>
    </row>
    <row r="578" spans="2:13" x14ac:dyDescent="0.2">
      <c r="B578" s="8">
        <v>54137</v>
      </c>
      <c r="C578" s="9">
        <v>3.7379000000000002E-5</v>
      </c>
      <c r="D578" s="8" t="s">
        <v>1558</v>
      </c>
      <c r="E578" s="1">
        <f>VLOOKUP(B578,Nuclides!A:D,4,FALSE)</f>
        <v>229.08</v>
      </c>
      <c r="F578" s="7"/>
      <c r="G578" s="1"/>
      <c r="H578" s="1"/>
      <c r="K578" s="8"/>
      <c r="L578" s="7"/>
      <c r="M578" s="7"/>
    </row>
    <row r="579" spans="2:13" x14ac:dyDescent="0.2">
      <c r="B579" s="8">
        <v>54138</v>
      </c>
      <c r="C579" s="9">
        <v>5.9450799999999997E-5</v>
      </c>
      <c r="D579" s="8" t="s">
        <v>1559</v>
      </c>
      <c r="E579" s="1">
        <f>VLOOKUP(B579,Nuclides!A:D,4,FALSE)</f>
        <v>848.4</v>
      </c>
      <c r="F579" s="7"/>
      <c r="G579" s="1"/>
      <c r="H579" s="1"/>
      <c r="K579" s="8"/>
      <c r="L579" s="7"/>
      <c r="M579" s="7"/>
    </row>
    <row r="580" spans="2:13" x14ac:dyDescent="0.2">
      <c r="B580" s="8">
        <v>54139</v>
      </c>
      <c r="C580" s="9">
        <v>6.5991100000000006E-5</v>
      </c>
      <c r="D580" s="8" t="s">
        <v>1560</v>
      </c>
      <c r="E580" s="1">
        <f>VLOOKUP(B580,Nuclides!A:D,4,FALSE)</f>
        <v>39.68</v>
      </c>
      <c r="F580" s="7"/>
      <c r="G580" s="1"/>
      <c r="H580" s="1"/>
      <c r="K580" s="8"/>
      <c r="L580" s="7"/>
      <c r="M580" s="7"/>
    </row>
    <row r="581" spans="2:13" x14ac:dyDescent="0.2">
      <c r="B581" s="8">
        <v>54140</v>
      </c>
      <c r="C581" s="9">
        <v>6.6065399999999999E-5</v>
      </c>
      <c r="D581" s="8" t="s">
        <v>1561</v>
      </c>
      <c r="E581" s="1">
        <f>VLOOKUP(B581,Nuclides!A:D,4,FALSE)</f>
        <v>13.6</v>
      </c>
      <c r="F581" s="7"/>
      <c r="G581" s="1"/>
      <c r="H581" s="1"/>
      <c r="K581" s="8"/>
      <c r="L581" s="7"/>
      <c r="M581" s="7"/>
    </row>
    <row r="582" spans="2:13" x14ac:dyDescent="0.2">
      <c r="B582" s="8">
        <v>54141</v>
      </c>
      <c r="C582" s="9">
        <v>4.4573300000000002E-5</v>
      </c>
      <c r="D582" s="8" t="s">
        <v>1562</v>
      </c>
      <c r="E582" s="1">
        <f>VLOOKUP(B582,Nuclides!A:D,4,FALSE)</f>
        <v>1.73</v>
      </c>
      <c r="F582" s="7"/>
      <c r="G582" s="1"/>
      <c r="H582" s="1"/>
      <c r="K582" s="8"/>
      <c r="L582" s="7"/>
      <c r="M582" s="7"/>
    </row>
    <row r="583" spans="2:13" x14ac:dyDescent="0.2">
      <c r="B583" s="8">
        <v>54142</v>
      </c>
      <c r="C583" s="9">
        <v>2.5604899999999999E-5</v>
      </c>
      <c r="D583" s="8" t="s">
        <v>1563</v>
      </c>
      <c r="E583" s="1">
        <f>VLOOKUP(B583,Nuclides!A:D,4,FALSE)</f>
        <v>1.23</v>
      </c>
      <c r="F583" s="7"/>
      <c r="G583" s="1"/>
      <c r="H583" s="1"/>
      <c r="K583" s="8"/>
      <c r="L583" s="7"/>
      <c r="M583" s="7"/>
    </row>
    <row r="584" spans="2:13" x14ac:dyDescent="0.2">
      <c r="B584" s="8">
        <v>54143</v>
      </c>
      <c r="C584" s="9">
        <v>8.9868199999999998E-6</v>
      </c>
      <c r="D584" s="8" t="s">
        <v>1564</v>
      </c>
      <c r="E584" s="1">
        <f>VLOOKUP(B584,Nuclides!A:D,4,FALSE)</f>
        <v>0.51100000000000001</v>
      </c>
      <c r="F584" s="7"/>
      <c r="G584" s="1"/>
      <c r="H584" s="1"/>
      <c r="K584" s="8"/>
      <c r="L584" s="7"/>
      <c r="M584" s="7"/>
    </row>
    <row r="585" spans="2:13" x14ac:dyDescent="0.2">
      <c r="B585" s="8">
        <v>54144</v>
      </c>
      <c r="C585" s="9">
        <v>2.85636E-6</v>
      </c>
      <c r="D585" s="8" t="s">
        <v>1565</v>
      </c>
      <c r="E585" s="1">
        <f>VLOOKUP(B585,Nuclides!A:D,4,FALSE)</f>
        <v>0.38800000000000001</v>
      </c>
      <c r="F585" s="7"/>
      <c r="G585" s="1"/>
      <c r="H585" s="1"/>
      <c r="K585" s="8"/>
      <c r="L585" s="7"/>
      <c r="M585" s="7"/>
    </row>
    <row r="586" spans="2:13" x14ac:dyDescent="0.2">
      <c r="B586" s="8">
        <v>54145</v>
      </c>
      <c r="C586" s="9">
        <v>5.0577100000000004E-7</v>
      </c>
      <c r="D586" s="8" t="s">
        <v>1566</v>
      </c>
      <c r="E586" s="1">
        <f>VLOOKUP(B586,Nuclides!A:D,4,FALSE)</f>
        <v>0.188</v>
      </c>
      <c r="F586" s="7"/>
      <c r="G586" s="1"/>
      <c r="H586" s="1"/>
      <c r="K586" s="8"/>
      <c r="L586" s="7"/>
      <c r="M586" s="7"/>
    </row>
    <row r="587" spans="2:13" x14ac:dyDescent="0.2">
      <c r="B587" s="8">
        <v>55114</v>
      </c>
      <c r="C587" s="9">
        <v>9.3601799999999996E-8</v>
      </c>
      <c r="D587" s="8" t="s">
        <v>1572</v>
      </c>
      <c r="E587" s="1">
        <f>VLOOKUP(B587,Nuclides!A:D,4,FALSE)</f>
        <v>0.56999999999999995</v>
      </c>
      <c r="F587" s="7"/>
      <c r="G587" s="1"/>
      <c r="H587" s="1"/>
      <c r="K587" s="8"/>
      <c r="L587" s="7"/>
      <c r="M587" s="7"/>
    </row>
    <row r="588" spans="2:13" x14ac:dyDescent="0.2">
      <c r="B588" s="8">
        <v>55115</v>
      </c>
      <c r="C588" s="9">
        <v>7.2591999999999999E-9</v>
      </c>
      <c r="D588" s="8" t="s">
        <v>1573</v>
      </c>
      <c r="E588" s="1">
        <f>VLOOKUP(B588,Nuclides!A:D,4,FALSE)</f>
        <v>1.4</v>
      </c>
      <c r="F588" s="7"/>
      <c r="G588" s="1"/>
      <c r="H588" s="1"/>
      <c r="K588" s="8"/>
      <c r="L588" s="7"/>
      <c r="M588" s="7"/>
    </row>
    <row r="589" spans="2:13" x14ac:dyDescent="0.2">
      <c r="B589" s="8">
        <v>55116</v>
      </c>
      <c r="C589" s="9">
        <v>7.6779999999999997E-10</v>
      </c>
      <c r="D589" s="8" t="s">
        <v>1574</v>
      </c>
      <c r="E589" s="1">
        <f>VLOOKUP(B589,Nuclides!A:D,4,FALSE)</f>
        <v>0.7</v>
      </c>
      <c r="F589" s="7"/>
      <c r="G589" s="1"/>
      <c r="H589" s="1"/>
      <c r="K589" s="8"/>
      <c r="L589" s="7"/>
      <c r="M589" s="7"/>
    </row>
    <row r="590" spans="2:13" x14ac:dyDescent="0.2">
      <c r="B590" s="8">
        <v>55130</v>
      </c>
      <c r="C590" s="9">
        <v>6.9799999999999994E-11</v>
      </c>
      <c r="D590" s="8" t="s">
        <v>1588</v>
      </c>
      <c r="E590" s="1">
        <f>VLOOKUP(B590,Nuclides!A:D,4,FALSE)</f>
        <v>1752.6</v>
      </c>
      <c r="F590" s="7"/>
      <c r="G590" s="1"/>
      <c r="H590" s="1"/>
      <c r="K590" s="8"/>
      <c r="L590" s="7"/>
      <c r="M590" s="7"/>
    </row>
    <row r="591" spans="2:13" x14ac:dyDescent="0.2">
      <c r="B591" s="8">
        <v>55131</v>
      </c>
      <c r="C591" s="9">
        <v>3.4899999999999998E-10</v>
      </c>
      <c r="D591" s="8" t="s">
        <v>1589</v>
      </c>
      <c r="E591" s="1">
        <f>VLOOKUP(B591,Nuclides!A:D,4,FALSE)</f>
        <v>837129.6</v>
      </c>
      <c r="F591" s="7"/>
      <c r="G591" s="1"/>
      <c r="H591" s="1"/>
      <c r="K591" s="8"/>
      <c r="L591" s="7"/>
      <c r="M591" s="7"/>
    </row>
    <row r="592" spans="2:13" x14ac:dyDescent="0.2">
      <c r="B592" s="8">
        <v>55132</v>
      </c>
      <c r="C592" s="9">
        <v>2.5127999999999998E-9</v>
      </c>
      <c r="D592" s="8" t="s">
        <v>1590</v>
      </c>
      <c r="E592" s="1">
        <f>VLOOKUP(B592,Nuclides!A:D,4,FALSE)</f>
        <v>559872</v>
      </c>
      <c r="F592" s="7"/>
      <c r="G592" s="1"/>
      <c r="H592" s="1"/>
      <c r="K592" s="8"/>
      <c r="L592" s="7"/>
      <c r="M592" s="7"/>
    </row>
    <row r="593" spans="2:13" hidden="1" x14ac:dyDescent="0.2">
      <c r="B593" s="8">
        <v>55133</v>
      </c>
      <c r="C593" s="9">
        <v>1.4169399999999999E-8</v>
      </c>
      <c r="D593" s="8" t="s">
        <v>1591</v>
      </c>
      <c r="E593" s="1" t="str">
        <f>VLOOKUP(B593,Nuclides!A:D,4,FALSE)</f>
        <v>STABLE</v>
      </c>
      <c r="F593" s="7"/>
      <c r="G593" s="1"/>
      <c r="H593" s="1"/>
      <c r="K593" s="8"/>
      <c r="L593" s="7"/>
      <c r="M593" s="7"/>
    </row>
    <row r="594" spans="2:13" x14ac:dyDescent="0.2">
      <c r="B594" s="8">
        <v>55134</v>
      </c>
      <c r="C594" s="9">
        <v>6.6868399999999995E-8</v>
      </c>
      <c r="D594" s="8" t="s">
        <v>1592</v>
      </c>
      <c r="E594" s="1">
        <f>VLOOKUP(B594,Nuclides!A:D,4,FALSE)</f>
        <v>65172755.519999899</v>
      </c>
      <c r="F594" s="7"/>
      <c r="G594" s="1"/>
      <c r="H594" s="1"/>
      <c r="K594" s="8"/>
      <c r="L594" s="7"/>
      <c r="M594" s="7"/>
    </row>
    <row r="595" spans="2:13" x14ac:dyDescent="0.2">
      <c r="B595" s="8">
        <v>55135</v>
      </c>
      <c r="C595" s="9">
        <v>3.3322499999999999E-7</v>
      </c>
      <c r="D595" s="8" t="s">
        <v>1593</v>
      </c>
      <c r="E595" s="1">
        <f>VLOOKUP(B595,Nuclides!A:D,4,FALSE)</f>
        <v>72582480000000</v>
      </c>
      <c r="F595" s="7"/>
      <c r="G595" s="1"/>
      <c r="H595" s="1"/>
      <c r="K595" s="8"/>
      <c r="L595" s="7"/>
      <c r="M595" s="7"/>
    </row>
    <row r="596" spans="2:13" x14ac:dyDescent="0.2">
      <c r="B596" s="8">
        <v>55136</v>
      </c>
      <c r="C596" s="9">
        <v>1.18297E-6</v>
      </c>
      <c r="D596" s="8" t="s">
        <v>1594</v>
      </c>
      <c r="E596" s="1">
        <f>VLOOKUP(B596,Nuclides!A:D,4,FALSE)</f>
        <v>1126656</v>
      </c>
      <c r="F596" s="7"/>
      <c r="G596" s="1"/>
      <c r="H596" s="1"/>
      <c r="K596" s="8"/>
      <c r="L596" s="7"/>
      <c r="M596" s="7"/>
    </row>
    <row r="597" spans="2:13" x14ac:dyDescent="0.2">
      <c r="B597" s="8">
        <v>55137</v>
      </c>
      <c r="C597" s="9">
        <v>4.9134999999999996E-6</v>
      </c>
      <c r="D597" s="8" t="s">
        <v>1595</v>
      </c>
      <c r="E597" s="1">
        <f>VLOOKUP(B597,Nuclides!A:D,4,FALSE)</f>
        <v>949252608</v>
      </c>
      <c r="F597" s="7"/>
      <c r="G597" s="1"/>
      <c r="H597" s="1"/>
      <c r="K597" s="8"/>
      <c r="L597" s="7"/>
      <c r="M597" s="7"/>
    </row>
    <row r="598" spans="2:13" x14ac:dyDescent="0.2">
      <c r="B598" s="8">
        <v>55138</v>
      </c>
      <c r="C598" s="9">
        <v>1.07027E-5</v>
      </c>
      <c r="D598" s="8" t="s">
        <v>1596</v>
      </c>
      <c r="E598" s="1">
        <f>VLOOKUP(B598,Nuclides!A:D,4,FALSE)</f>
        <v>2004.6</v>
      </c>
      <c r="F598" s="7"/>
      <c r="G598" s="1"/>
      <c r="H598" s="1"/>
      <c r="K598" s="8"/>
      <c r="L598" s="7"/>
      <c r="M598" s="7"/>
    </row>
    <row r="599" spans="2:13" x14ac:dyDescent="0.2">
      <c r="B599" s="8">
        <v>55139</v>
      </c>
      <c r="C599" s="9">
        <v>2.4928700000000001E-5</v>
      </c>
      <c r="D599" s="8" t="s">
        <v>1597</v>
      </c>
      <c r="E599" s="1">
        <f>VLOOKUP(B599,Nuclides!A:D,4,FALSE)</f>
        <v>556.19999999999902</v>
      </c>
      <c r="F599" s="7"/>
      <c r="G599" s="1"/>
      <c r="H599" s="1"/>
      <c r="K599" s="8"/>
      <c r="L599" s="7"/>
      <c r="M599" s="7"/>
    </row>
    <row r="600" spans="2:13" x14ac:dyDescent="0.2">
      <c r="B600" s="8">
        <v>55140</v>
      </c>
      <c r="C600" s="9">
        <v>3.4020899999999998E-5</v>
      </c>
      <c r="D600" s="8" t="s">
        <v>1598</v>
      </c>
      <c r="E600" s="1">
        <f>VLOOKUP(B600,Nuclides!A:D,4,FALSE)</f>
        <v>63.7</v>
      </c>
      <c r="F600" s="7"/>
      <c r="G600" s="1"/>
      <c r="H600" s="1"/>
      <c r="K600" s="8"/>
      <c r="L600" s="7"/>
      <c r="M600" s="7"/>
    </row>
    <row r="601" spans="2:13" x14ac:dyDescent="0.2">
      <c r="B601" s="8">
        <v>55141</v>
      </c>
      <c r="C601" s="9">
        <v>5.3979900000000001E-5</v>
      </c>
      <c r="D601" s="8" t="s">
        <v>1599</v>
      </c>
      <c r="E601" s="1">
        <f>VLOOKUP(B601,Nuclides!A:D,4,FALSE)</f>
        <v>24.84</v>
      </c>
      <c r="F601" s="7"/>
      <c r="G601" s="1"/>
      <c r="H601" s="1"/>
      <c r="K601" s="8"/>
      <c r="L601" s="7"/>
      <c r="M601" s="7"/>
    </row>
    <row r="602" spans="2:13" x14ac:dyDescent="0.2">
      <c r="B602" s="8">
        <v>55142</v>
      </c>
      <c r="C602" s="9">
        <v>4.7759999999999997E-5</v>
      </c>
      <c r="D602" s="8" t="s">
        <v>1600</v>
      </c>
      <c r="E602" s="1">
        <f>VLOOKUP(B602,Nuclides!A:D,4,FALSE)</f>
        <v>1.6839999999999999</v>
      </c>
      <c r="F602" s="7"/>
      <c r="G602" s="1"/>
      <c r="H602" s="1"/>
      <c r="K602" s="8"/>
      <c r="L602" s="7"/>
      <c r="M602" s="7"/>
    </row>
    <row r="603" spans="2:13" x14ac:dyDescent="0.2">
      <c r="B603" s="8">
        <v>55143</v>
      </c>
      <c r="C603" s="9">
        <v>4.1903899999999997E-5</v>
      </c>
      <c r="D603" s="8" t="s">
        <v>1601</v>
      </c>
      <c r="E603" s="1">
        <f>VLOOKUP(B603,Nuclides!A:D,4,FALSE)</f>
        <v>1.7909999999999999</v>
      </c>
      <c r="F603" s="7"/>
      <c r="G603" s="1"/>
      <c r="H603" s="1"/>
      <c r="K603" s="8"/>
      <c r="L603" s="7"/>
      <c r="M603" s="7"/>
    </row>
    <row r="604" spans="2:13" x14ac:dyDescent="0.2">
      <c r="B604" s="8">
        <v>55144</v>
      </c>
      <c r="C604" s="9">
        <v>2.15569E-5</v>
      </c>
      <c r="D604" s="8" t="s">
        <v>1602</v>
      </c>
      <c r="E604" s="1">
        <f>VLOOKUP(B604,Nuclides!A:D,4,FALSE)</f>
        <v>0.99399999999999999</v>
      </c>
      <c r="F604" s="7"/>
      <c r="G604" s="1"/>
      <c r="H604" s="1"/>
      <c r="K604" s="8"/>
      <c r="L604" s="7"/>
      <c r="M604" s="7"/>
    </row>
    <row r="605" spans="2:13" x14ac:dyDescent="0.2">
      <c r="B605" s="8">
        <v>55145</v>
      </c>
      <c r="C605" s="9">
        <v>1.1148000000000001E-5</v>
      </c>
      <c r="D605" s="8" t="s">
        <v>1603</v>
      </c>
      <c r="E605" s="1">
        <f>VLOOKUP(B605,Nuclides!A:D,4,FALSE)</f>
        <v>0.58699999999999997</v>
      </c>
      <c r="F605" s="7"/>
      <c r="G605" s="1"/>
      <c r="H605" s="1"/>
      <c r="K605" s="8"/>
      <c r="L605" s="7"/>
      <c r="M605" s="7"/>
    </row>
    <row r="606" spans="2:13" x14ac:dyDescent="0.2">
      <c r="B606" s="8">
        <v>55146</v>
      </c>
      <c r="C606" s="9">
        <v>3.2069600000000001E-6</v>
      </c>
      <c r="D606" s="8" t="s">
        <v>1604</v>
      </c>
      <c r="E606" s="1">
        <f>VLOOKUP(B606,Nuclides!A:D,4,FALSE)</f>
        <v>0.32200000000000001</v>
      </c>
      <c r="F606" s="7"/>
      <c r="G606" s="1"/>
      <c r="H606" s="1"/>
      <c r="K606" s="8"/>
      <c r="L606" s="7"/>
      <c r="M606" s="7"/>
    </row>
    <row r="607" spans="2:13" x14ac:dyDescent="0.2">
      <c r="B607" s="8">
        <v>55147</v>
      </c>
      <c r="C607" s="9">
        <v>1.0100799999999999E-6</v>
      </c>
      <c r="D607" s="8" t="s">
        <v>1605</v>
      </c>
      <c r="E607" s="1">
        <f>VLOOKUP(B607,Nuclides!A:D,4,FALSE)</f>
        <v>0.23</v>
      </c>
      <c r="F607" s="7"/>
      <c r="G607" s="1"/>
      <c r="H607" s="1"/>
      <c r="K607" s="8"/>
      <c r="L607" s="7"/>
      <c r="M607" s="7"/>
    </row>
    <row r="608" spans="2:13" x14ac:dyDescent="0.2">
      <c r="B608" s="8">
        <v>55148</v>
      </c>
      <c r="C608" s="9">
        <v>1.6102900000000001E-7</v>
      </c>
      <c r="D608" s="8" t="s">
        <v>1606</v>
      </c>
      <c r="E608" s="1">
        <f>VLOOKUP(B608,Nuclides!A:D,4,FALSE)</f>
        <v>0.14599999999999999</v>
      </c>
      <c r="F608" s="7"/>
      <c r="G608" s="1"/>
      <c r="H608" s="1"/>
      <c r="K608" s="8"/>
      <c r="L608" s="7"/>
      <c r="M608" s="7"/>
    </row>
    <row r="609" spans="2:13" x14ac:dyDescent="0.2">
      <c r="B609" s="8">
        <v>56117</v>
      </c>
      <c r="C609" s="9">
        <v>2.52676E-8</v>
      </c>
      <c r="D609" s="8" t="s">
        <v>1613</v>
      </c>
      <c r="E609" s="1">
        <f>VLOOKUP(B609,Nuclides!A:D,4,FALSE)</f>
        <v>1.75</v>
      </c>
      <c r="F609" s="7"/>
      <c r="G609" s="1"/>
      <c r="H609" s="1"/>
      <c r="K609" s="8"/>
      <c r="L609" s="7"/>
      <c r="M609" s="7"/>
    </row>
    <row r="610" spans="2:13" x14ac:dyDescent="0.2">
      <c r="B610" s="8">
        <v>56118</v>
      </c>
      <c r="C610" s="9">
        <v>2.4429999999999999E-9</v>
      </c>
      <c r="D610" s="8" t="s">
        <v>1614</v>
      </c>
      <c r="E610" s="1">
        <f>VLOOKUP(B610,Nuclides!A:D,4,FALSE)</f>
        <v>5.5</v>
      </c>
      <c r="F610" s="7"/>
      <c r="G610" s="1"/>
      <c r="H610" s="1"/>
      <c r="K610" s="8"/>
      <c r="L610" s="7"/>
      <c r="M610" s="7"/>
    </row>
    <row r="611" spans="2:13" x14ac:dyDescent="0.2">
      <c r="B611" s="8">
        <v>56119</v>
      </c>
      <c r="C611" s="9">
        <v>4.1879999999999999E-10</v>
      </c>
      <c r="D611" s="8" t="s">
        <v>1615</v>
      </c>
      <c r="E611" s="1">
        <f>VLOOKUP(B611,Nuclides!A:D,4,FALSE)</f>
        <v>5.4</v>
      </c>
      <c r="F611" s="7"/>
      <c r="G611" s="1"/>
      <c r="H611" s="1"/>
      <c r="K611" s="8"/>
      <c r="L611" s="7"/>
      <c r="M611" s="7"/>
    </row>
    <row r="612" spans="2:13" x14ac:dyDescent="0.2">
      <c r="B612" s="8">
        <v>56133</v>
      </c>
      <c r="C612" s="9">
        <v>1.3959999999999999E-10</v>
      </c>
      <c r="D612" s="8" t="s">
        <v>1629</v>
      </c>
      <c r="E612" s="1">
        <f>VLOOKUP(B612,Nuclides!A:D,4,FALSE)</f>
        <v>332964237.60000002</v>
      </c>
      <c r="F612" s="7"/>
      <c r="G612" s="1"/>
      <c r="H612" s="1"/>
      <c r="K612" s="8"/>
      <c r="L612" s="7"/>
      <c r="M612" s="7"/>
    </row>
    <row r="613" spans="2:13" hidden="1" x14ac:dyDescent="0.2">
      <c r="B613" s="8">
        <v>56134</v>
      </c>
      <c r="C613" s="9">
        <v>1.6054000000000001E-9</v>
      </c>
      <c r="D613" s="8" t="s">
        <v>1630</v>
      </c>
      <c r="E613" s="1" t="str">
        <f>VLOOKUP(B613,Nuclides!A:D,4,FALSE)</f>
        <v>STABLE</v>
      </c>
      <c r="F613" s="7"/>
      <c r="G613" s="1"/>
      <c r="H613" s="1"/>
      <c r="K613" s="8"/>
      <c r="L613" s="7"/>
      <c r="M613" s="7"/>
    </row>
    <row r="614" spans="2:13" hidden="1" x14ac:dyDescent="0.2">
      <c r="B614" s="8">
        <v>56135</v>
      </c>
      <c r="C614" s="9">
        <v>7.3289999999999998E-9</v>
      </c>
      <c r="D614" s="8" t="s">
        <v>1631</v>
      </c>
      <c r="E614" s="1" t="str">
        <f>VLOOKUP(B614,Nuclides!A:D,4,FALSE)</f>
        <v>STABLE</v>
      </c>
      <c r="F614" s="7"/>
      <c r="G614" s="1"/>
      <c r="H614" s="1"/>
      <c r="K614" s="8"/>
      <c r="L614" s="7"/>
      <c r="M614" s="7"/>
    </row>
    <row r="615" spans="2:13" hidden="1" x14ac:dyDescent="0.2">
      <c r="B615" s="8">
        <v>56136</v>
      </c>
      <c r="C615" s="9">
        <v>4.89996E-8</v>
      </c>
      <c r="D615" s="8" t="s">
        <v>1632</v>
      </c>
      <c r="E615" s="1" t="str">
        <f>VLOOKUP(B615,Nuclides!A:D,4,FALSE)</f>
        <v>STABLE</v>
      </c>
      <c r="F615" s="7"/>
      <c r="G615" s="1"/>
      <c r="H615" s="1"/>
      <c r="K615" s="8"/>
      <c r="L615" s="7"/>
      <c r="M615" s="7"/>
    </row>
    <row r="616" spans="2:13" hidden="1" x14ac:dyDescent="0.2">
      <c r="B616" s="8">
        <v>56137</v>
      </c>
      <c r="C616" s="9">
        <v>2.1568200000000001E-7</v>
      </c>
      <c r="D616" s="8" t="s">
        <v>1633</v>
      </c>
      <c r="E616" s="1" t="str">
        <f>VLOOKUP(B616,Nuclides!A:D,4,FALSE)</f>
        <v>STABLE</v>
      </c>
      <c r="F616" s="7"/>
      <c r="G616" s="1"/>
      <c r="H616" s="1"/>
      <c r="K616" s="8"/>
      <c r="L616" s="7"/>
      <c r="M616" s="7"/>
    </row>
    <row r="617" spans="2:13" hidden="1" x14ac:dyDescent="0.2">
      <c r="B617" s="8">
        <v>56138</v>
      </c>
      <c r="C617" s="9">
        <v>9.18777E-7</v>
      </c>
      <c r="D617" s="8" t="s">
        <v>1634</v>
      </c>
      <c r="E617" s="1" t="str">
        <f>VLOOKUP(B617,Nuclides!A:D,4,FALSE)</f>
        <v>STABLE</v>
      </c>
      <c r="F617" s="7"/>
      <c r="G617" s="1"/>
      <c r="H617" s="1"/>
      <c r="K617" s="8"/>
      <c r="L617" s="7"/>
      <c r="M617" s="7"/>
    </row>
    <row r="618" spans="2:13" x14ac:dyDescent="0.2">
      <c r="B618" s="8">
        <v>56139</v>
      </c>
      <c r="C618" s="9">
        <v>2.3648199999999999E-6</v>
      </c>
      <c r="D618" s="8" t="s">
        <v>1635</v>
      </c>
      <c r="E618" s="1">
        <f>VLOOKUP(B618,Nuclides!A:D,4,FALSE)</f>
        <v>4983.6000000000004</v>
      </c>
      <c r="F618" s="7"/>
      <c r="G618" s="1"/>
      <c r="H618" s="1"/>
      <c r="K618" s="8"/>
      <c r="L618" s="7"/>
      <c r="M618" s="7"/>
    </row>
    <row r="619" spans="2:13" x14ac:dyDescent="0.2">
      <c r="B619" s="8">
        <v>56140</v>
      </c>
      <c r="C619" s="9">
        <v>6.5803299999999999E-6</v>
      </c>
      <c r="D619" s="8" t="s">
        <v>1636</v>
      </c>
      <c r="E619" s="1">
        <f>VLOOKUP(B619,Nuclides!A:D,4,FALSE)</f>
        <v>1101833.28</v>
      </c>
      <c r="F619" s="7"/>
      <c r="G619" s="1"/>
      <c r="H619" s="1"/>
      <c r="K619" s="8"/>
      <c r="L619" s="7"/>
      <c r="M619" s="7"/>
    </row>
    <row r="620" spans="2:13" x14ac:dyDescent="0.2">
      <c r="B620" s="8">
        <v>56141</v>
      </c>
      <c r="C620" s="9">
        <v>1.33224E-5</v>
      </c>
      <c r="D620" s="8" t="s">
        <v>1637</v>
      </c>
      <c r="E620" s="1">
        <f>VLOOKUP(B620,Nuclides!A:D,4,FALSE)</f>
        <v>1096.2</v>
      </c>
      <c r="F620" s="7"/>
      <c r="G620" s="1"/>
      <c r="H620" s="1"/>
      <c r="K620" s="8"/>
      <c r="L620" s="7"/>
      <c r="M620" s="7"/>
    </row>
    <row r="621" spans="2:13" x14ac:dyDescent="0.2">
      <c r="B621" s="8">
        <v>56142</v>
      </c>
      <c r="C621" s="9">
        <v>2.6614600000000001E-5</v>
      </c>
      <c r="D621" s="8" t="s">
        <v>1638</v>
      </c>
      <c r="E621" s="1">
        <f>VLOOKUP(B621,Nuclides!A:D,4,FALSE)</f>
        <v>636</v>
      </c>
      <c r="F621" s="7"/>
      <c r="G621" s="1"/>
      <c r="H621" s="1"/>
      <c r="K621" s="8"/>
      <c r="L621" s="7"/>
      <c r="M621" s="7"/>
    </row>
    <row r="622" spans="2:13" x14ac:dyDescent="0.2">
      <c r="B622" s="8">
        <v>56143</v>
      </c>
      <c r="C622" s="9">
        <v>3.7416200000000003E-5</v>
      </c>
      <c r="D622" s="8" t="s">
        <v>1639</v>
      </c>
      <c r="E622" s="1">
        <f>VLOOKUP(B622,Nuclides!A:D,4,FALSE)</f>
        <v>14.5</v>
      </c>
      <c r="F622" s="7"/>
      <c r="G622" s="1"/>
      <c r="H622" s="1"/>
      <c r="K622" s="8"/>
      <c r="L622" s="7"/>
      <c r="M622" s="7"/>
    </row>
    <row r="623" spans="2:13" x14ac:dyDescent="0.2">
      <c r="B623" s="8">
        <v>56144</v>
      </c>
      <c r="C623" s="9">
        <v>4.4557600000000002E-5</v>
      </c>
      <c r="D623" s="8" t="s">
        <v>1640</v>
      </c>
      <c r="E623" s="1">
        <f>VLOOKUP(B623,Nuclides!A:D,4,FALSE)</f>
        <v>11.5</v>
      </c>
      <c r="F623" s="7"/>
      <c r="G623" s="1"/>
      <c r="H623" s="1"/>
      <c r="K623" s="8"/>
      <c r="L623" s="7"/>
      <c r="M623" s="7"/>
    </row>
    <row r="624" spans="2:13" x14ac:dyDescent="0.2">
      <c r="B624" s="8">
        <v>56145</v>
      </c>
      <c r="C624" s="9">
        <v>3.6569200000000002E-5</v>
      </c>
      <c r="D624" s="8" t="s">
        <v>1641</v>
      </c>
      <c r="E624" s="1">
        <f>VLOOKUP(B624,Nuclides!A:D,4,FALSE)</f>
        <v>4.3099999999999996</v>
      </c>
      <c r="F624" s="7"/>
      <c r="G624" s="1"/>
      <c r="H624" s="1"/>
      <c r="K624" s="8"/>
      <c r="L624" s="7"/>
      <c r="M624" s="7"/>
    </row>
    <row r="625" spans="2:13" x14ac:dyDescent="0.2">
      <c r="B625" s="8">
        <v>56146</v>
      </c>
      <c r="C625" s="9">
        <v>2.5329599999999999E-5</v>
      </c>
      <c r="D625" s="8" t="s">
        <v>1642</v>
      </c>
      <c r="E625" s="1">
        <f>VLOOKUP(B625,Nuclides!A:D,4,FALSE)</f>
        <v>2.2200000000000002</v>
      </c>
      <c r="F625" s="7"/>
      <c r="G625" s="1"/>
      <c r="H625" s="1"/>
      <c r="K625" s="8"/>
      <c r="L625" s="7"/>
      <c r="M625" s="7"/>
    </row>
    <row r="626" spans="2:13" x14ac:dyDescent="0.2">
      <c r="B626" s="8">
        <v>56147</v>
      </c>
      <c r="C626" s="9">
        <v>1.22515E-5</v>
      </c>
      <c r="D626" s="8" t="s">
        <v>1643</v>
      </c>
      <c r="E626" s="1">
        <f>VLOOKUP(B626,Nuclides!A:D,4,FALSE)</f>
        <v>0.89400000000000002</v>
      </c>
      <c r="F626" s="7"/>
      <c r="G626" s="1"/>
      <c r="H626" s="1"/>
      <c r="K626" s="8"/>
      <c r="L626" s="7"/>
      <c r="M626" s="7"/>
    </row>
    <row r="627" spans="2:13" x14ac:dyDescent="0.2">
      <c r="B627" s="8">
        <v>56148</v>
      </c>
      <c r="C627" s="9">
        <v>4.9977499999999997E-6</v>
      </c>
      <c r="D627" s="8" t="s">
        <v>1644</v>
      </c>
      <c r="E627" s="1">
        <f>VLOOKUP(B627,Nuclides!A:D,4,FALSE)</f>
        <v>0.61199999999999999</v>
      </c>
      <c r="F627" s="7"/>
      <c r="G627" s="1"/>
      <c r="H627" s="1"/>
      <c r="K627" s="8"/>
      <c r="L627" s="7"/>
      <c r="M627" s="7"/>
    </row>
    <row r="628" spans="2:13" x14ac:dyDescent="0.2">
      <c r="B628" s="8">
        <v>57123</v>
      </c>
      <c r="C628" s="9">
        <v>1.16559E-6</v>
      </c>
      <c r="D628" s="8" t="s">
        <v>1653</v>
      </c>
      <c r="E628" s="1">
        <f>VLOOKUP(B628,Nuclides!A:D,4,FALSE)</f>
        <v>17</v>
      </c>
      <c r="F628" s="7"/>
      <c r="G628" s="1"/>
      <c r="H628" s="1"/>
      <c r="K628" s="8"/>
      <c r="L628" s="7"/>
      <c r="M628" s="7"/>
    </row>
    <row r="629" spans="2:13" x14ac:dyDescent="0.2">
      <c r="B629" s="8">
        <v>57124</v>
      </c>
      <c r="C629" s="9">
        <v>2.5239699999999998E-7</v>
      </c>
      <c r="D629" s="8" t="s">
        <v>1654</v>
      </c>
      <c r="E629" s="1">
        <f>VLOOKUP(B629,Nuclides!A:D,4,FALSE)</f>
        <v>29.21</v>
      </c>
      <c r="F629" s="7"/>
      <c r="G629" s="1"/>
      <c r="H629" s="1"/>
      <c r="K629" s="8"/>
      <c r="L629" s="7"/>
      <c r="M629" s="7"/>
    </row>
    <row r="630" spans="2:13" x14ac:dyDescent="0.2">
      <c r="B630" s="8">
        <v>57125</v>
      </c>
      <c r="C630" s="9">
        <v>2.7361599999999999E-8</v>
      </c>
      <c r="D630" s="8" t="s">
        <v>1655</v>
      </c>
      <c r="E630" s="1">
        <f>VLOOKUP(B630,Nuclides!A:D,4,FALSE)</f>
        <v>64.8</v>
      </c>
      <c r="F630" s="7"/>
      <c r="G630" s="1"/>
      <c r="H630" s="1"/>
      <c r="K630" s="8"/>
      <c r="L630" s="7"/>
      <c r="M630" s="7"/>
    </row>
    <row r="631" spans="2:13" x14ac:dyDescent="0.2">
      <c r="B631" s="8">
        <v>57126</v>
      </c>
      <c r="C631" s="9">
        <v>3.3503999999999999E-9</v>
      </c>
      <c r="D631" s="8" t="s">
        <v>1656</v>
      </c>
      <c r="E631" s="1">
        <f>VLOOKUP(B631,Nuclides!A:D,4,FALSE)</f>
        <v>54</v>
      </c>
      <c r="F631" s="7"/>
      <c r="G631" s="1"/>
      <c r="H631" s="1"/>
      <c r="K631" s="8"/>
      <c r="L631" s="7"/>
      <c r="M631" s="7"/>
    </row>
    <row r="632" spans="2:13" x14ac:dyDescent="0.2">
      <c r="B632" s="8">
        <v>57127</v>
      </c>
      <c r="C632" s="9">
        <v>1.3959999999999999E-10</v>
      </c>
      <c r="D632" s="8" t="s">
        <v>1657</v>
      </c>
      <c r="E632" s="1">
        <f>VLOOKUP(B632,Nuclides!A:D,4,FALSE)</f>
        <v>306</v>
      </c>
      <c r="F632" s="7"/>
      <c r="G632" s="1"/>
      <c r="H632" s="1"/>
      <c r="K632" s="8"/>
      <c r="L632" s="7"/>
      <c r="M632" s="7"/>
    </row>
    <row r="633" spans="2:13" x14ac:dyDescent="0.2">
      <c r="B633" s="8">
        <v>57136</v>
      </c>
      <c r="C633" s="9">
        <v>2.7919999999999998E-10</v>
      </c>
      <c r="D633" s="8" t="s">
        <v>1666</v>
      </c>
      <c r="E633" s="1">
        <f>VLOOKUP(B633,Nuclides!A:D,4,FALSE)</f>
        <v>592.19999999999902</v>
      </c>
      <c r="F633" s="7"/>
      <c r="G633" s="1"/>
      <c r="H633" s="1"/>
      <c r="K633" s="8"/>
      <c r="L633" s="7"/>
      <c r="M633" s="7"/>
    </row>
    <row r="634" spans="2:13" x14ac:dyDescent="0.2">
      <c r="B634" s="8">
        <v>57137</v>
      </c>
      <c r="C634" s="9">
        <v>1.5355999999999999E-9</v>
      </c>
      <c r="D634" s="8" t="s">
        <v>1667</v>
      </c>
      <c r="E634" s="1">
        <f>VLOOKUP(B634,Nuclides!A:D,4,FALSE)</f>
        <v>1893456000000</v>
      </c>
      <c r="F634" s="7"/>
      <c r="G634" s="1"/>
      <c r="H634" s="1"/>
      <c r="K634" s="8"/>
      <c r="L634" s="7"/>
      <c r="M634" s="7"/>
    </row>
    <row r="635" spans="2:13" x14ac:dyDescent="0.2">
      <c r="B635" s="8">
        <v>57138</v>
      </c>
      <c r="C635" s="9">
        <v>9.9814000000000003E-9</v>
      </c>
      <c r="D635" s="8" t="s">
        <v>1668</v>
      </c>
      <c r="E635" s="1">
        <f>VLOOKUP(B635,Nuclides!A:D,4,FALSE)</f>
        <v>3.2188752E+18</v>
      </c>
      <c r="F635" s="7"/>
      <c r="G635" s="1"/>
      <c r="H635" s="1"/>
      <c r="K635" s="8"/>
      <c r="L635" s="7"/>
      <c r="M635" s="7"/>
    </row>
    <row r="636" spans="2:13" hidden="1" x14ac:dyDescent="0.2">
      <c r="B636" s="8">
        <v>57139</v>
      </c>
      <c r="C636" s="9">
        <v>6.8892599999999998E-8</v>
      </c>
      <c r="D636" s="8" t="s">
        <v>1669</v>
      </c>
      <c r="E636" s="1" t="str">
        <f>VLOOKUP(B636,Nuclides!A:D,4,FALSE)</f>
        <v>STABLE</v>
      </c>
      <c r="F636" s="7"/>
      <c r="G636" s="1"/>
      <c r="H636" s="1"/>
      <c r="K636" s="8"/>
      <c r="L636" s="7"/>
      <c r="M636" s="7"/>
    </row>
    <row r="637" spans="2:13" x14ac:dyDescent="0.2">
      <c r="B637" s="8">
        <v>57140</v>
      </c>
      <c r="C637" s="9">
        <v>2.2007899999999999E-7</v>
      </c>
      <c r="D637" s="8" t="s">
        <v>1670</v>
      </c>
      <c r="E637" s="1">
        <f>VLOOKUP(B637,Nuclides!A:D,4,FALSE)</f>
        <v>145026.72</v>
      </c>
      <c r="F637" s="7"/>
      <c r="G637" s="1"/>
      <c r="H637" s="1"/>
      <c r="K637" s="8"/>
      <c r="L637" s="7"/>
      <c r="M637" s="7"/>
    </row>
    <row r="638" spans="2:13" x14ac:dyDescent="0.2">
      <c r="B638" s="8">
        <v>57141</v>
      </c>
      <c r="C638" s="9">
        <v>8.3725100000000004E-7</v>
      </c>
      <c r="D638" s="8" t="s">
        <v>1671</v>
      </c>
      <c r="E638" s="1">
        <f>VLOOKUP(B638,Nuclides!A:D,4,FALSE)</f>
        <v>14112</v>
      </c>
      <c r="F638" s="7"/>
      <c r="G638" s="1"/>
      <c r="H638" s="1"/>
      <c r="K638" s="8"/>
      <c r="L638" s="7"/>
      <c r="M638" s="7"/>
    </row>
    <row r="639" spans="2:13" x14ac:dyDescent="0.2">
      <c r="B639" s="8">
        <v>57142</v>
      </c>
      <c r="C639" s="9">
        <v>2.1142399999999999E-6</v>
      </c>
      <c r="D639" s="8" t="s">
        <v>1672</v>
      </c>
      <c r="E639" s="1">
        <f>VLOOKUP(B639,Nuclides!A:D,4,FALSE)</f>
        <v>5466</v>
      </c>
      <c r="F639" s="7"/>
      <c r="G639" s="1"/>
      <c r="H639" s="1"/>
      <c r="K639" s="8"/>
      <c r="L639" s="7"/>
      <c r="M639" s="7"/>
    </row>
    <row r="640" spans="2:13" x14ac:dyDescent="0.2">
      <c r="B640" s="8">
        <v>57143</v>
      </c>
      <c r="C640" s="9">
        <v>6.0190600000000003E-6</v>
      </c>
      <c r="D640" s="8" t="s">
        <v>1673</v>
      </c>
      <c r="E640" s="1">
        <f>VLOOKUP(B640,Nuclides!A:D,4,FALSE)</f>
        <v>852</v>
      </c>
      <c r="F640" s="7"/>
      <c r="G640" s="1"/>
      <c r="H640" s="1"/>
      <c r="K640" s="8"/>
      <c r="L640" s="7"/>
      <c r="M640" s="7"/>
    </row>
    <row r="641" spans="2:13" x14ac:dyDescent="0.2">
      <c r="B641" s="8">
        <v>57144</v>
      </c>
      <c r="C641" s="9">
        <v>1.06554E-5</v>
      </c>
      <c r="D641" s="8" t="s">
        <v>1674</v>
      </c>
      <c r="E641" s="1">
        <f>VLOOKUP(B641,Nuclides!A:D,4,FALSE)</f>
        <v>40.799999999999997</v>
      </c>
      <c r="F641" s="7"/>
      <c r="G641" s="1"/>
      <c r="H641" s="1"/>
      <c r="K641" s="8"/>
      <c r="L641" s="7"/>
      <c r="M641" s="7"/>
    </row>
    <row r="642" spans="2:13" x14ac:dyDescent="0.2">
      <c r="B642" s="8">
        <v>57145</v>
      </c>
      <c r="C642" s="9">
        <v>1.9298899999999999E-5</v>
      </c>
      <c r="D642" s="8" t="s">
        <v>1675</v>
      </c>
      <c r="E642" s="1">
        <f>VLOOKUP(B642,Nuclides!A:D,4,FALSE)</f>
        <v>24.8</v>
      </c>
      <c r="F642" s="7"/>
      <c r="G642" s="1"/>
      <c r="H642" s="1"/>
      <c r="K642" s="8"/>
      <c r="L642" s="7"/>
      <c r="M642" s="7"/>
    </row>
    <row r="643" spans="2:13" x14ac:dyDescent="0.2">
      <c r="B643" s="8">
        <v>57146</v>
      </c>
      <c r="C643" s="9">
        <v>1.9771599999999999E-5</v>
      </c>
      <c r="D643" s="8" t="s">
        <v>1676</v>
      </c>
      <c r="E643" s="1">
        <f>VLOOKUP(B643,Nuclides!A:D,4,FALSE)</f>
        <v>6.27</v>
      </c>
      <c r="F643" s="7"/>
      <c r="G643" s="1"/>
      <c r="H643" s="1"/>
      <c r="K643" s="8"/>
      <c r="L643" s="7"/>
      <c r="M643" s="7"/>
    </row>
    <row r="644" spans="2:13" x14ac:dyDescent="0.2">
      <c r="B644" s="8">
        <v>57147</v>
      </c>
      <c r="C644" s="9">
        <v>2.1732299999999999E-5</v>
      </c>
      <c r="D644" s="8" t="s">
        <v>1677</v>
      </c>
      <c r="E644" s="1">
        <f>VLOOKUP(B644,Nuclides!A:D,4,FALSE)</f>
        <v>4.0599999999999996</v>
      </c>
      <c r="F644" s="7"/>
      <c r="G644" s="1"/>
      <c r="H644" s="1"/>
      <c r="K644" s="8"/>
      <c r="L644" s="7"/>
      <c r="M644" s="7"/>
    </row>
    <row r="645" spans="2:13" x14ac:dyDescent="0.2">
      <c r="B645" s="8">
        <v>57148</v>
      </c>
      <c r="C645" s="9">
        <v>1.40988E-5</v>
      </c>
      <c r="D645" s="8" t="s">
        <v>1678</v>
      </c>
      <c r="E645" s="1">
        <f>VLOOKUP(B645,Nuclides!A:D,4,FALSE)</f>
        <v>1.26</v>
      </c>
      <c r="F645" s="7"/>
      <c r="G645" s="1"/>
      <c r="H645" s="1"/>
      <c r="K645" s="8"/>
      <c r="L645" s="7"/>
      <c r="M645" s="7"/>
    </row>
    <row r="646" spans="2:13" x14ac:dyDescent="0.2">
      <c r="B646" s="8">
        <v>57149</v>
      </c>
      <c r="C646" s="9">
        <v>8.7177400000000007E-6</v>
      </c>
      <c r="D646" s="8" t="s">
        <v>1679</v>
      </c>
      <c r="E646" s="1">
        <f>VLOOKUP(B646,Nuclides!A:D,4,FALSE)</f>
        <v>1.05</v>
      </c>
      <c r="F646" s="7"/>
      <c r="G646" s="1"/>
      <c r="H646" s="1"/>
      <c r="K646" s="8"/>
      <c r="L646" s="7"/>
      <c r="M646" s="7"/>
    </row>
    <row r="647" spans="2:13" x14ac:dyDescent="0.2">
      <c r="B647" s="8">
        <v>58124</v>
      </c>
      <c r="C647" s="9">
        <v>3.02562E-6</v>
      </c>
      <c r="D647" s="8" t="s">
        <v>1686</v>
      </c>
      <c r="E647" s="1">
        <f>VLOOKUP(B647,Nuclides!A:D,4,FALSE)</f>
        <v>6</v>
      </c>
      <c r="F647" s="7"/>
      <c r="G647" s="1"/>
      <c r="H647" s="1"/>
      <c r="K647" s="8"/>
      <c r="L647" s="7"/>
      <c r="M647" s="7"/>
    </row>
    <row r="648" spans="2:13" x14ac:dyDescent="0.2">
      <c r="B648" s="8">
        <v>58125</v>
      </c>
      <c r="C648" s="9">
        <v>1.04623E-6</v>
      </c>
      <c r="D648" s="8" t="s">
        <v>1687</v>
      </c>
      <c r="E648" s="1">
        <f>VLOOKUP(B648,Nuclides!A:D,4,FALSE)</f>
        <v>9.6999999999999993</v>
      </c>
      <c r="F648" s="7"/>
      <c r="G648" s="1"/>
      <c r="H648" s="1"/>
      <c r="K648" s="8"/>
      <c r="L648" s="7"/>
      <c r="M648" s="7"/>
    </row>
    <row r="649" spans="2:13" x14ac:dyDescent="0.2">
      <c r="B649" s="8">
        <v>58126</v>
      </c>
      <c r="C649" s="9">
        <v>1.83155E-7</v>
      </c>
      <c r="D649" s="8" t="s">
        <v>1688</v>
      </c>
      <c r="E649" s="1">
        <f>VLOOKUP(B649,Nuclides!A:D,4,FALSE)</f>
        <v>51</v>
      </c>
      <c r="F649" s="7"/>
      <c r="G649" s="1"/>
      <c r="H649" s="1"/>
      <c r="K649" s="8"/>
      <c r="L649" s="7"/>
      <c r="M649" s="7"/>
    </row>
    <row r="650" spans="2:13" x14ac:dyDescent="0.2">
      <c r="B650" s="8">
        <v>58127</v>
      </c>
      <c r="C650" s="9">
        <v>3.1689199999999998E-8</v>
      </c>
      <c r="D650" s="8" t="s">
        <v>1689</v>
      </c>
      <c r="E650" s="1">
        <f>VLOOKUP(B650,Nuclides!A:D,4,FALSE)</f>
        <v>34</v>
      </c>
      <c r="F650" s="7"/>
      <c r="G650" s="1"/>
      <c r="H650" s="1"/>
      <c r="K650" s="8"/>
      <c r="L650" s="7"/>
      <c r="M650" s="7"/>
    </row>
    <row r="651" spans="2:13" x14ac:dyDescent="0.2">
      <c r="B651" s="8">
        <v>58128</v>
      </c>
      <c r="C651" s="9">
        <v>2.8618000000000002E-9</v>
      </c>
      <c r="D651" s="8" t="s">
        <v>1690</v>
      </c>
      <c r="E651" s="1">
        <f>VLOOKUP(B651,Nuclides!A:D,4,FALSE)</f>
        <v>235.8</v>
      </c>
      <c r="F651" s="7"/>
      <c r="G651" s="1"/>
      <c r="H651" s="1"/>
      <c r="K651" s="8"/>
      <c r="L651" s="7"/>
      <c r="M651" s="7"/>
    </row>
    <row r="652" spans="2:13" x14ac:dyDescent="0.2">
      <c r="B652" s="8">
        <v>58129</v>
      </c>
      <c r="C652" s="9">
        <v>1.3959999999999999E-10</v>
      </c>
      <c r="D652" s="8" t="s">
        <v>1691</v>
      </c>
      <c r="E652" s="1">
        <f>VLOOKUP(B652,Nuclides!A:D,4,FALSE)</f>
        <v>210</v>
      </c>
      <c r="F652" s="7"/>
      <c r="G652" s="1"/>
      <c r="H652" s="1"/>
      <c r="K652" s="8"/>
      <c r="L652" s="7"/>
      <c r="M652" s="7"/>
    </row>
    <row r="653" spans="2:13" x14ac:dyDescent="0.2">
      <c r="B653" s="8">
        <v>58138</v>
      </c>
      <c r="C653" s="9">
        <v>6.9799999999999994E-11</v>
      </c>
      <c r="D653" s="8" t="s">
        <v>1700</v>
      </c>
      <c r="E653" s="1">
        <f>VLOOKUP(B653,Nuclides!A:D,4,FALSE)</f>
        <v>2.8401840000000003E+21</v>
      </c>
      <c r="F653" s="7"/>
      <c r="G653" s="1"/>
      <c r="H653" s="1"/>
      <c r="K653" s="8"/>
      <c r="L653" s="7"/>
      <c r="M653" s="7"/>
    </row>
    <row r="654" spans="2:13" x14ac:dyDescent="0.2">
      <c r="B654" s="8">
        <v>58139</v>
      </c>
      <c r="C654" s="9">
        <v>6.9799999999999997E-10</v>
      </c>
      <c r="D654" s="8" t="s">
        <v>1701</v>
      </c>
      <c r="E654" s="1">
        <f>VLOOKUP(B654,Nuclides!A:D,4,FALSE)</f>
        <v>11892182.3999999</v>
      </c>
      <c r="F654" s="7"/>
      <c r="G654" s="1"/>
      <c r="H654" s="1"/>
      <c r="K654" s="8"/>
      <c r="L654" s="7"/>
      <c r="M654" s="7"/>
    </row>
    <row r="655" spans="2:13" hidden="1" x14ac:dyDescent="0.2">
      <c r="B655" s="8">
        <v>58140</v>
      </c>
      <c r="C655" s="9">
        <v>5.0255999999999997E-9</v>
      </c>
      <c r="D655" s="8" t="s">
        <v>1702</v>
      </c>
      <c r="E655" s="1" t="str">
        <f>VLOOKUP(B655,Nuclides!A:D,4,FALSE)</f>
        <v>STABLE</v>
      </c>
      <c r="F655" s="7"/>
      <c r="G655" s="1"/>
      <c r="H655" s="1"/>
      <c r="K655" s="8"/>
      <c r="L655" s="7"/>
      <c r="M655" s="7"/>
    </row>
    <row r="656" spans="2:13" x14ac:dyDescent="0.2">
      <c r="B656" s="8">
        <v>58141</v>
      </c>
      <c r="C656" s="9">
        <v>2.3313199999999999E-8</v>
      </c>
      <c r="D656" s="8" t="s">
        <v>1703</v>
      </c>
      <c r="E656" s="1">
        <f>VLOOKUP(B656,Nuclides!A:D,4,FALSE)</f>
        <v>2808950.4</v>
      </c>
      <c r="F656" s="7"/>
      <c r="G656" s="1"/>
      <c r="H656" s="1"/>
      <c r="K656" s="8"/>
      <c r="L656" s="7"/>
      <c r="M656" s="7"/>
    </row>
    <row r="657" spans="2:13" x14ac:dyDescent="0.2">
      <c r="B657" s="8">
        <v>58142</v>
      </c>
      <c r="C657" s="9">
        <v>1.0742199999999999E-7</v>
      </c>
      <c r="D657" s="8" t="s">
        <v>1704</v>
      </c>
      <c r="E657" s="1">
        <f>VLOOKUP(B657,Nuclides!A:D,4,FALSE)</f>
        <v>1.57788E+24</v>
      </c>
      <c r="F657" s="7"/>
      <c r="G657" s="1"/>
      <c r="H657" s="1"/>
      <c r="K657" s="8"/>
      <c r="L657" s="7"/>
      <c r="M657" s="7"/>
    </row>
    <row r="658" spans="2:13" x14ac:dyDescent="0.2">
      <c r="B658" s="8">
        <v>58143</v>
      </c>
      <c r="C658" s="9">
        <v>3.0963299999999998E-7</v>
      </c>
      <c r="D658" s="8" t="s">
        <v>1705</v>
      </c>
      <c r="E658" s="1">
        <f>VLOOKUP(B658,Nuclides!A:D,4,FALSE)</f>
        <v>118940.4</v>
      </c>
      <c r="F658" s="7"/>
      <c r="G658" s="1"/>
      <c r="H658" s="1"/>
      <c r="K658" s="8"/>
      <c r="L658" s="7"/>
      <c r="M658" s="7"/>
    </row>
    <row r="659" spans="2:13" x14ac:dyDescent="0.2">
      <c r="B659" s="8">
        <v>58144</v>
      </c>
      <c r="C659" s="9">
        <v>1.01657E-6</v>
      </c>
      <c r="D659" s="8" t="s">
        <v>1706</v>
      </c>
      <c r="E659" s="1">
        <f>VLOOKUP(B659,Nuclides!A:D,4,FALSE)</f>
        <v>24616224</v>
      </c>
      <c r="F659" s="7"/>
      <c r="G659" s="1"/>
      <c r="H659" s="1"/>
      <c r="K659" s="8"/>
      <c r="L659" s="7"/>
      <c r="M659" s="7"/>
    </row>
    <row r="660" spans="2:13" x14ac:dyDescent="0.2">
      <c r="B660" s="8">
        <v>58145</v>
      </c>
      <c r="C660" s="9">
        <v>2.3251800000000001E-6</v>
      </c>
      <c r="D660" s="8" t="s">
        <v>1707</v>
      </c>
      <c r="E660" s="1">
        <f>VLOOKUP(B660,Nuclides!A:D,4,FALSE)</f>
        <v>180.6</v>
      </c>
      <c r="F660" s="7"/>
      <c r="G660" s="1"/>
      <c r="H660" s="1"/>
      <c r="K660" s="8"/>
      <c r="L660" s="7"/>
      <c r="M660" s="7"/>
    </row>
    <row r="661" spans="2:13" x14ac:dyDescent="0.2">
      <c r="B661" s="8">
        <v>58146</v>
      </c>
      <c r="C661" s="9">
        <v>5.2133599999999997E-6</v>
      </c>
      <c r="D661" s="8" t="s">
        <v>1708</v>
      </c>
      <c r="E661" s="1">
        <f>VLOOKUP(B661,Nuclides!A:D,4,FALSE)</f>
        <v>809.4</v>
      </c>
      <c r="F661" s="7"/>
      <c r="G661" s="1"/>
      <c r="H661" s="1"/>
      <c r="K661" s="8"/>
      <c r="L661" s="7"/>
      <c r="M661" s="7"/>
    </row>
    <row r="662" spans="2:13" x14ac:dyDescent="0.2">
      <c r="B662" s="8">
        <v>58147</v>
      </c>
      <c r="C662" s="9">
        <v>8.1946600000000002E-6</v>
      </c>
      <c r="D662" s="8" t="s">
        <v>1709</v>
      </c>
      <c r="E662" s="1">
        <f>VLOOKUP(B662,Nuclides!A:D,4,FALSE)</f>
        <v>56.4</v>
      </c>
      <c r="F662" s="7"/>
      <c r="G662" s="1"/>
      <c r="H662" s="1"/>
      <c r="K662" s="8"/>
      <c r="L662" s="7"/>
      <c r="M662" s="7"/>
    </row>
    <row r="663" spans="2:13" x14ac:dyDescent="0.2">
      <c r="B663" s="8">
        <v>58148</v>
      </c>
      <c r="C663" s="9">
        <v>1.21451E-5</v>
      </c>
      <c r="D663" s="8" t="s">
        <v>1710</v>
      </c>
      <c r="E663" s="1">
        <f>VLOOKUP(B663,Nuclides!A:D,4,FALSE)</f>
        <v>56.8</v>
      </c>
      <c r="F663" s="7"/>
      <c r="G663" s="1"/>
      <c r="H663" s="1"/>
      <c r="K663" s="8"/>
      <c r="L663" s="7"/>
      <c r="M663" s="7"/>
    </row>
    <row r="664" spans="2:13" x14ac:dyDescent="0.2">
      <c r="B664" s="8">
        <v>58149</v>
      </c>
      <c r="C664" s="9">
        <v>1.27654E-5</v>
      </c>
      <c r="D664" s="8" t="s">
        <v>1711</v>
      </c>
      <c r="E664" s="1">
        <f>VLOOKUP(B664,Nuclides!A:D,4,FALSE)</f>
        <v>5.3</v>
      </c>
      <c r="F664" s="7"/>
      <c r="G664" s="1"/>
      <c r="H664" s="1"/>
      <c r="K664" s="8"/>
      <c r="L664" s="7"/>
      <c r="M664" s="7"/>
    </row>
    <row r="665" spans="2:13" x14ac:dyDescent="0.2">
      <c r="B665" s="8">
        <v>58150</v>
      </c>
      <c r="C665" s="9">
        <v>1.07713E-5</v>
      </c>
      <c r="D665" s="8" t="s">
        <v>1712</v>
      </c>
      <c r="E665" s="1">
        <f>VLOOKUP(B665,Nuclides!A:D,4,FALSE)</f>
        <v>4</v>
      </c>
      <c r="F665" s="7"/>
      <c r="G665" s="1"/>
      <c r="H665" s="1"/>
      <c r="K665" s="8"/>
      <c r="L665" s="7"/>
      <c r="M665" s="7"/>
    </row>
    <row r="666" spans="2:13" x14ac:dyDescent="0.2">
      <c r="B666" s="8">
        <v>58151</v>
      </c>
      <c r="C666" s="9">
        <v>6.23279E-6</v>
      </c>
      <c r="D666" s="8" t="s">
        <v>1713</v>
      </c>
      <c r="E666" s="1">
        <f>VLOOKUP(B666,Nuclides!A:D,4,FALSE)</f>
        <v>1.76</v>
      </c>
      <c r="F666" s="7"/>
      <c r="G666" s="1"/>
      <c r="H666" s="1"/>
      <c r="K666" s="8"/>
      <c r="L666" s="7"/>
      <c r="M666" s="7"/>
    </row>
    <row r="667" spans="2:13" x14ac:dyDescent="0.2">
      <c r="B667" s="8">
        <v>59129</v>
      </c>
      <c r="C667" s="9">
        <v>2.8427400000000002E-6</v>
      </c>
      <c r="D667" s="8" t="s">
        <v>1726</v>
      </c>
      <c r="E667" s="1">
        <f>VLOOKUP(B667,Nuclides!A:D,4,FALSE)</f>
        <v>30</v>
      </c>
      <c r="F667" s="7"/>
      <c r="G667" s="1"/>
      <c r="H667" s="1"/>
      <c r="K667" s="8"/>
      <c r="L667" s="7"/>
      <c r="M667" s="7"/>
    </row>
    <row r="668" spans="2:13" x14ac:dyDescent="0.2">
      <c r="B668" s="8">
        <v>59130</v>
      </c>
      <c r="C668" s="9">
        <v>8.9099700000000005E-7</v>
      </c>
      <c r="D668" s="8" t="s">
        <v>1727</v>
      </c>
      <c r="E668" s="1">
        <f>VLOOKUP(B668,Nuclides!A:D,4,FALSE)</f>
        <v>40</v>
      </c>
      <c r="F668" s="7"/>
      <c r="G668" s="1"/>
      <c r="H668" s="1"/>
      <c r="K668" s="8"/>
      <c r="L668" s="7"/>
      <c r="M668" s="7"/>
    </row>
    <row r="669" spans="2:13" x14ac:dyDescent="0.2">
      <c r="B669" s="8">
        <v>59131</v>
      </c>
      <c r="C669" s="9">
        <v>2.4409099999999999E-7</v>
      </c>
      <c r="D669" s="8" t="s">
        <v>1728</v>
      </c>
      <c r="E669" s="1">
        <f>VLOOKUP(B669,Nuclides!A:D,4,FALSE)</f>
        <v>90.6</v>
      </c>
      <c r="F669" s="7"/>
      <c r="G669" s="1"/>
      <c r="H669" s="1"/>
      <c r="K669" s="8"/>
      <c r="L669" s="7"/>
      <c r="M669" s="7"/>
    </row>
    <row r="670" spans="2:13" x14ac:dyDescent="0.2">
      <c r="B670" s="8">
        <v>59132</v>
      </c>
      <c r="C670" s="9">
        <v>3.3783200000000003E-8</v>
      </c>
      <c r="D670" s="8" t="s">
        <v>1729</v>
      </c>
      <c r="E670" s="1">
        <f>VLOOKUP(B670,Nuclides!A:D,4,FALSE)</f>
        <v>96</v>
      </c>
      <c r="F670" s="7"/>
      <c r="G670" s="1"/>
      <c r="H670" s="1"/>
      <c r="K670" s="8"/>
      <c r="L670" s="7"/>
      <c r="M670" s="7"/>
    </row>
    <row r="671" spans="2:13" x14ac:dyDescent="0.2">
      <c r="B671" s="8">
        <v>59133</v>
      </c>
      <c r="C671" s="9">
        <v>6.4216000000000002E-9</v>
      </c>
      <c r="D671" s="8" t="s">
        <v>1730</v>
      </c>
      <c r="E671" s="1">
        <f>VLOOKUP(B671,Nuclides!A:D,4,FALSE)</f>
        <v>390</v>
      </c>
      <c r="F671" s="7"/>
      <c r="G671" s="1"/>
      <c r="H671" s="1"/>
      <c r="K671" s="8"/>
      <c r="L671" s="7"/>
      <c r="M671" s="7"/>
    </row>
    <row r="672" spans="2:13" x14ac:dyDescent="0.2">
      <c r="B672" s="8">
        <v>59134</v>
      </c>
      <c r="C672" s="9">
        <v>4.8860000000000005E-10</v>
      </c>
      <c r="D672" s="8" t="s">
        <v>1731</v>
      </c>
      <c r="E672" s="1">
        <f>VLOOKUP(B672,Nuclides!A:D,4,FALSE)</f>
        <v>660</v>
      </c>
      <c r="F672" s="7"/>
      <c r="G672" s="1"/>
      <c r="H672" s="1"/>
      <c r="K672" s="8"/>
      <c r="L672" s="7"/>
      <c r="M672" s="7"/>
    </row>
    <row r="673" spans="2:13" x14ac:dyDescent="0.2">
      <c r="B673" s="8">
        <v>59142</v>
      </c>
      <c r="C673" s="9">
        <v>5.5839999999999995E-10</v>
      </c>
      <c r="D673" s="8" t="s">
        <v>1739</v>
      </c>
      <c r="E673" s="1">
        <f>VLOOKUP(B673,Nuclides!A:D,4,FALSE)</f>
        <v>68832</v>
      </c>
      <c r="F673" s="7"/>
      <c r="G673" s="1"/>
      <c r="H673" s="1"/>
      <c r="K673" s="8"/>
      <c r="L673" s="7"/>
      <c r="M673" s="7"/>
    </row>
    <row r="674" spans="2:13" x14ac:dyDescent="0.2">
      <c r="B674" s="8">
        <v>59143</v>
      </c>
      <c r="C674" s="9">
        <v>4.0484000000000002E-9</v>
      </c>
      <c r="D674" s="8" t="s">
        <v>1740</v>
      </c>
      <c r="E674" s="1">
        <f>VLOOKUP(B674,Nuclides!A:D,4,FALSE)</f>
        <v>1172448</v>
      </c>
      <c r="F674" s="7"/>
      <c r="G674" s="1"/>
      <c r="H674" s="1"/>
      <c r="K674" s="8"/>
      <c r="L674" s="7"/>
      <c r="M674" s="7"/>
    </row>
    <row r="675" spans="2:13" x14ac:dyDescent="0.2">
      <c r="B675" s="8">
        <v>59144</v>
      </c>
      <c r="C675" s="9">
        <v>1.26338E-8</v>
      </c>
      <c r="D675" s="8" t="s">
        <v>1741</v>
      </c>
      <c r="E675" s="1">
        <f>VLOOKUP(B675,Nuclides!A:D,4,FALSE)</f>
        <v>1036.8</v>
      </c>
      <c r="F675" s="7"/>
      <c r="G675" s="1"/>
      <c r="H675" s="1"/>
      <c r="K675" s="8"/>
      <c r="L675" s="7"/>
      <c r="M675" s="7"/>
    </row>
    <row r="676" spans="2:13" x14ac:dyDescent="0.2">
      <c r="B676" s="8">
        <v>59145</v>
      </c>
      <c r="C676" s="9">
        <v>6.8473799999999997E-8</v>
      </c>
      <c r="D676" s="8" t="s">
        <v>1742</v>
      </c>
      <c r="E676" s="1">
        <f>VLOOKUP(B676,Nuclides!A:D,4,FALSE)</f>
        <v>21542.400000000001</v>
      </c>
      <c r="F676" s="7"/>
      <c r="G676" s="1"/>
      <c r="H676" s="1"/>
      <c r="K676" s="8"/>
      <c r="L676" s="7"/>
      <c r="M676" s="7"/>
    </row>
    <row r="677" spans="2:13" x14ac:dyDescent="0.2">
      <c r="B677" s="8">
        <v>59146</v>
      </c>
      <c r="C677" s="9">
        <v>1.8811100000000001E-7</v>
      </c>
      <c r="D677" s="8" t="s">
        <v>1743</v>
      </c>
      <c r="E677" s="1">
        <f>VLOOKUP(B677,Nuclides!A:D,4,FALSE)</f>
        <v>1449</v>
      </c>
      <c r="F677" s="7"/>
      <c r="G677" s="1"/>
      <c r="H677" s="1"/>
      <c r="K677" s="8"/>
      <c r="L677" s="7"/>
      <c r="M677" s="7"/>
    </row>
    <row r="678" spans="2:13" x14ac:dyDescent="0.2">
      <c r="B678" s="8">
        <v>59147</v>
      </c>
      <c r="C678" s="9">
        <v>5.9671999999999996E-7</v>
      </c>
      <c r="D678" s="8" t="s">
        <v>1744</v>
      </c>
      <c r="E678" s="1">
        <f>VLOOKUP(B678,Nuclides!A:D,4,FALSE)</f>
        <v>804</v>
      </c>
      <c r="F678" s="7"/>
      <c r="G678" s="1"/>
      <c r="H678" s="1"/>
      <c r="K678" s="8"/>
      <c r="L678" s="7"/>
      <c r="M678" s="7"/>
    </row>
    <row r="679" spans="2:13" x14ac:dyDescent="0.2">
      <c r="B679" s="8">
        <v>59148</v>
      </c>
      <c r="C679" s="9">
        <v>1.20726E-6</v>
      </c>
      <c r="D679" s="8" t="s">
        <v>1745</v>
      </c>
      <c r="E679" s="1">
        <f>VLOOKUP(B679,Nuclides!A:D,4,FALSE)</f>
        <v>137.4</v>
      </c>
      <c r="F679" s="7"/>
      <c r="G679" s="1"/>
      <c r="H679" s="1"/>
      <c r="K679" s="8"/>
      <c r="L679" s="7"/>
      <c r="M679" s="7"/>
    </row>
    <row r="680" spans="2:13" x14ac:dyDescent="0.2">
      <c r="B680" s="8">
        <v>59149</v>
      </c>
      <c r="C680" s="9">
        <v>2.6309000000000001E-6</v>
      </c>
      <c r="D680" s="8" t="s">
        <v>1746</v>
      </c>
      <c r="E680" s="1">
        <f>VLOOKUP(B680,Nuclides!A:D,4,FALSE)</f>
        <v>135.6</v>
      </c>
      <c r="F680" s="7"/>
      <c r="G680" s="1"/>
      <c r="H680" s="1"/>
      <c r="K680" s="8"/>
      <c r="L680" s="7"/>
      <c r="M680" s="7"/>
    </row>
    <row r="681" spans="2:13" x14ac:dyDescent="0.2">
      <c r="B681" s="8">
        <v>59150</v>
      </c>
      <c r="C681" s="9">
        <v>3.4937000000000001E-6</v>
      </c>
      <c r="D681" s="8" t="s">
        <v>1747</v>
      </c>
      <c r="E681" s="1">
        <f>VLOOKUP(B681,Nuclides!A:D,4,FALSE)</f>
        <v>6.19</v>
      </c>
      <c r="F681" s="7"/>
      <c r="G681" s="1"/>
      <c r="H681" s="1"/>
      <c r="K681" s="8"/>
      <c r="L681" s="7"/>
      <c r="M681" s="7"/>
    </row>
    <row r="682" spans="2:13" x14ac:dyDescent="0.2">
      <c r="B682" s="8">
        <v>59151</v>
      </c>
      <c r="C682" s="9">
        <v>4.5314899999999999E-6</v>
      </c>
      <c r="D682" s="8" t="s">
        <v>1748</v>
      </c>
      <c r="E682" s="1">
        <f>VLOOKUP(B682,Nuclides!A:D,4,FALSE)</f>
        <v>18.899999999999999</v>
      </c>
      <c r="F682" s="7"/>
      <c r="G682" s="1"/>
      <c r="H682" s="1"/>
      <c r="K682" s="8"/>
      <c r="L682" s="7"/>
      <c r="M682" s="7"/>
    </row>
    <row r="683" spans="2:13" x14ac:dyDescent="0.2">
      <c r="B683" s="8">
        <v>59152</v>
      </c>
      <c r="C683" s="9">
        <v>3.4899299999999998E-6</v>
      </c>
      <c r="D683" s="8" t="s">
        <v>1749</v>
      </c>
      <c r="E683" s="1">
        <f>VLOOKUP(B683,Nuclides!A:D,4,FALSE)</f>
        <v>3.57</v>
      </c>
      <c r="F683" s="7"/>
      <c r="G683" s="1"/>
      <c r="H683" s="1"/>
      <c r="K683" s="8"/>
      <c r="L683" s="7"/>
      <c r="M683" s="7"/>
    </row>
    <row r="684" spans="2:13" x14ac:dyDescent="0.2">
      <c r="B684" s="8">
        <v>60129</v>
      </c>
      <c r="C684" s="9">
        <v>2.4384600000000002E-6</v>
      </c>
      <c r="D684" s="8" t="s">
        <v>1758</v>
      </c>
      <c r="E684" s="1">
        <f>VLOOKUP(B684,Nuclides!A:D,4,FALSE)</f>
        <v>6.7</v>
      </c>
      <c r="F684" s="7"/>
      <c r="G684" s="1"/>
      <c r="H684" s="1"/>
      <c r="K684" s="8"/>
      <c r="L684" s="7"/>
      <c r="M684" s="7"/>
    </row>
    <row r="685" spans="2:13" x14ac:dyDescent="0.2">
      <c r="B685" s="8">
        <v>60130</v>
      </c>
      <c r="C685" s="9">
        <v>1.0072099999999999E-6</v>
      </c>
      <c r="D685" s="8" t="s">
        <v>1759</v>
      </c>
      <c r="E685" s="1">
        <f>VLOOKUP(B685,Nuclides!A:D,4,FALSE)</f>
        <v>21</v>
      </c>
      <c r="F685" s="7"/>
      <c r="G685" s="1"/>
      <c r="H685" s="1"/>
      <c r="K685" s="8"/>
      <c r="L685" s="7"/>
      <c r="M685" s="7"/>
    </row>
    <row r="686" spans="2:13" x14ac:dyDescent="0.2">
      <c r="B686" s="8">
        <v>60131</v>
      </c>
      <c r="C686" s="9">
        <v>4.1349500000000001E-7</v>
      </c>
      <c r="D686" s="8" t="s">
        <v>1760</v>
      </c>
      <c r="E686" s="1">
        <f>VLOOKUP(B686,Nuclides!A:D,4,FALSE)</f>
        <v>25.4</v>
      </c>
      <c r="F686" s="7"/>
      <c r="G686" s="1"/>
      <c r="H686" s="1"/>
      <c r="K686" s="8"/>
      <c r="L686" s="7"/>
      <c r="M686" s="7"/>
    </row>
    <row r="687" spans="2:13" x14ac:dyDescent="0.2">
      <c r="B687" s="8">
        <v>60132</v>
      </c>
      <c r="C687" s="9">
        <v>9.2694400000000004E-8</v>
      </c>
      <c r="D687" s="8" t="s">
        <v>1761</v>
      </c>
      <c r="E687" s="1">
        <f>VLOOKUP(B687,Nuclides!A:D,4,FALSE)</f>
        <v>94</v>
      </c>
      <c r="F687" s="7"/>
      <c r="G687" s="1"/>
      <c r="H687" s="1"/>
      <c r="K687" s="8"/>
      <c r="L687" s="7"/>
      <c r="M687" s="7"/>
    </row>
    <row r="688" spans="2:13" x14ac:dyDescent="0.2">
      <c r="B688" s="8">
        <v>60133</v>
      </c>
      <c r="C688" s="9">
        <v>2.35226E-8</v>
      </c>
      <c r="D688" s="8" t="s">
        <v>1762</v>
      </c>
      <c r="E688" s="1">
        <f>VLOOKUP(B688,Nuclides!A:D,4,FALSE)</f>
        <v>70</v>
      </c>
      <c r="F688" s="7"/>
      <c r="G688" s="1"/>
      <c r="H688" s="1"/>
      <c r="K688" s="8"/>
      <c r="L688" s="7"/>
      <c r="M688" s="7"/>
    </row>
    <row r="689" spans="2:13" x14ac:dyDescent="0.2">
      <c r="B689" s="8">
        <v>60134</v>
      </c>
      <c r="C689" s="9">
        <v>2.3732E-9</v>
      </c>
      <c r="D689" s="8" t="s">
        <v>1763</v>
      </c>
      <c r="E689" s="1">
        <f>VLOOKUP(B689,Nuclides!A:D,4,FALSE)</f>
        <v>510</v>
      </c>
      <c r="F689" s="7"/>
      <c r="G689" s="1"/>
      <c r="H689" s="1"/>
      <c r="K689" s="8"/>
      <c r="L689" s="7"/>
      <c r="M689" s="7"/>
    </row>
    <row r="690" spans="2:13" x14ac:dyDescent="0.2">
      <c r="B690" s="8">
        <v>60135</v>
      </c>
      <c r="C690" s="9">
        <v>5.5839999999999995E-10</v>
      </c>
      <c r="D690" s="8" t="s">
        <v>1764</v>
      </c>
      <c r="E690" s="1">
        <f>VLOOKUP(B690,Nuclides!A:D,4,FALSE)</f>
        <v>744</v>
      </c>
      <c r="F690" s="7"/>
      <c r="G690" s="1"/>
      <c r="H690" s="1"/>
      <c r="K690" s="8"/>
      <c r="L690" s="7"/>
      <c r="M690" s="7"/>
    </row>
    <row r="691" spans="2:13" x14ac:dyDescent="0.2">
      <c r="B691" s="8">
        <v>60144</v>
      </c>
      <c r="C691" s="9">
        <v>2.7919999999999998E-10</v>
      </c>
      <c r="D691" s="8" t="s">
        <v>1773</v>
      </c>
      <c r="E691" s="1">
        <f>VLOOKUP(B691,Nuclides!A:D,4,FALSE)</f>
        <v>7.2266904000000002E+22</v>
      </c>
      <c r="F691" s="7"/>
      <c r="G691" s="1"/>
      <c r="H691" s="1"/>
      <c r="K691" s="8"/>
      <c r="L691" s="7"/>
      <c r="M691" s="7"/>
    </row>
    <row r="692" spans="2:13" hidden="1" x14ac:dyDescent="0.2">
      <c r="B692" s="8">
        <v>60145</v>
      </c>
      <c r="C692" s="9">
        <v>3.4899999999999998E-10</v>
      </c>
      <c r="D692" s="8" t="s">
        <v>1774</v>
      </c>
      <c r="E692" s="1" t="str">
        <f>VLOOKUP(B692,Nuclides!A:D,4,FALSE)</f>
        <v>STABLE</v>
      </c>
      <c r="F692" s="7"/>
      <c r="G692" s="1"/>
      <c r="H692" s="1"/>
      <c r="K692" s="8"/>
      <c r="L692" s="7"/>
      <c r="M692" s="7"/>
    </row>
    <row r="693" spans="2:13" hidden="1" x14ac:dyDescent="0.2">
      <c r="B693" s="8">
        <v>60146</v>
      </c>
      <c r="C693" s="9">
        <v>4.4671999999999996E-9</v>
      </c>
      <c r="D693" s="8" t="s">
        <v>1775</v>
      </c>
      <c r="E693" s="1" t="str">
        <f>VLOOKUP(B693,Nuclides!A:D,4,FALSE)</f>
        <v>STABLE</v>
      </c>
      <c r="F693" s="7"/>
      <c r="G693" s="1"/>
      <c r="H693" s="1"/>
      <c r="K693" s="8"/>
      <c r="L693" s="7"/>
      <c r="M693" s="7"/>
    </row>
    <row r="694" spans="2:13" x14ac:dyDescent="0.2">
      <c r="B694" s="8">
        <v>60147</v>
      </c>
      <c r="C694" s="9">
        <v>1.72406E-8</v>
      </c>
      <c r="D694" s="8" t="s">
        <v>1776</v>
      </c>
      <c r="E694" s="1">
        <f>VLOOKUP(B694,Nuclides!A:D,4,FALSE)</f>
        <v>948672</v>
      </c>
      <c r="F694" s="7"/>
      <c r="G694" s="1"/>
      <c r="H694" s="1"/>
      <c r="K694" s="8"/>
      <c r="L694" s="7"/>
      <c r="M694" s="7"/>
    </row>
    <row r="695" spans="2:13" hidden="1" x14ac:dyDescent="0.2">
      <c r="B695" s="8">
        <v>60148</v>
      </c>
      <c r="C695" s="9">
        <v>6.5542200000000003E-8</v>
      </c>
      <c r="D695" s="8" t="s">
        <v>1777</v>
      </c>
      <c r="E695" s="1" t="str">
        <f>VLOOKUP(B695,Nuclides!A:D,4,FALSE)</f>
        <v>STABLE</v>
      </c>
      <c r="F695" s="7"/>
      <c r="G695" s="1"/>
      <c r="H695" s="1"/>
      <c r="K695" s="8"/>
      <c r="L695" s="7"/>
      <c r="M695" s="7"/>
    </row>
    <row r="696" spans="2:13" x14ac:dyDescent="0.2">
      <c r="B696" s="8">
        <v>60149</v>
      </c>
      <c r="C696" s="9">
        <v>1.6458799999999999E-7</v>
      </c>
      <c r="D696" s="8" t="s">
        <v>1778</v>
      </c>
      <c r="E696" s="1">
        <f>VLOOKUP(B696,Nuclides!A:D,4,FALSE)</f>
        <v>6220.8</v>
      </c>
      <c r="F696" s="7"/>
      <c r="G696" s="1"/>
      <c r="H696" s="1"/>
      <c r="K696" s="8"/>
      <c r="L696" s="7"/>
      <c r="M696" s="7"/>
    </row>
    <row r="697" spans="2:13" x14ac:dyDescent="0.2">
      <c r="B697" s="8">
        <v>60150</v>
      </c>
      <c r="C697" s="9">
        <v>4.5593399999999998E-7</v>
      </c>
      <c r="D697" s="8" t="s">
        <v>1779</v>
      </c>
      <c r="E697" s="1">
        <f>VLOOKUP(B697,Nuclides!A:D,4,FALSE)</f>
        <v>2.8717416000000001E+26</v>
      </c>
      <c r="F697" s="7"/>
      <c r="G697" s="1"/>
      <c r="H697" s="1"/>
      <c r="K697" s="8"/>
      <c r="L697" s="7"/>
      <c r="M697" s="7"/>
    </row>
    <row r="698" spans="2:13" x14ac:dyDescent="0.2">
      <c r="B698" s="8">
        <v>60151</v>
      </c>
      <c r="C698" s="9">
        <v>8.6831200000000003E-7</v>
      </c>
      <c r="D698" s="8" t="s">
        <v>1780</v>
      </c>
      <c r="E698" s="1">
        <f>VLOOKUP(B698,Nuclides!A:D,4,FALSE)</f>
        <v>746.4</v>
      </c>
      <c r="F698" s="7"/>
      <c r="G698" s="1"/>
      <c r="H698" s="1"/>
      <c r="K698" s="8"/>
      <c r="L698" s="7"/>
      <c r="M698" s="7"/>
    </row>
    <row r="699" spans="2:13" x14ac:dyDescent="0.2">
      <c r="B699" s="8">
        <v>60152</v>
      </c>
      <c r="C699" s="9">
        <v>1.5264600000000001E-6</v>
      </c>
      <c r="D699" s="8" t="s">
        <v>1781</v>
      </c>
      <c r="E699" s="1">
        <f>VLOOKUP(B699,Nuclides!A:D,4,FALSE)</f>
        <v>684</v>
      </c>
      <c r="F699" s="7"/>
      <c r="G699" s="1"/>
      <c r="H699" s="1"/>
      <c r="K699" s="8"/>
      <c r="L699" s="7"/>
      <c r="M699" s="7"/>
    </row>
    <row r="700" spans="2:13" x14ac:dyDescent="0.2">
      <c r="B700" s="8">
        <v>60153</v>
      </c>
      <c r="C700" s="9">
        <v>1.8548E-6</v>
      </c>
      <c r="D700" s="8" t="s">
        <v>1782</v>
      </c>
      <c r="E700" s="1">
        <f>VLOOKUP(B700,Nuclides!A:D,4,FALSE)</f>
        <v>31.6</v>
      </c>
      <c r="F700" s="7"/>
      <c r="G700" s="1"/>
      <c r="H700" s="1"/>
      <c r="K700" s="8"/>
      <c r="L700" s="7"/>
      <c r="M700" s="7"/>
    </row>
    <row r="701" spans="2:13" x14ac:dyDescent="0.2">
      <c r="B701" s="8">
        <v>60154</v>
      </c>
      <c r="C701" s="9">
        <v>1.9192900000000001E-6</v>
      </c>
      <c r="D701" s="8" t="s">
        <v>1783</v>
      </c>
      <c r="E701" s="1">
        <f>VLOOKUP(B701,Nuclides!A:D,4,FALSE)</f>
        <v>25.9</v>
      </c>
      <c r="F701" s="7"/>
      <c r="G701" s="1"/>
      <c r="H701" s="1"/>
      <c r="K701" s="8"/>
      <c r="L701" s="7"/>
      <c r="M701" s="7"/>
    </row>
    <row r="702" spans="2:13" x14ac:dyDescent="0.2">
      <c r="B702" s="8">
        <v>61132</v>
      </c>
      <c r="C702" s="9">
        <v>1.3462999999999999E-6</v>
      </c>
      <c r="D702" s="8" t="s">
        <v>1795</v>
      </c>
      <c r="E702" s="1">
        <f>VLOOKUP(B702,Nuclides!A:D,4,FALSE)</f>
        <v>6.2</v>
      </c>
      <c r="F702" s="7"/>
      <c r="G702" s="1"/>
      <c r="H702" s="1"/>
      <c r="K702" s="8"/>
      <c r="L702" s="7"/>
      <c r="M702" s="7"/>
    </row>
    <row r="703" spans="2:13" x14ac:dyDescent="0.2">
      <c r="B703" s="8">
        <v>61133</v>
      </c>
      <c r="C703" s="9">
        <v>7.9571999999999998E-7</v>
      </c>
      <c r="D703" s="8" t="s">
        <v>1796</v>
      </c>
      <c r="E703" s="1">
        <f>VLOOKUP(B703,Nuclides!A:D,4,FALSE)</f>
        <v>13.5</v>
      </c>
      <c r="F703" s="7"/>
      <c r="G703" s="1"/>
      <c r="H703" s="1"/>
      <c r="K703" s="8"/>
      <c r="L703" s="7"/>
      <c r="M703" s="7"/>
    </row>
    <row r="704" spans="2:13" x14ac:dyDescent="0.2">
      <c r="B704" s="8">
        <v>61134</v>
      </c>
      <c r="C704" s="9">
        <v>3.2261600000000001E-7</v>
      </c>
      <c r="D704" s="8" t="s">
        <v>1797</v>
      </c>
      <c r="E704" s="1">
        <f>VLOOKUP(B704,Nuclides!A:D,4,FALSE)</f>
        <v>5</v>
      </c>
      <c r="F704" s="7"/>
      <c r="G704" s="1"/>
      <c r="H704" s="1"/>
      <c r="K704" s="8"/>
      <c r="L704" s="7"/>
      <c r="M704" s="7"/>
    </row>
    <row r="705" spans="2:13" x14ac:dyDescent="0.2">
      <c r="B705" s="8">
        <v>61135</v>
      </c>
      <c r="C705" s="9">
        <v>1.02815E-7</v>
      </c>
      <c r="D705" s="8" t="s">
        <v>1798</v>
      </c>
      <c r="E705" s="1">
        <f>VLOOKUP(B705,Nuclides!A:D,4,FALSE)</f>
        <v>49</v>
      </c>
      <c r="F705" s="7"/>
      <c r="G705" s="1"/>
      <c r="H705" s="1"/>
      <c r="K705" s="8"/>
      <c r="L705" s="7"/>
      <c r="M705" s="7"/>
    </row>
    <row r="706" spans="2:13" x14ac:dyDescent="0.2">
      <c r="B706" s="8">
        <v>61136</v>
      </c>
      <c r="C706" s="9">
        <v>2.42904E-8</v>
      </c>
      <c r="D706" s="8" t="s">
        <v>1799</v>
      </c>
      <c r="E706" s="1">
        <f>VLOOKUP(B706,Nuclides!A:D,4,FALSE)</f>
        <v>107</v>
      </c>
      <c r="F706" s="7"/>
      <c r="G706" s="1"/>
      <c r="H706" s="1"/>
      <c r="K706" s="8"/>
      <c r="L706" s="7"/>
      <c r="M706" s="7"/>
    </row>
    <row r="707" spans="2:13" x14ac:dyDescent="0.2">
      <c r="B707" s="8">
        <v>61137</v>
      </c>
      <c r="C707" s="9">
        <v>5.0255999999999997E-9</v>
      </c>
      <c r="D707" s="8" t="s">
        <v>1800</v>
      </c>
      <c r="E707" s="1">
        <f>VLOOKUP(B707,Nuclides!A:D,4,FALSE)</f>
        <v>144</v>
      </c>
      <c r="F707" s="7"/>
      <c r="G707" s="1"/>
      <c r="H707" s="1"/>
      <c r="K707" s="8"/>
      <c r="L707" s="7"/>
      <c r="M707" s="7"/>
    </row>
    <row r="708" spans="2:13" x14ac:dyDescent="0.2">
      <c r="B708" s="8">
        <v>61138</v>
      </c>
      <c r="C708" s="9">
        <v>6.2819999999999996E-10</v>
      </c>
      <c r="D708" s="8" t="s">
        <v>1801</v>
      </c>
      <c r="E708" s="1">
        <f>VLOOKUP(B708,Nuclides!A:D,4,FALSE)</f>
        <v>10</v>
      </c>
      <c r="F708" s="7"/>
      <c r="G708" s="1"/>
      <c r="H708" s="1"/>
      <c r="K708" s="8"/>
      <c r="L708" s="7"/>
      <c r="M708" s="7"/>
    </row>
    <row r="709" spans="2:13" x14ac:dyDescent="0.2">
      <c r="B709" s="8">
        <v>61139</v>
      </c>
      <c r="C709" s="9">
        <v>1.3959999999999999E-10</v>
      </c>
      <c r="D709" s="8" t="s">
        <v>1802</v>
      </c>
      <c r="E709" s="1">
        <f>VLOOKUP(B709,Nuclides!A:D,4,FALSE)</f>
        <v>249</v>
      </c>
      <c r="F709" s="7"/>
      <c r="G709" s="1"/>
      <c r="H709" s="1"/>
      <c r="K709" s="8"/>
      <c r="L709" s="7"/>
      <c r="M709" s="7"/>
    </row>
    <row r="710" spans="2:13" x14ac:dyDescent="0.2">
      <c r="B710" s="8">
        <v>61147</v>
      </c>
      <c r="C710" s="9">
        <v>2.7919999999999998E-10</v>
      </c>
      <c r="D710" s="8" t="s">
        <v>1810</v>
      </c>
      <c r="E710" s="1">
        <f>VLOOKUP(B710,Nuclides!A:D,4,FALSE)</f>
        <v>82788207.840000004</v>
      </c>
      <c r="F710" s="7"/>
      <c r="G710" s="1"/>
      <c r="H710" s="1"/>
      <c r="K710" s="8"/>
      <c r="L710" s="7"/>
      <c r="M710" s="7"/>
    </row>
    <row r="711" spans="2:13" x14ac:dyDescent="0.2">
      <c r="B711" s="8">
        <v>61148</v>
      </c>
      <c r="C711" s="9">
        <v>4.8860000000000005E-10</v>
      </c>
      <c r="D711" s="8" t="s">
        <v>1811</v>
      </c>
      <c r="E711" s="1">
        <f>VLOOKUP(B711,Nuclides!A:D,4,FALSE)</f>
        <v>463795.20000000001</v>
      </c>
      <c r="F711" s="7"/>
      <c r="G711" s="1"/>
      <c r="H711" s="1"/>
      <c r="K711" s="8"/>
      <c r="L711" s="7"/>
      <c r="M711" s="7"/>
    </row>
    <row r="712" spans="2:13" x14ac:dyDescent="0.2">
      <c r="B712" s="8">
        <v>61149</v>
      </c>
      <c r="C712" s="9">
        <v>2.0242000000000001E-9</v>
      </c>
      <c r="D712" s="8" t="s">
        <v>1812</v>
      </c>
      <c r="E712" s="1">
        <f>VLOOKUP(B712,Nuclides!A:D,4,FALSE)</f>
        <v>191088</v>
      </c>
      <c r="F712" s="7"/>
      <c r="G712" s="1"/>
      <c r="H712" s="1"/>
      <c r="K712" s="8"/>
      <c r="L712" s="7"/>
      <c r="M712" s="7"/>
    </row>
    <row r="713" spans="2:13" x14ac:dyDescent="0.2">
      <c r="B713" s="8">
        <v>61150</v>
      </c>
      <c r="C713" s="9">
        <v>7.2591999999999999E-9</v>
      </c>
      <c r="D713" s="8" t="s">
        <v>1813</v>
      </c>
      <c r="E713" s="1">
        <f>VLOOKUP(B713,Nuclides!A:D,4,FALSE)</f>
        <v>9712.7999999999993</v>
      </c>
      <c r="F713" s="7"/>
      <c r="G713" s="1"/>
      <c r="H713" s="1"/>
      <c r="K713" s="8"/>
      <c r="L713" s="7"/>
      <c r="M713" s="7"/>
    </row>
    <row r="714" spans="2:13" x14ac:dyDescent="0.2">
      <c r="B714" s="8">
        <v>61151</v>
      </c>
      <c r="C714" s="9">
        <v>2.8967000000000001E-8</v>
      </c>
      <c r="D714" s="8" t="s">
        <v>1814</v>
      </c>
      <c r="E714" s="1">
        <f>VLOOKUP(B714,Nuclides!A:D,4,FALSE)</f>
        <v>102240</v>
      </c>
      <c r="F714" s="7"/>
      <c r="G714" s="1"/>
      <c r="H714" s="1"/>
      <c r="K714" s="8"/>
      <c r="L714" s="7"/>
      <c r="M714" s="7"/>
    </row>
    <row r="715" spans="2:13" x14ac:dyDescent="0.2">
      <c r="B715" s="8">
        <v>61152</v>
      </c>
      <c r="C715" s="9">
        <v>6.9660399999999998E-8</v>
      </c>
      <c r="D715" s="8" t="s">
        <v>1815</v>
      </c>
      <c r="E715" s="1">
        <f>VLOOKUP(B715,Nuclides!A:D,4,FALSE)</f>
        <v>247.2</v>
      </c>
      <c r="F715" s="7"/>
      <c r="G715" s="1"/>
      <c r="H715" s="1"/>
      <c r="K715" s="8"/>
      <c r="L715" s="7"/>
      <c r="M715" s="7"/>
    </row>
    <row r="716" spans="2:13" x14ac:dyDescent="0.2">
      <c r="B716" s="8">
        <v>61153</v>
      </c>
      <c r="C716" s="9">
        <v>1.68986E-7</v>
      </c>
      <c r="D716" s="8" t="s">
        <v>1816</v>
      </c>
      <c r="E716" s="1">
        <f>VLOOKUP(B716,Nuclides!A:D,4,FALSE)</f>
        <v>315</v>
      </c>
      <c r="F716" s="7"/>
      <c r="G716" s="1"/>
      <c r="H716" s="1"/>
      <c r="K716" s="8"/>
      <c r="L716" s="7"/>
      <c r="M716" s="7"/>
    </row>
    <row r="717" spans="2:13" x14ac:dyDescent="0.2">
      <c r="B717" s="8">
        <v>61154</v>
      </c>
      <c r="C717" s="9">
        <v>2.7431399999999998E-7</v>
      </c>
      <c r="D717" s="8" t="s">
        <v>1817</v>
      </c>
      <c r="E717" s="1">
        <f>VLOOKUP(B717,Nuclides!A:D,4,FALSE)</f>
        <v>160.80000000000001</v>
      </c>
      <c r="F717" s="7"/>
      <c r="G717" s="1"/>
      <c r="H717" s="1"/>
      <c r="K717" s="8"/>
      <c r="L717" s="7"/>
      <c r="M717" s="7"/>
    </row>
    <row r="718" spans="2:13" x14ac:dyDescent="0.2">
      <c r="B718" s="8">
        <v>61155</v>
      </c>
      <c r="C718" s="9">
        <v>4.0218799999999997E-7</v>
      </c>
      <c r="D718" s="8" t="s">
        <v>1818</v>
      </c>
      <c r="E718" s="1">
        <f>VLOOKUP(B718,Nuclides!A:D,4,FALSE)</f>
        <v>41.5</v>
      </c>
      <c r="F718" s="7"/>
      <c r="G718" s="1"/>
      <c r="H718" s="1"/>
      <c r="K718" s="8"/>
      <c r="L718" s="7"/>
      <c r="M718" s="7"/>
    </row>
    <row r="719" spans="2:13" x14ac:dyDescent="0.2">
      <c r="B719" s="8">
        <v>62133</v>
      </c>
      <c r="C719" s="9">
        <v>3.6854399999999999E-7</v>
      </c>
      <c r="D719" s="8" t="s">
        <v>1830</v>
      </c>
      <c r="E719" s="1">
        <f>VLOOKUP(B719,Nuclides!A:D,4,FALSE)</f>
        <v>2.89</v>
      </c>
      <c r="F719" s="7"/>
      <c r="G719" s="1"/>
      <c r="H719" s="1"/>
      <c r="K719" s="8"/>
      <c r="L719" s="7"/>
      <c r="M719" s="7"/>
    </row>
    <row r="720" spans="2:13" x14ac:dyDescent="0.2">
      <c r="B720" s="8">
        <v>62134</v>
      </c>
      <c r="C720" s="9">
        <v>3.3566799999999999E-7</v>
      </c>
      <c r="D720" s="8" t="s">
        <v>1831</v>
      </c>
      <c r="E720" s="1">
        <f>VLOOKUP(B720,Nuclides!A:D,4,FALSE)</f>
        <v>9.5</v>
      </c>
      <c r="F720" s="7"/>
      <c r="G720" s="1"/>
      <c r="H720" s="1"/>
      <c r="K720" s="8"/>
      <c r="L720" s="7"/>
      <c r="M720" s="7"/>
    </row>
    <row r="721" spans="2:13" x14ac:dyDescent="0.2">
      <c r="B721" s="8">
        <v>62135</v>
      </c>
      <c r="C721" s="9">
        <v>1.76664E-7</v>
      </c>
      <c r="D721" s="8" t="s">
        <v>1832</v>
      </c>
      <c r="E721" s="1">
        <f>VLOOKUP(B721,Nuclides!A:D,4,FALSE)</f>
        <v>10.3</v>
      </c>
      <c r="F721" s="7"/>
      <c r="G721" s="1"/>
      <c r="H721" s="1"/>
      <c r="K721" s="8"/>
      <c r="L721" s="7"/>
      <c r="M721" s="7"/>
    </row>
    <row r="722" spans="2:13" x14ac:dyDescent="0.2">
      <c r="B722" s="8">
        <v>62136</v>
      </c>
      <c r="C722" s="9">
        <v>9.3531999999999993E-8</v>
      </c>
      <c r="D722" s="8" t="s">
        <v>1833</v>
      </c>
      <c r="E722" s="1">
        <f>VLOOKUP(B722,Nuclides!A:D,4,FALSE)</f>
        <v>47</v>
      </c>
      <c r="F722" s="7"/>
      <c r="G722" s="1"/>
      <c r="H722" s="1"/>
      <c r="K722" s="8"/>
      <c r="L722" s="7"/>
      <c r="M722" s="7"/>
    </row>
    <row r="723" spans="2:13" x14ac:dyDescent="0.2">
      <c r="B723" s="8">
        <v>62137</v>
      </c>
      <c r="C723" s="9">
        <v>2.5895800000000002E-8</v>
      </c>
      <c r="D723" s="8" t="s">
        <v>1834</v>
      </c>
      <c r="E723" s="1">
        <f>VLOOKUP(B723,Nuclides!A:D,4,FALSE)</f>
        <v>45</v>
      </c>
      <c r="F723" s="7"/>
      <c r="G723" s="1"/>
      <c r="H723" s="1"/>
      <c r="K723" s="8"/>
      <c r="L723" s="7"/>
      <c r="M723" s="7"/>
    </row>
    <row r="724" spans="2:13" x14ac:dyDescent="0.2">
      <c r="B724" s="8">
        <v>62138</v>
      </c>
      <c r="C724" s="9">
        <v>8.3061999999999993E-9</v>
      </c>
      <c r="D724" s="8" t="s">
        <v>1835</v>
      </c>
      <c r="E724" s="1">
        <f>VLOOKUP(B724,Nuclides!A:D,4,FALSE)</f>
        <v>186</v>
      </c>
      <c r="F724" s="7"/>
      <c r="G724" s="1"/>
      <c r="H724" s="1"/>
      <c r="K724" s="8"/>
      <c r="L724" s="7"/>
      <c r="M724" s="7"/>
    </row>
    <row r="725" spans="2:13" x14ac:dyDescent="0.2">
      <c r="B725" s="8">
        <v>62139</v>
      </c>
      <c r="C725" s="9">
        <v>1.7450000000000001E-9</v>
      </c>
      <c r="D725" s="8" t="s">
        <v>1836</v>
      </c>
      <c r="E725" s="1">
        <f>VLOOKUP(B725,Nuclides!A:D,4,FALSE)</f>
        <v>154.19999999999999</v>
      </c>
      <c r="F725" s="7"/>
      <c r="G725" s="1"/>
      <c r="H725" s="1"/>
      <c r="K725" s="8"/>
      <c r="L725" s="7"/>
      <c r="M725" s="7"/>
    </row>
    <row r="726" spans="2:13" x14ac:dyDescent="0.2">
      <c r="B726" s="8">
        <v>62140</v>
      </c>
      <c r="C726" s="9">
        <v>1.3959999999999999E-10</v>
      </c>
      <c r="D726" s="8" t="s">
        <v>1837</v>
      </c>
      <c r="E726" s="1">
        <f>VLOOKUP(B726,Nuclides!A:D,4,FALSE)</f>
        <v>889.2</v>
      </c>
      <c r="F726" s="7"/>
      <c r="G726" s="1"/>
      <c r="H726" s="1"/>
      <c r="K726" s="8"/>
      <c r="L726" s="7"/>
      <c r="M726" s="7"/>
    </row>
    <row r="727" spans="2:13" hidden="1" x14ac:dyDescent="0.2">
      <c r="B727" s="8">
        <v>62150</v>
      </c>
      <c r="C727" s="9">
        <v>1.3959999999999999E-10</v>
      </c>
      <c r="D727" s="8" t="s">
        <v>1847</v>
      </c>
      <c r="E727" s="1" t="str">
        <f>VLOOKUP(B727,Nuclides!A:D,4,FALSE)</f>
        <v>STABLE</v>
      </c>
      <c r="F727" s="7"/>
      <c r="G727" s="1"/>
      <c r="H727" s="1"/>
      <c r="K727" s="8"/>
      <c r="L727" s="7"/>
      <c r="M727" s="7"/>
    </row>
    <row r="728" spans="2:13" x14ac:dyDescent="0.2">
      <c r="B728" s="8">
        <v>62151</v>
      </c>
      <c r="C728" s="9">
        <v>5.5839999999999995E-10</v>
      </c>
      <c r="D728" s="8" t="s">
        <v>1848</v>
      </c>
      <c r="E728" s="1">
        <f>VLOOKUP(B728,Nuclides!A:D,4,FALSE)</f>
        <v>2840184000</v>
      </c>
      <c r="F728" s="7"/>
      <c r="G728" s="1"/>
      <c r="H728" s="1"/>
      <c r="K728" s="8"/>
      <c r="L728" s="7"/>
      <c r="M728" s="7"/>
    </row>
    <row r="729" spans="2:13" hidden="1" x14ac:dyDescent="0.2">
      <c r="B729" s="8">
        <v>62152</v>
      </c>
      <c r="C729" s="9">
        <v>2.4429999999999999E-9</v>
      </c>
      <c r="D729" s="8" t="s">
        <v>1849</v>
      </c>
      <c r="E729" s="1" t="str">
        <f>VLOOKUP(B729,Nuclides!A:D,4,FALSE)</f>
        <v>STABLE</v>
      </c>
      <c r="F729" s="7"/>
      <c r="G729" s="1"/>
      <c r="H729" s="1"/>
      <c r="K729" s="8"/>
      <c r="L729" s="7"/>
      <c r="M729" s="7"/>
    </row>
    <row r="730" spans="2:13" x14ac:dyDescent="0.2">
      <c r="B730" s="8">
        <v>62153</v>
      </c>
      <c r="C730" s="9">
        <v>5.3048000000000001E-9</v>
      </c>
      <c r="D730" s="8" t="s">
        <v>1850</v>
      </c>
      <c r="E730" s="1">
        <f>VLOOKUP(B730,Nuclides!A:D,4,FALSE)</f>
        <v>166622.39999999999</v>
      </c>
      <c r="G730" s="1"/>
      <c r="H730" s="1"/>
    </row>
    <row r="731" spans="2:13" hidden="1" x14ac:dyDescent="0.2">
      <c r="B731" s="8">
        <v>62154</v>
      </c>
      <c r="C731" s="9">
        <v>1.94742E-8</v>
      </c>
      <c r="D731" s="8" t="s">
        <v>1851</v>
      </c>
      <c r="E731" s="1" t="str">
        <f>VLOOKUP(B731,Nuclides!A:D,4,FALSE)</f>
        <v>STABLE</v>
      </c>
      <c r="G731" s="1"/>
      <c r="H731" s="1"/>
    </row>
    <row r="732" spans="2:13" x14ac:dyDescent="0.2">
      <c r="B732" s="8">
        <v>62155</v>
      </c>
      <c r="C732" s="9">
        <v>4.4113599999999999E-8</v>
      </c>
      <c r="D732" s="8" t="s">
        <v>1852</v>
      </c>
      <c r="E732" s="1">
        <f>VLOOKUP(B732,Nuclides!A:D,4,FALSE)</f>
        <v>1338</v>
      </c>
      <c r="G732" s="1"/>
      <c r="H732" s="1"/>
    </row>
    <row r="733" spans="2:13" x14ac:dyDescent="0.2">
      <c r="B733" s="8">
        <v>62156</v>
      </c>
      <c r="C733" s="9">
        <v>9.0460799999999994E-8</v>
      </c>
      <c r="D733" s="8" t="s">
        <v>1853</v>
      </c>
      <c r="E733" s="1">
        <f>VLOOKUP(B733,Nuclides!A:D,4,FALSE)</f>
        <v>33840</v>
      </c>
      <c r="G733" s="1"/>
      <c r="H733" s="1"/>
    </row>
    <row r="734" spans="2:13" x14ac:dyDescent="0.2">
      <c r="B734" s="8">
        <v>62157</v>
      </c>
      <c r="C734" s="9">
        <v>1.3206200000000001E-7</v>
      </c>
      <c r="D734" s="8" t="s">
        <v>1854</v>
      </c>
      <c r="E734" s="1">
        <f>VLOOKUP(B734,Nuclides!A:D,4,FALSE)</f>
        <v>481.79999999999899</v>
      </c>
      <c r="G734" s="1"/>
      <c r="H734" s="1"/>
    </row>
    <row r="735" spans="2:13" x14ac:dyDescent="0.2">
      <c r="B735" s="8">
        <v>62158</v>
      </c>
      <c r="C735" s="9">
        <v>1.7142899999999999E-7</v>
      </c>
      <c r="D735" s="8" t="s">
        <v>1855</v>
      </c>
      <c r="E735" s="1">
        <f>VLOOKUP(B735,Nuclides!A:D,4,FALSE)</f>
        <v>318</v>
      </c>
      <c r="G735" s="1"/>
      <c r="H735" s="1"/>
    </row>
    <row r="736" spans="2:13" x14ac:dyDescent="0.2">
      <c r="B736" s="8">
        <v>63138</v>
      </c>
      <c r="C736" s="9">
        <v>1.62215E-7</v>
      </c>
      <c r="D736" s="8" t="s">
        <v>1869</v>
      </c>
      <c r="E736" s="1">
        <f>VLOOKUP(B736,Nuclides!A:D,4,FALSE)</f>
        <v>12.1</v>
      </c>
      <c r="G736" s="1"/>
      <c r="H736" s="1"/>
    </row>
    <row r="737" spans="2:8" x14ac:dyDescent="0.2">
      <c r="B737" s="8">
        <v>63139</v>
      </c>
      <c r="C737" s="9">
        <v>1.2152199999999999E-7</v>
      </c>
      <c r="D737" s="8" t="s">
        <v>1870</v>
      </c>
      <c r="E737" s="1">
        <f>VLOOKUP(B737,Nuclides!A:D,4,FALSE)</f>
        <v>17.899999999999999</v>
      </c>
      <c r="G737" s="1"/>
      <c r="H737" s="1"/>
    </row>
    <row r="738" spans="2:8" x14ac:dyDescent="0.2">
      <c r="B738" s="8">
        <v>63140</v>
      </c>
      <c r="C738" s="9">
        <v>6.3029399999999997E-8</v>
      </c>
      <c r="D738" s="8" t="s">
        <v>1871</v>
      </c>
      <c r="E738" s="1">
        <f>VLOOKUP(B738,Nuclides!A:D,4,FALSE)</f>
        <v>1.51</v>
      </c>
      <c r="G738" s="1"/>
      <c r="H738" s="1"/>
    </row>
    <row r="739" spans="2:8" x14ac:dyDescent="0.2">
      <c r="B739" s="8">
        <v>63141</v>
      </c>
      <c r="C739" s="9">
        <v>3.1340199999999999E-8</v>
      </c>
      <c r="D739" s="8" t="s">
        <v>1872</v>
      </c>
      <c r="E739" s="1">
        <f>VLOOKUP(B739,Nuclides!A:D,4,FALSE)</f>
        <v>40.700000000000003</v>
      </c>
      <c r="G739" s="1"/>
      <c r="H739" s="1"/>
    </row>
    <row r="740" spans="2:8" x14ac:dyDescent="0.2">
      <c r="B740" s="8">
        <v>63142</v>
      </c>
      <c r="C740" s="9">
        <v>8.3061999999999993E-9</v>
      </c>
      <c r="D740" s="8" t="s">
        <v>1873</v>
      </c>
      <c r="E740" s="1">
        <f>VLOOKUP(B740,Nuclides!A:D,4,FALSE)</f>
        <v>2.34</v>
      </c>
      <c r="G740" s="1"/>
      <c r="H740" s="1"/>
    </row>
    <row r="741" spans="2:8" x14ac:dyDescent="0.2">
      <c r="B741" s="8">
        <v>63143</v>
      </c>
      <c r="C741" s="9">
        <v>2.0242000000000001E-9</v>
      </c>
      <c r="D741" s="8" t="s">
        <v>1874</v>
      </c>
      <c r="E741" s="1">
        <f>VLOOKUP(B741,Nuclides!A:D,4,FALSE)</f>
        <v>155.39999999999901</v>
      </c>
      <c r="G741" s="1"/>
      <c r="H741" s="1"/>
    </row>
    <row r="742" spans="2:8" x14ac:dyDescent="0.2">
      <c r="B742" s="8">
        <v>63144</v>
      </c>
      <c r="C742" s="9">
        <v>2.094E-10</v>
      </c>
      <c r="D742" s="8" t="s">
        <v>1875</v>
      </c>
      <c r="E742" s="1">
        <f>VLOOKUP(B742,Nuclides!A:D,4,FALSE)</f>
        <v>10.199999999999999</v>
      </c>
      <c r="G742" s="1"/>
      <c r="H742" s="1"/>
    </row>
    <row r="743" spans="2:8" x14ac:dyDescent="0.2">
      <c r="B743" s="8">
        <v>63154</v>
      </c>
      <c r="C743" s="9">
        <v>6.9799999999999994E-11</v>
      </c>
      <c r="D743" s="8" t="s">
        <v>1885</v>
      </c>
      <c r="E743" s="1">
        <f>VLOOKUP(B743,Nuclides!A:D,4,FALSE)</f>
        <v>271426917.60000002</v>
      </c>
      <c r="G743" s="1"/>
      <c r="H743" s="1"/>
    </row>
    <row r="744" spans="2:8" x14ac:dyDescent="0.2">
      <c r="B744" s="8">
        <v>63155</v>
      </c>
      <c r="C744" s="9">
        <v>6.9799999999999997E-10</v>
      </c>
      <c r="D744" s="8" t="s">
        <v>1886</v>
      </c>
      <c r="E744" s="1">
        <f>VLOOKUP(B744,Nuclides!A:D,4,FALSE)</f>
        <v>149993272.80000001</v>
      </c>
      <c r="G744" s="1"/>
      <c r="H744" s="1"/>
    </row>
    <row r="745" spans="2:8" x14ac:dyDescent="0.2">
      <c r="B745" s="8">
        <v>63156</v>
      </c>
      <c r="C745" s="9">
        <v>1.9544000000000002E-9</v>
      </c>
      <c r="D745" s="8" t="s">
        <v>1887</v>
      </c>
      <c r="E745" s="1">
        <f>VLOOKUP(B745,Nuclides!A:D,4,FALSE)</f>
        <v>1312416</v>
      </c>
      <c r="G745" s="1"/>
      <c r="H745" s="1"/>
    </row>
    <row r="746" spans="2:8" x14ac:dyDescent="0.2">
      <c r="B746" s="8">
        <v>63157</v>
      </c>
      <c r="C746" s="9">
        <v>5.1652000000000003E-9</v>
      </c>
      <c r="D746" s="8" t="s">
        <v>1888</v>
      </c>
      <c r="E746" s="1">
        <f>VLOOKUP(B746,Nuclides!A:D,4,FALSE)</f>
        <v>54648</v>
      </c>
      <c r="G746" s="1"/>
      <c r="H746" s="1"/>
    </row>
    <row r="747" spans="2:8" x14ac:dyDescent="0.2">
      <c r="B747" s="8">
        <v>63158</v>
      </c>
      <c r="C747" s="9">
        <v>8.7250000000000004E-9</v>
      </c>
      <c r="D747" s="8" t="s">
        <v>1889</v>
      </c>
      <c r="E747" s="1">
        <f>VLOOKUP(B747,Nuclides!A:D,4,FALSE)</f>
        <v>2754</v>
      </c>
      <c r="G747" s="1"/>
      <c r="H747" s="1"/>
    </row>
    <row r="748" spans="2:8" x14ac:dyDescent="0.2">
      <c r="B748" s="8">
        <v>63159</v>
      </c>
      <c r="C748" s="9">
        <v>1.89856E-8</v>
      </c>
      <c r="D748" s="8" t="s">
        <v>1890</v>
      </c>
      <c r="E748" s="1">
        <f>VLOOKUP(B748,Nuclides!A:D,4,FALSE)</f>
        <v>1086</v>
      </c>
      <c r="G748" s="1"/>
      <c r="H748" s="1"/>
    </row>
    <row r="749" spans="2:8" x14ac:dyDescent="0.2">
      <c r="B749" s="8">
        <v>63160</v>
      </c>
      <c r="C749" s="9">
        <v>2.25454E-8</v>
      </c>
      <c r="D749" s="8" t="s">
        <v>1891</v>
      </c>
      <c r="E749" s="1">
        <f>VLOOKUP(B749,Nuclides!A:D,4,FALSE)</f>
        <v>38</v>
      </c>
      <c r="G749" s="1"/>
      <c r="H749" s="1"/>
    </row>
    <row r="750" spans="2:8" x14ac:dyDescent="0.2">
      <c r="B750" s="8">
        <v>64142</v>
      </c>
      <c r="C750" s="9">
        <v>2.84784E-8</v>
      </c>
      <c r="D750" s="8" t="s">
        <v>1907</v>
      </c>
      <c r="E750" s="1">
        <f>VLOOKUP(B750,Nuclides!A:D,4,FALSE)</f>
        <v>70.2</v>
      </c>
      <c r="G750" s="1"/>
      <c r="H750" s="1"/>
    </row>
    <row r="751" spans="2:8" x14ac:dyDescent="0.2">
      <c r="B751" s="8">
        <v>64143</v>
      </c>
      <c r="C751" s="9">
        <v>1.92648E-8</v>
      </c>
      <c r="D751" s="8" t="s">
        <v>1908</v>
      </c>
      <c r="E751" s="1">
        <f>VLOOKUP(B751,Nuclides!A:D,4,FALSE)</f>
        <v>39</v>
      </c>
      <c r="G751" s="1"/>
      <c r="H751" s="1"/>
    </row>
    <row r="752" spans="2:8" x14ac:dyDescent="0.2">
      <c r="B752" s="8">
        <v>64144</v>
      </c>
      <c r="C752" s="9">
        <v>1.3331800000000001E-8</v>
      </c>
      <c r="D752" s="8" t="s">
        <v>1909</v>
      </c>
      <c r="E752" s="1">
        <f>VLOOKUP(B752,Nuclides!A:D,4,FALSE)</f>
        <v>268.2</v>
      </c>
      <c r="G752" s="1"/>
      <c r="H752" s="1"/>
    </row>
    <row r="753" spans="2:8" x14ac:dyDescent="0.2">
      <c r="B753" s="8">
        <v>64145</v>
      </c>
      <c r="C753" s="9">
        <v>4.6766000000000002E-9</v>
      </c>
      <c r="D753" s="8" t="s">
        <v>1910</v>
      </c>
      <c r="E753" s="1">
        <f>VLOOKUP(B753,Nuclides!A:D,4,FALSE)</f>
        <v>1380</v>
      </c>
      <c r="G753" s="1"/>
      <c r="H753" s="1"/>
    </row>
    <row r="754" spans="2:8" x14ac:dyDescent="0.2">
      <c r="B754" s="8">
        <v>64146</v>
      </c>
      <c r="C754" s="9">
        <v>1.7450000000000001E-9</v>
      </c>
      <c r="D754" s="8" t="s">
        <v>1911</v>
      </c>
      <c r="E754" s="1">
        <f>VLOOKUP(B754,Nuclides!A:D,4,FALSE)</f>
        <v>4170528</v>
      </c>
      <c r="G754" s="1"/>
      <c r="H754" s="1"/>
    </row>
    <row r="755" spans="2:8" x14ac:dyDescent="0.2">
      <c r="B755" s="8">
        <v>64147</v>
      </c>
      <c r="C755" s="9">
        <v>3.4899999999999998E-10</v>
      </c>
      <c r="D755" s="8" t="s">
        <v>1912</v>
      </c>
      <c r="E755" s="1">
        <f>VLOOKUP(B755,Nuclides!A:D,4,FALSE)</f>
        <v>137016</v>
      </c>
      <c r="G755" s="1"/>
      <c r="H755" s="1"/>
    </row>
    <row r="756" spans="2:8" x14ac:dyDescent="0.2">
      <c r="B756" s="8">
        <v>64150</v>
      </c>
      <c r="C756" s="9">
        <v>6.9799999999999994E-11</v>
      </c>
      <c r="D756" s="8" t="s">
        <v>1915</v>
      </c>
      <c r="E756" s="1">
        <f>VLOOKUP(B756,Nuclides!A:D,4,FALSE)</f>
        <v>56488104000000</v>
      </c>
      <c r="G756" s="1"/>
      <c r="H756" s="1"/>
    </row>
    <row r="757" spans="2:8" hidden="1" x14ac:dyDescent="0.2">
      <c r="B757" s="8">
        <v>64156</v>
      </c>
      <c r="C757" s="9">
        <v>6.9799999999999994E-11</v>
      </c>
      <c r="D757" s="8" t="s">
        <v>1921</v>
      </c>
      <c r="E757" s="1" t="str">
        <f>VLOOKUP(B757,Nuclides!A:D,4,FALSE)</f>
        <v>STABLE</v>
      </c>
      <c r="G757" s="1"/>
      <c r="H757" s="1"/>
    </row>
    <row r="758" spans="2:8" hidden="1" x14ac:dyDescent="0.2">
      <c r="B758" s="8">
        <v>64158</v>
      </c>
      <c r="C758" s="9">
        <v>1.3959999999999999E-10</v>
      </c>
      <c r="D758" s="8" t="s">
        <v>1923</v>
      </c>
      <c r="E758" s="1" t="str">
        <f>VLOOKUP(B758,Nuclides!A:D,4,FALSE)</f>
        <v>STABLE</v>
      </c>
      <c r="G758" s="1"/>
      <c r="H758" s="1"/>
    </row>
    <row r="759" spans="2:8" x14ac:dyDescent="0.2">
      <c r="B759" s="8">
        <v>64159</v>
      </c>
      <c r="C759" s="9">
        <v>5.5839999999999995E-10</v>
      </c>
      <c r="D759" s="8" t="s">
        <v>1924</v>
      </c>
      <c r="E759" s="1">
        <f>VLOOKUP(B759,Nuclides!A:D,4,FALSE)</f>
        <v>66524.399999999994</v>
      </c>
      <c r="G759" s="1"/>
      <c r="H759" s="1"/>
    </row>
    <row r="760" spans="2:8" x14ac:dyDescent="0.2">
      <c r="B760" s="8">
        <v>64160</v>
      </c>
      <c r="C760" s="9">
        <v>3.2806E-9</v>
      </c>
      <c r="D760" s="8" t="s">
        <v>1925</v>
      </c>
      <c r="E760" s="1">
        <f>VLOOKUP(B760,Nuclides!A:D,4,FALSE)</f>
        <v>9.7828559999999996E+26</v>
      </c>
      <c r="G760" s="1"/>
      <c r="H760" s="1"/>
    </row>
    <row r="761" spans="2:8" x14ac:dyDescent="0.2">
      <c r="B761" s="8">
        <v>64161</v>
      </c>
      <c r="C761" s="9">
        <v>4.8162E-9</v>
      </c>
      <c r="D761" s="8" t="s">
        <v>1926</v>
      </c>
      <c r="E761" s="1">
        <f>VLOOKUP(B761,Nuclides!A:D,4,FALSE)</f>
        <v>219.6</v>
      </c>
      <c r="G761" s="1"/>
      <c r="H761" s="1"/>
    </row>
    <row r="762" spans="2:8" x14ac:dyDescent="0.2">
      <c r="B762" s="8">
        <v>64162</v>
      </c>
      <c r="C762" s="9">
        <v>8.0968000000000004E-9</v>
      </c>
      <c r="D762" s="8" t="s">
        <v>1927</v>
      </c>
      <c r="E762" s="1">
        <f>VLOOKUP(B762,Nuclides!A:D,4,FALSE)</f>
        <v>504</v>
      </c>
      <c r="G762" s="1"/>
      <c r="H762" s="1"/>
    </row>
    <row r="763" spans="2:8" x14ac:dyDescent="0.2">
      <c r="B763" s="8">
        <v>64163</v>
      </c>
      <c r="C763" s="9">
        <v>1.29828E-8</v>
      </c>
      <c r="D763" s="8" t="s">
        <v>1928</v>
      </c>
      <c r="E763" s="1">
        <f>VLOOKUP(B763,Nuclides!A:D,4,FALSE)</f>
        <v>68</v>
      </c>
      <c r="G763" s="1"/>
      <c r="H763" s="1"/>
    </row>
    <row r="764" spans="2:8" x14ac:dyDescent="0.2">
      <c r="B764" s="8">
        <v>65144</v>
      </c>
      <c r="C764" s="9">
        <v>1.0679399999999999E-8</v>
      </c>
      <c r="D764" s="8" t="s">
        <v>1943</v>
      </c>
      <c r="E764" s="1">
        <f>VLOOKUP(B764,Nuclides!A:D,4,FALSE)</f>
        <v>1</v>
      </c>
      <c r="G764" s="1"/>
      <c r="H764" s="1"/>
    </row>
    <row r="765" spans="2:8" x14ac:dyDescent="0.2">
      <c r="B765" s="8">
        <v>65145</v>
      </c>
      <c r="C765" s="9">
        <v>7.0498000000000002E-9</v>
      </c>
      <c r="D765" s="8" t="s">
        <v>1944</v>
      </c>
      <c r="E765" s="1">
        <f>VLOOKUP(B765,Nuclides!A:D,4,FALSE)</f>
        <v>30.9</v>
      </c>
      <c r="G765" s="1"/>
      <c r="H765" s="1"/>
    </row>
    <row r="766" spans="2:8" x14ac:dyDescent="0.2">
      <c r="B766" s="8">
        <v>65146</v>
      </c>
      <c r="C766" s="9">
        <v>5.0953999999999996E-9</v>
      </c>
      <c r="D766" s="8" t="s">
        <v>1945</v>
      </c>
      <c r="E766" s="1">
        <f>VLOOKUP(B766,Nuclides!A:D,4,FALSE)</f>
        <v>8</v>
      </c>
      <c r="G766" s="1"/>
      <c r="H766" s="1"/>
    </row>
    <row r="767" spans="2:8" x14ac:dyDescent="0.2">
      <c r="B767" s="8">
        <v>65147</v>
      </c>
      <c r="C767" s="9">
        <v>9.0739999999999999E-10</v>
      </c>
      <c r="D767" s="8" t="s">
        <v>1946</v>
      </c>
      <c r="E767" s="1">
        <f>VLOOKUP(B767,Nuclides!A:D,4,FALSE)</f>
        <v>5904</v>
      </c>
      <c r="G767" s="1"/>
      <c r="H767" s="1"/>
    </row>
    <row r="768" spans="2:8" x14ac:dyDescent="0.2">
      <c r="B768" s="8">
        <v>65148</v>
      </c>
      <c r="C768" s="9">
        <v>2.094E-10</v>
      </c>
      <c r="D768" s="8" t="s">
        <v>1947</v>
      </c>
      <c r="E768" s="1">
        <f>VLOOKUP(B768,Nuclides!A:D,4,FALSE)</f>
        <v>3600</v>
      </c>
      <c r="G768" s="1"/>
      <c r="H768" s="1"/>
    </row>
    <row r="769" spans="2:8" x14ac:dyDescent="0.2">
      <c r="B769" s="8">
        <v>65149</v>
      </c>
      <c r="C769" s="9">
        <v>1.3959999999999999E-10</v>
      </c>
      <c r="D769" s="8" t="s">
        <v>1948</v>
      </c>
      <c r="E769" s="1">
        <f>VLOOKUP(B769,Nuclides!A:D,4,FALSE)</f>
        <v>14824.8</v>
      </c>
      <c r="G769" s="1"/>
      <c r="H769" s="1"/>
    </row>
    <row r="770" spans="2:8" x14ac:dyDescent="0.2">
      <c r="B770" s="8">
        <v>65161</v>
      </c>
      <c r="C770" s="9">
        <v>1.3959999999999999E-10</v>
      </c>
      <c r="D770" s="8" t="s">
        <v>1960</v>
      </c>
      <c r="E770" s="1">
        <f>VLOOKUP(B770,Nuclides!A:D,4,FALSE)</f>
        <v>595296</v>
      </c>
      <c r="G770" s="1"/>
      <c r="H770" s="1"/>
    </row>
    <row r="771" spans="2:8" x14ac:dyDescent="0.2">
      <c r="B771" s="8">
        <v>65162</v>
      </c>
      <c r="C771" s="9">
        <v>2.094E-10</v>
      </c>
      <c r="D771" s="8" t="s">
        <v>1961</v>
      </c>
      <c r="E771" s="1">
        <f>VLOOKUP(B771,Nuclides!A:D,4,FALSE)</f>
        <v>456</v>
      </c>
      <c r="G771" s="1"/>
      <c r="H771" s="1"/>
    </row>
    <row r="772" spans="2:8" x14ac:dyDescent="0.2">
      <c r="B772" s="8">
        <v>65163</v>
      </c>
      <c r="C772" s="9">
        <v>5.5839999999999995E-10</v>
      </c>
      <c r="D772" s="8" t="s">
        <v>1962</v>
      </c>
      <c r="E772" s="1">
        <f>VLOOKUP(B772,Nuclides!A:D,4,FALSE)</f>
        <v>1170</v>
      </c>
      <c r="G772" s="1"/>
      <c r="H772" s="1"/>
    </row>
    <row r="773" spans="2:8" x14ac:dyDescent="0.2">
      <c r="B773" s="8">
        <v>65164</v>
      </c>
      <c r="C773" s="9">
        <v>7.6779999999999997E-10</v>
      </c>
      <c r="D773" s="8" t="s">
        <v>1963</v>
      </c>
      <c r="E773" s="1">
        <f>VLOOKUP(B773,Nuclides!A:D,4,FALSE)</f>
        <v>180</v>
      </c>
      <c r="G773" s="1"/>
      <c r="H773" s="1"/>
    </row>
    <row r="774" spans="2:8" x14ac:dyDescent="0.2">
      <c r="B774" s="8">
        <v>65165</v>
      </c>
      <c r="C774" s="9">
        <v>1.1167999999999999E-9</v>
      </c>
      <c r="D774" s="8" t="s">
        <v>1964</v>
      </c>
      <c r="E774" s="1">
        <f>VLOOKUP(B774,Nuclides!A:D,4,FALSE)</f>
        <v>126.6</v>
      </c>
      <c r="G774" s="1"/>
      <c r="H774" s="1"/>
    </row>
    <row r="775" spans="2:8" x14ac:dyDescent="0.2">
      <c r="B775" s="8">
        <v>66145</v>
      </c>
      <c r="C775" s="9">
        <v>6.2819999999999996E-10</v>
      </c>
      <c r="D775" s="8" t="s">
        <v>1977</v>
      </c>
      <c r="E775" s="1">
        <f>VLOOKUP(B775,Nuclides!A:D,4,FALSE)</f>
        <v>6</v>
      </c>
      <c r="G775" s="1"/>
      <c r="H775" s="1"/>
    </row>
    <row r="776" spans="2:8" x14ac:dyDescent="0.2">
      <c r="B776" s="8">
        <v>66146</v>
      </c>
      <c r="C776" s="9">
        <v>4.8860000000000005E-10</v>
      </c>
      <c r="D776" s="8" t="s">
        <v>1978</v>
      </c>
      <c r="E776" s="1">
        <f>VLOOKUP(B776,Nuclides!A:D,4,FALSE)</f>
        <v>33.200000000000003</v>
      </c>
      <c r="G776" s="1"/>
      <c r="H776" s="1"/>
    </row>
    <row r="777" spans="2:8" x14ac:dyDescent="0.2">
      <c r="B777" s="8">
        <v>66147</v>
      </c>
      <c r="C777" s="9">
        <v>4.1879999999999999E-10</v>
      </c>
      <c r="D777" s="8" t="s">
        <v>1979</v>
      </c>
      <c r="E777" s="1">
        <f>VLOOKUP(B777,Nuclides!A:D,4,FALSE)</f>
        <v>67</v>
      </c>
      <c r="G777" s="1"/>
      <c r="H777" s="1"/>
    </row>
    <row r="778" spans="2:8" x14ac:dyDescent="0.2">
      <c r="B778" s="8">
        <v>66148</v>
      </c>
      <c r="C778" s="9">
        <v>2.7919999999999998E-10</v>
      </c>
      <c r="D778" s="8" t="s">
        <v>1980</v>
      </c>
      <c r="E778" s="1">
        <f>VLOOKUP(B778,Nuclides!A:D,4,FALSE)</f>
        <v>198</v>
      </c>
      <c r="G778" s="1"/>
      <c r="H778" s="1"/>
    </row>
    <row r="779" spans="2:8" x14ac:dyDescent="0.2">
      <c r="B779" s="8">
        <v>66149</v>
      </c>
      <c r="C779" s="9">
        <v>6.9799999999999994E-11</v>
      </c>
      <c r="D779" s="8" t="s">
        <v>1981</v>
      </c>
      <c r="E779" s="1">
        <f>VLOOKUP(B779,Nuclides!A:D,4,FALSE)</f>
        <v>252</v>
      </c>
      <c r="G779" s="1"/>
      <c r="H779" s="1"/>
    </row>
    <row r="780" spans="2:8" hidden="1" x14ac:dyDescent="0.2">
      <c r="B780" s="8">
        <v>66164</v>
      </c>
      <c r="C780" s="9">
        <v>6.9799999999999994E-11</v>
      </c>
      <c r="D780" s="8" t="s">
        <v>1996</v>
      </c>
      <c r="E780" s="1" t="str">
        <f>VLOOKUP(B780,Nuclides!A:D,4,FALSE)</f>
        <v>STABLE</v>
      </c>
      <c r="G780" s="1"/>
      <c r="H780" s="1"/>
    </row>
    <row r="781" spans="2:8" x14ac:dyDescent="0.2">
      <c r="B781" s="8">
        <v>66166</v>
      </c>
      <c r="C781" s="9">
        <v>6.9799999999999994E-11</v>
      </c>
      <c r="D781" s="8" t="s">
        <v>1998</v>
      </c>
      <c r="E781" s="1">
        <f>VLOOKUP(B781,Nuclides!A:D,4,FALSE)</f>
        <v>293760</v>
      </c>
      <c r="G781" s="1"/>
      <c r="H781" s="1"/>
    </row>
    <row r="782" spans="2:8" x14ac:dyDescent="0.2">
      <c r="B782" s="8">
        <v>66167</v>
      </c>
      <c r="C782" s="9">
        <v>2.7919999999999998E-10</v>
      </c>
      <c r="D782" s="8" t="s">
        <v>1999</v>
      </c>
      <c r="E782" s="1">
        <f>VLOOKUP(B782,Nuclides!A:D,4,FALSE)</f>
        <v>372</v>
      </c>
      <c r="G782" s="1"/>
      <c r="H782" s="1"/>
    </row>
    <row r="783" spans="2:8" x14ac:dyDescent="0.2">
      <c r="B783" s="8">
        <v>66168</v>
      </c>
      <c r="C783" s="9">
        <v>2.7919999999999998E-10</v>
      </c>
      <c r="D783" s="8" t="s">
        <v>2000</v>
      </c>
      <c r="E783" s="1">
        <f>VLOOKUP(B783,Nuclides!A:D,4,FALSE)</f>
        <v>522</v>
      </c>
      <c r="G783" s="1"/>
      <c r="H783" s="1"/>
    </row>
    <row r="784" spans="2:8" x14ac:dyDescent="0.2">
      <c r="B784" s="8">
        <v>67147</v>
      </c>
      <c r="C784" s="9">
        <v>6.9799999999999994E-11</v>
      </c>
      <c r="D784" s="8" t="s">
        <v>2011</v>
      </c>
      <c r="E784" s="1">
        <f>VLOOKUP(B784,Nuclides!A:D,4,FALSE)</f>
        <v>5.8</v>
      </c>
      <c r="G784" s="1"/>
      <c r="H784" s="1"/>
    </row>
    <row r="785" spans="2:8" x14ac:dyDescent="0.2">
      <c r="B785" s="8">
        <v>67148</v>
      </c>
      <c r="C785" s="9">
        <v>6.9799999999999994E-11</v>
      </c>
      <c r="D785" s="8" t="s">
        <v>2012</v>
      </c>
      <c r="E785" s="1">
        <f>VLOOKUP(B785,Nuclides!A:D,4,FALSE)</f>
        <v>2.2000000000000002</v>
      </c>
      <c r="G785" s="1"/>
      <c r="H785" s="1"/>
    </row>
    <row r="786" spans="2:8" x14ac:dyDescent="0.2">
      <c r="B786" s="8">
        <v>67149</v>
      </c>
      <c r="C786" s="9">
        <v>6.9799999999999994E-11</v>
      </c>
      <c r="D786" s="8" t="s">
        <v>2013</v>
      </c>
      <c r="E786" s="1">
        <f>VLOOKUP(B786,Nuclides!A:D,4,FALSE)</f>
        <v>21.1</v>
      </c>
      <c r="G786" s="1"/>
      <c r="H786" s="1"/>
    </row>
    <row r="787" spans="2:8" x14ac:dyDescent="0.2">
      <c r="B787" s="8">
        <v>67150</v>
      </c>
      <c r="C787" s="9">
        <v>2.094E-10</v>
      </c>
      <c r="D787" s="8" t="s">
        <v>2014</v>
      </c>
      <c r="E787" s="1">
        <f>VLOOKUP(B787,Nuclides!A:D,4,FALSE)</f>
        <v>72</v>
      </c>
      <c r="G787" s="1"/>
      <c r="H787" s="1"/>
    </row>
    <row r="788" spans="2:8" x14ac:dyDescent="0.2">
      <c r="B788" s="8">
        <v>67151</v>
      </c>
      <c r="C788" s="9">
        <v>6.9799999999999994E-11</v>
      </c>
      <c r="D788" s="8" t="s">
        <v>2015</v>
      </c>
      <c r="E788" s="1">
        <f>VLOOKUP(B788,Nuclides!A:D,4,FALSE)</f>
        <v>35.200000000000003</v>
      </c>
      <c r="G788" s="1"/>
      <c r="H788" s="1"/>
    </row>
    <row r="789" spans="2:8" x14ac:dyDescent="0.2">
      <c r="B789" s="8">
        <v>67169</v>
      </c>
      <c r="C789" s="9">
        <v>6.9799999999999994E-11</v>
      </c>
      <c r="D789" s="8" t="s">
        <v>2033</v>
      </c>
      <c r="E789" s="1">
        <f>VLOOKUP(B789,Nuclides!A:D,4,FALSE)</f>
        <v>283.2</v>
      </c>
      <c r="G789" s="1"/>
      <c r="H789" s="1"/>
    </row>
    <row r="790" spans="2:8" x14ac:dyDescent="0.2">
      <c r="B790" s="8">
        <v>68147</v>
      </c>
      <c r="C790" s="9">
        <v>1.3959999999999999E-10</v>
      </c>
      <c r="D790" s="8" t="s">
        <v>2044</v>
      </c>
      <c r="E790" s="1">
        <f>VLOOKUP(B790,Nuclides!A:D,4,FALSE)</f>
        <v>2.5</v>
      </c>
      <c r="G790" s="1"/>
      <c r="H790" s="1"/>
    </row>
    <row r="791" spans="2:8" x14ac:dyDescent="0.2">
      <c r="B791" s="8">
        <v>68148</v>
      </c>
      <c r="C791" s="9">
        <v>6.9799999999999994E-11</v>
      </c>
      <c r="D791" s="8" t="s">
        <v>2045</v>
      </c>
      <c r="E791" s="1">
        <f>VLOOKUP(B791,Nuclides!A:D,4,FALSE)</f>
        <v>4.5999999999999996</v>
      </c>
      <c r="G791" s="1"/>
      <c r="H791" s="1"/>
    </row>
    <row r="792" spans="2:8" x14ac:dyDescent="0.2">
      <c r="B792" s="8">
        <v>68173</v>
      </c>
      <c r="C792" s="9">
        <v>6.9799999999999994E-11</v>
      </c>
      <c r="D792" s="8" t="s">
        <v>2070</v>
      </c>
      <c r="E792" s="1">
        <f>VLOOKUP(B792,Nuclides!A:D,4,FALSE)</f>
        <v>84</v>
      </c>
      <c r="G792" s="1"/>
      <c r="H792" s="1"/>
    </row>
    <row r="793" spans="2:8" x14ac:dyDescent="0.2">
      <c r="B793" s="8">
        <v>69151</v>
      </c>
      <c r="C793" s="9">
        <v>6.9799999999999994E-11</v>
      </c>
      <c r="D793" s="8" t="s">
        <v>2083</v>
      </c>
      <c r="E793" s="1">
        <f>VLOOKUP(B793,Nuclides!A:D,4,FALSE)</f>
        <v>4.17</v>
      </c>
      <c r="G793" s="1"/>
      <c r="H793" s="1"/>
    </row>
    <row r="794" spans="2:8" x14ac:dyDescent="0.2">
      <c r="B794" s="8">
        <v>69175</v>
      </c>
      <c r="C794" s="9">
        <v>6.9799999999999994E-11</v>
      </c>
      <c r="D794" s="8" t="s">
        <v>2107</v>
      </c>
      <c r="E794" s="1">
        <f>VLOOKUP(B794,Nuclides!A:D,4,FALSE)</f>
        <v>912</v>
      </c>
      <c r="G794" s="1"/>
      <c r="H794" s="1"/>
    </row>
    <row r="795" spans="2:8" x14ac:dyDescent="0.2">
      <c r="B795" s="8">
        <v>90228</v>
      </c>
      <c r="C795" s="9">
        <v>6.9799999999999994E-11</v>
      </c>
      <c r="D795" s="8" t="s">
        <v>2925</v>
      </c>
      <c r="E795" s="1">
        <f>VLOOKUP(B795,Nuclides!A:D,4,FALSE)</f>
        <v>60353910</v>
      </c>
      <c r="G795" s="1"/>
      <c r="H795" s="1"/>
    </row>
    <row r="796" spans="2:8" x14ac:dyDescent="0.2">
      <c r="B796" s="8">
        <v>90229</v>
      </c>
      <c r="C796" s="9">
        <v>1.3959999999999999E-10</v>
      </c>
      <c r="D796" s="8" t="s">
        <v>2926</v>
      </c>
      <c r="E796" s="1">
        <f>VLOOKUP(B796,Nuclides!A:D,4,FALSE)</f>
        <v>250314883200</v>
      </c>
      <c r="G796" s="1"/>
      <c r="H796" s="1"/>
    </row>
    <row r="797" spans="2:8" x14ac:dyDescent="0.2">
      <c r="B797" s="8">
        <v>90231</v>
      </c>
      <c r="C797" s="9">
        <v>4.1879999999999999E-10</v>
      </c>
      <c r="D797" s="8" t="s">
        <v>2928</v>
      </c>
      <c r="E797" s="1">
        <f>VLOOKUP(B797,Nuclides!A:D,4,FALSE)</f>
        <v>91872</v>
      </c>
      <c r="G797" s="1"/>
      <c r="H797" s="1"/>
    </row>
    <row r="798" spans="2:8" x14ac:dyDescent="0.2">
      <c r="B798" s="8">
        <v>90232</v>
      </c>
      <c r="C798" s="9">
        <v>4.8860000000000005E-10</v>
      </c>
      <c r="D798" s="8" t="s">
        <v>2929</v>
      </c>
      <c r="E798" s="1">
        <f>VLOOKUP(B798,Nuclides!A:D,4,FALSE)</f>
        <v>4.418064E+17</v>
      </c>
      <c r="G798" s="1"/>
      <c r="H798" s="1"/>
    </row>
    <row r="799" spans="2:8" x14ac:dyDescent="0.2">
      <c r="B799" s="8">
        <v>90233</v>
      </c>
      <c r="C799" s="9">
        <v>2.7919999999999998E-10</v>
      </c>
      <c r="D799" s="8" t="s">
        <v>2930</v>
      </c>
      <c r="E799" s="1">
        <f>VLOOKUP(B799,Nuclides!A:D,4,FALSE)</f>
        <v>1309.8</v>
      </c>
      <c r="G799" s="1"/>
      <c r="H799" s="1"/>
    </row>
    <row r="800" spans="2:8" x14ac:dyDescent="0.2">
      <c r="B800" s="8">
        <v>90234</v>
      </c>
      <c r="C800" s="9">
        <v>1.3959999999999999E-10</v>
      </c>
      <c r="D800" s="8" t="s">
        <v>2931</v>
      </c>
      <c r="E800" s="1">
        <f>VLOOKUP(B800,Nuclides!A:D,4,FALSE)</f>
        <v>2082240</v>
      </c>
      <c r="G800" s="1"/>
      <c r="H800" s="1"/>
    </row>
    <row r="801" spans="2:8" x14ac:dyDescent="0.2">
      <c r="B801" s="8">
        <v>90236</v>
      </c>
      <c r="C801" s="9">
        <v>1.3959999999999999E-10</v>
      </c>
      <c r="D801" s="8" t="s">
        <v>2933</v>
      </c>
      <c r="E801" s="1">
        <f>VLOOKUP(B801,Nuclides!A:D,4,FALSE)</f>
        <v>2238</v>
      </c>
      <c r="G801" s="1"/>
      <c r="H801" s="1"/>
    </row>
    <row r="802" spans="2:8" x14ac:dyDescent="0.2">
      <c r="B802" s="8">
        <v>91230</v>
      </c>
      <c r="C802" s="9">
        <v>2.094E-10</v>
      </c>
      <c r="D802" s="8" t="s">
        <v>2955</v>
      </c>
      <c r="E802" s="1">
        <f>VLOOKUP(B802,Nuclides!A:D,4,FALSE)</f>
        <v>1503359.99999999</v>
      </c>
      <c r="G802" s="1"/>
      <c r="H802" s="1"/>
    </row>
    <row r="803" spans="2:8" x14ac:dyDescent="0.2">
      <c r="B803" s="8">
        <v>91231</v>
      </c>
      <c r="C803" s="9">
        <v>3.5598000000000001E-9</v>
      </c>
      <c r="D803" s="8" t="s">
        <v>2956</v>
      </c>
      <c r="E803" s="1">
        <f>VLOOKUP(B803,Nuclides!A:D,4,FALSE)</f>
        <v>1033826976000</v>
      </c>
      <c r="G803" s="1"/>
      <c r="H803" s="1"/>
    </row>
    <row r="804" spans="2:8" x14ac:dyDescent="0.2">
      <c r="B804" s="8">
        <v>91232</v>
      </c>
      <c r="C804" s="9">
        <v>9.9115999999999996E-9</v>
      </c>
      <c r="D804" s="8" t="s">
        <v>2957</v>
      </c>
      <c r="E804" s="1">
        <f>VLOOKUP(B804,Nuclides!A:D,4,FALSE)</f>
        <v>114048</v>
      </c>
      <c r="G804" s="1"/>
      <c r="H804" s="1"/>
    </row>
    <row r="805" spans="2:8" x14ac:dyDescent="0.2">
      <c r="B805" s="8">
        <v>91233</v>
      </c>
      <c r="C805" s="9">
        <v>4.8650600000000002E-8</v>
      </c>
      <c r="D805" s="8" t="s">
        <v>2958</v>
      </c>
      <c r="E805" s="1">
        <f>VLOOKUP(B805,Nuclides!A:D,4,FALSE)</f>
        <v>2330640</v>
      </c>
      <c r="G805" s="1"/>
      <c r="H805" s="1"/>
    </row>
    <row r="806" spans="2:8" x14ac:dyDescent="0.2">
      <c r="B806" s="8">
        <v>91234</v>
      </c>
      <c r="C806" s="9">
        <v>1.2326699999999999E-7</v>
      </c>
      <c r="D806" s="8" t="s">
        <v>2959</v>
      </c>
      <c r="E806" s="1">
        <f>VLOOKUP(B806,Nuclides!A:D,4,FALSE)</f>
        <v>24120</v>
      </c>
      <c r="G806" s="1"/>
      <c r="H806" s="1"/>
    </row>
    <row r="807" spans="2:8" x14ac:dyDescent="0.2">
      <c r="B807" s="8">
        <v>91235</v>
      </c>
      <c r="C807" s="9">
        <v>3.51932E-7</v>
      </c>
      <c r="D807" s="8" t="s">
        <v>2960</v>
      </c>
      <c r="E807" s="1">
        <f>VLOOKUP(B807,Nuclides!A:D,4,FALSE)</f>
        <v>1464</v>
      </c>
      <c r="G807" s="1"/>
      <c r="H807" s="1"/>
    </row>
    <row r="808" spans="2:8" x14ac:dyDescent="0.2">
      <c r="B808" s="8">
        <v>91236</v>
      </c>
      <c r="C808" s="9">
        <v>6.3064299999999996E-7</v>
      </c>
      <c r="D808" s="8" t="s">
        <v>2961</v>
      </c>
      <c r="E808" s="1">
        <f>VLOOKUP(B808,Nuclides!A:D,4,FALSE)</f>
        <v>546</v>
      </c>
      <c r="G808" s="1"/>
      <c r="H808" s="1"/>
    </row>
    <row r="809" spans="2:8" x14ac:dyDescent="0.2">
      <c r="B809" s="8">
        <v>91237</v>
      </c>
      <c r="C809" s="9">
        <v>4.2710600000000001E-7</v>
      </c>
      <c r="D809" s="8" t="s">
        <v>2962</v>
      </c>
      <c r="E809" s="1">
        <f>VLOOKUP(B809,Nuclides!A:D,4,FALSE)</f>
        <v>522</v>
      </c>
      <c r="G809" s="1"/>
      <c r="H809" s="1"/>
    </row>
    <row r="810" spans="2:8" x14ac:dyDescent="0.2">
      <c r="B810" s="8">
        <v>92230</v>
      </c>
      <c r="C810" s="9">
        <v>1.7450000000000001E-9</v>
      </c>
      <c r="D810" s="8" t="s">
        <v>2978</v>
      </c>
      <c r="E810" s="1">
        <f>VLOOKUP(B810,Nuclides!A:D,4,FALSE)</f>
        <v>1797120</v>
      </c>
      <c r="G810" s="1"/>
      <c r="H810" s="1"/>
    </row>
    <row r="811" spans="2:8" x14ac:dyDescent="0.2">
      <c r="B811" s="8">
        <v>92231</v>
      </c>
      <c r="C811" s="9">
        <v>3.02234E-8</v>
      </c>
      <c r="D811" s="8" t="s">
        <v>2979</v>
      </c>
      <c r="E811" s="1">
        <f>VLOOKUP(B811,Nuclides!A:D,4,FALSE)</f>
        <v>362880</v>
      </c>
      <c r="G811" s="1"/>
      <c r="H811" s="1"/>
    </row>
    <row r="812" spans="2:8" x14ac:dyDescent="0.2">
      <c r="B812" s="8">
        <v>92232</v>
      </c>
      <c r="C812" s="9">
        <v>8.3955399999999998E-7</v>
      </c>
      <c r="D812" s="8" t="s">
        <v>2980</v>
      </c>
      <c r="E812" s="1">
        <f>VLOOKUP(B812,Nuclides!A:D,4,FALSE)</f>
        <v>2174318640</v>
      </c>
      <c r="G812" s="1"/>
      <c r="H812" s="1"/>
    </row>
    <row r="813" spans="2:8" x14ac:dyDescent="0.2">
      <c r="B813" s="8">
        <v>92233</v>
      </c>
      <c r="C813" s="9">
        <v>9.0700900000000008E-6</v>
      </c>
      <c r="D813" s="8" t="s">
        <v>2981</v>
      </c>
      <c r="E813" s="1">
        <f>VLOOKUP(B813,Nuclides!A:D,4,FALSE)</f>
        <v>5023969920000</v>
      </c>
      <c r="G813" s="1"/>
      <c r="H813" s="1"/>
    </row>
    <row r="814" spans="2:8" x14ac:dyDescent="0.2">
      <c r="B814" s="8">
        <v>92234</v>
      </c>
      <c r="C814" s="9">
        <v>7.2731599999999998E-6</v>
      </c>
      <c r="D814" s="8" t="s">
        <v>2982</v>
      </c>
      <c r="E814" s="1">
        <f>VLOOKUP(B814,Nuclides!A:D,4,FALSE)</f>
        <v>7747390800000</v>
      </c>
      <c r="G814" s="1"/>
      <c r="H814" s="1"/>
    </row>
    <row r="815" spans="2:8" x14ac:dyDescent="0.2">
      <c r="B815" s="8">
        <v>92235</v>
      </c>
      <c r="C815" s="9">
        <v>3.9106800000000003E-5</v>
      </c>
      <c r="D815" s="8" t="s">
        <v>2983</v>
      </c>
      <c r="E815" s="1">
        <f>VLOOKUP(B815,Nuclides!A:D,4,FALSE)</f>
        <v>2.22165504E+16</v>
      </c>
      <c r="G815" s="1"/>
      <c r="H815" s="1"/>
    </row>
    <row r="816" spans="2:8" x14ac:dyDescent="0.2">
      <c r="B816" s="8">
        <v>92236</v>
      </c>
      <c r="C816" s="9">
        <v>1.4918500000000001E-3</v>
      </c>
      <c r="D816" s="8" t="s">
        <v>2984</v>
      </c>
      <c r="E816" s="1">
        <f>VLOOKUP(B816,Nuclides!A:D,4,FALSE)</f>
        <v>739078992000000</v>
      </c>
      <c r="G816" s="1"/>
      <c r="H816" s="1"/>
    </row>
    <row r="817" spans="2:8" x14ac:dyDescent="0.2">
      <c r="B817" s="8">
        <v>92237</v>
      </c>
      <c r="C817" s="9">
        <v>7.2702999999999997E-6</v>
      </c>
      <c r="D817" s="8" t="s">
        <v>2985</v>
      </c>
      <c r="E817" s="1">
        <f>VLOOKUP(B817,Nuclides!A:D,4,FALSE)</f>
        <v>583200</v>
      </c>
      <c r="G817" s="1"/>
      <c r="H817" s="1"/>
    </row>
  </sheetData>
  <autoFilter ref="B2:E850" xr:uid="{2F69EB04-DA4E-47C0-8298-7FD80582FB74}">
    <filterColumn colId="3">
      <filters blank="1">
        <filter val="1.00E+00"/>
        <filter val="1.00E+01"/>
        <filter val="1.00E-01"/>
        <filter val="1.02E+00"/>
        <filter val="1.02E+01"/>
        <filter val="1.02E+04"/>
        <filter val="1.02E+05"/>
        <filter val="1.02E-01"/>
        <filter val="1.03E+01"/>
        <filter val="1.03E+07"/>
        <filter val="1.03E+12"/>
        <filter val="1.03E+13"/>
        <filter val="1.04E+03"/>
        <filter val="1.04E+08"/>
        <filter val="1.04E+27"/>
        <filter val="1.05E+00"/>
        <filter val="1.06E+03"/>
        <filter val="1.07E+00"/>
        <filter val="1.07E+02"/>
        <filter val="1.07E+03"/>
        <filter val="1.07E+06"/>
        <filter val="1.08E+02"/>
        <filter val="1.09E+00"/>
        <filter val="1.09E+03"/>
        <filter val="1.10E+00"/>
        <filter val="1.10E+01"/>
        <filter val="1.10E+03"/>
        <filter val="1.10E+06"/>
        <filter val="1.10E+15"/>
        <filter val="1.11E+03"/>
        <filter val="1.12E+03"/>
        <filter val="1.12E+06"/>
        <filter val="1.12E+07"/>
        <filter val="1.13E+04"/>
        <filter val="1.13E+06"/>
        <filter val="1.14E+05"/>
        <filter val="1.14E-01"/>
        <filter val="1.15E+01"/>
        <filter val="1.15E+02"/>
        <filter val="1.16E+01"/>
        <filter val="1.16E-01"/>
        <filter val="1.17E+03"/>
        <filter val="1.17E+06"/>
        <filter val="1.18E+01"/>
        <filter val="1.18E+14"/>
        <filter val="1.19E+05"/>
        <filter val="1.19E+07"/>
        <filter val="1.20E+03"/>
        <filter val="1.20E+04"/>
        <filter val="1.21E+01"/>
        <filter val="1.21E+02"/>
        <filter val="1.22E+00"/>
        <filter val="1.22E+02"/>
        <filter val="1.23E+00"/>
        <filter val="1.24E+02"/>
        <filter val="1.25E+00"/>
        <filter val="1.26E+00"/>
        <filter val="1.26E+02"/>
        <filter val="1.26E+05"/>
        <filter val="1.26E+11"/>
        <filter val="1.27E+02"/>
        <filter val="1.27E+04"/>
        <filter val="1.27E+05"/>
        <filter val="1.28E+03"/>
        <filter val="1.28E+05"/>
        <filter val="1.29E+00"/>
        <filter val="1.29E-01"/>
        <filter val="1.30E+03"/>
        <filter val="1.31E+03"/>
        <filter val="1.31E+06"/>
        <filter val="1.32E+01"/>
        <filter val="1.33E+14"/>
        <filter val="1.34E+01"/>
        <filter val="1.34E+02"/>
        <filter val="1.34E+03"/>
        <filter val="1.35E+01"/>
        <filter val="1.35E+02"/>
        <filter val="1.36E+01"/>
        <filter val="1.36E+02"/>
        <filter val="1.37E+02"/>
        <filter val="1.37E+05"/>
        <filter val="1.38E+03"/>
        <filter val="1.39E+06"/>
        <filter val="1.40E+00"/>
        <filter val="1.40E+01"/>
        <filter val="1.40E+02"/>
        <filter val="1.40E+03"/>
        <filter val="1.40E+05"/>
        <filter val="1.41E+01"/>
        <filter val="1.41E+04"/>
        <filter val="1.42E+03"/>
        <filter val="1.43E+01"/>
        <filter val="1.43E+02"/>
        <filter val="1.44E+02"/>
        <filter val="1.45E+01"/>
        <filter val="1.45E+02"/>
        <filter val="1.45E+03"/>
        <filter val="1.45E+05"/>
        <filter val="1.46E+00"/>
        <filter val="1.46E+03"/>
        <filter val="1.46E-01"/>
        <filter val="1.47E+00"/>
        <filter val="1.47E+02"/>
        <filter val="1.47E+06"/>
        <filter val="1.48E+00"/>
        <filter val="1.48E+04"/>
        <filter val="1.50E+00"/>
        <filter val="1.50E+01"/>
        <filter val="1.50E+03"/>
        <filter val="1.50E+06"/>
        <filter val="1.50E+08"/>
        <filter val="1.50E-01"/>
        <filter val="1.51E+00"/>
        <filter val="1.51E+01"/>
        <filter val="1.52E+01"/>
        <filter val="1.52E+02"/>
        <filter val="1.53E+00"/>
        <filter val="1.54E+02"/>
        <filter val="1.54E+06"/>
        <filter val="1.55E+01"/>
        <filter val="1.55E+02"/>
        <filter val="1.55E+03"/>
        <filter val="1.57E+04"/>
        <filter val="1.57E+18"/>
        <filter val="1.58E+02"/>
        <filter val="1.58E+24"/>
        <filter val="1.60E+01"/>
        <filter val="1.60E+02"/>
        <filter val="1.60E+04"/>
        <filter val="1.61E+02"/>
        <filter val="1.61E+06"/>
        <filter val="1.63E+01"/>
        <filter val="1.66E+06"/>
        <filter val="1.67E+02"/>
        <filter val="1.67E+05"/>
        <filter val="1.68E+00"/>
        <filter val="1.68E+01"/>
        <filter val="1.69E-01"/>
        <filter val="1.70E+01"/>
        <filter val="1.71E+01"/>
        <filter val="1.71E+02"/>
        <filter val="1.73E+00"/>
        <filter val="1.74E+02"/>
        <filter val="1.75E+00"/>
        <filter val="1.75E+03"/>
        <filter val="1.75E+04"/>
        <filter val="1.76E+00"/>
        <filter val="1.76E+01"/>
        <filter val="1.76E+04"/>
        <filter val="1.79E+00"/>
        <filter val="1.79E+01"/>
        <filter val="1.80E+02"/>
        <filter val="1.80E+06"/>
        <filter val="1.81E+02"/>
        <filter val="1.82E-01"/>
        <filter val="1.83E+30"/>
        <filter val="1.84E+00"/>
        <filter val="1.84E+03"/>
        <filter val="1.85E+00"/>
        <filter val="1.86E+01"/>
        <filter val="1.86E+02"/>
        <filter val="1.88E+02"/>
        <filter val="1.88E-01"/>
        <filter val="1.89E+01"/>
        <filter val="1.89E+02"/>
        <filter val="1.89E+12"/>
        <filter val="1.90E+00"/>
        <filter val="1.90E+01"/>
        <filter val="1.91E+01"/>
        <filter val="1.91E+03"/>
        <filter val="1.91E+05"/>
        <filter val="1.92E+00"/>
        <filter val="1.92E+05"/>
        <filter val="1.93E+04"/>
        <filter val="1.93E-01"/>
        <filter val="1.94E+01"/>
        <filter val="1.94E+03"/>
        <filter val="1.95E-01"/>
        <filter val="1.96E+02"/>
        <filter val="1.96E-01"/>
        <filter val="1.97E+05"/>
        <filter val="1.98E+02"/>
        <filter val="2.00E+00"/>
        <filter val="2.00E+03"/>
        <filter val="2.00E+04"/>
        <filter val="2.02E+00"/>
        <filter val="2.02E-01"/>
        <filter val="2.03E-01"/>
        <filter val="2.04E+02"/>
        <filter val="2.05E+01"/>
        <filter val="2.05E+14"/>
        <filter val="2.05E-01"/>
        <filter val="2.07E-01"/>
        <filter val="2.08E+00"/>
        <filter val="2.08E+01"/>
        <filter val="2.08E+06"/>
        <filter val="2.10E+00"/>
        <filter val="2.10E+01"/>
        <filter val="2.10E+02"/>
        <filter val="2.11E+01"/>
        <filter val="2.11E+07"/>
        <filter val="2.12E+00"/>
        <filter val="2.12E+01"/>
        <filter val="2.12E-01"/>
        <filter val="2.14E+01"/>
        <filter val="2.15E+04"/>
        <filter val="2.15E+10"/>
        <filter val="2.17E+09"/>
        <filter val="2.19E+02"/>
        <filter val="2.20E+00"/>
        <filter val="2.20E+02"/>
        <filter val="2.21E+28"/>
        <filter val="2.22E+00"/>
        <filter val="2.22E+02"/>
        <filter val="2.22E+16"/>
        <filter val="2.22E-01"/>
        <filter val="2.23E+02"/>
        <filter val="2.23E+05"/>
        <filter val="2.24E+03"/>
        <filter val="2.25E+02"/>
        <filter val="2.28E+00"/>
        <filter val="2.29E+02"/>
        <filter val="2.30E+00"/>
        <filter val="2.30E+01"/>
        <filter val="2.30E+26"/>
        <filter val="2.30E-01"/>
        <filter val="2.31E+01"/>
        <filter val="2.31E+03"/>
        <filter val="2.31E+05"/>
        <filter val="2.33E+01"/>
        <filter val="2.33E+06"/>
        <filter val="2.34E+00"/>
        <filter val="2.35E+01"/>
        <filter val="2.35E+05"/>
        <filter val="2.35E+07"/>
        <filter val="2.36E+00"/>
        <filter val="2.36E+02"/>
        <filter val="2.37E+02"/>
        <filter val="2.37E+03"/>
        <filter val="2.37E+04"/>
        <filter val="2.38E+05"/>
        <filter val="2.39E+01"/>
        <filter val="2.39E+06"/>
        <filter val="2.40E+12"/>
        <filter val="2.40E-01"/>
        <filter val="2.41E+04"/>
        <filter val="2.45E+01"/>
        <filter val="2.45E+05"/>
        <filter val="2.46E+07"/>
        <filter val="2.47E+02"/>
        <filter val="2.47E+03"/>
        <filter val="2.48E+01"/>
        <filter val="2.49E+00"/>
        <filter val="2.49E+02"/>
        <filter val="2.50E+00"/>
        <filter val="2.50E+01"/>
        <filter val="2.50E+11"/>
        <filter val="2.51E+03"/>
        <filter val="2.52E+02"/>
        <filter val="2.52E+23"/>
        <filter val="2.54E+01"/>
        <filter val="2.55E+01"/>
        <filter val="2.55E+02"/>
        <filter val="2.57E+04"/>
        <filter val="2.59E+01"/>
        <filter val="2.59E+03"/>
        <filter val="2.68E+02"/>
        <filter val="2.69E-01"/>
        <filter val="2.70E+00"/>
        <filter val="2.70E-01"/>
        <filter val="2.71E+08"/>
        <filter val="2.73E+01"/>
        <filter val="2.73E+02"/>
        <filter val="2.74E+00"/>
        <filter val="2.74E+01"/>
        <filter val="2.75E+03"/>
        <filter val="2.76E+02"/>
        <filter val="2.77E+05"/>
        <filter val="2.80E+00"/>
        <filter val="2.80E-01"/>
        <filter val="2.81E+06"/>
        <filter val="2.82E+05"/>
        <filter val="2.83E+02"/>
        <filter val="2.83E-01"/>
        <filter val="2.84E+02"/>
        <filter val="2.84E+06"/>
        <filter val="2.84E+09"/>
        <filter val="2.84E+21"/>
        <filter val="2.85E+00"/>
        <filter val="2.85E+01"/>
        <filter val="2.86E+00"/>
        <filter val="2.87E+05"/>
        <filter val="2.87E+26"/>
        <filter val="2.89E+00"/>
        <filter val="2.90E+00"/>
        <filter val="2.90E+01"/>
        <filter val="2.90E+24"/>
        <filter val="2.90E-01"/>
        <filter val="2.92E+01"/>
        <filter val="2.94E+05"/>
        <filter val="2.95E+00"/>
        <filter val="2.95E+01"/>
        <filter val="2.98E+04"/>
        <filter val="3.00E+01"/>
        <filter val="3.00E-01"/>
        <filter val="3.01E+01"/>
        <filter val="3.01E+02"/>
        <filter val="3.02E+03"/>
        <filter val="3.02E+06"/>
        <filter val="3.04E+02"/>
        <filter val="3.05E+04"/>
        <filter val="3.06E+02"/>
        <filter val="3.07E+01"/>
        <filter val="3.07E+02"/>
        <filter val="3.08E+00"/>
        <filter val="3.08E-01"/>
        <filter val="3.09E+01"/>
        <filter val="3.10E-03"/>
        <filter val="3.11E+03"/>
        <filter val="3.12E+00"/>
        <filter val="3.14E+05"/>
        <filter val="3.14E-01"/>
        <filter val="3.15E+02"/>
        <filter val="3.15E+03"/>
        <filter val="3.16E+01"/>
        <filter val="3.16E+03"/>
        <filter val="3.18E+02"/>
        <filter val="3.19E+09"/>
        <filter val="3.20E+00"/>
        <filter val="3.20E+01"/>
        <filter val="3.21E+07"/>
        <filter val="3.22E+18"/>
        <filter val="3.22E-01"/>
        <filter val="3.23E+01"/>
        <filter val="3.24E+01"/>
        <filter val="3.26E+01"/>
        <filter val="3.26E+04"/>
        <filter val="3.27E+01"/>
        <filter val="3.29E+01"/>
        <filter val="3.29E+04"/>
        <filter val="3.30E+02"/>
        <filter val="3.31E+04"/>
        <filter val="3.32E+01"/>
        <filter val="3.33E+01"/>
        <filter val="3.33E+05"/>
        <filter val="3.33E+08"/>
        <filter val="3.34E+00"/>
        <filter val="3.37E+04"/>
        <filter val="3.38E+03"/>
        <filter val="3.38E+04"/>
        <filter val="3.39E+06"/>
        <filter val="3.39E+08"/>
        <filter val="3.40E+01"/>
        <filter val="3.42E+04"/>
        <filter val="3.45E+01"/>
        <filter val="3.46E+03"/>
        <filter val="3.47E+04"/>
        <filter val="3.48E+03"/>
        <filter val="3.50E+00"/>
        <filter val="3.52E+01"/>
        <filter val="3.54E+03"/>
        <filter val="3.55E+01"/>
        <filter val="3.56E+01"/>
        <filter val="3.57E+00"/>
        <filter val="3.59E+02"/>
        <filter val="3.60E+00"/>
        <filter val="3.60E+03"/>
        <filter val="3.60E-01"/>
        <filter val="3.63E+05"/>
        <filter val="3.65E+01"/>
        <filter val="3.66E+04"/>
        <filter val="3.70E+05"/>
        <filter val="3.72E+02"/>
        <filter val="3.75E+00"/>
        <filter val="3.76E+00"/>
        <filter val="3.78E-01"/>
        <filter val="3.79E+28"/>
        <filter val="3.80E+01"/>
        <filter val="3.80E-02"/>
        <filter val="3.87E+02"/>
        <filter val="3.88E-01"/>
        <filter val="3.90E+01"/>
        <filter val="3.90E+02"/>
        <filter val="3.94E+03"/>
        <filter val="3.97E+01"/>
        <filter val="4.00E+00"/>
        <filter val="4.00E+01"/>
        <filter val="4.02E+00"/>
        <filter val="4.06E+00"/>
        <filter val="4.07E+01"/>
        <filter val="4.07E+04"/>
        <filter val="4.08E+01"/>
        <filter val="4.15E+01"/>
        <filter val="4.17E+00"/>
        <filter val="4.17E+06"/>
        <filter val="4.19E+03"/>
        <filter val="4.20E+00"/>
        <filter val="4.20E+01"/>
        <filter val="4.23E+01"/>
        <filter val="4.25E+01"/>
        <filter val="4.25E+02"/>
        <filter val="4.29E-01"/>
        <filter val="4.30E+00"/>
        <filter val="4.30E-01"/>
        <filter val="4.31E+00"/>
        <filter val="4.33E+03"/>
        <filter val="4.36E+00"/>
        <filter val="4.37E+06"/>
        <filter val="4.38E+02"/>
        <filter val="4.40E+00"/>
        <filter val="4.40E-02"/>
        <filter val="4.42E+17"/>
        <filter val="4.45E+01"/>
        <filter val="4.45E+04"/>
        <filter val="4.46E+02"/>
        <filter val="4.46E+03"/>
        <filter val="4.49E+00"/>
        <filter val="4.50E+01"/>
        <filter val="4.50E-01"/>
        <filter val="4.53E+05"/>
        <filter val="4.56E+00"/>
        <filter val="4.56E+02"/>
        <filter val="4.57E+04"/>
        <filter val="4.58E+03"/>
        <filter val="4.60E+00"/>
        <filter val="4.64E+05"/>
        <filter val="4.70E+01"/>
        <filter val="4.72E+02"/>
        <filter val="4.75E+01"/>
        <filter val="4.80E+02"/>
        <filter val="4.82E+02"/>
        <filter val="4.84E-01"/>
        <filter val="4.87E+02"/>
        <filter val="4.90E+00"/>
        <filter val="4.90E+01"/>
        <filter val="4.91E+01"/>
        <filter val="4.93E+04"/>
        <filter val="4.95E+14"/>
        <filter val="4.97E+03"/>
        <filter val="4.98E+03"/>
        <filter val="5.00E+00"/>
        <filter val="5.02E+12"/>
        <filter val="5.04E+02"/>
        <filter val="5.06E+06"/>
        <filter val="5.08E+01"/>
        <filter val="5.08E+04"/>
        <filter val="5.08E+13"/>
        <filter val="5.09E+00"/>
        <filter val="5.10E+01"/>
        <filter val="5.10E+02"/>
        <filter val="5.10E-02"/>
        <filter val="5.11E+02"/>
        <filter val="5.11E-01"/>
        <filter val="5.15E-01"/>
        <filter val="5.17E+00"/>
        <filter val="5.20E+06"/>
        <filter val="5.22E+02"/>
        <filter val="5.23E+02"/>
        <filter val="5.24E+00"/>
        <filter val="5.25E+05"/>
        <filter val="5.26E+04"/>
        <filter val="5.28E+00"/>
        <filter val="5.28E+03"/>
        <filter val="5.29E-01"/>
        <filter val="5.30E+00"/>
        <filter val="5.33E+04"/>
        <filter val="5.34E+00"/>
        <filter val="5.40E+00"/>
        <filter val="5.40E+01"/>
        <filter val="5.40E-02"/>
        <filter val="5.41E+02"/>
        <filter val="5.42E+01"/>
        <filter val="5.43E-01"/>
        <filter val="5.44E+03"/>
        <filter val="5.46E+02"/>
        <filter val="5.46E+04"/>
        <filter val="5.47E+03"/>
        <filter val="5.48E-01"/>
        <filter val="5.50E+00"/>
        <filter val="5.51E+01"/>
        <filter val="5.52E-02"/>
        <filter val="5.53E+06"/>
        <filter val="5.56E+02"/>
        <filter val="5.57E+01"/>
        <filter val="5.60E+01"/>
        <filter val="5.60E+05"/>
        <filter val="5.60E+06"/>
        <filter val="5.64E+01"/>
        <filter val="5.65E+13"/>
        <filter val="5.68E+01"/>
        <filter val="5.70E+00"/>
        <filter val="5.70E-01"/>
        <filter val="5.80E+00"/>
        <filter val="5.80E+02"/>
        <filter val="5.82E+01"/>
        <filter val="5.83E+05"/>
        <filter val="5.84E+00"/>
        <filter val="5.87E-01"/>
        <filter val="5.90E+03"/>
        <filter val="5.91E+03"/>
        <filter val="5.92E+02"/>
        <filter val="5.94E+02"/>
        <filter val="5.94E+04"/>
        <filter val="5.95E+05"/>
        <filter val="5.97E+01"/>
        <filter val="5.99E-01"/>
        <filter val="6.00E+00"/>
        <filter val="6.00E+01"/>
        <filter val="6.03E+04"/>
        <filter val="6.04E+07"/>
        <filter val="6.11E-01"/>
        <filter val="6.12E+06"/>
        <filter val="6.12E-01"/>
        <filter val="6.17E+00"/>
        <filter val="6.18E+02"/>
        <filter val="6.19E+00"/>
        <filter val="6.20E+00"/>
        <filter val="6.22E+03"/>
        <filter val="6.23E+00"/>
        <filter val="6.27E+00"/>
        <filter val="6.30E-02"/>
        <filter val="6.31E+04"/>
        <filter val="6.36E+02"/>
        <filter val="6.37E+01"/>
        <filter val="6.41E+11"/>
        <filter val="6.44E+05"/>
        <filter val="6.48E+01"/>
        <filter val="6.49E-02"/>
        <filter val="6.50E+01"/>
        <filter val="6.50E-01"/>
        <filter val="6.52E+07"/>
        <filter val="6.53E-01"/>
        <filter val="6.60E+00"/>
        <filter val="6.60E+01"/>
        <filter val="6.60E+02"/>
        <filter val="6.63E+00"/>
        <filter val="6.63E+25"/>
        <filter val="6.65E+04"/>
        <filter val="6.66E+02"/>
        <filter val="6.66E+12"/>
        <filter val="6.67E+06"/>
        <filter val="6.70E+00"/>
        <filter val="6.70E+01"/>
        <filter val="6.75E+01"/>
        <filter val="6.78E+02"/>
        <filter val="6.80E+01"/>
        <filter val="6.80E-01"/>
        <filter val="6.84E+02"/>
        <filter val="6.88E+04"/>
        <filter val="6.90E+02"/>
        <filter val="6.93E+05"/>
        <filter val="6.94E+06"/>
        <filter val="7.00E+00"/>
        <filter val="7.00E+01"/>
        <filter val="7.00E-01"/>
        <filter val="7.00E-05"/>
        <filter val="7.02E+01"/>
        <filter val="7.04E+01"/>
        <filter val="7.10E+00"/>
        <filter val="7.20E+01"/>
        <filter val="7.20E+04"/>
        <filter val="7.23E+12"/>
        <filter val="7.23E+22"/>
        <filter val="7.26E+05"/>
        <filter val="7.26E+12"/>
        <filter val="7.26E+13"/>
        <filter val="7.26E+24"/>
        <filter val="7.28E+01"/>
        <filter val="7.31E+03"/>
        <filter val="7.35E-01"/>
        <filter val="7.39E+14"/>
        <filter val="7.40E+00"/>
        <filter val="7.42E+26"/>
        <filter val="7.44E+02"/>
        <filter val="7.45E+06"/>
        <filter val="7.46E+02"/>
        <filter val="7.49E+04"/>
        <filter val="7.50E+01"/>
        <filter val="7.50E+02"/>
        <filter val="7.50E+04"/>
        <filter val="7.53E+01"/>
        <filter val="7.55E+01"/>
        <filter val="7.56E+03"/>
        <filter val="7.57E+04"/>
        <filter val="7.57E+28"/>
        <filter val="7.60E+00"/>
        <filter val="7.61E+31"/>
        <filter val="7.74E+02"/>
        <filter val="7.75E+12"/>
        <filter val="7.80E-01"/>
        <filter val="7.86E+01"/>
        <filter val="7.91E-02"/>
        <filter val="8.00E+00"/>
        <filter val="8.00E+01"/>
        <filter val="8.00E-01"/>
        <filter val="8.00E-02"/>
        <filter val="8.04E+02"/>
        <filter val="8.09E+02"/>
        <filter val="8.10E-01"/>
        <filter val="8.15E+01"/>
        <filter val="8.16E+01"/>
        <filter val="8.26E+03"/>
        <filter val="8.28E+07"/>
        <filter val="8.30E+00"/>
        <filter val="8.33E+05"/>
        <filter val="8.34E+01"/>
        <filter val="8.37E+05"/>
        <filter val="8.40E+01"/>
        <filter val="8.40E-01"/>
        <filter val="8.41E+02"/>
        <filter val="8.41E+04"/>
        <filter val="8.48E+02"/>
        <filter val="8.52E+02"/>
        <filter val="8.55E+03"/>
        <filter val="8.57E+00"/>
        <filter val="8.60E-01"/>
        <filter val="8.60E-02"/>
        <filter val="8.70E+00"/>
        <filter val="8.71E+07"/>
        <filter val="8.73E+00"/>
        <filter val="8.73E+02"/>
        <filter val="8.77E+02"/>
        <filter val="8.80E+01"/>
        <filter val="8.89E+02"/>
        <filter val="8.91E+01"/>
        <filter val="8.94E-01"/>
        <filter val="8.96E+03"/>
        <filter val="9.00E+00"/>
        <filter val="9.06E+01"/>
        <filter val="9.06E+03"/>
        <filter val="9.12E+02"/>
        <filter val="9.12E+08"/>
        <filter val="9.19E+02"/>
        <filter val="9.19E+04"/>
        <filter val="9.20E+00"/>
        <filter val="9.20E-01"/>
        <filter val="9.21E+06"/>
        <filter val="9.23E-01"/>
        <filter val="9.29E+02"/>
        <filter val="9.30E+01"/>
        <filter val="9.30E-02"/>
        <filter val="9.36E+04"/>
        <filter val="9.40E+01"/>
        <filter val="9.40E+03"/>
        <filter val="9.45E+04"/>
        <filter val="9.45E-01"/>
        <filter val="9.47E+31"/>
        <filter val="9.49E+05"/>
        <filter val="9.49E+08"/>
        <filter val="9.50E+00"/>
        <filter val="9.53E+02"/>
        <filter val="9.54E-01"/>
        <filter val="9.56E+01"/>
        <filter val="9.58E-02"/>
        <filter val="9.60E+01"/>
        <filter val="9.70E+00"/>
        <filter val="9.71E+03"/>
        <filter val="9.73E+04"/>
        <filter val="9.78E+26"/>
        <filter val="9.80E+00"/>
        <filter val="9.90E+03"/>
        <filter val="9.94E-01"/>
      </filters>
    </filterColumn>
  </autoFilter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7729-95CA-47EA-A7BD-F60904465D4C}">
  <dimension ref="B1:T850"/>
  <sheetViews>
    <sheetView tabSelected="1" topLeftCell="A718" workbookViewId="0">
      <selection activeCell="K738" sqref="K738"/>
    </sheetView>
  </sheetViews>
  <sheetFormatPr defaultRowHeight="14.25" x14ac:dyDescent="0.2"/>
  <sheetData>
    <row r="1" spans="2:20" x14ac:dyDescent="0.2">
      <c r="B1" s="11" t="s">
        <v>3285</v>
      </c>
    </row>
    <row r="2" spans="2:20" x14ac:dyDescent="0.2">
      <c r="B2" s="12"/>
      <c r="C2" s="12" t="s">
        <v>3301</v>
      </c>
      <c r="D2" s="12" t="s">
        <v>3296</v>
      </c>
      <c r="E2" s="12" t="s">
        <v>3299</v>
      </c>
      <c r="F2" s="12" t="s">
        <v>3303</v>
      </c>
      <c r="G2" s="12" t="s">
        <v>3305</v>
      </c>
      <c r="H2" s="12" t="s">
        <v>3307</v>
      </c>
      <c r="O2" t="s">
        <v>3286</v>
      </c>
    </row>
    <row r="3" spans="2:20" x14ac:dyDescent="0.2">
      <c r="B3" s="8">
        <v>24051</v>
      </c>
      <c r="C3" s="9">
        <v>6.9799999999999994E-11</v>
      </c>
      <c r="D3" s="8" t="s">
        <v>525</v>
      </c>
      <c r="E3" s="1">
        <v>2393496</v>
      </c>
      <c r="F3" s="1">
        <f>LN(2)/E3</f>
        <v>2.8959613074763664E-7</v>
      </c>
      <c r="G3" s="1">
        <f>2*6240000000000000*C3*(1-EXP(-F3))</f>
        <v>0.25226831131721633</v>
      </c>
      <c r="H3" s="1">
        <f>G3*EXP(-F3*365*24*3600)</f>
        <v>2.7263394680982547E-5</v>
      </c>
      <c r="K3">
        <f>VLOOKUP(B3,Nuclides!A:C,2,FALSE)</f>
        <v>27</v>
      </c>
      <c r="L3">
        <f>VLOOKUP(B3,Nuclides!A:C,3,FALSE)</f>
        <v>24</v>
      </c>
      <c r="O3" s="1">
        <v>2006</v>
      </c>
      <c r="P3" s="1">
        <v>3.4899999999999998E-10</v>
      </c>
      <c r="Q3" t="s">
        <v>19</v>
      </c>
      <c r="R3">
        <v>4</v>
      </c>
      <c r="S3">
        <v>2</v>
      </c>
      <c r="T3">
        <f>VLOOKUP(O3,Nuclides!A:D,4,FALSE)</f>
        <v>0.80669999999999997</v>
      </c>
    </row>
    <row r="4" spans="2:20" x14ac:dyDescent="0.2">
      <c r="B4" s="8">
        <v>25050</v>
      </c>
      <c r="C4" s="9">
        <v>6.9799999999999994E-11</v>
      </c>
      <c r="D4" s="8" t="s">
        <v>546</v>
      </c>
      <c r="E4" s="1">
        <v>0.28319</v>
      </c>
      <c r="F4" s="1">
        <f t="shared" ref="F4:F67" si="0">LN(2)/E4</f>
        <v>2.4476400316393421</v>
      </c>
      <c r="G4" s="1">
        <f t="shared" ref="G4:G67" si="1">2*6240000000000000*C4*(1-EXP(-F4))</f>
        <v>795755.70168535307</v>
      </c>
      <c r="H4" s="1">
        <f t="shared" ref="H4:H67" si="2">G4*EXP(-F4*365*24*3600)</f>
        <v>0</v>
      </c>
      <c r="K4">
        <f>VLOOKUP(B4,Nuclides!A:C,2,FALSE)</f>
        <v>25</v>
      </c>
      <c r="L4">
        <f>VLOOKUP(B4,Nuclides!A:C,3,FALSE)</f>
        <v>25</v>
      </c>
      <c r="O4" s="1">
        <v>3006</v>
      </c>
      <c r="P4" s="1">
        <v>1.4398299999999999E-6</v>
      </c>
      <c r="Q4" t="s">
        <v>31</v>
      </c>
      <c r="R4">
        <v>3</v>
      </c>
      <c r="S4">
        <v>3</v>
      </c>
      <c r="T4" t="str">
        <f>VLOOKUP(O4,Nuclides!A:D,4,FALSE)</f>
        <v>STABLE</v>
      </c>
    </row>
    <row r="5" spans="2:20" x14ac:dyDescent="0.2">
      <c r="B5" s="8">
        <v>25053</v>
      </c>
      <c r="C5" s="9">
        <v>6.9799999999999994E-11</v>
      </c>
      <c r="D5" s="8" t="s">
        <v>549</v>
      </c>
      <c r="E5" s="1">
        <v>118025424000000</v>
      </c>
      <c r="F5" s="1">
        <f t="shared" si="0"/>
        <v>5.8728632956230289E-15</v>
      </c>
      <c r="G5" s="1">
        <f t="shared" si="1"/>
        <v>5.1257345035082827E-9</v>
      </c>
      <c r="H5" s="1">
        <f t="shared" si="2"/>
        <v>5.1257335541884242E-9</v>
      </c>
      <c r="K5">
        <f>VLOOKUP(B5,Nuclides!A:C,2,FALSE)</f>
        <v>28</v>
      </c>
      <c r="L5">
        <f>VLOOKUP(B5,Nuclides!A:C,3,FALSE)</f>
        <v>25</v>
      </c>
      <c r="O5" s="1">
        <v>3007</v>
      </c>
      <c r="P5" s="1">
        <v>9.0914499999999998E-7</v>
      </c>
      <c r="Q5" t="s">
        <v>33</v>
      </c>
      <c r="R5">
        <v>4</v>
      </c>
      <c r="S5">
        <v>3</v>
      </c>
      <c r="T5" t="str">
        <f>VLOOKUP(O5,Nuclides!A:D,4,FALSE)</f>
        <v>STABLE</v>
      </c>
    </row>
    <row r="6" spans="2:20" x14ac:dyDescent="0.2">
      <c r="B6" s="8">
        <v>25060</v>
      </c>
      <c r="C6" s="9">
        <v>6.9799999999999994E-11</v>
      </c>
      <c r="D6" s="8" t="s">
        <v>556</v>
      </c>
      <c r="E6" s="1">
        <v>0.28000000000000003</v>
      </c>
      <c r="F6" s="1">
        <f t="shared" si="0"/>
        <v>2.4755256448569471</v>
      </c>
      <c r="G6" s="1">
        <f t="shared" si="1"/>
        <v>797827.80991232384</v>
      </c>
      <c r="H6" s="1">
        <f t="shared" si="2"/>
        <v>0</v>
      </c>
      <c r="K6">
        <f>VLOOKUP(B6,Nuclides!A:C,2,FALSE)</f>
        <v>35</v>
      </c>
      <c r="L6">
        <f>VLOOKUP(B6,Nuclides!A:C,3,FALSE)</f>
        <v>25</v>
      </c>
      <c r="O6" s="1">
        <v>3008</v>
      </c>
      <c r="P6" s="1">
        <v>2.094E-10</v>
      </c>
      <c r="Q6" t="s">
        <v>35</v>
      </c>
      <c r="R6">
        <v>5</v>
      </c>
      <c r="S6">
        <v>3</v>
      </c>
      <c r="T6">
        <f>VLOOKUP(O6,Nuclides!A:D,4,FALSE)</f>
        <v>0.83989999999999998</v>
      </c>
    </row>
    <row r="7" spans="2:20" x14ac:dyDescent="0.2">
      <c r="B7" s="8">
        <v>26052</v>
      </c>
      <c r="C7" s="9">
        <v>6.9799999999999994E-11</v>
      </c>
      <c r="D7" s="8" t="s">
        <v>575</v>
      </c>
      <c r="E7" s="1">
        <v>29790</v>
      </c>
      <c r="F7" s="1">
        <f t="shared" si="0"/>
        <v>2.3267780482039118E-5</v>
      </c>
      <c r="G7" s="1">
        <f t="shared" si="1"/>
        <v>20.268420847511759</v>
      </c>
      <c r="H7" s="1">
        <f t="shared" si="2"/>
        <v>0</v>
      </c>
      <c r="K7">
        <f>VLOOKUP(B7,Nuclides!A:C,2,FALSE)</f>
        <v>26</v>
      </c>
      <c r="L7">
        <f>VLOOKUP(B7,Nuclides!A:C,3,FALSE)</f>
        <v>26</v>
      </c>
      <c r="O7" s="1">
        <v>4007</v>
      </c>
      <c r="P7" s="1">
        <v>3.3959800000000001E-6</v>
      </c>
      <c r="Q7" t="s">
        <v>43</v>
      </c>
      <c r="R7">
        <v>3</v>
      </c>
      <c r="S7">
        <v>4</v>
      </c>
      <c r="T7">
        <f>VLOOKUP(O7,Nuclides!A:D,4,FALSE)</f>
        <v>4598208</v>
      </c>
    </row>
    <row r="8" spans="2:20" x14ac:dyDescent="0.2">
      <c r="B8" s="8">
        <v>26053</v>
      </c>
      <c r="C8" s="9">
        <v>1.3959999999999999E-10</v>
      </c>
      <c r="D8" s="8" t="s">
        <v>576</v>
      </c>
      <c r="E8" s="1">
        <v>510.599999999999</v>
      </c>
      <c r="F8" s="1">
        <f t="shared" si="0"/>
        <v>1.357515042224729E-3</v>
      </c>
      <c r="G8" s="1">
        <f t="shared" si="1"/>
        <v>2363.4689813780092</v>
      </c>
      <c r="H8" s="1">
        <f t="shared" si="2"/>
        <v>0</v>
      </c>
      <c r="K8">
        <f>VLOOKUP(B8,Nuclides!A:C,2,FALSE)</f>
        <v>27</v>
      </c>
      <c r="L8">
        <f>VLOOKUP(B8,Nuclides!A:C,3,FALSE)</f>
        <v>26</v>
      </c>
      <c r="O8" s="1">
        <v>4009</v>
      </c>
      <c r="P8" s="1">
        <v>7.8490100000000002E-7</v>
      </c>
      <c r="Q8" t="s">
        <v>47</v>
      </c>
      <c r="R8">
        <v>5</v>
      </c>
      <c r="S8">
        <v>4</v>
      </c>
      <c r="T8" t="str">
        <f>VLOOKUP(O8,Nuclides!A:D,4,FALSE)</f>
        <v>STABLE</v>
      </c>
    </row>
    <row r="9" spans="2:20" x14ac:dyDescent="0.2">
      <c r="B9" s="8">
        <v>26061</v>
      </c>
      <c r="C9" s="9">
        <v>6.9799999999999994E-11</v>
      </c>
      <c r="D9" s="8" t="s">
        <v>584</v>
      </c>
      <c r="E9" s="1">
        <v>358.8</v>
      </c>
      <c r="F9" s="1">
        <f t="shared" si="0"/>
        <v>1.9318483293198029E-3</v>
      </c>
      <c r="G9" s="1">
        <f t="shared" si="1"/>
        <v>1681.2163566952929</v>
      </c>
      <c r="H9" s="1">
        <f t="shared" si="2"/>
        <v>0</v>
      </c>
      <c r="K9">
        <f>VLOOKUP(B9,Nuclides!A:C,2,FALSE)</f>
        <v>35</v>
      </c>
      <c r="L9">
        <f>VLOOKUP(B9,Nuclides!A:C,3,FALSE)</f>
        <v>26</v>
      </c>
      <c r="O9" s="1">
        <v>4010</v>
      </c>
      <c r="P9" s="1">
        <v>1.2319699999999999E-7</v>
      </c>
      <c r="Q9" t="s">
        <v>49</v>
      </c>
      <c r="R9">
        <v>6</v>
      </c>
      <c r="S9">
        <v>4</v>
      </c>
      <c r="T9">
        <f>VLOOKUP(O9,Nuclides!A:D,4,FALSE)</f>
        <v>47651976000000</v>
      </c>
    </row>
    <row r="10" spans="2:20" x14ac:dyDescent="0.2">
      <c r="B10" s="8">
        <v>26064</v>
      </c>
      <c r="C10" s="9">
        <v>6.9799999999999994E-11</v>
      </c>
      <c r="D10" s="8" t="s">
        <v>587</v>
      </c>
      <c r="E10" s="1">
        <v>2</v>
      </c>
      <c r="F10" s="1">
        <f t="shared" si="0"/>
        <v>0.34657359027997264</v>
      </c>
      <c r="G10" s="1">
        <f t="shared" si="1"/>
        <v>255140.45448127363</v>
      </c>
      <c r="H10" s="1">
        <f t="shared" si="2"/>
        <v>0</v>
      </c>
      <c r="K10">
        <f>VLOOKUP(B10,Nuclides!A:C,2,FALSE)</f>
        <v>38</v>
      </c>
      <c r="L10">
        <f>VLOOKUP(B10,Nuclides!A:C,3,FALSE)</f>
        <v>26</v>
      </c>
      <c r="O10" s="1">
        <v>5008</v>
      </c>
      <c r="P10" s="1">
        <v>5.5839999999999995E-10</v>
      </c>
      <c r="Q10" t="s">
        <v>65</v>
      </c>
      <c r="R10">
        <v>3</v>
      </c>
      <c r="S10">
        <v>5</v>
      </c>
      <c r="T10">
        <f>VLOOKUP(O10,Nuclides!A:D,4,FALSE)</f>
        <v>0.77</v>
      </c>
    </row>
    <row r="11" spans="2:20" x14ac:dyDescent="0.2">
      <c r="B11" s="8">
        <v>27053</v>
      </c>
      <c r="C11" s="9">
        <v>1.3959999999999999E-10</v>
      </c>
      <c r="D11" s="8" t="s">
        <v>601</v>
      </c>
      <c r="E11" s="1">
        <v>0.24</v>
      </c>
      <c r="F11" s="1">
        <f t="shared" si="0"/>
        <v>2.8881132523331057</v>
      </c>
      <c r="G11" s="1">
        <f t="shared" si="1"/>
        <v>1645199.8203791347</v>
      </c>
      <c r="H11" s="1">
        <f t="shared" si="2"/>
        <v>0</v>
      </c>
      <c r="K11">
        <f>VLOOKUP(B11,Nuclides!A:C,2,FALSE)</f>
        <v>26</v>
      </c>
      <c r="L11">
        <f>VLOOKUP(B11,Nuclides!A:C,3,FALSE)</f>
        <v>27</v>
      </c>
      <c r="O11" s="1">
        <v>5010</v>
      </c>
      <c r="P11" s="1">
        <v>6.3307199999999999E-6</v>
      </c>
      <c r="Q11" t="s">
        <v>69</v>
      </c>
      <c r="R11">
        <v>5</v>
      </c>
      <c r="S11">
        <v>5</v>
      </c>
      <c r="T11" t="str">
        <f>VLOOKUP(O11,Nuclides!A:D,4,FALSE)</f>
        <v>STABLE</v>
      </c>
    </row>
    <row r="12" spans="2:20" x14ac:dyDescent="0.2">
      <c r="B12" s="8">
        <v>27054</v>
      </c>
      <c r="C12" s="9">
        <v>2.7919999999999998E-10</v>
      </c>
      <c r="D12" s="8" t="s">
        <v>602</v>
      </c>
      <c r="E12" s="1">
        <v>0.193</v>
      </c>
      <c r="F12" s="1">
        <f t="shared" si="0"/>
        <v>3.5914361687043797</v>
      </c>
      <c r="G12" s="1">
        <f t="shared" si="1"/>
        <v>3388389.9445936847</v>
      </c>
      <c r="H12" s="1">
        <f t="shared" si="2"/>
        <v>0</v>
      </c>
      <c r="K12">
        <f>VLOOKUP(B12,Nuclides!A:C,2,FALSE)</f>
        <v>27</v>
      </c>
      <c r="L12">
        <f>VLOOKUP(B12,Nuclides!A:C,3,FALSE)</f>
        <v>27</v>
      </c>
      <c r="O12" s="1">
        <v>5011</v>
      </c>
      <c r="P12" s="1">
        <v>3.3235899999999998E-5</v>
      </c>
      <c r="Q12" t="s">
        <v>71</v>
      </c>
      <c r="R12">
        <v>6</v>
      </c>
      <c r="S12">
        <v>5</v>
      </c>
      <c r="T12" t="str">
        <f>VLOOKUP(O12,Nuclides!A:D,4,FALSE)</f>
        <v>STABLE</v>
      </c>
    </row>
    <row r="13" spans="2:20" x14ac:dyDescent="0.2">
      <c r="B13" s="8">
        <v>27055</v>
      </c>
      <c r="C13" s="9">
        <v>6.9799999999999994E-11</v>
      </c>
      <c r="D13" s="8" t="s">
        <v>603</v>
      </c>
      <c r="E13" s="1">
        <v>63108</v>
      </c>
      <c r="F13" s="1">
        <f t="shared" si="0"/>
        <v>1.0983507329656229E-5</v>
      </c>
      <c r="G13" s="1">
        <f t="shared" si="1"/>
        <v>9.567724625170106</v>
      </c>
      <c r="H13" s="1">
        <f t="shared" si="2"/>
        <v>3.5618220190736159E-150</v>
      </c>
      <c r="K13">
        <f>VLOOKUP(B13,Nuclides!A:C,2,FALSE)</f>
        <v>28</v>
      </c>
      <c r="L13">
        <f>VLOOKUP(B13,Nuclides!A:C,3,FALSE)</f>
        <v>27</v>
      </c>
      <c r="O13" s="1">
        <v>6010</v>
      </c>
      <c r="P13" s="1">
        <v>1.43788E-8</v>
      </c>
      <c r="Q13" t="s">
        <v>89</v>
      </c>
      <c r="R13">
        <v>4</v>
      </c>
      <c r="S13">
        <v>6</v>
      </c>
      <c r="T13">
        <f>VLOOKUP(O13,Nuclides!A:D,4,FALSE)</f>
        <v>19.308</v>
      </c>
    </row>
    <row r="14" spans="2:20" x14ac:dyDescent="0.2">
      <c r="B14" s="8">
        <v>27056</v>
      </c>
      <c r="C14" s="9">
        <v>2.7919999999999998E-10</v>
      </c>
      <c r="D14" s="8" t="s">
        <v>604</v>
      </c>
      <c r="E14" s="1">
        <v>6673190.4000000004</v>
      </c>
      <c r="F14" s="1">
        <f t="shared" si="0"/>
        <v>1.0387043363245641E-7</v>
      </c>
      <c r="G14" s="1">
        <f t="shared" si="1"/>
        <v>0.36192778215092852</v>
      </c>
      <c r="H14" s="1">
        <f t="shared" si="2"/>
        <v>1.3677972608381795E-2</v>
      </c>
      <c r="K14">
        <f>VLOOKUP(B14,Nuclides!A:C,2,FALSE)</f>
        <v>29</v>
      </c>
      <c r="L14">
        <f>VLOOKUP(B14,Nuclides!A:C,3,FALSE)</f>
        <v>27</v>
      </c>
      <c r="O14" s="1">
        <v>6011</v>
      </c>
      <c r="P14" s="1">
        <v>8.1646499999999998E-6</v>
      </c>
      <c r="Q14" t="s">
        <v>91</v>
      </c>
      <c r="R14">
        <v>5</v>
      </c>
      <c r="S14">
        <v>6</v>
      </c>
      <c r="T14">
        <f>VLOOKUP(O14,Nuclides!A:D,4,FALSE)</f>
        <v>1221.8399999999999</v>
      </c>
    </row>
    <row r="15" spans="2:20" x14ac:dyDescent="0.2">
      <c r="B15" s="8">
        <v>27057</v>
      </c>
      <c r="C15" s="9">
        <v>1.3959999999999999E-10</v>
      </c>
      <c r="D15" s="8" t="s">
        <v>605</v>
      </c>
      <c r="E15" s="1">
        <v>23478336</v>
      </c>
      <c r="F15" s="1">
        <f t="shared" si="0"/>
        <v>2.9522840995202781E-8</v>
      </c>
      <c r="G15" s="1">
        <f t="shared" si="1"/>
        <v>5.1434928911604054E-2</v>
      </c>
      <c r="H15" s="1">
        <f t="shared" si="2"/>
        <v>2.0272903244696081E-2</v>
      </c>
      <c r="K15">
        <f>VLOOKUP(B15,Nuclides!A:C,2,FALSE)</f>
        <v>30</v>
      </c>
      <c r="L15">
        <f>VLOOKUP(B15,Nuclides!A:C,3,FALSE)</f>
        <v>27</v>
      </c>
      <c r="O15" s="1">
        <v>24045</v>
      </c>
      <c r="P15" s="1">
        <v>6.9799999999999994E-11</v>
      </c>
      <c r="Q15" t="s">
        <v>519</v>
      </c>
      <c r="R15">
        <v>21</v>
      </c>
      <c r="S15">
        <v>24</v>
      </c>
      <c r="T15">
        <f>VLOOKUP(O15,Nuclides!A:D,4,FALSE)</f>
        <v>6.0900000000000003E-2</v>
      </c>
    </row>
    <row r="16" spans="2:20" x14ac:dyDescent="0.2">
      <c r="B16" s="8">
        <v>27058</v>
      </c>
      <c r="C16" s="9">
        <v>6.9799999999999994E-11</v>
      </c>
      <c r="D16" s="8" t="s">
        <v>606</v>
      </c>
      <c r="E16" s="1">
        <v>6122304</v>
      </c>
      <c r="F16" s="1">
        <f t="shared" si="0"/>
        <v>1.1321672046339831E-7</v>
      </c>
      <c r="G16" s="1">
        <f t="shared" si="1"/>
        <v>9.8623532435638581E-2</v>
      </c>
      <c r="H16" s="1">
        <f t="shared" si="2"/>
        <v>2.7757123092414047E-3</v>
      </c>
      <c r="K16">
        <f>VLOOKUP(B16,Nuclides!A:C,2,FALSE)</f>
        <v>31</v>
      </c>
      <c r="L16">
        <f>VLOOKUP(B16,Nuclides!A:C,3,FALSE)</f>
        <v>27</v>
      </c>
      <c r="O16" s="1">
        <v>24051</v>
      </c>
      <c r="P16" s="1">
        <v>6.9799999999999994E-11</v>
      </c>
      <c r="Q16" t="s">
        <v>525</v>
      </c>
      <c r="R16">
        <v>27</v>
      </c>
      <c r="S16">
        <v>24</v>
      </c>
      <c r="T16">
        <f>VLOOKUP(O16,Nuclides!A:D,4,FALSE)</f>
        <v>2393496</v>
      </c>
    </row>
    <row r="17" spans="2:20" x14ac:dyDescent="0.2">
      <c r="B17" s="8">
        <v>28053</v>
      </c>
      <c r="C17" s="9">
        <v>6.9799999999999994E-11</v>
      </c>
      <c r="D17" s="8" t="s">
        <v>631</v>
      </c>
      <c r="E17" s="1">
        <v>5.5199999999999999E-2</v>
      </c>
      <c r="F17" s="1">
        <f t="shared" si="0"/>
        <v>12.557014140578719</v>
      </c>
      <c r="G17" s="1">
        <f t="shared" si="1"/>
        <v>871100.93360528629</v>
      </c>
      <c r="H17" s="1">
        <f t="shared" si="2"/>
        <v>0</v>
      </c>
      <c r="K17">
        <f>VLOOKUP(B17,Nuclides!A:C,2,FALSE)</f>
        <v>25</v>
      </c>
      <c r="L17">
        <f>VLOOKUP(B17,Nuclides!A:C,3,FALSE)</f>
        <v>28</v>
      </c>
      <c r="O17" s="1">
        <v>25050</v>
      </c>
      <c r="P17" s="1">
        <v>6.9799999999999994E-11</v>
      </c>
      <c r="Q17" t="s">
        <v>546</v>
      </c>
      <c r="R17">
        <v>25</v>
      </c>
      <c r="S17">
        <v>25</v>
      </c>
      <c r="T17">
        <f>VLOOKUP(O17,Nuclides!A:D,4,FALSE)</f>
        <v>0.28319</v>
      </c>
    </row>
    <row r="18" spans="2:20" x14ac:dyDescent="0.2">
      <c r="B18" s="8">
        <v>28054</v>
      </c>
      <c r="C18" s="9">
        <v>1.3959999999999999E-10</v>
      </c>
      <c r="D18" s="8" t="s">
        <v>632</v>
      </c>
      <c r="E18" s="1">
        <v>0.1142</v>
      </c>
      <c r="F18" s="1">
        <f t="shared" si="0"/>
        <v>6.0695900224163335</v>
      </c>
      <c r="G18" s="1">
        <f t="shared" si="1"/>
        <v>1738179.8044116958</v>
      </c>
      <c r="H18" s="1">
        <f t="shared" si="2"/>
        <v>0</v>
      </c>
      <c r="K18">
        <f>VLOOKUP(B18,Nuclides!A:C,2,FALSE)</f>
        <v>26</v>
      </c>
      <c r="L18">
        <f>VLOOKUP(B18,Nuclides!A:C,3,FALSE)</f>
        <v>28</v>
      </c>
      <c r="O18" s="1">
        <v>25051</v>
      </c>
      <c r="P18" s="1">
        <v>6.9799999999999994E-11</v>
      </c>
      <c r="Q18" t="s">
        <v>547</v>
      </c>
      <c r="R18">
        <v>26</v>
      </c>
      <c r="S18">
        <v>25</v>
      </c>
      <c r="T18">
        <f>VLOOKUP(O18,Nuclides!A:D,4,FALSE)</f>
        <v>2772</v>
      </c>
    </row>
    <row r="19" spans="2:20" x14ac:dyDescent="0.2">
      <c r="B19" s="8">
        <v>28055</v>
      </c>
      <c r="C19" s="9">
        <v>4.1879999999999999E-10</v>
      </c>
      <c r="D19" s="8" t="s">
        <v>633</v>
      </c>
      <c r="E19" s="1">
        <v>0.20469999999999999</v>
      </c>
      <c r="F19" s="1">
        <f t="shared" si="0"/>
        <v>3.3861611165605536</v>
      </c>
      <c r="G19" s="1">
        <f t="shared" si="1"/>
        <v>5049763.7760545053</v>
      </c>
      <c r="H19" s="1">
        <f t="shared" si="2"/>
        <v>0</v>
      </c>
      <c r="K19">
        <f>VLOOKUP(B19,Nuclides!A:C,2,FALSE)</f>
        <v>27</v>
      </c>
      <c r="L19">
        <f>VLOOKUP(B19,Nuclides!A:C,3,FALSE)</f>
        <v>28</v>
      </c>
      <c r="O19" s="1">
        <v>25053</v>
      </c>
      <c r="P19" s="1">
        <v>6.9799999999999994E-11</v>
      </c>
      <c r="Q19" t="s">
        <v>549</v>
      </c>
      <c r="R19">
        <v>28</v>
      </c>
      <c r="S19">
        <v>25</v>
      </c>
      <c r="T19">
        <f>VLOOKUP(O19,Nuclides!A:D,4,FALSE)</f>
        <v>118025424000000</v>
      </c>
    </row>
    <row r="20" spans="2:20" x14ac:dyDescent="0.2">
      <c r="B20" s="8">
        <v>28056</v>
      </c>
      <c r="C20" s="9">
        <v>3.4899999999999998E-10</v>
      </c>
      <c r="D20" s="8" t="s">
        <v>634</v>
      </c>
      <c r="E20" s="1">
        <v>524880</v>
      </c>
      <c r="F20" s="1">
        <f t="shared" si="0"/>
        <v>1.3205821912817126E-6</v>
      </c>
      <c r="G20" s="1">
        <f t="shared" si="1"/>
        <v>5.7518183478260099</v>
      </c>
      <c r="H20" s="1">
        <f t="shared" si="2"/>
        <v>4.7122604983671758E-18</v>
      </c>
      <c r="K20">
        <f>VLOOKUP(B20,Nuclides!A:C,2,FALSE)</f>
        <v>28</v>
      </c>
      <c r="L20">
        <f>VLOOKUP(B20,Nuclides!A:C,3,FALSE)</f>
        <v>28</v>
      </c>
      <c r="O20" s="1">
        <v>26049</v>
      </c>
      <c r="P20" s="1">
        <v>6.9799999999999994E-11</v>
      </c>
      <c r="Q20" t="s">
        <v>572</v>
      </c>
      <c r="R20">
        <v>23</v>
      </c>
      <c r="S20">
        <v>26</v>
      </c>
      <c r="T20">
        <f>VLOOKUP(O20,Nuclides!A:D,4,FALSE)</f>
        <v>6.4699999999999994E-2</v>
      </c>
    </row>
    <row r="21" spans="2:20" x14ac:dyDescent="0.2">
      <c r="B21" s="8">
        <v>28057</v>
      </c>
      <c r="C21" s="9">
        <v>1.047E-9</v>
      </c>
      <c r="D21" s="8" t="s">
        <v>635</v>
      </c>
      <c r="E21" s="1">
        <v>128160</v>
      </c>
      <c r="F21" s="1">
        <f t="shared" si="0"/>
        <v>5.4084517833953281E-6</v>
      </c>
      <c r="G21" s="1">
        <f t="shared" si="1"/>
        <v>70.669668628551136</v>
      </c>
      <c r="H21" s="1">
        <f t="shared" si="2"/>
        <v>5.9643066541128041E-73</v>
      </c>
      <c r="K21">
        <f>VLOOKUP(B21,Nuclides!A:C,2,FALSE)</f>
        <v>29</v>
      </c>
      <c r="L21">
        <f>VLOOKUP(B21,Nuclides!A:C,3,FALSE)</f>
        <v>28</v>
      </c>
      <c r="O21" s="1">
        <v>26050</v>
      </c>
      <c r="P21" s="1">
        <v>1.3959999999999999E-10</v>
      </c>
      <c r="Q21" t="s">
        <v>573</v>
      </c>
      <c r="R21">
        <v>24</v>
      </c>
      <c r="S21">
        <v>26</v>
      </c>
      <c r="T21">
        <f>VLOOKUP(O21,Nuclides!A:D,4,FALSE)</f>
        <v>0.155</v>
      </c>
    </row>
    <row r="22" spans="2:20" x14ac:dyDescent="0.2">
      <c r="B22" s="8">
        <v>28059</v>
      </c>
      <c r="C22" s="9">
        <v>1.047E-9</v>
      </c>
      <c r="D22" s="8" t="s">
        <v>637</v>
      </c>
      <c r="E22" s="1">
        <v>2398377600000</v>
      </c>
      <c r="F22" s="1">
        <f t="shared" si="0"/>
        <v>2.8900669375829115E-13</v>
      </c>
      <c r="G22" s="1">
        <f t="shared" si="1"/>
        <v>3.776118937537376E-6</v>
      </c>
      <c r="H22" s="1">
        <f t="shared" si="2"/>
        <v>3.7760845217116045E-6</v>
      </c>
      <c r="K22">
        <f>VLOOKUP(B22,Nuclides!A:C,2,FALSE)</f>
        <v>31</v>
      </c>
      <c r="L22">
        <f>VLOOKUP(B22,Nuclides!A:C,3,FALSE)</f>
        <v>28</v>
      </c>
      <c r="O22" s="1">
        <v>26052</v>
      </c>
      <c r="P22" s="1">
        <v>1.3959999999999999E-10</v>
      </c>
      <c r="Q22" t="s">
        <v>575</v>
      </c>
      <c r="R22">
        <v>26</v>
      </c>
      <c r="S22">
        <v>26</v>
      </c>
      <c r="T22">
        <f>VLOOKUP(O22,Nuclides!A:D,4,FALSE)</f>
        <v>29790</v>
      </c>
    </row>
    <row r="23" spans="2:20" x14ac:dyDescent="0.2">
      <c r="B23" s="8">
        <v>28063</v>
      </c>
      <c r="C23" s="9">
        <v>1.3959999999999999E-10</v>
      </c>
      <c r="D23" s="8" t="s">
        <v>641</v>
      </c>
      <c r="E23" s="1">
        <v>3193629120</v>
      </c>
      <c r="F23" s="1">
        <f t="shared" si="0"/>
        <v>2.1704060005563365E-10</v>
      </c>
      <c r="G23" s="1">
        <f t="shared" si="1"/>
        <v>3.7812988307450718E-4</v>
      </c>
      <c r="H23" s="1">
        <f t="shared" si="2"/>
        <v>3.7555057538900765E-4</v>
      </c>
      <c r="K23">
        <f>VLOOKUP(B23,Nuclides!A:C,2,FALSE)</f>
        <v>35</v>
      </c>
      <c r="L23">
        <f>VLOOKUP(B23,Nuclides!A:C,3,FALSE)</f>
        <v>28</v>
      </c>
      <c r="O23" s="1">
        <v>26053</v>
      </c>
      <c r="P23" s="1">
        <v>2.094E-10</v>
      </c>
      <c r="Q23" t="s">
        <v>576</v>
      </c>
      <c r="R23">
        <v>27</v>
      </c>
      <c r="S23">
        <v>26</v>
      </c>
      <c r="T23">
        <f>VLOOKUP(O23,Nuclides!A:D,4,FALSE)</f>
        <v>510.599999999999</v>
      </c>
    </row>
    <row r="24" spans="2:20" x14ac:dyDescent="0.2">
      <c r="B24" s="8">
        <v>28065</v>
      </c>
      <c r="C24" s="9">
        <v>1.3959999999999999E-10</v>
      </c>
      <c r="D24" s="8" t="s">
        <v>643</v>
      </c>
      <c r="E24" s="1">
        <v>9063</v>
      </c>
      <c r="F24" s="1">
        <f t="shared" si="0"/>
        <v>7.6480986490118651E-5</v>
      </c>
      <c r="G24" s="1">
        <f t="shared" si="1"/>
        <v>133.24069125628532</v>
      </c>
      <c r="H24" s="1">
        <f t="shared" si="2"/>
        <v>0</v>
      </c>
      <c r="K24">
        <f>VLOOKUP(B24,Nuclides!A:C,2,FALSE)</f>
        <v>37</v>
      </c>
      <c r="L24">
        <f>VLOOKUP(B24,Nuclides!A:C,3,FALSE)</f>
        <v>28</v>
      </c>
      <c r="O24" s="1">
        <v>26054</v>
      </c>
      <c r="P24" s="1">
        <v>6.9799999999999994E-11</v>
      </c>
      <c r="Q24" t="s">
        <v>577</v>
      </c>
      <c r="R24">
        <v>28</v>
      </c>
      <c r="S24">
        <v>26</v>
      </c>
      <c r="T24" t="str">
        <f>VLOOKUP(O24,Nuclides!A:D,4,FALSE)</f>
        <v>STABLE</v>
      </c>
    </row>
    <row r="25" spans="2:20" x14ac:dyDescent="0.2">
      <c r="B25" s="8">
        <v>28066</v>
      </c>
      <c r="C25" s="9">
        <v>2.7919999999999998E-10</v>
      </c>
      <c r="D25" s="8" t="s">
        <v>644</v>
      </c>
      <c r="E25" s="1">
        <v>196560</v>
      </c>
      <c r="F25" s="1">
        <f t="shared" si="0"/>
        <v>3.526389807488529E-6</v>
      </c>
      <c r="G25" s="1">
        <f t="shared" si="1"/>
        <v>12.287387402445288</v>
      </c>
      <c r="H25" s="1">
        <f t="shared" si="2"/>
        <v>6.1992530972079091E-48</v>
      </c>
      <c r="K25">
        <f>VLOOKUP(B25,Nuclides!A:C,2,FALSE)</f>
        <v>38</v>
      </c>
      <c r="L25">
        <f>VLOOKUP(B25,Nuclides!A:C,3,FALSE)</f>
        <v>28</v>
      </c>
      <c r="O25" s="1">
        <v>26055</v>
      </c>
      <c r="P25" s="1">
        <v>1.3959999999999999E-10</v>
      </c>
      <c r="Q25" t="s">
        <v>578</v>
      </c>
      <c r="R25">
        <v>29</v>
      </c>
      <c r="S25">
        <v>26</v>
      </c>
      <c r="T25">
        <f>VLOOKUP(O25,Nuclides!A:D,4,FALSE)</f>
        <v>86594054.400000006</v>
      </c>
    </row>
    <row r="26" spans="2:20" x14ac:dyDescent="0.2">
      <c r="B26" s="8">
        <v>28067</v>
      </c>
      <c r="C26" s="9">
        <v>8.3759999999999998E-10</v>
      </c>
      <c r="D26" s="8" t="s">
        <v>645</v>
      </c>
      <c r="E26" s="1">
        <v>21</v>
      </c>
      <c r="F26" s="1">
        <f t="shared" si="0"/>
        <v>3.3007008598092635E-2</v>
      </c>
      <c r="G26" s="1">
        <f t="shared" si="1"/>
        <v>339398.37120868714</v>
      </c>
      <c r="H26" s="1">
        <f t="shared" si="2"/>
        <v>0</v>
      </c>
      <c r="K26">
        <f>VLOOKUP(B26,Nuclides!A:C,2,FALSE)</f>
        <v>39</v>
      </c>
      <c r="L26">
        <f>VLOOKUP(B26,Nuclides!A:C,3,FALSE)</f>
        <v>28</v>
      </c>
      <c r="O26" s="1">
        <v>26063</v>
      </c>
      <c r="P26" s="1">
        <v>6.9799999999999994E-11</v>
      </c>
      <c r="Q26" t="s">
        <v>586</v>
      </c>
      <c r="R26">
        <v>37</v>
      </c>
      <c r="S26">
        <v>26</v>
      </c>
      <c r="T26">
        <f>VLOOKUP(O26,Nuclides!A:D,4,FALSE)</f>
        <v>6.1</v>
      </c>
    </row>
    <row r="27" spans="2:20" x14ac:dyDescent="0.2">
      <c r="B27" s="8">
        <v>28068</v>
      </c>
      <c r="C27" s="9">
        <v>1.9544000000000002E-9</v>
      </c>
      <c r="D27" s="8" t="s">
        <v>646</v>
      </c>
      <c r="E27" s="1">
        <v>29</v>
      </c>
      <c r="F27" s="1">
        <f t="shared" si="0"/>
        <v>2.3901626915860182E-2</v>
      </c>
      <c r="G27" s="1">
        <f t="shared" si="1"/>
        <v>576070.54226226592</v>
      </c>
      <c r="H27" s="1">
        <f t="shared" si="2"/>
        <v>0</v>
      </c>
      <c r="K27">
        <f>VLOOKUP(B27,Nuclides!A:C,2,FALSE)</f>
        <v>40</v>
      </c>
      <c r="L27">
        <f>VLOOKUP(B27,Nuclides!A:C,3,FALSE)</f>
        <v>28</v>
      </c>
      <c r="O27" s="1">
        <v>26064</v>
      </c>
      <c r="P27" s="1">
        <v>1.3959999999999999E-10</v>
      </c>
      <c r="Q27" t="s">
        <v>587</v>
      </c>
      <c r="R27">
        <v>38</v>
      </c>
      <c r="S27">
        <v>26</v>
      </c>
      <c r="T27">
        <f>VLOOKUP(O27,Nuclides!A:D,4,FALSE)</f>
        <v>2</v>
      </c>
    </row>
    <row r="28" spans="2:20" x14ac:dyDescent="0.2">
      <c r="B28" s="8">
        <v>29057</v>
      </c>
      <c r="C28" s="9">
        <v>3.3503999999999999E-9</v>
      </c>
      <c r="D28" s="8" t="s">
        <v>661</v>
      </c>
      <c r="E28" s="1">
        <v>0.1963</v>
      </c>
      <c r="F28" s="1">
        <f t="shared" si="0"/>
        <v>3.5310605224653351</v>
      </c>
      <c r="G28" s="1">
        <f t="shared" si="1"/>
        <v>40588964.584443182</v>
      </c>
      <c r="H28" s="1">
        <f t="shared" si="2"/>
        <v>0</v>
      </c>
      <c r="K28">
        <f>VLOOKUP(B28,Nuclides!A:C,2,FALSE)</f>
        <v>28</v>
      </c>
      <c r="L28">
        <f>VLOOKUP(B28,Nuclides!A:C,3,FALSE)</f>
        <v>29</v>
      </c>
      <c r="O28" s="1">
        <v>27053</v>
      </c>
      <c r="P28" s="1">
        <v>2.094E-10</v>
      </c>
      <c r="Q28" t="s">
        <v>601</v>
      </c>
      <c r="R28">
        <v>26</v>
      </c>
      <c r="S28">
        <v>27</v>
      </c>
      <c r="T28">
        <f>VLOOKUP(O28,Nuclides!A:D,4,FALSE)</f>
        <v>0.24</v>
      </c>
    </row>
    <row r="29" spans="2:20" x14ac:dyDescent="0.2">
      <c r="B29" s="8">
        <v>29058</v>
      </c>
      <c r="C29" s="9">
        <v>1.04002E-8</v>
      </c>
      <c r="D29" s="8" t="s">
        <v>662</v>
      </c>
      <c r="E29" s="1">
        <v>3.2040000000000002</v>
      </c>
      <c r="F29" s="1">
        <f t="shared" si="0"/>
        <v>0.21633807133581312</v>
      </c>
      <c r="G29" s="1">
        <f t="shared" si="1"/>
        <v>25249838.111062746</v>
      </c>
      <c r="H29" s="1">
        <f t="shared" si="2"/>
        <v>0</v>
      </c>
      <c r="K29">
        <f>VLOOKUP(B29,Nuclides!A:C,2,FALSE)</f>
        <v>29</v>
      </c>
      <c r="L29">
        <f>VLOOKUP(B29,Nuclides!A:C,3,FALSE)</f>
        <v>29</v>
      </c>
      <c r="O29" s="1">
        <v>27054</v>
      </c>
      <c r="P29" s="1">
        <v>6.9799999999999997E-10</v>
      </c>
      <c r="Q29" t="s">
        <v>602</v>
      </c>
      <c r="R29">
        <v>27</v>
      </c>
      <c r="S29">
        <v>27</v>
      </c>
      <c r="T29">
        <f>VLOOKUP(O29,Nuclides!A:D,4,FALSE)</f>
        <v>0.193</v>
      </c>
    </row>
    <row r="30" spans="2:20" x14ac:dyDescent="0.2">
      <c r="B30" s="8">
        <v>29059</v>
      </c>
      <c r="C30" s="9">
        <v>9.4928000000000001E-9</v>
      </c>
      <c r="D30" s="8" t="s">
        <v>663</v>
      </c>
      <c r="E30" s="1">
        <v>81.5</v>
      </c>
      <c r="F30" s="1">
        <f t="shared" si="0"/>
        <v>8.504873381103624E-3</v>
      </c>
      <c r="G30" s="1">
        <f t="shared" si="1"/>
        <v>1003301.052324677</v>
      </c>
      <c r="H30" s="1">
        <f t="shared" si="2"/>
        <v>0</v>
      </c>
      <c r="K30">
        <f>VLOOKUP(B30,Nuclides!A:C,2,FALSE)</f>
        <v>30</v>
      </c>
      <c r="L30">
        <f>VLOOKUP(B30,Nuclides!A:C,3,FALSE)</f>
        <v>29</v>
      </c>
      <c r="O30" s="1">
        <v>27055</v>
      </c>
      <c r="P30" s="1">
        <v>8.3759999999999998E-10</v>
      </c>
      <c r="Q30" t="s">
        <v>603</v>
      </c>
      <c r="R30">
        <v>28</v>
      </c>
      <c r="S30">
        <v>27</v>
      </c>
      <c r="T30">
        <f>VLOOKUP(O30,Nuclides!A:D,4,FALSE)</f>
        <v>63108</v>
      </c>
    </row>
    <row r="31" spans="2:20" x14ac:dyDescent="0.2">
      <c r="B31" s="8">
        <v>29060</v>
      </c>
      <c r="C31" s="9">
        <v>1.26338E-8</v>
      </c>
      <c r="D31" s="8" t="s">
        <v>664</v>
      </c>
      <c r="E31" s="1">
        <v>1422</v>
      </c>
      <c r="F31" s="1">
        <f t="shared" si="0"/>
        <v>4.8744527465537644E-4</v>
      </c>
      <c r="G31" s="1">
        <f t="shared" si="1"/>
        <v>76836.6823042982</v>
      </c>
      <c r="H31" s="1">
        <f t="shared" si="2"/>
        <v>0</v>
      </c>
      <c r="K31">
        <f>VLOOKUP(B31,Nuclides!A:C,2,FALSE)</f>
        <v>31</v>
      </c>
      <c r="L31">
        <f>VLOOKUP(B31,Nuclides!A:C,3,FALSE)</f>
        <v>29</v>
      </c>
      <c r="O31" s="1">
        <v>27056</v>
      </c>
      <c r="P31" s="1">
        <v>1.3959999999999999E-9</v>
      </c>
      <c r="Q31" t="s">
        <v>604</v>
      </c>
      <c r="R31">
        <v>29</v>
      </c>
      <c r="S31">
        <v>27</v>
      </c>
      <c r="T31">
        <f>VLOOKUP(O31,Nuclides!A:D,4,FALSE)</f>
        <v>6673190.4000000004</v>
      </c>
    </row>
    <row r="32" spans="2:20" x14ac:dyDescent="0.2">
      <c r="B32" s="8">
        <v>29061</v>
      </c>
      <c r="C32" s="9">
        <v>6.4216000000000002E-9</v>
      </c>
      <c r="D32" s="8" t="s">
        <v>665</v>
      </c>
      <c r="E32" s="1">
        <v>12020.4</v>
      </c>
      <c r="F32" s="1">
        <f t="shared" si="0"/>
        <v>5.7664235845724375E-5</v>
      </c>
      <c r="G32" s="1">
        <f t="shared" si="1"/>
        <v>4621.1690388280831</v>
      </c>
      <c r="H32" s="1">
        <f t="shared" si="2"/>
        <v>0</v>
      </c>
      <c r="K32">
        <f>VLOOKUP(B32,Nuclides!A:C,2,FALSE)</f>
        <v>32</v>
      </c>
      <c r="L32">
        <f>VLOOKUP(B32,Nuclides!A:C,3,FALSE)</f>
        <v>29</v>
      </c>
      <c r="O32" s="1">
        <v>27057</v>
      </c>
      <c r="P32" s="1">
        <v>6.2819999999999996E-10</v>
      </c>
      <c r="Q32" t="s">
        <v>605</v>
      </c>
      <c r="R32">
        <v>30</v>
      </c>
      <c r="S32">
        <v>27</v>
      </c>
      <c r="T32">
        <f>VLOOKUP(O32,Nuclides!A:D,4,FALSE)</f>
        <v>23478336</v>
      </c>
    </row>
    <row r="33" spans="2:20" x14ac:dyDescent="0.2">
      <c r="B33" s="8">
        <v>29062</v>
      </c>
      <c r="C33" s="9">
        <v>5.4443999999999999E-9</v>
      </c>
      <c r="D33" s="8" t="s">
        <v>666</v>
      </c>
      <c r="E33" s="1">
        <v>580.38</v>
      </c>
      <c r="F33" s="1">
        <f t="shared" si="0"/>
        <v>1.1942988741168636E-3</v>
      </c>
      <c r="G33" s="1">
        <f t="shared" si="1"/>
        <v>81099.526885702086</v>
      </c>
      <c r="H33" s="1">
        <f t="shared" si="2"/>
        <v>0</v>
      </c>
      <c r="K33">
        <f>VLOOKUP(B33,Nuclides!A:C,2,FALSE)</f>
        <v>33</v>
      </c>
      <c r="L33">
        <f>VLOOKUP(B33,Nuclides!A:C,3,FALSE)</f>
        <v>29</v>
      </c>
      <c r="O33" s="1">
        <v>27058</v>
      </c>
      <c r="P33" s="1">
        <v>8.3759999999999998E-10</v>
      </c>
      <c r="Q33" t="s">
        <v>606</v>
      </c>
      <c r="R33">
        <v>31</v>
      </c>
      <c r="S33">
        <v>27</v>
      </c>
      <c r="T33">
        <f>VLOOKUP(O33,Nuclides!A:D,4,FALSE)</f>
        <v>6122304</v>
      </c>
    </row>
    <row r="34" spans="2:20" x14ac:dyDescent="0.2">
      <c r="B34" s="8">
        <v>29064</v>
      </c>
      <c r="C34" s="9">
        <v>1.2563999999999999E-9</v>
      </c>
      <c r="D34" s="8" t="s">
        <v>668</v>
      </c>
      <c r="E34" s="1">
        <v>45723.6</v>
      </c>
      <c r="F34" s="1">
        <f t="shared" si="0"/>
        <v>1.5159505825436871E-5</v>
      </c>
      <c r="G34" s="1">
        <f t="shared" si="1"/>
        <v>237.69730923409179</v>
      </c>
      <c r="H34" s="1">
        <f t="shared" si="2"/>
        <v>5.6595902754040698E-206</v>
      </c>
      <c r="K34">
        <f>VLOOKUP(B34,Nuclides!A:C,2,FALSE)</f>
        <v>35</v>
      </c>
      <c r="L34">
        <f>VLOOKUP(B34,Nuclides!A:C,3,FALSE)</f>
        <v>29</v>
      </c>
      <c r="O34" s="1">
        <v>27059</v>
      </c>
      <c r="P34" s="1">
        <v>3.4899999999999998E-10</v>
      </c>
      <c r="Q34" t="s">
        <v>607</v>
      </c>
      <c r="R34">
        <v>32</v>
      </c>
      <c r="S34">
        <v>27</v>
      </c>
      <c r="T34" t="str">
        <f>VLOOKUP(O34,Nuclides!A:D,4,FALSE)</f>
        <v>STABLE</v>
      </c>
    </row>
    <row r="35" spans="2:20" x14ac:dyDescent="0.2">
      <c r="B35" s="8">
        <v>29066</v>
      </c>
      <c r="C35" s="9">
        <v>1.3959999999999999E-10</v>
      </c>
      <c r="D35" s="8" t="s">
        <v>670</v>
      </c>
      <c r="E35" s="1">
        <v>307.2</v>
      </c>
      <c r="F35" s="1">
        <f t="shared" si="0"/>
        <v>2.2563384783852386E-3</v>
      </c>
      <c r="G35" s="1">
        <f t="shared" si="1"/>
        <v>3926.579435744095</v>
      </c>
      <c r="H35" s="1">
        <f t="shared" si="2"/>
        <v>0</v>
      </c>
      <c r="K35">
        <f>VLOOKUP(B35,Nuclides!A:C,2,FALSE)</f>
        <v>37</v>
      </c>
      <c r="L35">
        <f>VLOOKUP(B35,Nuclides!A:C,3,FALSE)</f>
        <v>29</v>
      </c>
      <c r="O35" s="1">
        <v>27060</v>
      </c>
      <c r="P35" s="1">
        <v>1.3959999999999999E-10</v>
      </c>
      <c r="Q35" t="s">
        <v>608</v>
      </c>
      <c r="R35">
        <v>33</v>
      </c>
      <c r="S35">
        <v>27</v>
      </c>
      <c r="T35">
        <f>VLOOKUP(O35,Nuclides!A:D,4,FALSE)</f>
        <v>166344192</v>
      </c>
    </row>
    <row r="36" spans="2:20" x14ac:dyDescent="0.2">
      <c r="B36" s="8">
        <v>29067</v>
      </c>
      <c r="C36" s="9">
        <v>6.9799999999999994E-11</v>
      </c>
      <c r="D36" s="8" t="s">
        <v>671</v>
      </c>
      <c r="E36" s="1">
        <v>222588</v>
      </c>
      <c r="F36" s="1">
        <f t="shared" si="0"/>
        <v>3.1140366082625535E-6</v>
      </c>
      <c r="G36" s="1">
        <f t="shared" si="1"/>
        <v>2.7126455219814356</v>
      </c>
      <c r="H36" s="1">
        <f t="shared" si="2"/>
        <v>6.0789068576298762E-43</v>
      </c>
      <c r="K36">
        <f>VLOOKUP(B36,Nuclides!A:C,2,FALSE)</f>
        <v>38</v>
      </c>
      <c r="L36">
        <f>VLOOKUP(B36,Nuclides!A:C,3,FALSE)</f>
        <v>29</v>
      </c>
      <c r="O36" s="1">
        <v>27062</v>
      </c>
      <c r="P36" s="1">
        <v>6.9799999999999994E-11</v>
      </c>
      <c r="Q36" t="s">
        <v>610</v>
      </c>
      <c r="R36">
        <v>35</v>
      </c>
      <c r="S36">
        <v>27</v>
      </c>
      <c r="T36">
        <f>VLOOKUP(O36,Nuclides!A:D,4,FALSE)</f>
        <v>90</v>
      </c>
    </row>
    <row r="37" spans="2:20" x14ac:dyDescent="0.2">
      <c r="B37" s="8">
        <v>29068</v>
      </c>
      <c r="C37" s="9">
        <v>2.094E-10</v>
      </c>
      <c r="D37" s="8" t="s">
        <v>672</v>
      </c>
      <c r="E37" s="1">
        <v>30.9</v>
      </c>
      <c r="F37" s="1">
        <f t="shared" si="0"/>
        <v>2.2431947590936741E-2</v>
      </c>
      <c r="G37" s="1">
        <f t="shared" si="1"/>
        <v>57969.067502197533</v>
      </c>
      <c r="H37" s="1">
        <f t="shared" si="2"/>
        <v>0</v>
      </c>
      <c r="K37">
        <f>VLOOKUP(B37,Nuclides!A:C,2,FALSE)</f>
        <v>39</v>
      </c>
      <c r="L37">
        <f>VLOOKUP(B37,Nuclides!A:C,3,FALSE)</f>
        <v>29</v>
      </c>
      <c r="O37" s="1">
        <v>28053</v>
      </c>
      <c r="P37" s="1">
        <v>6.9799999999999994E-11</v>
      </c>
      <c r="Q37" t="s">
        <v>631</v>
      </c>
      <c r="R37">
        <v>25</v>
      </c>
      <c r="S37">
        <v>28</v>
      </c>
      <c r="T37">
        <f>VLOOKUP(O37,Nuclides!A:D,4,FALSE)</f>
        <v>5.5199999999999999E-2</v>
      </c>
    </row>
    <row r="38" spans="2:20" x14ac:dyDescent="0.2">
      <c r="B38" s="8">
        <v>29069</v>
      </c>
      <c r="C38" s="9">
        <v>5.5839999999999995E-10</v>
      </c>
      <c r="D38" s="8" t="s">
        <v>673</v>
      </c>
      <c r="E38" s="1">
        <v>171</v>
      </c>
      <c r="F38" s="1">
        <f t="shared" si="0"/>
        <v>4.0534922839762884E-3</v>
      </c>
      <c r="G38" s="1">
        <f t="shared" si="1"/>
        <v>28190.932277142412</v>
      </c>
      <c r="H38" s="1">
        <f t="shared" si="2"/>
        <v>0</v>
      </c>
      <c r="K38">
        <f>VLOOKUP(B38,Nuclides!A:C,2,FALSE)</f>
        <v>40</v>
      </c>
      <c r="L38">
        <f>VLOOKUP(B38,Nuclides!A:C,3,FALSE)</f>
        <v>29</v>
      </c>
      <c r="O38" s="1">
        <v>28054</v>
      </c>
      <c r="P38" s="1">
        <v>3.4899999999999998E-10</v>
      </c>
      <c r="Q38" t="s">
        <v>632</v>
      </c>
      <c r="R38">
        <v>26</v>
      </c>
      <c r="S38">
        <v>28</v>
      </c>
      <c r="T38">
        <f>VLOOKUP(O38,Nuclides!A:D,4,FALSE)</f>
        <v>0.1142</v>
      </c>
    </row>
    <row r="39" spans="2:20" x14ac:dyDescent="0.2">
      <c r="B39" s="8">
        <v>29070</v>
      </c>
      <c r="C39" s="9">
        <v>2.094E-9</v>
      </c>
      <c r="D39" s="8" t="s">
        <v>674</v>
      </c>
      <c r="E39" s="1">
        <v>44.5</v>
      </c>
      <c r="F39" s="1">
        <f t="shared" si="0"/>
        <v>1.5576341136178546E-2</v>
      </c>
      <c r="G39" s="1">
        <f t="shared" si="1"/>
        <v>403904.54823316762</v>
      </c>
      <c r="H39" s="1">
        <f t="shared" si="2"/>
        <v>0</v>
      </c>
      <c r="K39">
        <f>VLOOKUP(B39,Nuclides!A:C,2,FALSE)</f>
        <v>41</v>
      </c>
      <c r="L39">
        <f>VLOOKUP(B39,Nuclides!A:C,3,FALSE)</f>
        <v>29</v>
      </c>
      <c r="O39" s="1">
        <v>28055</v>
      </c>
      <c r="P39" s="1">
        <v>6.2819999999999996E-10</v>
      </c>
      <c r="Q39" t="s">
        <v>633</v>
      </c>
      <c r="R39">
        <v>27</v>
      </c>
      <c r="S39">
        <v>28</v>
      </c>
      <c r="T39">
        <f>VLOOKUP(O39,Nuclides!A:D,4,FALSE)</f>
        <v>0.20469999999999999</v>
      </c>
    </row>
    <row r="40" spans="2:20" x14ac:dyDescent="0.2">
      <c r="B40" s="8">
        <v>29071</v>
      </c>
      <c r="C40" s="9">
        <v>6.9102000000000004E-9</v>
      </c>
      <c r="D40" s="8" t="s">
        <v>675</v>
      </c>
      <c r="E40" s="1">
        <v>19.399999999999999</v>
      </c>
      <c r="F40" s="1">
        <f t="shared" si="0"/>
        <v>3.5729236111337388E-2</v>
      </c>
      <c r="G40" s="1">
        <f t="shared" si="1"/>
        <v>3026868.3262846312</v>
      </c>
      <c r="H40" s="1">
        <f t="shared" si="2"/>
        <v>0</v>
      </c>
      <c r="K40">
        <f>VLOOKUP(B40,Nuclides!A:C,2,FALSE)</f>
        <v>42</v>
      </c>
      <c r="L40">
        <f>VLOOKUP(B40,Nuclides!A:C,3,FALSE)</f>
        <v>29</v>
      </c>
      <c r="O40" s="1">
        <v>28056</v>
      </c>
      <c r="P40" s="1">
        <v>1.1866E-9</v>
      </c>
      <c r="Q40" t="s">
        <v>634</v>
      </c>
      <c r="R40">
        <v>28</v>
      </c>
      <c r="S40">
        <v>28</v>
      </c>
      <c r="T40">
        <f>VLOOKUP(O40,Nuclides!A:D,4,FALSE)</f>
        <v>524880</v>
      </c>
    </row>
    <row r="41" spans="2:20" x14ac:dyDescent="0.2">
      <c r="B41" s="8">
        <v>29072</v>
      </c>
      <c r="C41" s="9">
        <v>1.10284E-8</v>
      </c>
      <c r="D41" s="8" t="s">
        <v>676</v>
      </c>
      <c r="E41" s="1">
        <v>6.63</v>
      </c>
      <c r="F41" s="1">
        <f t="shared" si="0"/>
        <v>0.10454708605730699</v>
      </c>
      <c r="G41" s="1">
        <f t="shared" si="1"/>
        <v>13662641.879233522</v>
      </c>
      <c r="H41" s="1">
        <f t="shared" si="2"/>
        <v>0</v>
      </c>
      <c r="K41">
        <f>VLOOKUP(B41,Nuclides!A:C,2,FALSE)</f>
        <v>43</v>
      </c>
      <c r="L41">
        <f>VLOOKUP(B41,Nuclides!A:C,3,FALSE)</f>
        <v>29</v>
      </c>
      <c r="O41" s="1">
        <v>28057</v>
      </c>
      <c r="P41" s="1">
        <v>3.1409999999999998E-9</v>
      </c>
      <c r="Q41" t="s">
        <v>635</v>
      </c>
      <c r="R41">
        <v>29</v>
      </c>
      <c r="S41">
        <v>28</v>
      </c>
      <c r="T41">
        <f>VLOOKUP(O41,Nuclides!A:D,4,FALSE)</f>
        <v>128160</v>
      </c>
    </row>
    <row r="42" spans="2:20" x14ac:dyDescent="0.2">
      <c r="B42" s="8">
        <v>29073</v>
      </c>
      <c r="C42" s="9">
        <v>2.8897200000000001E-8</v>
      </c>
      <c r="D42" s="8" t="s">
        <v>677</v>
      </c>
      <c r="E42" s="1">
        <v>4.2</v>
      </c>
      <c r="F42" s="1">
        <f t="shared" si="0"/>
        <v>0.16503504299046315</v>
      </c>
      <c r="G42" s="1">
        <f t="shared" si="1"/>
        <v>54865882.080877818</v>
      </c>
      <c r="H42" s="1">
        <f t="shared" si="2"/>
        <v>0</v>
      </c>
      <c r="K42">
        <f>VLOOKUP(B42,Nuclides!A:C,2,FALSE)</f>
        <v>44</v>
      </c>
      <c r="L42">
        <f>VLOOKUP(B42,Nuclides!A:C,3,FALSE)</f>
        <v>29</v>
      </c>
      <c r="O42" s="1">
        <v>28058</v>
      </c>
      <c r="P42" s="1">
        <v>3.8389999999999997E-9</v>
      </c>
      <c r="Q42" t="s">
        <v>636</v>
      </c>
      <c r="R42">
        <v>30</v>
      </c>
      <c r="S42">
        <v>28</v>
      </c>
      <c r="T42" t="str">
        <f>VLOOKUP(O42,Nuclides!A:D,4,FALSE)</f>
        <v>STABLE</v>
      </c>
    </row>
    <row r="43" spans="2:20" x14ac:dyDescent="0.2">
      <c r="B43" s="8">
        <v>30057</v>
      </c>
      <c r="C43" s="9">
        <v>2.3313199999999999E-8</v>
      </c>
      <c r="D43" s="8" t="s">
        <v>690</v>
      </c>
      <c r="E43" s="1">
        <v>3.7999999999999999E-2</v>
      </c>
      <c r="F43" s="1">
        <f t="shared" si="0"/>
        <v>18.240715277893297</v>
      </c>
      <c r="G43" s="1">
        <f t="shared" si="1"/>
        <v>290948732.51683152</v>
      </c>
      <c r="H43" s="1">
        <f t="shared" si="2"/>
        <v>0</v>
      </c>
      <c r="K43">
        <f>VLOOKUP(B43,Nuclides!A:C,2,FALSE)</f>
        <v>27</v>
      </c>
      <c r="L43">
        <f>VLOOKUP(B43,Nuclides!A:C,3,FALSE)</f>
        <v>30</v>
      </c>
      <c r="O43" s="1">
        <v>28059</v>
      </c>
      <c r="P43" s="1">
        <v>5.4443999999999999E-9</v>
      </c>
      <c r="Q43" t="s">
        <v>637</v>
      </c>
      <c r="R43">
        <v>31</v>
      </c>
      <c r="S43">
        <v>28</v>
      </c>
      <c r="T43">
        <f>VLOOKUP(O43,Nuclides!A:D,4,FALSE)</f>
        <v>2398377600000</v>
      </c>
    </row>
    <row r="44" spans="2:20" x14ac:dyDescent="0.2">
      <c r="B44" s="8">
        <v>30058</v>
      </c>
      <c r="C44" s="9">
        <v>2.7082399999999999E-8</v>
      </c>
      <c r="D44" s="8" t="s">
        <v>691</v>
      </c>
      <c r="E44" s="1">
        <v>8.5999999999999993E-2</v>
      </c>
      <c r="F44" s="1">
        <f t="shared" si="0"/>
        <v>8.0598509367435511</v>
      </c>
      <c r="G44" s="1">
        <f t="shared" si="1"/>
        <v>337881556.50162518</v>
      </c>
      <c r="H44" s="1">
        <f t="shared" si="2"/>
        <v>0</v>
      </c>
      <c r="K44">
        <f>VLOOKUP(B44,Nuclides!A:C,2,FALSE)</f>
        <v>28</v>
      </c>
      <c r="L44">
        <f>VLOOKUP(B44,Nuclides!A:C,3,FALSE)</f>
        <v>30</v>
      </c>
      <c r="O44" s="1">
        <v>28060</v>
      </c>
      <c r="P44" s="1">
        <v>3.7691999999999998E-9</v>
      </c>
      <c r="Q44" t="s">
        <v>638</v>
      </c>
      <c r="R44">
        <v>32</v>
      </c>
      <c r="S44">
        <v>28</v>
      </c>
      <c r="T44" t="str">
        <f>VLOOKUP(O44,Nuclides!A:D,4,FALSE)</f>
        <v>STABLE</v>
      </c>
    </row>
    <row r="45" spans="2:20" x14ac:dyDescent="0.2">
      <c r="B45" s="8">
        <v>30059</v>
      </c>
      <c r="C45" s="9">
        <v>1.1167999999999999E-8</v>
      </c>
      <c r="D45" s="8" t="s">
        <v>692</v>
      </c>
      <c r="E45" s="1">
        <v>0.182</v>
      </c>
      <c r="F45" s="1">
        <f t="shared" si="0"/>
        <v>3.8085009920876116</v>
      </c>
      <c r="G45" s="1">
        <f t="shared" si="1"/>
        <v>136285070.41926795</v>
      </c>
      <c r="H45" s="1">
        <f t="shared" si="2"/>
        <v>0</v>
      </c>
      <c r="K45">
        <f>VLOOKUP(B45,Nuclides!A:C,2,FALSE)</f>
        <v>29</v>
      </c>
      <c r="L45">
        <f>VLOOKUP(B45,Nuclides!A:C,3,FALSE)</f>
        <v>30</v>
      </c>
      <c r="O45" s="1">
        <v>28061</v>
      </c>
      <c r="P45" s="1">
        <v>2.7919999999999999E-9</v>
      </c>
      <c r="Q45" t="s">
        <v>639</v>
      </c>
      <c r="R45">
        <v>33</v>
      </c>
      <c r="S45">
        <v>28</v>
      </c>
      <c r="T45" t="str">
        <f>VLOOKUP(O45,Nuclides!A:D,4,FALSE)</f>
        <v>STABLE</v>
      </c>
    </row>
    <row r="46" spans="2:20" x14ac:dyDescent="0.2">
      <c r="B46" s="8">
        <v>30060</v>
      </c>
      <c r="C46" s="9">
        <v>8.5155999999999998E-9</v>
      </c>
      <c r="D46" s="8" t="s">
        <v>693</v>
      </c>
      <c r="E46" s="1">
        <v>142.79999999999899</v>
      </c>
      <c r="F46" s="1">
        <f t="shared" si="0"/>
        <v>4.8539718526607158E-3</v>
      </c>
      <c r="G46" s="1">
        <f t="shared" si="1"/>
        <v>514604.39619082649</v>
      </c>
      <c r="H46" s="1">
        <f t="shared" si="2"/>
        <v>0</v>
      </c>
      <c r="K46">
        <f>VLOOKUP(B46,Nuclides!A:C,2,FALSE)</f>
        <v>30</v>
      </c>
      <c r="L46">
        <f>VLOOKUP(B46,Nuclides!A:C,3,FALSE)</f>
        <v>30</v>
      </c>
      <c r="O46" s="1">
        <v>28062</v>
      </c>
      <c r="P46" s="1">
        <v>9.772000000000001E-10</v>
      </c>
      <c r="Q46" t="s">
        <v>640</v>
      </c>
      <c r="R46">
        <v>34</v>
      </c>
      <c r="S46">
        <v>28</v>
      </c>
      <c r="T46" t="str">
        <f>VLOOKUP(O46,Nuclides!A:D,4,FALSE)</f>
        <v>STABLE</v>
      </c>
    </row>
    <row r="47" spans="2:20" x14ac:dyDescent="0.2">
      <c r="B47" s="8">
        <v>30061</v>
      </c>
      <c r="C47" s="9">
        <v>3.1409999999999998E-9</v>
      </c>
      <c r="D47" s="8" t="s">
        <v>694</v>
      </c>
      <c r="E47" s="1">
        <v>89.1</v>
      </c>
      <c r="F47" s="1">
        <f t="shared" si="0"/>
        <v>7.7794296359140888E-3</v>
      </c>
      <c r="G47" s="1">
        <f t="shared" si="1"/>
        <v>303768.0492380347</v>
      </c>
      <c r="H47" s="1">
        <f t="shared" si="2"/>
        <v>0</v>
      </c>
      <c r="K47">
        <f>VLOOKUP(B47,Nuclides!A:C,2,FALSE)</f>
        <v>31</v>
      </c>
      <c r="L47">
        <f>VLOOKUP(B47,Nuclides!A:C,3,FALSE)</f>
        <v>30</v>
      </c>
      <c r="O47" s="1">
        <v>28063</v>
      </c>
      <c r="P47" s="1">
        <v>9.0739999999999999E-10</v>
      </c>
      <c r="Q47" t="s">
        <v>641</v>
      </c>
      <c r="R47">
        <v>35</v>
      </c>
      <c r="S47">
        <v>28</v>
      </c>
      <c r="T47">
        <f>VLOOKUP(O47,Nuclides!A:D,4,FALSE)</f>
        <v>3193629120</v>
      </c>
    </row>
    <row r="48" spans="2:20" x14ac:dyDescent="0.2">
      <c r="B48" s="8">
        <v>30062</v>
      </c>
      <c r="C48" s="9">
        <v>2.3034000000000001E-9</v>
      </c>
      <c r="D48" s="8" t="s">
        <v>695</v>
      </c>
      <c r="E48" s="1">
        <v>33069.599999999999</v>
      </c>
      <c r="F48" s="1">
        <f t="shared" si="0"/>
        <v>2.0960252938044166E-5</v>
      </c>
      <c r="G48" s="1">
        <f t="shared" si="1"/>
        <v>602.52617121307878</v>
      </c>
      <c r="H48" s="1">
        <f t="shared" si="2"/>
        <v>5.1312328464808024E-285</v>
      </c>
      <c r="K48">
        <f>VLOOKUP(B48,Nuclides!A:C,2,FALSE)</f>
        <v>32</v>
      </c>
      <c r="L48">
        <f>VLOOKUP(B48,Nuclides!A:C,3,FALSE)</f>
        <v>30</v>
      </c>
      <c r="O48" s="1">
        <v>28064</v>
      </c>
      <c r="P48" s="1">
        <v>6.9799999999999994E-11</v>
      </c>
      <c r="Q48" t="s">
        <v>642</v>
      </c>
      <c r="R48">
        <v>36</v>
      </c>
      <c r="S48">
        <v>28</v>
      </c>
      <c r="T48" t="str">
        <f>VLOOKUP(O48,Nuclides!A:D,4,FALSE)</f>
        <v>STABLE</v>
      </c>
    </row>
    <row r="49" spans="2:20" x14ac:dyDescent="0.2">
      <c r="B49" s="8">
        <v>30063</v>
      </c>
      <c r="C49" s="9">
        <v>3.4899999999999998E-10</v>
      </c>
      <c r="D49" s="8" t="s">
        <v>696</v>
      </c>
      <c r="E49" s="1">
        <v>2308.1999999999998</v>
      </c>
      <c r="F49" s="1">
        <f t="shared" si="0"/>
        <v>3.002977127458389E-4</v>
      </c>
      <c r="G49" s="1">
        <f t="shared" si="1"/>
        <v>1307.7563258744392</v>
      </c>
      <c r="H49" s="1">
        <f t="shared" si="2"/>
        <v>0</v>
      </c>
      <c r="K49">
        <f>VLOOKUP(B49,Nuclides!A:C,2,FALSE)</f>
        <v>33</v>
      </c>
      <c r="L49">
        <f>VLOOKUP(B49,Nuclides!A:C,3,FALSE)</f>
        <v>30</v>
      </c>
      <c r="O49" s="1">
        <v>28067</v>
      </c>
      <c r="P49" s="1">
        <v>6.9799999999999994E-11</v>
      </c>
      <c r="Q49" t="s">
        <v>645</v>
      </c>
      <c r="R49">
        <v>39</v>
      </c>
      <c r="S49">
        <v>28</v>
      </c>
      <c r="T49">
        <f>VLOOKUP(O49,Nuclides!A:D,4,FALSE)</f>
        <v>21</v>
      </c>
    </row>
    <row r="50" spans="2:20" x14ac:dyDescent="0.2">
      <c r="B50" s="8">
        <v>30064</v>
      </c>
      <c r="C50" s="9">
        <v>3.4899999999999998E-10</v>
      </c>
      <c r="D50" s="8" t="s">
        <v>697</v>
      </c>
      <c r="E50" s="1">
        <v>2.209032E+28</v>
      </c>
      <c r="F50" s="1">
        <f t="shared" si="0"/>
        <v>3.1377869608043038E-29</v>
      </c>
      <c r="G50" s="1">
        <f t="shared" si="1"/>
        <v>0</v>
      </c>
      <c r="H50" s="1">
        <f t="shared" si="2"/>
        <v>0</v>
      </c>
      <c r="K50">
        <f>VLOOKUP(B50,Nuclides!A:C,2,FALSE)</f>
        <v>34</v>
      </c>
      <c r="L50">
        <f>VLOOKUP(B50,Nuclides!A:C,3,FALSE)</f>
        <v>30</v>
      </c>
      <c r="O50" s="1">
        <v>28068</v>
      </c>
      <c r="P50" s="1">
        <v>4.1879999999999999E-10</v>
      </c>
      <c r="Q50" t="s">
        <v>646</v>
      </c>
      <c r="R50">
        <v>40</v>
      </c>
      <c r="S50">
        <v>28</v>
      </c>
      <c r="T50">
        <f>VLOOKUP(O50,Nuclides!A:D,4,FALSE)</f>
        <v>29</v>
      </c>
    </row>
    <row r="51" spans="2:20" x14ac:dyDescent="0.2">
      <c r="B51" s="8">
        <v>30065</v>
      </c>
      <c r="C51" s="9">
        <v>6.9799999999999994E-11</v>
      </c>
      <c r="D51" s="8" t="s">
        <v>698</v>
      </c>
      <c r="E51" s="1">
        <v>21075552</v>
      </c>
      <c r="F51" s="1">
        <f t="shared" si="0"/>
        <v>3.2888684507999854E-8</v>
      </c>
      <c r="G51" s="1">
        <f t="shared" si="1"/>
        <v>2.8649464185761527E-2</v>
      </c>
      <c r="H51" s="1">
        <f t="shared" si="2"/>
        <v>1.015490851647023E-2</v>
      </c>
      <c r="K51">
        <f>VLOOKUP(B51,Nuclides!A:C,2,FALSE)</f>
        <v>35</v>
      </c>
      <c r="L51">
        <f>VLOOKUP(B51,Nuclides!A:C,3,FALSE)</f>
        <v>30</v>
      </c>
      <c r="O51" s="1">
        <v>29057</v>
      </c>
      <c r="P51" s="1">
        <v>2.094E-9</v>
      </c>
      <c r="Q51" t="s">
        <v>661</v>
      </c>
      <c r="R51">
        <v>28</v>
      </c>
      <c r="S51">
        <v>29</v>
      </c>
      <c r="T51">
        <f>VLOOKUP(O51,Nuclides!A:D,4,FALSE)</f>
        <v>0.1963</v>
      </c>
    </row>
    <row r="52" spans="2:20" x14ac:dyDescent="0.2">
      <c r="B52" s="8">
        <v>30069</v>
      </c>
      <c r="C52" s="9">
        <v>3.4899999999999998E-10</v>
      </c>
      <c r="D52" s="8" t="s">
        <v>702</v>
      </c>
      <c r="E52" s="1">
        <v>3384</v>
      </c>
      <c r="F52" s="1">
        <f t="shared" si="0"/>
        <v>2.0483072711582307E-4</v>
      </c>
      <c r="G52" s="1">
        <f t="shared" si="1"/>
        <v>892.05296551986601</v>
      </c>
      <c r="H52" s="1">
        <f t="shared" si="2"/>
        <v>0</v>
      </c>
      <c r="K52">
        <f>VLOOKUP(B52,Nuclides!A:C,2,FALSE)</f>
        <v>39</v>
      </c>
      <c r="L52">
        <f>VLOOKUP(B52,Nuclides!A:C,3,FALSE)</f>
        <v>30</v>
      </c>
      <c r="O52" s="1">
        <v>29058</v>
      </c>
      <c r="P52" s="1">
        <v>5.1652000000000003E-9</v>
      </c>
      <c r="Q52" t="s">
        <v>662</v>
      </c>
      <c r="R52">
        <v>29</v>
      </c>
      <c r="S52">
        <v>29</v>
      </c>
      <c r="T52">
        <f>VLOOKUP(O52,Nuclides!A:D,4,FALSE)</f>
        <v>3.2040000000000002</v>
      </c>
    </row>
    <row r="53" spans="2:20" x14ac:dyDescent="0.2">
      <c r="B53" s="8">
        <v>30070</v>
      </c>
      <c r="C53" s="9">
        <v>2.0242000000000001E-9</v>
      </c>
      <c r="D53" s="8" t="s">
        <v>703</v>
      </c>
      <c r="E53" s="1">
        <v>7.2582480000000003E+24</v>
      </c>
      <c r="F53" s="1">
        <f t="shared" si="0"/>
        <v>9.5497864024478805E-26</v>
      </c>
      <c r="G53" s="1">
        <f t="shared" si="1"/>
        <v>0</v>
      </c>
      <c r="H53" s="1">
        <f t="shared" si="2"/>
        <v>0</v>
      </c>
      <c r="K53">
        <f>VLOOKUP(B53,Nuclides!A:C,2,FALSE)</f>
        <v>40</v>
      </c>
      <c r="L53">
        <f>VLOOKUP(B53,Nuclides!A:C,3,FALSE)</f>
        <v>30</v>
      </c>
      <c r="O53" s="1">
        <v>29059</v>
      </c>
      <c r="P53" s="1">
        <v>7.8176000000000008E-9</v>
      </c>
      <c r="Q53" t="s">
        <v>663</v>
      </c>
      <c r="R53">
        <v>30</v>
      </c>
      <c r="S53">
        <v>29</v>
      </c>
      <c r="T53">
        <f>VLOOKUP(O53,Nuclides!A:D,4,FALSE)</f>
        <v>81.5</v>
      </c>
    </row>
    <row r="54" spans="2:20" x14ac:dyDescent="0.2">
      <c r="B54" s="8">
        <v>30071</v>
      </c>
      <c r="C54" s="9">
        <v>7.4686000000000005E-9</v>
      </c>
      <c r="D54" s="8" t="s">
        <v>704</v>
      </c>
      <c r="E54" s="1">
        <v>147</v>
      </c>
      <c r="F54" s="1">
        <f t="shared" si="0"/>
        <v>4.7152869425846622E-3</v>
      </c>
      <c r="G54" s="1">
        <f t="shared" si="1"/>
        <v>438468.5040888933</v>
      </c>
      <c r="H54" s="1">
        <f t="shared" si="2"/>
        <v>0</v>
      </c>
      <c r="K54">
        <f>VLOOKUP(B54,Nuclides!A:C,2,FALSE)</f>
        <v>41</v>
      </c>
      <c r="L54">
        <f>VLOOKUP(B54,Nuclides!A:C,3,FALSE)</f>
        <v>30</v>
      </c>
      <c r="O54" s="1">
        <v>29060</v>
      </c>
      <c r="P54" s="1">
        <v>2.0451400000000001E-8</v>
      </c>
      <c r="Q54" t="s">
        <v>664</v>
      </c>
      <c r="R54">
        <v>31</v>
      </c>
      <c r="S54">
        <v>29</v>
      </c>
      <c r="T54">
        <f>VLOOKUP(O54,Nuclides!A:D,4,FALSE)</f>
        <v>1422</v>
      </c>
    </row>
    <row r="55" spans="2:20" x14ac:dyDescent="0.2">
      <c r="B55" s="8">
        <v>30072</v>
      </c>
      <c r="C55" s="9">
        <v>1.9055399999999999E-8</v>
      </c>
      <c r="D55" s="8" t="s">
        <v>705</v>
      </c>
      <c r="E55" s="1">
        <v>167400</v>
      </c>
      <c r="F55" s="1">
        <f t="shared" si="0"/>
        <v>4.1406641610510472E-6</v>
      </c>
      <c r="G55" s="1">
        <f t="shared" si="1"/>
        <v>984.69506929702959</v>
      </c>
      <c r="H55" s="1">
        <f t="shared" si="2"/>
        <v>1.9192645344836846E-54</v>
      </c>
      <c r="K55">
        <f>VLOOKUP(B55,Nuclides!A:C,2,FALSE)</f>
        <v>42</v>
      </c>
      <c r="L55">
        <f>VLOOKUP(B55,Nuclides!A:C,3,FALSE)</f>
        <v>30</v>
      </c>
      <c r="O55" s="1">
        <v>29061</v>
      </c>
      <c r="P55" s="1">
        <v>1.6193600000000001E-8</v>
      </c>
      <c r="Q55" t="s">
        <v>665</v>
      </c>
      <c r="R55">
        <v>32</v>
      </c>
      <c r="S55">
        <v>29</v>
      </c>
      <c r="T55">
        <f>VLOOKUP(O55,Nuclides!A:D,4,FALSE)</f>
        <v>12020.4</v>
      </c>
    </row>
    <row r="56" spans="2:20" x14ac:dyDescent="0.2">
      <c r="B56" s="8">
        <v>30073</v>
      </c>
      <c r="C56" s="9">
        <v>3.7133599999999998E-8</v>
      </c>
      <c r="D56" s="8" t="s">
        <v>706</v>
      </c>
      <c r="E56" s="1">
        <v>23.5</v>
      </c>
      <c r="F56" s="1">
        <f t="shared" si="0"/>
        <v>2.9495624704678522E-2</v>
      </c>
      <c r="G56" s="1">
        <f t="shared" si="1"/>
        <v>13469457.007785376</v>
      </c>
      <c r="H56" s="1">
        <f t="shared" si="2"/>
        <v>0</v>
      </c>
      <c r="K56">
        <f>VLOOKUP(B56,Nuclides!A:C,2,FALSE)</f>
        <v>43</v>
      </c>
      <c r="L56">
        <f>VLOOKUP(B56,Nuclides!A:C,3,FALSE)</f>
        <v>30</v>
      </c>
      <c r="O56" s="1">
        <v>29062</v>
      </c>
      <c r="P56" s="1">
        <v>2.3732E-8</v>
      </c>
      <c r="Q56" t="s">
        <v>666</v>
      </c>
      <c r="R56">
        <v>33</v>
      </c>
      <c r="S56">
        <v>29</v>
      </c>
      <c r="T56">
        <f>VLOOKUP(O56,Nuclides!A:D,4,FALSE)</f>
        <v>580.38</v>
      </c>
    </row>
    <row r="57" spans="2:20" x14ac:dyDescent="0.2">
      <c r="B57" s="8">
        <v>30074</v>
      </c>
      <c r="C57" s="9">
        <v>9.1856800000000002E-8</v>
      </c>
      <c r="D57" s="8" t="s">
        <v>707</v>
      </c>
      <c r="E57" s="1">
        <v>95.6</v>
      </c>
      <c r="F57" s="1">
        <f t="shared" si="0"/>
        <v>7.2504935205015206E-3</v>
      </c>
      <c r="G57" s="1">
        <f t="shared" si="1"/>
        <v>8281709.5014511924</v>
      </c>
      <c r="H57" s="1">
        <f t="shared" si="2"/>
        <v>0</v>
      </c>
      <c r="K57">
        <f>VLOOKUP(B57,Nuclides!A:C,2,FALSE)</f>
        <v>44</v>
      </c>
      <c r="L57">
        <f>VLOOKUP(B57,Nuclides!A:C,3,FALSE)</f>
        <v>30</v>
      </c>
      <c r="O57" s="1">
        <v>29063</v>
      </c>
      <c r="P57" s="1">
        <v>1.10284E-8</v>
      </c>
      <c r="Q57" t="s">
        <v>667</v>
      </c>
      <c r="R57">
        <v>34</v>
      </c>
      <c r="S57">
        <v>29</v>
      </c>
      <c r="T57" t="str">
        <f>VLOOKUP(O57,Nuclides!A:D,4,FALSE)</f>
        <v>STABLE</v>
      </c>
    </row>
    <row r="58" spans="2:20" x14ac:dyDescent="0.2">
      <c r="B58" s="8">
        <v>30075</v>
      </c>
      <c r="C58" s="9">
        <v>1.16845E-7</v>
      </c>
      <c r="D58" s="8" t="s">
        <v>708</v>
      </c>
      <c r="E58" s="1">
        <v>10.199999999999999</v>
      </c>
      <c r="F58" s="1">
        <f t="shared" si="0"/>
        <v>6.7955605937249544E-2</v>
      </c>
      <c r="G58" s="1">
        <f t="shared" si="1"/>
        <v>95802578.210995719</v>
      </c>
      <c r="H58" s="1">
        <f t="shared" si="2"/>
        <v>0</v>
      </c>
      <c r="K58">
        <f>VLOOKUP(B58,Nuclides!A:C,2,FALSE)</f>
        <v>45</v>
      </c>
      <c r="L58">
        <f>VLOOKUP(B58,Nuclides!A:C,3,FALSE)</f>
        <v>30</v>
      </c>
      <c r="O58" s="1">
        <v>29064</v>
      </c>
      <c r="P58" s="1">
        <v>1.0679399999999999E-8</v>
      </c>
      <c r="Q58" t="s">
        <v>668</v>
      </c>
      <c r="R58">
        <v>35</v>
      </c>
      <c r="S58">
        <v>29</v>
      </c>
      <c r="T58">
        <f>VLOOKUP(O58,Nuclides!A:D,4,FALSE)</f>
        <v>45723.6</v>
      </c>
    </row>
    <row r="59" spans="2:20" x14ac:dyDescent="0.2">
      <c r="B59" s="8">
        <v>30076</v>
      </c>
      <c r="C59" s="9">
        <v>2.11354E-7</v>
      </c>
      <c r="D59" s="8" t="s">
        <v>709</v>
      </c>
      <c r="E59" s="1">
        <v>5.7</v>
      </c>
      <c r="F59" s="1">
        <f t="shared" si="0"/>
        <v>0.12160476851928864</v>
      </c>
      <c r="G59" s="1">
        <f t="shared" si="1"/>
        <v>302020958.84699994</v>
      </c>
      <c r="H59" s="1">
        <f t="shared" si="2"/>
        <v>0</v>
      </c>
      <c r="K59">
        <f>VLOOKUP(B59,Nuclides!A:C,2,FALSE)</f>
        <v>46</v>
      </c>
      <c r="L59">
        <f>VLOOKUP(B59,Nuclides!A:C,3,FALSE)</f>
        <v>30</v>
      </c>
      <c r="O59" s="1">
        <v>29065</v>
      </c>
      <c r="P59" s="1">
        <v>3.4900000000000001E-9</v>
      </c>
      <c r="Q59" t="s">
        <v>669</v>
      </c>
      <c r="R59">
        <v>36</v>
      </c>
      <c r="S59">
        <v>29</v>
      </c>
      <c r="T59" t="str">
        <f>VLOOKUP(O59,Nuclides!A:D,4,FALSE)</f>
        <v>STABLE</v>
      </c>
    </row>
    <row r="60" spans="2:20" x14ac:dyDescent="0.2">
      <c r="B60" s="8">
        <v>30077</v>
      </c>
      <c r="C60" s="9">
        <v>1.40158E-7</v>
      </c>
      <c r="D60" s="8" t="s">
        <v>710</v>
      </c>
      <c r="E60" s="1">
        <v>2.08</v>
      </c>
      <c r="F60" s="1">
        <f t="shared" si="0"/>
        <v>0.33324383680766601</v>
      </c>
      <c r="G60" s="1">
        <f t="shared" si="1"/>
        <v>495723274.79402357</v>
      </c>
      <c r="H60" s="1">
        <f t="shared" si="2"/>
        <v>0</v>
      </c>
      <c r="K60">
        <f>VLOOKUP(B60,Nuclides!A:C,2,FALSE)</f>
        <v>47</v>
      </c>
      <c r="L60">
        <f>VLOOKUP(B60,Nuclides!A:C,3,FALSE)</f>
        <v>30</v>
      </c>
      <c r="O60" s="1">
        <v>29066</v>
      </c>
      <c r="P60" s="1">
        <v>1.9544000000000002E-9</v>
      </c>
      <c r="Q60" t="s">
        <v>670</v>
      </c>
      <c r="R60">
        <v>37</v>
      </c>
      <c r="S60">
        <v>29</v>
      </c>
      <c r="T60">
        <f>VLOOKUP(O60,Nuclides!A:D,4,FALSE)</f>
        <v>307.2</v>
      </c>
    </row>
    <row r="61" spans="2:20" x14ac:dyDescent="0.2">
      <c r="B61" s="8">
        <v>30078</v>
      </c>
      <c r="C61" s="9">
        <v>1.3652899999999999E-7</v>
      </c>
      <c r="D61" s="8" t="s">
        <v>711</v>
      </c>
      <c r="E61" s="1">
        <v>1.47</v>
      </c>
      <c r="F61" s="1">
        <f t="shared" si="0"/>
        <v>0.47152869425846616</v>
      </c>
      <c r="G61" s="1">
        <f t="shared" si="1"/>
        <v>640578563.90299404</v>
      </c>
      <c r="H61" s="1">
        <f t="shared" si="2"/>
        <v>0</v>
      </c>
      <c r="K61">
        <f>VLOOKUP(B61,Nuclides!A:C,2,FALSE)</f>
        <v>48</v>
      </c>
      <c r="L61">
        <f>VLOOKUP(B61,Nuclides!A:C,3,FALSE)</f>
        <v>30</v>
      </c>
      <c r="O61" s="1">
        <v>29067</v>
      </c>
      <c r="P61" s="1">
        <v>2.094E-10</v>
      </c>
      <c r="Q61" t="s">
        <v>671</v>
      </c>
      <c r="R61">
        <v>38</v>
      </c>
      <c r="S61">
        <v>29</v>
      </c>
      <c r="T61">
        <f>VLOOKUP(O61,Nuclides!A:D,4,FALSE)</f>
        <v>222588</v>
      </c>
    </row>
    <row r="62" spans="2:20" x14ac:dyDescent="0.2">
      <c r="B62" s="8">
        <v>31062</v>
      </c>
      <c r="C62" s="9">
        <v>5.3466800000000001E-8</v>
      </c>
      <c r="D62" s="8" t="s">
        <v>721</v>
      </c>
      <c r="E62" s="1">
        <v>0.116121</v>
      </c>
      <c r="F62" s="1">
        <f t="shared" si="0"/>
        <v>5.9691802564561556</v>
      </c>
      <c r="G62" s="1">
        <f t="shared" si="1"/>
        <v>665559908.69460011</v>
      </c>
      <c r="H62" s="1">
        <f t="shared" si="2"/>
        <v>0</v>
      </c>
      <c r="K62">
        <f>VLOOKUP(B62,Nuclides!A:C,2,FALSE)</f>
        <v>31</v>
      </c>
      <c r="L62">
        <f>VLOOKUP(B62,Nuclides!A:C,3,FALSE)</f>
        <v>31</v>
      </c>
      <c r="O62" s="1">
        <v>29068</v>
      </c>
      <c r="P62" s="1">
        <v>1.3959999999999999E-10</v>
      </c>
      <c r="Q62" t="s">
        <v>672</v>
      </c>
      <c r="R62">
        <v>39</v>
      </c>
      <c r="S62">
        <v>29</v>
      </c>
      <c r="T62">
        <f>VLOOKUP(O62,Nuclides!A:D,4,FALSE)</f>
        <v>30.9</v>
      </c>
    </row>
    <row r="63" spans="2:20" x14ac:dyDescent="0.2">
      <c r="B63" s="8">
        <v>31063</v>
      </c>
      <c r="C63" s="9">
        <v>3.07818E-8</v>
      </c>
      <c r="D63" s="8" t="s">
        <v>722</v>
      </c>
      <c r="E63" s="1">
        <v>32.4</v>
      </c>
      <c r="F63" s="1">
        <f t="shared" si="0"/>
        <v>2.1393431498763743E-2</v>
      </c>
      <c r="G63" s="1">
        <f t="shared" si="1"/>
        <v>8131146.8691498348</v>
      </c>
      <c r="H63" s="1">
        <f t="shared" si="2"/>
        <v>0</v>
      </c>
      <c r="K63">
        <f>VLOOKUP(B63,Nuclides!A:C,2,FALSE)</f>
        <v>32</v>
      </c>
      <c r="L63">
        <f>VLOOKUP(B63,Nuclides!A:C,3,FALSE)</f>
        <v>31</v>
      </c>
      <c r="O63" s="1">
        <v>29069</v>
      </c>
      <c r="P63" s="1">
        <v>9.0739999999999999E-10</v>
      </c>
      <c r="Q63" t="s">
        <v>673</v>
      </c>
      <c r="R63">
        <v>40</v>
      </c>
      <c r="S63">
        <v>29</v>
      </c>
      <c r="T63">
        <f>VLOOKUP(O63,Nuclides!A:D,4,FALSE)</f>
        <v>171</v>
      </c>
    </row>
    <row r="64" spans="2:20" x14ac:dyDescent="0.2">
      <c r="B64" s="8">
        <v>31064</v>
      </c>
      <c r="C64" s="9">
        <v>3.6296E-9</v>
      </c>
      <c r="D64" s="8" t="s">
        <v>723</v>
      </c>
      <c r="E64" s="1">
        <v>157.61999999999901</v>
      </c>
      <c r="F64" s="1">
        <f t="shared" si="0"/>
        <v>4.3975839396012536E-3</v>
      </c>
      <c r="G64" s="1">
        <f t="shared" si="1"/>
        <v>198761.79776466973</v>
      </c>
      <c r="H64" s="1">
        <f t="shared" si="2"/>
        <v>0</v>
      </c>
      <c r="K64">
        <f>VLOOKUP(B64,Nuclides!A:C,2,FALSE)</f>
        <v>33</v>
      </c>
      <c r="L64">
        <f>VLOOKUP(B64,Nuclides!A:C,3,FALSE)</f>
        <v>31</v>
      </c>
      <c r="O64" s="1">
        <v>29070</v>
      </c>
      <c r="P64" s="1">
        <v>1.6054000000000001E-9</v>
      </c>
      <c r="Q64" t="s">
        <v>674</v>
      </c>
      <c r="R64">
        <v>41</v>
      </c>
      <c r="S64">
        <v>29</v>
      </c>
      <c r="T64">
        <f>VLOOKUP(O64,Nuclides!A:D,4,FALSE)</f>
        <v>44.5</v>
      </c>
    </row>
    <row r="65" spans="2:20" x14ac:dyDescent="0.2">
      <c r="B65" s="8">
        <v>31065</v>
      </c>
      <c r="C65" s="9">
        <v>3.7691999999999998E-9</v>
      </c>
      <c r="D65" s="8" t="s">
        <v>724</v>
      </c>
      <c r="E65" s="1">
        <v>912</v>
      </c>
      <c r="F65" s="1">
        <f t="shared" si="0"/>
        <v>7.6002980324555401E-4</v>
      </c>
      <c r="G65" s="1">
        <f t="shared" si="1"/>
        <v>35737.927427928655</v>
      </c>
      <c r="H65" s="1">
        <f t="shared" si="2"/>
        <v>0</v>
      </c>
      <c r="K65">
        <f>VLOOKUP(B65,Nuclides!A:C,2,FALSE)</f>
        <v>34</v>
      </c>
      <c r="L65">
        <f>VLOOKUP(B65,Nuclides!A:C,3,FALSE)</f>
        <v>31</v>
      </c>
      <c r="O65" s="1">
        <v>29071</v>
      </c>
      <c r="P65" s="1">
        <v>6.4914000000000001E-9</v>
      </c>
      <c r="Q65" t="s">
        <v>675</v>
      </c>
      <c r="R65">
        <v>42</v>
      </c>
      <c r="S65">
        <v>29</v>
      </c>
      <c r="T65">
        <f>VLOOKUP(O65,Nuclides!A:D,4,FALSE)</f>
        <v>19.399999999999999</v>
      </c>
    </row>
    <row r="66" spans="2:20" x14ac:dyDescent="0.2">
      <c r="B66" s="8">
        <v>31066</v>
      </c>
      <c r="C66" s="9">
        <v>6.9799999999999997E-10</v>
      </c>
      <c r="D66" s="8" t="s">
        <v>725</v>
      </c>
      <c r="E66" s="1">
        <v>34164</v>
      </c>
      <c r="F66" s="1">
        <f t="shared" si="0"/>
        <v>2.0288818070481948E-5</v>
      </c>
      <c r="G66" s="1">
        <f t="shared" si="1"/>
        <v>176.73491288719077</v>
      </c>
      <c r="H66" s="1">
        <f t="shared" si="2"/>
        <v>2.3630896541056672E-276</v>
      </c>
      <c r="K66">
        <f>VLOOKUP(B66,Nuclides!A:C,2,FALSE)</f>
        <v>35</v>
      </c>
      <c r="L66">
        <f>VLOOKUP(B66,Nuclides!A:C,3,FALSE)</f>
        <v>31</v>
      </c>
      <c r="O66" s="1">
        <v>29072</v>
      </c>
      <c r="P66" s="1">
        <v>1.34714E-8</v>
      </c>
      <c r="Q66" t="s">
        <v>676</v>
      </c>
      <c r="R66">
        <v>43</v>
      </c>
      <c r="S66">
        <v>29</v>
      </c>
      <c r="T66">
        <f>VLOOKUP(O66,Nuclides!A:D,4,FALSE)</f>
        <v>6.63</v>
      </c>
    </row>
    <row r="67" spans="2:20" x14ac:dyDescent="0.2">
      <c r="B67" s="8">
        <v>31067</v>
      </c>
      <c r="C67" s="9">
        <v>2.094E-10</v>
      </c>
      <c r="D67" s="8" t="s">
        <v>726</v>
      </c>
      <c r="E67" s="1">
        <v>281810.88</v>
      </c>
      <c r="F67" s="1">
        <f t="shared" si="0"/>
        <v>2.4596182395794844E-6</v>
      </c>
      <c r="G67" s="1">
        <f t="shared" si="1"/>
        <v>6.4277419560174351</v>
      </c>
      <c r="H67" s="1">
        <f t="shared" si="2"/>
        <v>1.3223501480813345E-33</v>
      </c>
      <c r="K67">
        <f>VLOOKUP(B67,Nuclides!A:C,2,FALSE)</f>
        <v>36</v>
      </c>
      <c r="L67">
        <f>VLOOKUP(B67,Nuclides!A:C,3,FALSE)</f>
        <v>31</v>
      </c>
      <c r="O67" s="1">
        <v>29073</v>
      </c>
      <c r="P67" s="1">
        <v>3.7691999999999998E-8</v>
      </c>
      <c r="Q67" t="s">
        <v>677</v>
      </c>
      <c r="R67">
        <v>44</v>
      </c>
      <c r="S67">
        <v>29</v>
      </c>
      <c r="T67">
        <f>VLOOKUP(O67,Nuclides!A:D,4,FALSE)</f>
        <v>4.2</v>
      </c>
    </row>
    <row r="68" spans="2:20" x14ac:dyDescent="0.2">
      <c r="B68" s="8">
        <v>31072</v>
      </c>
      <c r="C68" s="9">
        <v>1.6054000000000001E-9</v>
      </c>
      <c r="D68" s="8" t="s">
        <v>731</v>
      </c>
      <c r="E68" s="1">
        <v>50760</v>
      </c>
      <c r="F68" s="1">
        <f t="shared" ref="F68:F131" si="3">LN(2)/E68</f>
        <v>1.3655381807721538E-5</v>
      </c>
      <c r="G68" s="1">
        <f t="shared" ref="G68:G131" si="4">2*6240000000000000*C68*(1-EXP(-F68))</f>
        <v>273.58905944207584</v>
      </c>
      <c r="H68" s="1">
        <f t="shared" ref="H68:H131" si="5">G68*EXP(-F68*365*24*3600)</f>
        <v>2.5954209340632342E-185</v>
      </c>
      <c r="K68">
        <f>VLOOKUP(B68,Nuclides!A:C,2,FALSE)</f>
        <v>41</v>
      </c>
      <c r="L68">
        <f>VLOOKUP(B68,Nuclides!A:C,3,FALSE)</f>
        <v>31</v>
      </c>
      <c r="O68" s="1">
        <v>30057</v>
      </c>
      <c r="P68" s="1">
        <v>5.07446E-8</v>
      </c>
      <c r="Q68" t="s">
        <v>690</v>
      </c>
      <c r="R68">
        <v>27</v>
      </c>
      <c r="S68">
        <v>30</v>
      </c>
      <c r="T68">
        <f>VLOOKUP(O68,Nuclides!A:D,4,FALSE)</f>
        <v>3.7999999999999999E-2</v>
      </c>
    </row>
    <row r="69" spans="2:20" x14ac:dyDescent="0.2">
      <c r="B69" s="8">
        <v>31073</v>
      </c>
      <c r="C69" s="9">
        <v>6.2819999999999996E-9</v>
      </c>
      <c r="D69" s="8" t="s">
        <v>732</v>
      </c>
      <c r="E69" s="1">
        <v>17496</v>
      </c>
      <c r="F69" s="1">
        <f t="shared" si="3"/>
        <v>3.9617465738451376E-5</v>
      </c>
      <c r="G69" s="1">
        <f t="shared" si="4"/>
        <v>3105.9224339266671</v>
      </c>
      <c r="H69" s="1">
        <f t="shared" si="5"/>
        <v>0</v>
      </c>
      <c r="K69">
        <f>VLOOKUP(B69,Nuclides!A:C,2,FALSE)</f>
        <v>42</v>
      </c>
      <c r="L69">
        <f>VLOOKUP(B69,Nuclides!A:C,3,FALSE)</f>
        <v>31</v>
      </c>
      <c r="O69" s="1">
        <v>30058</v>
      </c>
      <c r="P69" s="1">
        <v>9.4230000000000004E-8</v>
      </c>
      <c r="Q69" t="s">
        <v>691</v>
      </c>
      <c r="R69">
        <v>28</v>
      </c>
      <c r="S69">
        <v>30</v>
      </c>
      <c r="T69">
        <f>VLOOKUP(O69,Nuclides!A:D,4,FALSE)</f>
        <v>8.5999999999999993E-2</v>
      </c>
    </row>
    <row r="70" spans="2:20" x14ac:dyDescent="0.2">
      <c r="B70" s="8">
        <v>31074</v>
      </c>
      <c r="C70" s="9">
        <v>1.7310399999999999E-8</v>
      </c>
      <c r="D70" s="8" t="s">
        <v>733</v>
      </c>
      <c r="E70" s="1">
        <v>487.19999999999902</v>
      </c>
      <c r="F70" s="1">
        <f t="shared" si="3"/>
        <v>1.4227158878488233E-3</v>
      </c>
      <c r="G70" s="1">
        <f t="shared" si="4"/>
        <v>307136.17262763728</v>
      </c>
      <c r="H70" s="1">
        <f t="shared" si="5"/>
        <v>0</v>
      </c>
      <c r="K70">
        <f>VLOOKUP(B70,Nuclides!A:C,2,FALSE)</f>
        <v>43</v>
      </c>
      <c r="L70">
        <f>VLOOKUP(B70,Nuclides!A:C,3,FALSE)</f>
        <v>31</v>
      </c>
      <c r="O70" s="1">
        <v>30059</v>
      </c>
      <c r="P70" s="1">
        <v>6.4913999999999995E-8</v>
      </c>
      <c r="Q70" t="s">
        <v>692</v>
      </c>
      <c r="R70">
        <v>29</v>
      </c>
      <c r="S70">
        <v>30</v>
      </c>
      <c r="T70">
        <f>VLOOKUP(O70,Nuclides!A:D,4,FALSE)</f>
        <v>0.182</v>
      </c>
    </row>
    <row r="71" spans="2:20" x14ac:dyDescent="0.2">
      <c r="B71" s="8">
        <v>31075</v>
      </c>
      <c r="C71" s="9">
        <v>5.2838599999999999E-8</v>
      </c>
      <c r="D71" s="8" t="s">
        <v>734</v>
      </c>
      <c r="E71" s="1">
        <v>126</v>
      </c>
      <c r="F71" s="1">
        <f t="shared" si="3"/>
        <v>5.5011680996821053E-3</v>
      </c>
      <c r="G71" s="1">
        <f t="shared" si="4"/>
        <v>3617651.9997277055</v>
      </c>
      <c r="H71" s="1">
        <f t="shared" si="5"/>
        <v>0</v>
      </c>
      <c r="K71">
        <f>VLOOKUP(B71,Nuclides!A:C,2,FALSE)</f>
        <v>44</v>
      </c>
      <c r="L71">
        <f>VLOOKUP(B71,Nuclides!A:C,3,FALSE)</f>
        <v>31</v>
      </c>
      <c r="O71" s="1">
        <v>30060</v>
      </c>
      <c r="P71" s="1">
        <v>8.3341200000000003E-8</v>
      </c>
      <c r="Q71" t="s">
        <v>693</v>
      </c>
      <c r="R71">
        <v>30</v>
      </c>
      <c r="S71">
        <v>30</v>
      </c>
      <c r="T71">
        <f>VLOOKUP(O71,Nuclides!A:D,4,FALSE)</f>
        <v>142.79999999999899</v>
      </c>
    </row>
    <row r="72" spans="2:20" x14ac:dyDescent="0.2">
      <c r="B72" s="8">
        <v>31076</v>
      </c>
      <c r="C72" s="9">
        <v>1.10354E-7</v>
      </c>
      <c r="D72" s="8" t="s">
        <v>735</v>
      </c>
      <c r="E72" s="1">
        <v>32.6</v>
      </c>
      <c r="F72" s="1">
        <f t="shared" si="3"/>
        <v>2.1262183452759056E-2</v>
      </c>
      <c r="G72" s="1">
        <f t="shared" si="4"/>
        <v>28973548.099002145</v>
      </c>
      <c r="H72" s="1">
        <f t="shared" si="5"/>
        <v>0</v>
      </c>
      <c r="K72">
        <f>VLOOKUP(B72,Nuclides!A:C,2,FALSE)</f>
        <v>45</v>
      </c>
      <c r="L72">
        <f>VLOOKUP(B72,Nuclides!A:C,3,FALSE)</f>
        <v>31</v>
      </c>
      <c r="O72" s="1">
        <v>30061</v>
      </c>
      <c r="P72" s="1">
        <v>3.6505399999999997E-8</v>
      </c>
      <c r="Q72" t="s">
        <v>694</v>
      </c>
      <c r="R72">
        <v>31</v>
      </c>
      <c r="S72">
        <v>30</v>
      </c>
      <c r="T72">
        <f>VLOOKUP(O72,Nuclides!A:D,4,FALSE)</f>
        <v>89.1</v>
      </c>
    </row>
    <row r="73" spans="2:20" x14ac:dyDescent="0.2">
      <c r="B73" s="8">
        <v>31077</v>
      </c>
      <c r="C73" s="9">
        <v>2.8520300000000002E-7</v>
      </c>
      <c r="D73" s="8" t="s">
        <v>736</v>
      </c>
      <c r="E73" s="1">
        <v>13.2</v>
      </c>
      <c r="F73" s="1">
        <f t="shared" si="3"/>
        <v>5.2511150042420102E-2</v>
      </c>
      <c r="G73" s="1">
        <f t="shared" si="4"/>
        <v>182082182.08231616</v>
      </c>
      <c r="H73" s="1">
        <f t="shared" si="5"/>
        <v>0</v>
      </c>
      <c r="K73">
        <f>VLOOKUP(B73,Nuclides!A:C,2,FALSE)</f>
        <v>46</v>
      </c>
      <c r="L73">
        <f>VLOOKUP(B73,Nuclides!A:C,3,FALSE)</f>
        <v>31</v>
      </c>
      <c r="O73" s="1">
        <v>30062</v>
      </c>
      <c r="P73" s="1">
        <v>2.8827399999999999E-8</v>
      </c>
      <c r="Q73" t="s">
        <v>695</v>
      </c>
      <c r="R73">
        <v>32</v>
      </c>
      <c r="S73">
        <v>30</v>
      </c>
      <c r="T73">
        <f>VLOOKUP(O73,Nuclides!A:D,4,FALSE)</f>
        <v>33069.599999999999</v>
      </c>
    </row>
    <row r="74" spans="2:20" x14ac:dyDescent="0.2">
      <c r="B74" s="8">
        <v>31078</v>
      </c>
      <c r="C74" s="9">
        <v>3.1842800000000002E-7</v>
      </c>
      <c r="D74" s="8" t="s">
        <v>737</v>
      </c>
      <c r="E74" s="1">
        <v>5.09</v>
      </c>
      <c r="F74" s="1">
        <f t="shared" si="3"/>
        <v>0.13617822800784779</v>
      </c>
      <c r="G74" s="1">
        <f t="shared" si="4"/>
        <v>505939175.79780906</v>
      </c>
      <c r="H74" s="1">
        <f t="shared" si="5"/>
        <v>0</v>
      </c>
      <c r="K74">
        <f>VLOOKUP(B74,Nuclides!A:C,2,FALSE)</f>
        <v>47</v>
      </c>
      <c r="L74">
        <f>VLOOKUP(B74,Nuclides!A:C,3,FALSE)</f>
        <v>31</v>
      </c>
      <c r="O74" s="1">
        <v>30063</v>
      </c>
      <c r="P74" s="1">
        <v>8.3061999999999993E-9</v>
      </c>
      <c r="Q74" t="s">
        <v>696</v>
      </c>
      <c r="R74">
        <v>33</v>
      </c>
      <c r="S74">
        <v>30</v>
      </c>
      <c r="T74">
        <f>VLOOKUP(O74,Nuclides!A:D,4,FALSE)</f>
        <v>2308.1999999999998</v>
      </c>
    </row>
    <row r="75" spans="2:20" x14ac:dyDescent="0.2">
      <c r="B75" s="8">
        <v>31079</v>
      </c>
      <c r="C75" s="9">
        <v>5.0297900000000005E-7</v>
      </c>
      <c r="D75" s="8" t="s">
        <v>738</v>
      </c>
      <c r="E75" s="1">
        <v>2.847</v>
      </c>
      <c r="F75" s="1">
        <f t="shared" si="3"/>
        <v>0.24346581684578339</v>
      </c>
      <c r="G75" s="1">
        <f t="shared" si="4"/>
        <v>1356458778.2826376</v>
      </c>
      <c r="H75" s="1">
        <f t="shared" si="5"/>
        <v>0</v>
      </c>
      <c r="K75">
        <f>VLOOKUP(B75,Nuclides!A:C,2,FALSE)</f>
        <v>48</v>
      </c>
      <c r="L75">
        <f>VLOOKUP(B75,Nuclides!A:C,3,FALSE)</f>
        <v>31</v>
      </c>
      <c r="O75" s="1">
        <v>30064</v>
      </c>
      <c r="P75" s="1">
        <v>4.5370000000000004E-9</v>
      </c>
      <c r="Q75" t="s">
        <v>697</v>
      </c>
      <c r="R75">
        <v>34</v>
      </c>
      <c r="S75">
        <v>30</v>
      </c>
      <c r="T75">
        <f>VLOOKUP(O75,Nuclides!A:D,4,FALSE)</f>
        <v>2.209032E+28</v>
      </c>
    </row>
    <row r="76" spans="2:20" x14ac:dyDescent="0.2">
      <c r="B76" s="8">
        <v>31080</v>
      </c>
      <c r="C76" s="9">
        <v>2.8764600000000001E-7</v>
      </c>
      <c r="D76" s="8" t="s">
        <v>739</v>
      </c>
      <c r="E76" s="1">
        <v>1.9</v>
      </c>
      <c r="F76" s="1">
        <f t="shared" si="3"/>
        <v>0.36481430555786598</v>
      </c>
      <c r="G76" s="1">
        <f t="shared" si="4"/>
        <v>1097316813.4123392</v>
      </c>
      <c r="H76" s="1">
        <f t="shared" si="5"/>
        <v>0</v>
      </c>
      <c r="K76">
        <f>VLOOKUP(B76,Nuclides!A:C,2,FALSE)</f>
        <v>49</v>
      </c>
      <c r="L76">
        <f>VLOOKUP(B76,Nuclides!A:C,3,FALSE)</f>
        <v>31</v>
      </c>
      <c r="O76" s="1">
        <v>30065</v>
      </c>
      <c r="P76" s="1">
        <v>4.1879999999999999E-10</v>
      </c>
      <c r="Q76" t="s">
        <v>698</v>
      </c>
      <c r="R76">
        <v>35</v>
      </c>
      <c r="S76">
        <v>30</v>
      </c>
      <c r="T76">
        <f>VLOOKUP(O76,Nuclides!A:D,4,FALSE)</f>
        <v>21075552</v>
      </c>
    </row>
    <row r="77" spans="2:20" x14ac:dyDescent="0.2">
      <c r="B77" s="8">
        <v>31081</v>
      </c>
      <c r="C77" s="9">
        <v>2.4779000000000002E-7</v>
      </c>
      <c r="D77" s="8" t="s">
        <v>740</v>
      </c>
      <c r="E77" s="1">
        <v>1.2170000000000001</v>
      </c>
      <c r="F77" s="1">
        <f t="shared" si="3"/>
        <v>0.56955396923578083</v>
      </c>
      <c r="G77" s="1">
        <f t="shared" si="4"/>
        <v>1342797264.0799887</v>
      </c>
      <c r="H77" s="1">
        <f t="shared" si="5"/>
        <v>0</v>
      </c>
      <c r="K77">
        <f>VLOOKUP(B77,Nuclides!A:C,2,FALSE)</f>
        <v>50</v>
      </c>
      <c r="L77">
        <f>VLOOKUP(B77,Nuclides!A:C,3,FALSE)</f>
        <v>31</v>
      </c>
      <c r="O77" s="1">
        <v>30066</v>
      </c>
      <c r="P77" s="1">
        <v>6.9799999999999994E-11</v>
      </c>
      <c r="Q77" t="s">
        <v>699</v>
      </c>
      <c r="R77">
        <v>36</v>
      </c>
      <c r="S77">
        <v>30</v>
      </c>
      <c r="T77" t="str">
        <f>VLOOKUP(O77,Nuclides!A:D,4,FALSE)</f>
        <v>STABLE</v>
      </c>
    </row>
    <row r="78" spans="2:20" x14ac:dyDescent="0.2">
      <c r="B78" s="8">
        <v>31082</v>
      </c>
      <c r="C78" s="9">
        <v>7.7129000000000002E-8</v>
      </c>
      <c r="D78" s="8" t="s">
        <v>741</v>
      </c>
      <c r="E78" s="1">
        <v>0.59899999999999998</v>
      </c>
      <c r="F78" s="1">
        <f t="shared" si="3"/>
        <v>1.1571739241401424</v>
      </c>
      <c r="G78" s="1">
        <f t="shared" si="4"/>
        <v>659963570.72423065</v>
      </c>
      <c r="H78" s="1">
        <f t="shared" si="5"/>
        <v>0</v>
      </c>
      <c r="K78">
        <f>VLOOKUP(B78,Nuclides!A:C,2,FALSE)</f>
        <v>51</v>
      </c>
      <c r="L78">
        <f>VLOOKUP(B78,Nuclides!A:C,3,FALSE)</f>
        <v>31</v>
      </c>
      <c r="O78" s="1">
        <v>30070</v>
      </c>
      <c r="P78" s="1">
        <v>1.3959999999999999E-10</v>
      </c>
      <c r="Q78" t="s">
        <v>703</v>
      </c>
      <c r="R78">
        <v>40</v>
      </c>
      <c r="S78">
        <v>30</v>
      </c>
      <c r="T78">
        <f>VLOOKUP(O78,Nuclides!A:D,4,FALSE)</f>
        <v>7.2582480000000003E+24</v>
      </c>
    </row>
    <row r="79" spans="2:20" x14ac:dyDescent="0.2">
      <c r="B79" s="8">
        <v>31083</v>
      </c>
      <c r="C79" s="9">
        <v>3.9227599999999997E-8</v>
      </c>
      <c r="D79" s="8" t="s">
        <v>742</v>
      </c>
      <c r="E79" s="1">
        <v>0.30809999999999998</v>
      </c>
      <c r="F79" s="1">
        <f t="shared" si="3"/>
        <v>2.2497474214863531</v>
      </c>
      <c r="G79" s="1">
        <f t="shared" si="4"/>
        <v>437948121.88621426</v>
      </c>
      <c r="H79" s="1">
        <f t="shared" si="5"/>
        <v>0</v>
      </c>
      <c r="K79">
        <f>VLOOKUP(B79,Nuclides!A:C,2,FALSE)</f>
        <v>52</v>
      </c>
      <c r="L79">
        <f>VLOOKUP(B79,Nuclides!A:C,3,FALSE)</f>
        <v>31</v>
      </c>
      <c r="O79" s="1">
        <v>30071</v>
      </c>
      <c r="P79" s="1">
        <v>4.1879999999999999E-10</v>
      </c>
      <c r="Q79" t="s">
        <v>704</v>
      </c>
      <c r="R79">
        <v>41</v>
      </c>
      <c r="S79">
        <v>30</v>
      </c>
      <c r="T79">
        <f>VLOOKUP(O79,Nuclides!A:D,4,FALSE)</f>
        <v>147</v>
      </c>
    </row>
    <row r="80" spans="2:20" x14ac:dyDescent="0.2">
      <c r="B80" s="8">
        <v>32061</v>
      </c>
      <c r="C80" s="9">
        <v>1.23546E-8</v>
      </c>
      <c r="D80" s="8" t="s">
        <v>749</v>
      </c>
      <c r="E80" s="1">
        <v>4.3999999999999997E-2</v>
      </c>
      <c r="F80" s="1">
        <f t="shared" si="3"/>
        <v>15.753345012726029</v>
      </c>
      <c r="G80" s="1">
        <f t="shared" si="4"/>
        <v>154185385.79491377</v>
      </c>
      <c r="H80" s="1">
        <f t="shared" si="5"/>
        <v>0</v>
      </c>
      <c r="K80">
        <f>VLOOKUP(B80,Nuclides!A:C,2,FALSE)</f>
        <v>29</v>
      </c>
      <c r="L80">
        <f>VLOOKUP(B80,Nuclides!A:C,3,FALSE)</f>
        <v>32</v>
      </c>
      <c r="O80" s="1">
        <v>30072</v>
      </c>
      <c r="P80" s="1">
        <v>4.8859999999999999E-9</v>
      </c>
      <c r="Q80" t="s">
        <v>705</v>
      </c>
      <c r="R80">
        <v>42</v>
      </c>
      <c r="S80">
        <v>30</v>
      </c>
      <c r="T80">
        <f>VLOOKUP(O80,Nuclides!A:D,4,FALSE)</f>
        <v>167400</v>
      </c>
    </row>
    <row r="81" spans="2:20" x14ac:dyDescent="0.2">
      <c r="B81" s="8">
        <v>32062</v>
      </c>
      <c r="C81" s="9">
        <v>4.6068000000000003E-9</v>
      </c>
      <c r="D81" s="8" t="s">
        <v>750</v>
      </c>
      <c r="E81" s="1">
        <v>0.129</v>
      </c>
      <c r="F81" s="1">
        <f t="shared" si="3"/>
        <v>5.3732339578290329</v>
      </c>
      <c r="G81" s="1">
        <f t="shared" si="4"/>
        <v>57226148.604106374</v>
      </c>
      <c r="H81" s="1">
        <f t="shared" si="5"/>
        <v>0</v>
      </c>
      <c r="K81">
        <f>VLOOKUP(B81,Nuclides!A:C,2,FALSE)</f>
        <v>30</v>
      </c>
      <c r="L81">
        <f>VLOOKUP(B81,Nuclides!A:C,3,FALSE)</f>
        <v>32</v>
      </c>
      <c r="O81" s="1">
        <v>30073</v>
      </c>
      <c r="P81" s="1">
        <v>1.06096E-8</v>
      </c>
      <c r="Q81" t="s">
        <v>706</v>
      </c>
      <c r="R81">
        <v>43</v>
      </c>
      <c r="S81">
        <v>30</v>
      </c>
      <c r="T81">
        <f>VLOOKUP(O81,Nuclides!A:D,4,FALSE)</f>
        <v>23.5</v>
      </c>
    </row>
    <row r="82" spans="2:20" x14ac:dyDescent="0.2">
      <c r="B82" s="8">
        <v>32063</v>
      </c>
      <c r="C82" s="9">
        <v>6.9799999999999997E-10</v>
      </c>
      <c r="D82" s="8" t="s">
        <v>751</v>
      </c>
      <c r="E82" s="1">
        <v>0.15</v>
      </c>
      <c r="F82" s="1">
        <f t="shared" si="3"/>
        <v>4.6209812037329687</v>
      </c>
      <c r="G82" s="1">
        <f t="shared" si="4"/>
        <v>8625296.0729494039</v>
      </c>
      <c r="H82" s="1">
        <f t="shared" si="5"/>
        <v>0</v>
      </c>
      <c r="K82">
        <f>VLOOKUP(B82,Nuclides!A:C,2,FALSE)</f>
        <v>31</v>
      </c>
      <c r="L82">
        <f>VLOOKUP(B82,Nuclides!A:C,3,FALSE)</f>
        <v>32</v>
      </c>
      <c r="O82" s="1">
        <v>30074</v>
      </c>
      <c r="P82" s="1">
        <v>5.2070799999999999E-8</v>
      </c>
      <c r="Q82" t="s">
        <v>707</v>
      </c>
      <c r="R82">
        <v>44</v>
      </c>
      <c r="S82">
        <v>30</v>
      </c>
      <c r="T82">
        <f>VLOOKUP(O82,Nuclides!A:D,4,FALSE)</f>
        <v>95.6</v>
      </c>
    </row>
    <row r="83" spans="2:20" x14ac:dyDescent="0.2">
      <c r="B83" s="8">
        <v>32064</v>
      </c>
      <c r="C83" s="9">
        <v>2.094E-10</v>
      </c>
      <c r="D83" s="8" t="s">
        <v>752</v>
      </c>
      <c r="E83" s="1">
        <v>63.7</v>
      </c>
      <c r="F83" s="1">
        <f t="shared" si="3"/>
        <v>1.0881431405964604E-2</v>
      </c>
      <c r="G83" s="1">
        <f t="shared" si="4"/>
        <v>28282.419600211553</v>
      </c>
      <c r="H83" s="1">
        <f t="shared" si="5"/>
        <v>0</v>
      </c>
      <c r="K83">
        <f>VLOOKUP(B83,Nuclides!A:C,2,FALSE)</f>
        <v>32</v>
      </c>
      <c r="L83">
        <f>VLOOKUP(B83,Nuclides!A:C,3,FALSE)</f>
        <v>32</v>
      </c>
      <c r="O83" s="1">
        <v>30075</v>
      </c>
      <c r="P83" s="1">
        <v>6.7287199999999997E-8</v>
      </c>
      <c r="Q83" t="s">
        <v>708</v>
      </c>
      <c r="R83">
        <v>45</v>
      </c>
      <c r="S83">
        <v>30</v>
      </c>
      <c r="T83">
        <f>VLOOKUP(O83,Nuclides!A:D,4,FALSE)</f>
        <v>10.199999999999999</v>
      </c>
    </row>
    <row r="84" spans="2:20" x14ac:dyDescent="0.2">
      <c r="B84" s="8">
        <v>32075</v>
      </c>
      <c r="C84" s="9">
        <v>2.8897200000000001E-8</v>
      </c>
      <c r="D84" s="8" t="s">
        <v>763</v>
      </c>
      <c r="E84" s="1">
        <v>4966.8</v>
      </c>
      <c r="F84" s="1">
        <f t="shared" si="3"/>
        <v>1.3955608853989394E-4</v>
      </c>
      <c r="G84" s="1">
        <f t="shared" si="4"/>
        <v>50325.585215316307</v>
      </c>
      <c r="H84" s="1">
        <f t="shared" si="5"/>
        <v>0</v>
      </c>
      <c r="K84">
        <f>VLOOKUP(B84,Nuclides!A:C,2,FALSE)</f>
        <v>43</v>
      </c>
      <c r="L84">
        <f>VLOOKUP(B84,Nuclides!A:C,3,FALSE)</f>
        <v>32</v>
      </c>
      <c r="O84" s="1">
        <v>30076</v>
      </c>
      <c r="P84" s="1">
        <v>2.0088399999999999E-7</v>
      </c>
      <c r="Q84" t="s">
        <v>709</v>
      </c>
      <c r="R84">
        <v>46</v>
      </c>
      <c r="S84">
        <v>30</v>
      </c>
      <c r="T84">
        <f>VLOOKUP(O84,Nuclides!A:D,4,FALSE)</f>
        <v>5.7</v>
      </c>
    </row>
    <row r="85" spans="2:20" x14ac:dyDescent="0.2">
      <c r="B85" s="8">
        <v>32077</v>
      </c>
      <c r="C85" s="9">
        <v>2.26012E-7</v>
      </c>
      <c r="D85" s="8" t="s">
        <v>765</v>
      </c>
      <c r="E85" s="1">
        <v>40680</v>
      </c>
      <c r="F85" s="1">
        <f t="shared" si="3"/>
        <v>1.7039016237953423E-5</v>
      </c>
      <c r="G85" s="1">
        <f t="shared" si="4"/>
        <v>48060.346830206698</v>
      </c>
      <c r="H85" s="1">
        <f t="shared" si="5"/>
        <v>2.0746302424831974E-229</v>
      </c>
      <c r="K85">
        <f>VLOOKUP(B85,Nuclides!A:C,2,FALSE)</f>
        <v>45</v>
      </c>
      <c r="L85">
        <f>VLOOKUP(B85,Nuclides!A:C,3,FALSE)</f>
        <v>32</v>
      </c>
      <c r="O85" s="1">
        <v>30077</v>
      </c>
      <c r="P85" s="1">
        <v>1.9606800000000001E-7</v>
      </c>
      <c r="Q85" t="s">
        <v>710</v>
      </c>
      <c r="R85">
        <v>47</v>
      </c>
      <c r="S85">
        <v>30</v>
      </c>
      <c r="T85">
        <f>VLOOKUP(O85,Nuclides!A:D,4,FALSE)</f>
        <v>2.08</v>
      </c>
    </row>
    <row r="86" spans="2:20" x14ac:dyDescent="0.2">
      <c r="B86" s="8">
        <v>32078</v>
      </c>
      <c r="C86" s="9">
        <v>5.51909E-7</v>
      </c>
      <c r="D86" s="8" t="s">
        <v>766</v>
      </c>
      <c r="E86" s="1">
        <v>5280</v>
      </c>
      <c r="F86" s="1">
        <f t="shared" si="3"/>
        <v>1.3127787510605024E-4</v>
      </c>
      <c r="G86" s="1">
        <f t="shared" si="4"/>
        <v>904159.59146014566</v>
      </c>
      <c r="H86" s="1">
        <f t="shared" si="5"/>
        <v>0</v>
      </c>
      <c r="K86">
        <f>VLOOKUP(B86,Nuclides!A:C,2,FALSE)</f>
        <v>46</v>
      </c>
      <c r="L86">
        <f>VLOOKUP(B86,Nuclides!A:C,3,FALSE)</f>
        <v>32</v>
      </c>
      <c r="O86" s="1">
        <v>30078</v>
      </c>
      <c r="P86" s="1">
        <v>3.26106E-7</v>
      </c>
      <c r="Q86" t="s">
        <v>711</v>
      </c>
      <c r="R86">
        <v>48</v>
      </c>
      <c r="S86">
        <v>30</v>
      </c>
      <c r="T86">
        <f>VLOOKUP(O86,Nuclides!A:D,4,FALSE)</f>
        <v>1.47</v>
      </c>
    </row>
    <row r="87" spans="2:20" x14ac:dyDescent="0.2">
      <c r="B87" s="8">
        <v>32079</v>
      </c>
      <c r="C87" s="9">
        <v>9.4229999999999996E-7</v>
      </c>
      <c r="D87" s="8" t="s">
        <v>767</v>
      </c>
      <c r="E87" s="1">
        <v>18.98</v>
      </c>
      <c r="F87" s="1">
        <f t="shared" si="3"/>
        <v>3.651987252686751E-2</v>
      </c>
      <c r="G87" s="1">
        <f t="shared" si="4"/>
        <v>421722695.50768244</v>
      </c>
      <c r="H87" s="1">
        <f t="shared" si="5"/>
        <v>0</v>
      </c>
      <c r="K87">
        <f>VLOOKUP(B87,Nuclides!A:C,2,FALSE)</f>
        <v>47</v>
      </c>
      <c r="L87">
        <f>VLOOKUP(B87,Nuclides!A:C,3,FALSE)</f>
        <v>32</v>
      </c>
      <c r="O87" s="1">
        <v>31062</v>
      </c>
      <c r="P87" s="1">
        <v>2.3850700000000001E-7</v>
      </c>
      <c r="Q87" t="s">
        <v>721</v>
      </c>
      <c r="R87">
        <v>31</v>
      </c>
      <c r="S87">
        <v>31</v>
      </c>
      <c r="T87">
        <f>VLOOKUP(O87,Nuclides!A:D,4,FALSE)</f>
        <v>0.116121</v>
      </c>
    </row>
    <row r="88" spans="2:20" x14ac:dyDescent="0.2">
      <c r="B88" s="8">
        <v>32080</v>
      </c>
      <c r="C88" s="9">
        <v>1.8628899999999999E-6</v>
      </c>
      <c r="D88" s="8" t="s">
        <v>768</v>
      </c>
      <c r="E88" s="1">
        <v>29.5</v>
      </c>
      <c r="F88" s="1">
        <f t="shared" si="3"/>
        <v>2.3496514595252382E-2</v>
      </c>
      <c r="G88" s="1">
        <f t="shared" si="4"/>
        <v>539899628.70243359</v>
      </c>
      <c r="H88" s="1">
        <f t="shared" si="5"/>
        <v>0</v>
      </c>
      <c r="K88">
        <f>VLOOKUP(B88,Nuclides!A:C,2,FALSE)</f>
        <v>48</v>
      </c>
      <c r="L88">
        <f>VLOOKUP(B88,Nuclides!A:C,3,FALSE)</f>
        <v>32</v>
      </c>
      <c r="O88" s="1">
        <v>31063</v>
      </c>
      <c r="P88" s="1">
        <v>2.8429499999999999E-7</v>
      </c>
      <c r="Q88" t="s">
        <v>722</v>
      </c>
      <c r="R88">
        <v>32</v>
      </c>
      <c r="S88">
        <v>31</v>
      </c>
      <c r="T88">
        <f>VLOOKUP(O88,Nuclides!A:D,4,FALSE)</f>
        <v>32.4</v>
      </c>
    </row>
    <row r="89" spans="2:20" x14ac:dyDescent="0.2">
      <c r="B89" s="8">
        <v>32081</v>
      </c>
      <c r="C89" s="9">
        <v>1.81906E-6</v>
      </c>
      <c r="D89" s="8" t="s">
        <v>769</v>
      </c>
      <c r="E89" s="1">
        <v>7.6</v>
      </c>
      <c r="F89" s="1">
        <f t="shared" si="3"/>
        <v>9.1203576389466495E-2</v>
      </c>
      <c r="G89" s="1">
        <f t="shared" si="4"/>
        <v>1978879655.8416071</v>
      </c>
      <c r="H89" s="1">
        <f t="shared" si="5"/>
        <v>0</v>
      </c>
      <c r="K89">
        <f>VLOOKUP(B89,Nuclides!A:C,2,FALSE)</f>
        <v>49</v>
      </c>
      <c r="L89">
        <f>VLOOKUP(B89,Nuclides!A:C,3,FALSE)</f>
        <v>32</v>
      </c>
      <c r="O89" s="1">
        <v>31064</v>
      </c>
      <c r="P89" s="1">
        <v>1.6682200000000001E-8</v>
      </c>
      <c r="Q89" t="s">
        <v>723</v>
      </c>
      <c r="R89">
        <v>33</v>
      </c>
      <c r="S89">
        <v>31</v>
      </c>
      <c r="T89">
        <f>VLOOKUP(O89,Nuclides!A:D,4,FALSE)</f>
        <v>157.61999999999901</v>
      </c>
    </row>
    <row r="90" spans="2:20" x14ac:dyDescent="0.2">
      <c r="B90" s="8">
        <v>32082</v>
      </c>
      <c r="C90" s="9">
        <v>2.1452300000000002E-6</v>
      </c>
      <c r="D90" s="8" t="s">
        <v>770</v>
      </c>
      <c r="E90" s="1">
        <v>4.5599999999999996</v>
      </c>
      <c r="F90" s="1">
        <f t="shared" si="3"/>
        <v>0.15200596064911082</v>
      </c>
      <c r="G90" s="1">
        <f t="shared" si="4"/>
        <v>3775369157.9709878</v>
      </c>
      <c r="H90" s="1">
        <f t="shared" si="5"/>
        <v>0</v>
      </c>
      <c r="K90">
        <f>VLOOKUP(B90,Nuclides!A:C,2,FALSE)</f>
        <v>50</v>
      </c>
      <c r="L90">
        <f>VLOOKUP(B90,Nuclides!A:C,3,FALSE)</f>
        <v>32</v>
      </c>
      <c r="O90" s="1">
        <v>31065</v>
      </c>
      <c r="P90" s="1">
        <v>5.84924E-8</v>
      </c>
      <c r="Q90" t="s">
        <v>724</v>
      </c>
      <c r="R90">
        <v>34</v>
      </c>
      <c r="S90">
        <v>31</v>
      </c>
      <c r="T90">
        <f>VLOOKUP(O90,Nuclides!A:D,4,FALSE)</f>
        <v>912</v>
      </c>
    </row>
    <row r="91" spans="2:20" x14ac:dyDescent="0.2">
      <c r="B91" s="8">
        <v>32083</v>
      </c>
      <c r="C91" s="9">
        <v>9.9660400000000002E-7</v>
      </c>
      <c r="D91" s="8" t="s">
        <v>771</v>
      </c>
      <c r="E91" s="1">
        <v>1.85</v>
      </c>
      <c r="F91" s="1">
        <f t="shared" si="3"/>
        <v>0.37467415165402446</v>
      </c>
      <c r="G91" s="1">
        <f t="shared" si="4"/>
        <v>3886590585.6847792</v>
      </c>
      <c r="H91" s="1">
        <f t="shared" si="5"/>
        <v>0</v>
      </c>
      <c r="K91">
        <f>VLOOKUP(B91,Nuclides!A:C,2,FALSE)</f>
        <v>51</v>
      </c>
      <c r="L91">
        <f>VLOOKUP(B91,Nuclides!A:C,3,FALSE)</f>
        <v>32</v>
      </c>
      <c r="O91" s="1">
        <v>31066</v>
      </c>
      <c r="P91" s="1">
        <v>1.1796199999999999E-8</v>
      </c>
      <c r="Q91" t="s">
        <v>725</v>
      </c>
      <c r="R91">
        <v>35</v>
      </c>
      <c r="S91">
        <v>31</v>
      </c>
      <c r="T91">
        <f>VLOOKUP(O91,Nuclides!A:D,4,FALSE)</f>
        <v>34164</v>
      </c>
    </row>
    <row r="92" spans="2:20" x14ac:dyDescent="0.2">
      <c r="B92" s="8">
        <v>32084</v>
      </c>
      <c r="C92" s="9">
        <v>5.6838100000000004E-7</v>
      </c>
      <c r="D92" s="8" t="s">
        <v>772</v>
      </c>
      <c r="E92" s="1">
        <v>0.95399999999999996</v>
      </c>
      <c r="F92" s="1">
        <f t="shared" si="3"/>
        <v>0.72656937165612712</v>
      </c>
      <c r="G92" s="1">
        <f t="shared" si="4"/>
        <v>3663276818.6529212</v>
      </c>
      <c r="H92" s="1">
        <f t="shared" si="5"/>
        <v>0</v>
      </c>
      <c r="K92">
        <f>VLOOKUP(B92,Nuclides!A:C,2,FALSE)</f>
        <v>52</v>
      </c>
      <c r="L92">
        <f>VLOOKUP(B92,Nuclides!A:C,3,FALSE)</f>
        <v>32</v>
      </c>
      <c r="O92" s="1">
        <v>31067</v>
      </c>
      <c r="P92" s="1">
        <v>6.7705999999999998E-9</v>
      </c>
      <c r="Q92" t="s">
        <v>726</v>
      </c>
      <c r="R92">
        <v>36</v>
      </c>
      <c r="S92">
        <v>31</v>
      </c>
      <c r="T92">
        <f>VLOOKUP(O92,Nuclides!A:D,4,FALSE)</f>
        <v>281810.88</v>
      </c>
    </row>
    <row r="93" spans="2:20" x14ac:dyDescent="0.2">
      <c r="B93" s="8">
        <v>33066</v>
      </c>
      <c r="C93" s="9">
        <v>1.54886E-7</v>
      </c>
      <c r="D93" s="8" t="s">
        <v>781</v>
      </c>
      <c r="E93" s="1">
        <v>9.5769999999999994E-2</v>
      </c>
      <c r="F93" s="1">
        <f t="shared" si="3"/>
        <v>7.2376232699169396</v>
      </c>
      <c r="G93" s="1">
        <f t="shared" si="4"/>
        <v>1931587433.2969687</v>
      </c>
      <c r="H93" s="1">
        <f t="shared" si="5"/>
        <v>0</v>
      </c>
      <c r="K93">
        <f>VLOOKUP(B93,Nuclides!A:C,2,FALSE)</f>
        <v>33</v>
      </c>
      <c r="L93">
        <f>VLOOKUP(B93,Nuclides!A:C,3,FALSE)</f>
        <v>33</v>
      </c>
      <c r="O93" s="1">
        <v>31068</v>
      </c>
      <c r="P93" s="1">
        <v>5.5839999999999995E-10</v>
      </c>
      <c r="Q93" t="s">
        <v>727</v>
      </c>
      <c r="R93">
        <v>37</v>
      </c>
      <c r="S93">
        <v>31</v>
      </c>
      <c r="T93">
        <f>VLOOKUP(O93,Nuclides!A:D,4,FALSE)</f>
        <v>4062.5999999999899</v>
      </c>
    </row>
    <row r="94" spans="2:20" x14ac:dyDescent="0.2">
      <c r="B94" s="8">
        <v>33067</v>
      </c>
      <c r="C94" s="9">
        <v>6.7356999999999999E-8</v>
      </c>
      <c r="D94" s="8" t="s">
        <v>782</v>
      </c>
      <c r="E94" s="1">
        <v>42.5</v>
      </c>
      <c r="F94" s="1">
        <f t="shared" si="3"/>
        <v>1.6309345424939888E-2</v>
      </c>
      <c r="G94" s="1">
        <f t="shared" si="4"/>
        <v>13598691.963089429</v>
      </c>
      <c r="H94" s="1">
        <f t="shared" si="5"/>
        <v>0</v>
      </c>
      <c r="K94">
        <f>VLOOKUP(B94,Nuclides!A:C,2,FALSE)</f>
        <v>34</v>
      </c>
      <c r="L94">
        <f>VLOOKUP(B94,Nuclides!A:C,3,FALSE)</f>
        <v>33</v>
      </c>
      <c r="O94" s="1">
        <v>31069</v>
      </c>
      <c r="P94" s="1">
        <v>2.094E-10</v>
      </c>
      <c r="Q94" t="s">
        <v>728</v>
      </c>
      <c r="R94">
        <v>38</v>
      </c>
      <c r="S94">
        <v>31</v>
      </c>
      <c r="T94" t="str">
        <f>VLOOKUP(O94,Nuclides!A:D,4,FALSE)</f>
        <v>STABLE</v>
      </c>
    </row>
    <row r="95" spans="2:20" x14ac:dyDescent="0.2">
      <c r="B95" s="8">
        <v>33068</v>
      </c>
      <c r="C95" s="9">
        <v>1.13774E-8</v>
      </c>
      <c r="D95" s="8" t="s">
        <v>783</v>
      </c>
      <c r="E95" s="1">
        <v>151.6</v>
      </c>
      <c r="F95" s="1">
        <f t="shared" si="3"/>
        <v>4.5722109535616447E-3</v>
      </c>
      <c r="G95" s="1">
        <f t="shared" si="4"/>
        <v>647726.11521207902</v>
      </c>
      <c r="H95" s="1">
        <f t="shared" si="5"/>
        <v>0</v>
      </c>
      <c r="K95">
        <f>VLOOKUP(B95,Nuclides!A:C,2,FALSE)</f>
        <v>35</v>
      </c>
      <c r="L95">
        <f>VLOOKUP(B95,Nuclides!A:C,3,FALSE)</f>
        <v>33</v>
      </c>
      <c r="O95" s="1">
        <v>31073</v>
      </c>
      <c r="P95" s="1">
        <v>1.2563999999999999E-9</v>
      </c>
      <c r="Q95" t="s">
        <v>732</v>
      </c>
      <c r="R95">
        <v>42</v>
      </c>
      <c r="S95">
        <v>31</v>
      </c>
      <c r="T95">
        <f>VLOOKUP(O95,Nuclides!A:D,4,FALSE)</f>
        <v>17496</v>
      </c>
    </row>
    <row r="96" spans="2:20" x14ac:dyDescent="0.2">
      <c r="B96" s="8">
        <v>33069</v>
      </c>
      <c r="C96" s="9">
        <v>5.3048000000000001E-9</v>
      </c>
      <c r="D96" s="8" t="s">
        <v>784</v>
      </c>
      <c r="E96" s="1">
        <v>912</v>
      </c>
      <c r="F96" s="1">
        <f t="shared" si="3"/>
        <v>7.6002980324555401E-4</v>
      </c>
      <c r="G96" s="1">
        <f t="shared" si="4"/>
        <v>50297.823787455141</v>
      </c>
      <c r="H96" s="1">
        <f t="shared" si="5"/>
        <v>0</v>
      </c>
      <c r="K96">
        <f>VLOOKUP(B96,Nuclides!A:C,2,FALSE)</f>
        <v>36</v>
      </c>
      <c r="L96">
        <f>VLOOKUP(B96,Nuclides!A:C,3,FALSE)</f>
        <v>33</v>
      </c>
      <c r="O96" s="1">
        <v>31074</v>
      </c>
      <c r="P96" s="1">
        <v>4.5370000000000004E-9</v>
      </c>
      <c r="Q96" t="s">
        <v>733</v>
      </c>
      <c r="R96">
        <v>43</v>
      </c>
      <c r="S96">
        <v>31</v>
      </c>
      <c r="T96">
        <f>VLOOKUP(O96,Nuclides!A:D,4,FALSE)</f>
        <v>487.19999999999902</v>
      </c>
    </row>
    <row r="97" spans="2:20" x14ac:dyDescent="0.2">
      <c r="B97" s="8">
        <v>33070</v>
      </c>
      <c r="C97" s="9">
        <v>3.4899999999999998E-10</v>
      </c>
      <c r="D97" s="8" t="s">
        <v>785</v>
      </c>
      <c r="E97" s="1">
        <v>3156</v>
      </c>
      <c r="F97" s="1">
        <f t="shared" si="3"/>
        <v>2.196283842078407E-4</v>
      </c>
      <c r="G97" s="1">
        <f t="shared" si="4"/>
        <v>956.49077987795454</v>
      </c>
      <c r="H97" s="1">
        <f t="shared" si="5"/>
        <v>0</v>
      </c>
      <c r="K97">
        <f>VLOOKUP(B97,Nuclides!A:C,2,FALSE)</f>
        <v>37</v>
      </c>
      <c r="L97">
        <f>VLOOKUP(B97,Nuclides!A:C,3,FALSE)</f>
        <v>33</v>
      </c>
      <c r="O97" s="1">
        <v>31075</v>
      </c>
      <c r="P97" s="1">
        <v>3.0572399999999999E-8</v>
      </c>
      <c r="Q97" t="s">
        <v>734</v>
      </c>
      <c r="R97">
        <v>44</v>
      </c>
      <c r="S97">
        <v>31</v>
      </c>
      <c r="T97">
        <f>VLOOKUP(O97,Nuclides!A:D,4,FALSE)</f>
        <v>126</v>
      </c>
    </row>
    <row r="98" spans="2:20" x14ac:dyDescent="0.2">
      <c r="B98" s="8">
        <v>33071</v>
      </c>
      <c r="C98" s="9">
        <v>2.094E-10</v>
      </c>
      <c r="D98" s="8" t="s">
        <v>786</v>
      </c>
      <c r="E98" s="1">
        <v>235080</v>
      </c>
      <c r="F98" s="1">
        <f t="shared" si="3"/>
        <v>2.9485587058020475E-6</v>
      </c>
      <c r="G98" s="1">
        <f t="shared" si="4"/>
        <v>7.7054924884617932</v>
      </c>
      <c r="H98" s="1">
        <f t="shared" si="5"/>
        <v>3.1886249010289478E-40</v>
      </c>
      <c r="K98">
        <f>VLOOKUP(B98,Nuclides!A:C,2,FALSE)</f>
        <v>38</v>
      </c>
      <c r="L98">
        <f>VLOOKUP(B98,Nuclides!A:C,3,FALSE)</f>
        <v>33</v>
      </c>
      <c r="O98" s="1">
        <v>31076</v>
      </c>
      <c r="P98" s="1">
        <v>6.3308600000000006E-8</v>
      </c>
      <c r="Q98" t="s">
        <v>735</v>
      </c>
      <c r="R98">
        <v>45</v>
      </c>
      <c r="S98">
        <v>31</v>
      </c>
      <c r="T98">
        <f>VLOOKUP(O98,Nuclides!A:D,4,FALSE)</f>
        <v>32.6</v>
      </c>
    </row>
    <row r="99" spans="2:20" x14ac:dyDescent="0.2">
      <c r="B99" s="8">
        <v>33072</v>
      </c>
      <c r="C99" s="9">
        <v>6.9799999999999994E-11</v>
      </c>
      <c r="D99" s="8" t="s">
        <v>787</v>
      </c>
      <c r="E99" s="1">
        <v>93600</v>
      </c>
      <c r="F99" s="1">
        <f t="shared" si="3"/>
        <v>7.4054185957259116E-6</v>
      </c>
      <c r="G99" s="1">
        <f t="shared" si="4"/>
        <v>6.4508658747333589</v>
      </c>
      <c r="H99" s="1">
        <f t="shared" si="5"/>
        <v>2.4303321215026045E-101</v>
      </c>
      <c r="K99">
        <f>VLOOKUP(B99,Nuclides!A:C,2,FALSE)</f>
        <v>39</v>
      </c>
      <c r="L99">
        <f>VLOOKUP(B99,Nuclides!A:C,3,FALSE)</f>
        <v>33</v>
      </c>
      <c r="O99" s="1">
        <v>31077</v>
      </c>
      <c r="P99" s="1">
        <v>2.3041000000000001E-7</v>
      </c>
      <c r="Q99" t="s">
        <v>736</v>
      </c>
      <c r="R99">
        <v>46</v>
      </c>
      <c r="S99">
        <v>31</v>
      </c>
      <c r="T99">
        <f>VLOOKUP(O99,Nuclides!A:D,4,FALSE)</f>
        <v>13.2</v>
      </c>
    </row>
    <row r="100" spans="2:20" x14ac:dyDescent="0.2">
      <c r="B100" s="8">
        <v>33073</v>
      </c>
      <c r="C100" s="9">
        <v>6.9799999999999994E-11</v>
      </c>
      <c r="D100" s="8" t="s">
        <v>788</v>
      </c>
      <c r="E100" s="1">
        <v>6937920</v>
      </c>
      <c r="F100" s="1">
        <f t="shared" si="3"/>
        <v>9.9907058680403535E-8</v>
      </c>
      <c r="G100" s="1">
        <f t="shared" si="4"/>
        <v>8.7029434142067416E-2</v>
      </c>
      <c r="H100" s="1">
        <f t="shared" si="5"/>
        <v>3.7269022117567886E-3</v>
      </c>
      <c r="K100">
        <f>VLOOKUP(B100,Nuclides!A:C,2,FALSE)</f>
        <v>40</v>
      </c>
      <c r="L100">
        <f>VLOOKUP(B100,Nuclides!A:C,3,FALSE)</f>
        <v>33</v>
      </c>
      <c r="O100" s="1">
        <v>31078</v>
      </c>
      <c r="P100" s="1">
        <v>3.8452800000000001E-7</v>
      </c>
      <c r="Q100" t="s">
        <v>737</v>
      </c>
      <c r="R100">
        <v>47</v>
      </c>
      <c r="S100">
        <v>31</v>
      </c>
      <c r="T100">
        <f>VLOOKUP(O100,Nuclides!A:D,4,FALSE)</f>
        <v>5.09</v>
      </c>
    </row>
    <row r="101" spans="2:20" x14ac:dyDescent="0.2">
      <c r="B101" s="8">
        <v>33074</v>
      </c>
      <c r="C101" s="9">
        <v>2.7919999999999998E-10</v>
      </c>
      <c r="D101" s="8" t="s">
        <v>789</v>
      </c>
      <c r="E101" s="1">
        <v>1535328</v>
      </c>
      <c r="F101" s="1">
        <f t="shared" si="3"/>
        <v>4.5146521170716959E-7</v>
      </c>
      <c r="G101" s="1">
        <f t="shared" si="4"/>
        <v>1.5730922522098749</v>
      </c>
      <c r="H101" s="1">
        <f t="shared" si="5"/>
        <v>1.0316370518201962E-6</v>
      </c>
      <c r="K101">
        <f>VLOOKUP(B101,Nuclides!A:C,2,FALSE)</f>
        <v>41</v>
      </c>
      <c r="L101">
        <f>VLOOKUP(B101,Nuclides!A:C,3,FALSE)</f>
        <v>33</v>
      </c>
      <c r="O101" s="1">
        <v>31079</v>
      </c>
      <c r="P101" s="1">
        <v>7.8315600000000003E-7</v>
      </c>
      <c r="Q101" t="s">
        <v>738</v>
      </c>
      <c r="R101">
        <v>48</v>
      </c>
      <c r="S101">
        <v>31</v>
      </c>
      <c r="T101">
        <f>VLOOKUP(O101,Nuclides!A:D,4,FALSE)</f>
        <v>2.847</v>
      </c>
    </row>
    <row r="102" spans="2:20" x14ac:dyDescent="0.2">
      <c r="B102" s="8">
        <v>33076</v>
      </c>
      <c r="C102" s="9">
        <v>6.4216000000000002E-9</v>
      </c>
      <c r="D102" s="8" t="s">
        <v>791</v>
      </c>
      <c r="E102" s="1">
        <v>94538.880000000005</v>
      </c>
      <c r="F102" s="1">
        <f t="shared" si="3"/>
        <v>7.3318742570246785E-6</v>
      </c>
      <c r="G102" s="1">
        <f t="shared" si="4"/>
        <v>587.5857452808217</v>
      </c>
      <c r="H102" s="1">
        <f t="shared" si="5"/>
        <v>2.2510003753419935E-98</v>
      </c>
      <c r="K102">
        <f>VLOOKUP(B102,Nuclides!A:C,2,FALSE)</f>
        <v>43</v>
      </c>
      <c r="L102">
        <f>VLOOKUP(B102,Nuclides!A:C,3,FALSE)</f>
        <v>33</v>
      </c>
      <c r="O102" s="1">
        <v>31080</v>
      </c>
      <c r="P102" s="1">
        <v>6.6798600000000004E-7</v>
      </c>
      <c r="Q102" t="s">
        <v>739</v>
      </c>
      <c r="R102">
        <v>49</v>
      </c>
      <c r="S102">
        <v>31</v>
      </c>
      <c r="T102">
        <f>VLOOKUP(O102,Nuclides!A:D,4,FALSE)</f>
        <v>1.9</v>
      </c>
    </row>
    <row r="103" spans="2:20" x14ac:dyDescent="0.2">
      <c r="B103" s="8">
        <v>33077</v>
      </c>
      <c r="C103" s="9">
        <v>2.8687800000000001E-8</v>
      </c>
      <c r="D103" s="8" t="s">
        <v>792</v>
      </c>
      <c r="E103" s="1">
        <v>139788</v>
      </c>
      <c r="F103" s="1">
        <f t="shared" si="3"/>
        <v>4.958559966234192E-6</v>
      </c>
      <c r="G103" s="1">
        <f t="shared" si="4"/>
        <v>1775.2778025371827</v>
      </c>
      <c r="H103" s="1">
        <f t="shared" si="5"/>
        <v>2.1740594790350091E-65</v>
      </c>
      <c r="K103">
        <f>VLOOKUP(B103,Nuclides!A:C,2,FALSE)</f>
        <v>44</v>
      </c>
      <c r="L103">
        <f>VLOOKUP(B103,Nuclides!A:C,3,FALSE)</f>
        <v>33</v>
      </c>
      <c r="O103" s="1">
        <v>31081</v>
      </c>
      <c r="P103" s="1">
        <v>1.12839E-6</v>
      </c>
      <c r="Q103" t="s">
        <v>740</v>
      </c>
      <c r="R103">
        <v>50</v>
      </c>
      <c r="S103">
        <v>31</v>
      </c>
      <c r="T103">
        <f>VLOOKUP(O103,Nuclides!A:D,4,FALSE)</f>
        <v>1.2170000000000001</v>
      </c>
    </row>
    <row r="104" spans="2:20" x14ac:dyDescent="0.2">
      <c r="B104" s="8">
        <v>33078</v>
      </c>
      <c r="C104" s="9">
        <v>8.6621799999999995E-8</v>
      </c>
      <c r="D104" s="8" t="s">
        <v>793</v>
      </c>
      <c r="E104" s="1">
        <v>5442</v>
      </c>
      <c r="F104" s="1">
        <f t="shared" si="3"/>
        <v>1.2736993395074335E-4</v>
      </c>
      <c r="G104" s="1">
        <f t="shared" si="4"/>
        <v>137683.23301150528</v>
      </c>
      <c r="H104" s="1">
        <f t="shared" si="5"/>
        <v>0</v>
      </c>
      <c r="K104">
        <f>VLOOKUP(B104,Nuclides!A:C,2,FALSE)</f>
        <v>45</v>
      </c>
      <c r="L104">
        <f>VLOOKUP(B104,Nuclides!A:C,3,FALSE)</f>
        <v>33</v>
      </c>
      <c r="O104" s="1">
        <v>31082</v>
      </c>
      <c r="P104" s="1">
        <v>4.8154999999999997E-7</v>
      </c>
      <c r="Q104" t="s">
        <v>741</v>
      </c>
      <c r="R104">
        <v>51</v>
      </c>
      <c r="S104">
        <v>31</v>
      </c>
      <c r="T104">
        <f>VLOOKUP(O104,Nuclides!A:D,4,FALSE)</f>
        <v>0.59899999999999998</v>
      </c>
    </row>
    <row r="105" spans="2:20" x14ac:dyDescent="0.2">
      <c r="B105" s="8">
        <v>33079</v>
      </c>
      <c r="C105" s="9">
        <v>2.7152199999999999E-7</v>
      </c>
      <c r="D105" s="8" t="s">
        <v>794</v>
      </c>
      <c r="E105" s="1">
        <v>540.6</v>
      </c>
      <c r="F105" s="1">
        <f t="shared" si="3"/>
        <v>1.2821812440990479E-3</v>
      </c>
      <c r="G105" s="1">
        <f t="shared" si="4"/>
        <v>4342008.173116331</v>
      </c>
      <c r="H105" s="1">
        <f t="shared" si="5"/>
        <v>0</v>
      </c>
      <c r="K105">
        <f>VLOOKUP(B105,Nuclides!A:C,2,FALSE)</f>
        <v>46</v>
      </c>
      <c r="L105">
        <f>VLOOKUP(B105,Nuclides!A:C,3,FALSE)</f>
        <v>33</v>
      </c>
      <c r="O105" s="1">
        <v>31083</v>
      </c>
      <c r="P105" s="1">
        <v>3.66101E-7</v>
      </c>
      <c r="Q105" t="s">
        <v>742</v>
      </c>
      <c r="R105">
        <v>52</v>
      </c>
      <c r="S105">
        <v>31</v>
      </c>
      <c r="T105">
        <f>VLOOKUP(O105,Nuclides!A:D,4,FALSE)</f>
        <v>0.30809999999999998</v>
      </c>
    </row>
    <row r="106" spans="2:20" x14ac:dyDescent="0.2">
      <c r="B106" s="8">
        <v>33080</v>
      </c>
      <c r="C106" s="9">
        <v>6.6337900000000003E-7</v>
      </c>
      <c r="D106" s="8" t="s">
        <v>795</v>
      </c>
      <c r="E106" s="1">
        <v>15.2</v>
      </c>
      <c r="F106" s="1">
        <f t="shared" si="3"/>
        <v>4.5601788194733248E-2</v>
      </c>
      <c r="G106" s="1">
        <f t="shared" si="4"/>
        <v>369057049.06611174</v>
      </c>
      <c r="H106" s="1">
        <f t="shared" si="5"/>
        <v>0</v>
      </c>
      <c r="K106">
        <f>VLOOKUP(B106,Nuclides!A:C,2,FALSE)</f>
        <v>47</v>
      </c>
      <c r="L106">
        <f>VLOOKUP(B106,Nuclides!A:C,3,FALSE)</f>
        <v>33</v>
      </c>
      <c r="O106" s="1">
        <v>32061</v>
      </c>
      <c r="P106" s="1">
        <v>1.5363000000000001E-7</v>
      </c>
      <c r="Q106" t="s">
        <v>749</v>
      </c>
      <c r="R106">
        <v>29</v>
      </c>
      <c r="S106">
        <v>32</v>
      </c>
      <c r="T106">
        <f>VLOOKUP(O106,Nuclides!A:D,4,FALSE)</f>
        <v>4.3999999999999997E-2</v>
      </c>
    </row>
    <row r="107" spans="2:20" x14ac:dyDescent="0.2">
      <c r="B107" s="8">
        <v>33081</v>
      </c>
      <c r="C107" s="9">
        <v>1.77508E-6</v>
      </c>
      <c r="D107" s="8" t="s">
        <v>796</v>
      </c>
      <c r="E107" s="1">
        <v>33.299999999999997</v>
      </c>
      <c r="F107" s="1">
        <f t="shared" si="3"/>
        <v>2.0815230647445806E-2</v>
      </c>
      <c r="G107" s="1">
        <f t="shared" si="4"/>
        <v>456353739.99248612</v>
      </c>
      <c r="H107" s="1">
        <f t="shared" si="5"/>
        <v>0</v>
      </c>
      <c r="K107">
        <f>VLOOKUP(B107,Nuclides!A:C,2,FALSE)</f>
        <v>48</v>
      </c>
      <c r="L107">
        <f>VLOOKUP(B107,Nuclides!A:C,3,FALSE)</f>
        <v>33</v>
      </c>
      <c r="O107" s="1">
        <v>32062</v>
      </c>
      <c r="P107" s="1">
        <v>9.2066199999999996E-8</v>
      </c>
      <c r="Q107" t="s">
        <v>750</v>
      </c>
      <c r="R107">
        <v>30</v>
      </c>
      <c r="S107">
        <v>32</v>
      </c>
      <c r="T107">
        <f>VLOOKUP(O107,Nuclides!A:D,4,FALSE)</f>
        <v>0.129</v>
      </c>
    </row>
    <row r="108" spans="2:20" x14ac:dyDescent="0.2">
      <c r="B108" s="8">
        <v>33082</v>
      </c>
      <c r="C108" s="9">
        <v>2.7661699999999999E-6</v>
      </c>
      <c r="D108" s="8" t="s">
        <v>797</v>
      </c>
      <c r="E108" s="1">
        <v>19.100000000000001</v>
      </c>
      <c r="F108" s="1">
        <f t="shared" si="3"/>
        <v>3.6290428301567812E-2</v>
      </c>
      <c r="G108" s="1">
        <f t="shared" si="4"/>
        <v>1230350956.6564636</v>
      </c>
      <c r="H108" s="1">
        <f t="shared" si="5"/>
        <v>0</v>
      </c>
      <c r="K108">
        <f>VLOOKUP(B108,Nuclides!A:C,2,FALSE)</f>
        <v>49</v>
      </c>
      <c r="L108">
        <f>VLOOKUP(B108,Nuclides!A:C,3,FALSE)</f>
        <v>33</v>
      </c>
      <c r="O108" s="1">
        <v>32063</v>
      </c>
      <c r="P108" s="1">
        <v>2.0242E-8</v>
      </c>
      <c r="Q108" t="s">
        <v>751</v>
      </c>
      <c r="R108">
        <v>31</v>
      </c>
      <c r="S108">
        <v>32</v>
      </c>
      <c r="T108">
        <f>VLOOKUP(O108,Nuclides!A:D,4,FALSE)</f>
        <v>0.15</v>
      </c>
    </row>
    <row r="109" spans="2:20" x14ac:dyDescent="0.2">
      <c r="B109" s="8">
        <v>33083</v>
      </c>
      <c r="C109" s="9">
        <v>5.1904000000000003E-6</v>
      </c>
      <c r="D109" s="8" t="s">
        <v>798</v>
      </c>
      <c r="E109" s="1">
        <v>13.4</v>
      </c>
      <c r="F109" s="1">
        <f t="shared" si="3"/>
        <v>5.1727401534324272E-2</v>
      </c>
      <c r="G109" s="1">
        <f t="shared" si="4"/>
        <v>3265517620.0029845</v>
      </c>
      <c r="H109" s="1">
        <f t="shared" si="5"/>
        <v>0</v>
      </c>
      <c r="K109">
        <f>VLOOKUP(B109,Nuclides!A:C,2,FALSE)</f>
        <v>50</v>
      </c>
      <c r="L109">
        <f>VLOOKUP(B109,Nuclides!A:C,3,FALSE)</f>
        <v>33</v>
      </c>
      <c r="O109" s="1">
        <v>32064</v>
      </c>
      <c r="P109" s="1">
        <v>7.3987999999999997E-9</v>
      </c>
      <c r="Q109" t="s">
        <v>752</v>
      </c>
      <c r="R109">
        <v>32</v>
      </c>
      <c r="S109">
        <v>32</v>
      </c>
      <c r="T109">
        <f>VLOOKUP(O109,Nuclides!A:D,4,FALSE)</f>
        <v>63.7</v>
      </c>
    </row>
    <row r="110" spans="2:20" x14ac:dyDescent="0.2">
      <c r="B110" s="8">
        <v>33084</v>
      </c>
      <c r="C110" s="9">
        <v>3.6175199999999998E-6</v>
      </c>
      <c r="D110" s="8" t="s">
        <v>799</v>
      </c>
      <c r="E110" s="1">
        <v>4.0199999999999996</v>
      </c>
      <c r="F110" s="1">
        <f t="shared" si="3"/>
        <v>0.17242467178108092</v>
      </c>
      <c r="G110" s="1">
        <f t="shared" si="4"/>
        <v>7150250323.7560005</v>
      </c>
      <c r="H110" s="1">
        <f t="shared" si="5"/>
        <v>0</v>
      </c>
      <c r="K110">
        <f>VLOOKUP(B110,Nuclides!A:C,2,FALSE)</f>
        <v>51</v>
      </c>
      <c r="L110">
        <f>VLOOKUP(B110,Nuclides!A:C,3,FALSE)</f>
        <v>33</v>
      </c>
      <c r="O110" s="1">
        <v>32065</v>
      </c>
      <c r="P110" s="1">
        <v>1.1167999999999999E-9</v>
      </c>
      <c r="Q110" t="s">
        <v>753</v>
      </c>
      <c r="R110">
        <v>33</v>
      </c>
      <c r="S110">
        <v>32</v>
      </c>
      <c r="T110">
        <f>VLOOKUP(O110,Nuclides!A:D,4,FALSE)</f>
        <v>30.9</v>
      </c>
    </row>
    <row r="111" spans="2:20" x14ac:dyDescent="0.2">
      <c r="B111" s="8">
        <v>33085</v>
      </c>
      <c r="C111" s="9">
        <v>3.4113400000000001E-6</v>
      </c>
      <c r="D111" s="8" t="s">
        <v>800</v>
      </c>
      <c r="E111" s="1">
        <v>2.0209999999999999</v>
      </c>
      <c r="F111" s="1">
        <f t="shared" si="3"/>
        <v>0.34297238028695959</v>
      </c>
      <c r="G111" s="1">
        <f t="shared" si="4"/>
        <v>12360889883.796288</v>
      </c>
      <c r="H111" s="1">
        <f t="shared" si="5"/>
        <v>0</v>
      </c>
      <c r="K111">
        <f>VLOOKUP(B111,Nuclides!A:C,2,FALSE)</f>
        <v>52</v>
      </c>
      <c r="L111">
        <f>VLOOKUP(B111,Nuclides!A:C,3,FALSE)</f>
        <v>33</v>
      </c>
      <c r="O111" s="1">
        <v>32066</v>
      </c>
      <c r="P111" s="1">
        <v>6.9799999999999994E-11</v>
      </c>
      <c r="Q111" t="s">
        <v>754</v>
      </c>
      <c r="R111">
        <v>34</v>
      </c>
      <c r="S111">
        <v>32</v>
      </c>
      <c r="T111">
        <f>VLOOKUP(O111,Nuclides!A:D,4,FALSE)</f>
        <v>8135.99999999999</v>
      </c>
    </row>
    <row r="112" spans="2:20" x14ac:dyDescent="0.2">
      <c r="B112" s="8">
        <v>33086</v>
      </c>
      <c r="C112" s="9">
        <v>1.3008600000000001E-6</v>
      </c>
      <c r="D112" s="8" t="s">
        <v>801</v>
      </c>
      <c r="E112" s="1">
        <v>0.94499999999999995</v>
      </c>
      <c r="F112" s="1">
        <f t="shared" si="3"/>
        <v>0.73348907995761414</v>
      </c>
      <c r="G112" s="1">
        <f t="shared" si="4"/>
        <v>8438318934.0884266</v>
      </c>
      <c r="H112" s="1">
        <f t="shared" si="5"/>
        <v>0</v>
      </c>
      <c r="K112">
        <f>VLOOKUP(B112,Nuclides!A:C,2,FALSE)</f>
        <v>53</v>
      </c>
      <c r="L112">
        <f>VLOOKUP(B112,Nuclides!A:C,3,FALSE)</f>
        <v>33</v>
      </c>
      <c r="O112" s="1">
        <v>32074</v>
      </c>
      <c r="P112" s="1">
        <v>4.8860000000000005E-10</v>
      </c>
      <c r="Q112" t="s">
        <v>762</v>
      </c>
      <c r="R112">
        <v>42</v>
      </c>
      <c r="S112">
        <v>32</v>
      </c>
      <c r="T112" t="str">
        <f>VLOOKUP(O112,Nuclides!A:D,4,FALSE)</f>
        <v>STABLE</v>
      </c>
    </row>
    <row r="113" spans="2:20" x14ac:dyDescent="0.2">
      <c r="B113" s="8">
        <v>33087</v>
      </c>
      <c r="C113" s="9">
        <v>7.7450099999999998E-7</v>
      </c>
      <c r="D113" s="8" t="s">
        <v>802</v>
      </c>
      <c r="E113" s="1">
        <v>0.48399999999999999</v>
      </c>
      <c r="F113" s="1">
        <f t="shared" si="3"/>
        <v>1.4321222738841846</v>
      </c>
      <c r="G113" s="1">
        <f t="shared" si="4"/>
        <v>7357570723.2687817</v>
      </c>
      <c r="H113" s="1">
        <f t="shared" si="5"/>
        <v>0</v>
      </c>
      <c r="K113">
        <f>VLOOKUP(B113,Nuclides!A:C,2,FALSE)</f>
        <v>54</v>
      </c>
      <c r="L113">
        <f>VLOOKUP(B113,Nuclides!A:C,3,FALSE)</f>
        <v>33</v>
      </c>
      <c r="O113" s="1">
        <v>32075</v>
      </c>
      <c r="P113" s="1">
        <v>1.3959999999999999E-9</v>
      </c>
      <c r="Q113" t="s">
        <v>763</v>
      </c>
      <c r="R113">
        <v>43</v>
      </c>
      <c r="S113">
        <v>32</v>
      </c>
      <c r="T113">
        <f>VLOOKUP(O113,Nuclides!A:D,4,FALSE)</f>
        <v>4966.8</v>
      </c>
    </row>
    <row r="114" spans="2:20" x14ac:dyDescent="0.2">
      <c r="B114" s="8">
        <v>34068</v>
      </c>
      <c r="C114" s="9">
        <v>2.0828300000000001E-7</v>
      </c>
      <c r="D114" s="8" t="s">
        <v>811</v>
      </c>
      <c r="E114" s="1">
        <v>35.5</v>
      </c>
      <c r="F114" s="1">
        <f t="shared" si="3"/>
        <v>1.9525272691829444E-2</v>
      </c>
      <c r="G114" s="1">
        <f t="shared" si="4"/>
        <v>50261165.748455934</v>
      </c>
      <c r="H114" s="1">
        <f t="shared" si="5"/>
        <v>0</v>
      </c>
      <c r="K114">
        <f>VLOOKUP(B114,Nuclides!A:C,2,FALSE)</f>
        <v>34</v>
      </c>
      <c r="L114">
        <f>VLOOKUP(B114,Nuclides!A:C,3,FALSE)</f>
        <v>34</v>
      </c>
      <c r="O114" s="1">
        <v>32076</v>
      </c>
      <c r="P114" s="1">
        <v>1.2703600000000001E-8</v>
      </c>
      <c r="Q114" t="s">
        <v>764</v>
      </c>
      <c r="R114">
        <v>44</v>
      </c>
      <c r="S114">
        <v>32</v>
      </c>
      <c r="T114" t="str">
        <f>VLOOKUP(O114,Nuclides!A:D,4,FALSE)</f>
        <v>STABLE</v>
      </c>
    </row>
    <row r="115" spans="2:20" x14ac:dyDescent="0.2">
      <c r="B115" s="8">
        <v>34069</v>
      </c>
      <c r="C115" s="9">
        <v>8.0130399999999999E-8</v>
      </c>
      <c r="D115" s="8" t="s">
        <v>812</v>
      </c>
      <c r="E115" s="1">
        <v>27.4</v>
      </c>
      <c r="F115" s="1">
        <f t="shared" si="3"/>
        <v>2.5297342356202384E-2</v>
      </c>
      <c r="G115" s="1">
        <f t="shared" si="4"/>
        <v>24980730.061842617</v>
      </c>
      <c r="H115" s="1">
        <f t="shared" si="5"/>
        <v>0</v>
      </c>
      <c r="K115">
        <f>VLOOKUP(B115,Nuclides!A:C,2,FALSE)</f>
        <v>35</v>
      </c>
      <c r="L115">
        <f>VLOOKUP(B115,Nuclides!A:C,3,FALSE)</f>
        <v>34</v>
      </c>
      <c r="O115" s="1">
        <v>32077</v>
      </c>
      <c r="P115" s="1">
        <v>3.4411399999999998E-8</v>
      </c>
      <c r="Q115" t="s">
        <v>765</v>
      </c>
      <c r="R115">
        <v>45</v>
      </c>
      <c r="S115">
        <v>32</v>
      </c>
      <c r="T115">
        <f>VLOOKUP(O115,Nuclides!A:D,4,FALSE)</f>
        <v>40680</v>
      </c>
    </row>
    <row r="116" spans="2:20" x14ac:dyDescent="0.2">
      <c r="B116" s="8">
        <v>34070</v>
      </c>
      <c r="C116" s="9">
        <v>1.7798999999999999E-8</v>
      </c>
      <c r="D116" s="8" t="s">
        <v>813</v>
      </c>
      <c r="E116" s="1">
        <v>2466</v>
      </c>
      <c r="F116" s="1">
        <f t="shared" si="3"/>
        <v>2.8108158173558204E-4</v>
      </c>
      <c r="G116" s="1">
        <f t="shared" si="4"/>
        <v>62428.304860566568</v>
      </c>
      <c r="H116" s="1">
        <f t="shared" si="5"/>
        <v>0</v>
      </c>
      <c r="K116">
        <f>VLOOKUP(B116,Nuclides!A:C,2,FALSE)</f>
        <v>36</v>
      </c>
      <c r="L116">
        <f>VLOOKUP(B116,Nuclides!A:C,3,FALSE)</f>
        <v>34</v>
      </c>
      <c r="O116" s="1">
        <v>32078</v>
      </c>
      <c r="P116" s="1">
        <v>2.0032599999999999E-7</v>
      </c>
      <c r="Q116" t="s">
        <v>766</v>
      </c>
      <c r="R116">
        <v>46</v>
      </c>
      <c r="S116">
        <v>32</v>
      </c>
      <c r="T116">
        <f>VLOOKUP(O116,Nuclides!A:D,4,FALSE)</f>
        <v>5280</v>
      </c>
    </row>
    <row r="117" spans="2:20" x14ac:dyDescent="0.2">
      <c r="B117" s="8">
        <v>34071</v>
      </c>
      <c r="C117" s="9">
        <v>4.6068000000000003E-9</v>
      </c>
      <c r="D117" s="8" t="s">
        <v>814</v>
      </c>
      <c r="E117" s="1">
        <v>284.39999999999998</v>
      </c>
      <c r="F117" s="1">
        <f t="shared" si="3"/>
        <v>2.4372263732768823E-3</v>
      </c>
      <c r="G117" s="1">
        <f t="shared" si="4"/>
        <v>139952.50716795726</v>
      </c>
      <c r="H117" s="1">
        <f t="shared" si="5"/>
        <v>0</v>
      </c>
      <c r="K117">
        <f>VLOOKUP(B117,Nuclides!A:C,2,FALSE)</f>
        <v>37</v>
      </c>
      <c r="L117">
        <f>VLOOKUP(B117,Nuclides!A:C,3,FALSE)</f>
        <v>34</v>
      </c>
      <c r="O117" s="1">
        <v>32079</v>
      </c>
      <c r="P117" s="1">
        <v>3.5472399999999999E-7</v>
      </c>
      <c r="Q117" t="s">
        <v>767</v>
      </c>
      <c r="R117">
        <v>47</v>
      </c>
      <c r="S117">
        <v>32</v>
      </c>
      <c r="T117">
        <f>VLOOKUP(O117,Nuclides!A:D,4,FALSE)</f>
        <v>18.98</v>
      </c>
    </row>
    <row r="118" spans="2:20" x14ac:dyDescent="0.2">
      <c r="B118" s="8">
        <v>34072</v>
      </c>
      <c r="C118" s="9">
        <v>4.1879999999999999E-10</v>
      </c>
      <c r="D118" s="8" t="s">
        <v>815</v>
      </c>
      <c r="E118" s="1">
        <v>725760</v>
      </c>
      <c r="F118" s="1">
        <f t="shared" si="3"/>
        <v>9.5506390619481007E-7</v>
      </c>
      <c r="G118" s="1">
        <f t="shared" si="4"/>
        <v>4.9917575498322435</v>
      </c>
      <c r="H118" s="1">
        <f t="shared" si="5"/>
        <v>4.1474717233801325E-13</v>
      </c>
      <c r="K118">
        <f>VLOOKUP(B118,Nuclides!A:C,2,FALSE)</f>
        <v>38</v>
      </c>
      <c r="L118">
        <f>VLOOKUP(B118,Nuclides!A:C,3,FALSE)</f>
        <v>34</v>
      </c>
      <c r="O118" s="1">
        <v>32080</v>
      </c>
      <c r="P118" s="1">
        <v>1.21026E-6</v>
      </c>
      <c r="Q118" t="s">
        <v>768</v>
      </c>
      <c r="R118">
        <v>48</v>
      </c>
      <c r="S118">
        <v>32</v>
      </c>
      <c r="T118">
        <f>VLOOKUP(O118,Nuclides!A:D,4,FALSE)</f>
        <v>29.5</v>
      </c>
    </row>
    <row r="119" spans="2:20" x14ac:dyDescent="0.2">
      <c r="B119" s="8">
        <v>34073</v>
      </c>
      <c r="C119" s="9">
        <v>6.9799999999999994E-11</v>
      </c>
      <c r="D119" s="8" t="s">
        <v>816</v>
      </c>
      <c r="E119" s="1">
        <v>25740</v>
      </c>
      <c r="F119" s="1">
        <f t="shared" si="3"/>
        <v>2.6928794893548767E-5</v>
      </c>
      <c r="G119" s="1">
        <f t="shared" si="4"/>
        <v>23.45746510487206</v>
      </c>
      <c r="H119" s="1">
        <f t="shared" si="5"/>
        <v>0</v>
      </c>
      <c r="K119">
        <f>VLOOKUP(B119,Nuclides!A:C,2,FALSE)</f>
        <v>39</v>
      </c>
      <c r="L119">
        <f>VLOOKUP(B119,Nuclides!A:C,3,FALSE)</f>
        <v>34</v>
      </c>
      <c r="O119" s="1">
        <v>32081</v>
      </c>
      <c r="P119" s="1">
        <v>1.30372E-6</v>
      </c>
      <c r="Q119" t="s">
        <v>769</v>
      </c>
      <c r="R119">
        <v>49</v>
      </c>
      <c r="S119">
        <v>32</v>
      </c>
      <c r="T119">
        <f>VLOOKUP(O119,Nuclides!A:D,4,FALSE)</f>
        <v>7.6</v>
      </c>
    </row>
    <row r="120" spans="2:20" x14ac:dyDescent="0.2">
      <c r="B120" s="8">
        <v>34075</v>
      </c>
      <c r="C120" s="9">
        <v>6.9799999999999994E-11</v>
      </c>
      <c r="D120" s="8" t="s">
        <v>818</v>
      </c>
      <c r="E120" s="1">
        <v>10348992</v>
      </c>
      <c r="F120" s="1">
        <f t="shared" si="3"/>
        <v>6.6977265086294909E-8</v>
      </c>
      <c r="G120" s="1">
        <f t="shared" si="4"/>
        <v>5.8344161575064384E-2</v>
      </c>
      <c r="H120" s="1">
        <f t="shared" si="5"/>
        <v>7.0580179133359457E-3</v>
      </c>
      <c r="K120">
        <f>VLOOKUP(B120,Nuclides!A:C,2,FALSE)</f>
        <v>41</v>
      </c>
      <c r="L120">
        <f>VLOOKUP(B120,Nuclides!A:C,3,FALSE)</f>
        <v>34</v>
      </c>
      <c r="O120" s="1">
        <v>32082</v>
      </c>
      <c r="P120" s="1">
        <v>2.9413699999999999E-6</v>
      </c>
      <c r="Q120" t="s">
        <v>770</v>
      </c>
      <c r="R120">
        <v>50</v>
      </c>
      <c r="S120">
        <v>32</v>
      </c>
      <c r="T120">
        <f>VLOOKUP(O120,Nuclides!A:D,4,FALSE)</f>
        <v>4.5599999999999996</v>
      </c>
    </row>
    <row r="121" spans="2:20" x14ac:dyDescent="0.2">
      <c r="B121" s="8">
        <v>34079</v>
      </c>
      <c r="C121" s="9">
        <v>7.7687399999999995E-8</v>
      </c>
      <c r="D121" s="8" t="s">
        <v>822</v>
      </c>
      <c r="E121" s="1">
        <v>10287777600000</v>
      </c>
      <c r="F121" s="1">
        <f t="shared" si="3"/>
        <v>6.7375793636902231E-14</v>
      </c>
      <c r="G121" s="1">
        <f t="shared" si="4"/>
        <v>6.5337737716220077E-5</v>
      </c>
      <c r="H121" s="1">
        <f t="shared" si="5"/>
        <v>6.5337598889158129E-5</v>
      </c>
      <c r="K121">
        <f>VLOOKUP(B121,Nuclides!A:C,2,FALSE)</f>
        <v>45</v>
      </c>
      <c r="L121">
        <f>VLOOKUP(B121,Nuclides!A:C,3,FALSE)</f>
        <v>34</v>
      </c>
      <c r="O121" s="1">
        <v>32083</v>
      </c>
      <c r="P121" s="1">
        <v>1.4849299999999999E-6</v>
      </c>
      <c r="Q121" t="s">
        <v>771</v>
      </c>
      <c r="R121">
        <v>51</v>
      </c>
      <c r="S121">
        <v>32</v>
      </c>
      <c r="T121">
        <f>VLOOKUP(O121,Nuclides!A:D,4,FALSE)</f>
        <v>1.85</v>
      </c>
    </row>
    <row r="122" spans="2:20" x14ac:dyDescent="0.2">
      <c r="B122" s="8">
        <v>34081</v>
      </c>
      <c r="C122" s="9">
        <v>7.8566900000000005E-7</v>
      </c>
      <c r="D122" s="8" t="s">
        <v>824</v>
      </c>
      <c r="E122" s="1">
        <v>1107</v>
      </c>
      <c r="F122" s="1">
        <f t="shared" si="3"/>
        <v>6.261492145979632E-4</v>
      </c>
      <c r="G122" s="1">
        <f t="shared" si="4"/>
        <v>6137564.7043187385</v>
      </c>
      <c r="H122" s="1">
        <f t="shared" si="5"/>
        <v>0</v>
      </c>
      <c r="K122">
        <f>VLOOKUP(B122,Nuclides!A:C,2,FALSE)</f>
        <v>47</v>
      </c>
      <c r="L122">
        <f>VLOOKUP(B122,Nuclides!A:C,3,FALSE)</f>
        <v>34</v>
      </c>
      <c r="O122" s="1">
        <v>32084</v>
      </c>
      <c r="P122" s="1">
        <v>1.9867899999999999E-6</v>
      </c>
      <c r="Q122" t="s">
        <v>772</v>
      </c>
      <c r="R122">
        <v>52</v>
      </c>
      <c r="S122">
        <v>32</v>
      </c>
      <c r="T122">
        <f>VLOOKUP(O122,Nuclides!A:D,4,FALSE)</f>
        <v>0.95399999999999996</v>
      </c>
    </row>
    <row r="123" spans="2:20" x14ac:dyDescent="0.2">
      <c r="B123" s="8">
        <v>34083</v>
      </c>
      <c r="C123" s="9">
        <v>4.19463E-6</v>
      </c>
      <c r="D123" s="8" t="s">
        <v>826</v>
      </c>
      <c r="E123" s="1">
        <v>1335</v>
      </c>
      <c r="F123" s="1">
        <f t="shared" si="3"/>
        <v>5.192113712059515E-4</v>
      </c>
      <c r="G123" s="1">
        <f t="shared" si="4"/>
        <v>27173132.023127653</v>
      </c>
      <c r="H123" s="1">
        <f t="shared" si="5"/>
        <v>0</v>
      </c>
      <c r="K123">
        <f>VLOOKUP(B123,Nuclides!A:C,2,FALSE)</f>
        <v>49</v>
      </c>
      <c r="L123">
        <f>VLOOKUP(B123,Nuclides!A:C,3,FALSE)</f>
        <v>34</v>
      </c>
      <c r="O123" s="1">
        <v>33066</v>
      </c>
      <c r="P123" s="1">
        <v>7.8364499999999997E-7</v>
      </c>
      <c r="Q123" t="s">
        <v>781</v>
      </c>
      <c r="R123">
        <v>33</v>
      </c>
      <c r="S123">
        <v>33</v>
      </c>
      <c r="T123">
        <f>VLOOKUP(O123,Nuclides!A:D,4,FALSE)</f>
        <v>9.5769999999999994E-2</v>
      </c>
    </row>
    <row r="124" spans="2:20" x14ac:dyDescent="0.2">
      <c r="B124" s="8">
        <v>34084</v>
      </c>
      <c r="C124" s="9">
        <v>8.9602299999999998E-6</v>
      </c>
      <c r="D124" s="8" t="s">
        <v>827</v>
      </c>
      <c r="E124" s="1">
        <v>195.6</v>
      </c>
      <c r="F124" s="1">
        <f t="shared" si="3"/>
        <v>3.5436972421265095E-3</v>
      </c>
      <c r="G124" s="1">
        <f t="shared" si="4"/>
        <v>395567931.95134121</v>
      </c>
      <c r="H124" s="1">
        <f t="shared" si="5"/>
        <v>0</v>
      </c>
      <c r="K124">
        <f>VLOOKUP(B124,Nuclides!A:C,2,FALSE)</f>
        <v>50</v>
      </c>
      <c r="L124">
        <f>VLOOKUP(B124,Nuclides!A:C,3,FALSE)</f>
        <v>34</v>
      </c>
      <c r="O124" s="1">
        <v>33067</v>
      </c>
      <c r="P124" s="1">
        <v>7.7205799999999999E-7</v>
      </c>
      <c r="Q124" t="s">
        <v>782</v>
      </c>
      <c r="R124">
        <v>34</v>
      </c>
      <c r="S124">
        <v>33</v>
      </c>
      <c r="T124">
        <f>VLOOKUP(O124,Nuclides!A:D,4,FALSE)</f>
        <v>42.5</v>
      </c>
    </row>
    <row r="125" spans="2:20" x14ac:dyDescent="0.2">
      <c r="B125" s="8">
        <v>34085</v>
      </c>
      <c r="C125" s="9">
        <v>1.14712E-5</v>
      </c>
      <c r="D125" s="8" t="s">
        <v>828</v>
      </c>
      <c r="E125" s="1">
        <v>32.9</v>
      </c>
      <c r="F125" s="1">
        <f t="shared" si="3"/>
        <v>2.106830336048466E-2</v>
      </c>
      <c r="G125" s="1">
        <f t="shared" si="4"/>
        <v>2984599819.3373055</v>
      </c>
      <c r="H125" s="1">
        <f t="shared" si="5"/>
        <v>0</v>
      </c>
      <c r="K125">
        <f>VLOOKUP(B125,Nuclides!A:C,2,FALSE)</f>
        <v>51</v>
      </c>
      <c r="L125">
        <f>VLOOKUP(B125,Nuclides!A:C,3,FALSE)</f>
        <v>34</v>
      </c>
      <c r="O125" s="1">
        <v>33068</v>
      </c>
      <c r="P125" s="1">
        <v>1.76105E-7</v>
      </c>
      <c r="Q125" t="s">
        <v>783</v>
      </c>
      <c r="R125">
        <v>35</v>
      </c>
      <c r="S125">
        <v>33</v>
      </c>
      <c r="T125">
        <f>VLOOKUP(O125,Nuclides!A:D,4,FALSE)</f>
        <v>151.6</v>
      </c>
    </row>
    <row r="126" spans="2:20" x14ac:dyDescent="0.2">
      <c r="B126" s="8">
        <v>34086</v>
      </c>
      <c r="C126" s="9">
        <v>1.50468E-5</v>
      </c>
      <c r="D126" s="8" t="s">
        <v>829</v>
      </c>
      <c r="E126" s="1">
        <v>14.3</v>
      </c>
      <c r="F126" s="1">
        <f t="shared" si="3"/>
        <v>4.8471830808387781E-2</v>
      </c>
      <c r="G126" s="1">
        <f t="shared" si="4"/>
        <v>8885157859.1348648</v>
      </c>
      <c r="H126" s="1">
        <f t="shared" si="5"/>
        <v>0</v>
      </c>
      <c r="K126">
        <f>VLOOKUP(B126,Nuclides!A:C,2,FALSE)</f>
        <v>52</v>
      </c>
      <c r="L126">
        <f>VLOOKUP(B126,Nuclides!A:C,3,FALSE)</f>
        <v>34</v>
      </c>
      <c r="O126" s="1">
        <v>33069</v>
      </c>
      <c r="P126" s="1">
        <v>1.1866000000000001E-7</v>
      </c>
      <c r="Q126" t="s">
        <v>784</v>
      </c>
      <c r="R126">
        <v>36</v>
      </c>
      <c r="S126">
        <v>33</v>
      </c>
      <c r="T126">
        <f>VLOOKUP(O126,Nuclides!A:D,4,FALSE)</f>
        <v>912</v>
      </c>
    </row>
    <row r="127" spans="2:20" x14ac:dyDescent="0.2">
      <c r="B127" s="8">
        <v>34087</v>
      </c>
      <c r="C127" s="9">
        <v>9.6638099999999996E-6</v>
      </c>
      <c r="D127" s="8" t="s">
        <v>830</v>
      </c>
      <c r="E127" s="1">
        <v>5.5</v>
      </c>
      <c r="F127" s="1">
        <f t="shared" si="3"/>
        <v>0.12602676010180824</v>
      </c>
      <c r="G127" s="1">
        <f t="shared" si="4"/>
        <v>14280609583.430117</v>
      </c>
      <c r="H127" s="1">
        <f t="shared" si="5"/>
        <v>0</v>
      </c>
      <c r="K127">
        <f>VLOOKUP(B127,Nuclides!A:C,2,FALSE)</f>
        <v>53</v>
      </c>
      <c r="L127">
        <f>VLOOKUP(B127,Nuclides!A:C,3,FALSE)</f>
        <v>34</v>
      </c>
      <c r="O127" s="1">
        <v>33070</v>
      </c>
      <c r="P127" s="1">
        <v>1.45184E-8</v>
      </c>
      <c r="Q127" t="s">
        <v>785</v>
      </c>
      <c r="R127">
        <v>37</v>
      </c>
      <c r="S127">
        <v>33</v>
      </c>
      <c r="T127">
        <f>VLOOKUP(O127,Nuclides!A:D,4,FALSE)</f>
        <v>3156</v>
      </c>
    </row>
    <row r="128" spans="2:20" x14ac:dyDescent="0.2">
      <c r="B128" s="8">
        <v>34088</v>
      </c>
      <c r="C128" s="9">
        <v>6.94342E-6</v>
      </c>
      <c r="D128" s="8" t="s">
        <v>831</v>
      </c>
      <c r="E128" s="1">
        <v>1.53</v>
      </c>
      <c r="F128" s="1">
        <f t="shared" si="3"/>
        <v>0.45303737291499691</v>
      </c>
      <c r="G128" s="1">
        <f t="shared" si="4"/>
        <v>31568496457.650528</v>
      </c>
      <c r="H128" s="1">
        <f t="shared" si="5"/>
        <v>0</v>
      </c>
      <c r="K128">
        <f>VLOOKUP(B128,Nuclides!A:C,2,FALSE)</f>
        <v>54</v>
      </c>
      <c r="L128">
        <f>VLOOKUP(B128,Nuclides!A:C,3,FALSE)</f>
        <v>34</v>
      </c>
      <c r="O128" s="1">
        <v>33071</v>
      </c>
      <c r="P128" s="1">
        <v>6.7705999999999998E-9</v>
      </c>
      <c r="Q128" t="s">
        <v>786</v>
      </c>
      <c r="R128">
        <v>38</v>
      </c>
      <c r="S128">
        <v>33</v>
      </c>
      <c r="T128">
        <f>VLOOKUP(O128,Nuclides!A:D,4,FALSE)</f>
        <v>235080</v>
      </c>
    </row>
    <row r="129" spans="2:20" x14ac:dyDescent="0.2">
      <c r="B129" s="8">
        <v>34089</v>
      </c>
      <c r="C129" s="9">
        <v>2.42506E-6</v>
      </c>
      <c r="D129" s="8" t="s">
        <v>832</v>
      </c>
      <c r="E129" s="1">
        <v>0.43</v>
      </c>
      <c r="F129" s="1">
        <f t="shared" si="3"/>
        <v>1.61197018734871</v>
      </c>
      <c r="G129" s="1">
        <f t="shared" si="4"/>
        <v>24227107382.190895</v>
      </c>
      <c r="H129" s="1">
        <f t="shared" si="5"/>
        <v>0</v>
      </c>
      <c r="K129">
        <f>VLOOKUP(B129,Nuclides!A:C,2,FALSE)</f>
        <v>55</v>
      </c>
      <c r="L129">
        <f>VLOOKUP(B129,Nuclides!A:C,3,FALSE)</f>
        <v>34</v>
      </c>
      <c r="O129" s="1">
        <v>33072</v>
      </c>
      <c r="P129" s="1">
        <v>3.4899999999999998E-10</v>
      </c>
      <c r="Q129" t="s">
        <v>787</v>
      </c>
      <c r="R129">
        <v>39</v>
      </c>
      <c r="S129">
        <v>33</v>
      </c>
      <c r="T129">
        <f>VLOOKUP(O129,Nuclides!A:D,4,FALSE)</f>
        <v>93600</v>
      </c>
    </row>
    <row r="130" spans="2:20" x14ac:dyDescent="0.2">
      <c r="B130" s="8">
        <v>34090</v>
      </c>
      <c r="C130" s="9">
        <v>9.5751599999999996E-7</v>
      </c>
      <c r="D130" s="8" t="s">
        <v>833</v>
      </c>
      <c r="E130" s="1">
        <v>0.19500000000000001</v>
      </c>
      <c r="F130" s="1">
        <f t="shared" si="3"/>
        <v>3.5546009259484372</v>
      </c>
      <c r="G130" s="1">
        <f t="shared" si="4"/>
        <v>11608121647.538939</v>
      </c>
      <c r="H130" s="1">
        <f t="shared" si="5"/>
        <v>0</v>
      </c>
      <c r="K130">
        <f>VLOOKUP(B130,Nuclides!A:C,2,FALSE)</f>
        <v>56</v>
      </c>
      <c r="L130">
        <f>VLOOKUP(B130,Nuclides!A:C,3,FALSE)</f>
        <v>34</v>
      </c>
      <c r="O130" s="1">
        <v>33073</v>
      </c>
      <c r="P130" s="1">
        <v>6.9799999999999994E-11</v>
      </c>
      <c r="Q130" t="s">
        <v>788</v>
      </c>
      <c r="R130">
        <v>40</v>
      </c>
      <c r="S130">
        <v>33</v>
      </c>
      <c r="T130">
        <f>VLOOKUP(O130,Nuclides!A:D,4,FALSE)</f>
        <v>6937920</v>
      </c>
    </row>
    <row r="131" spans="2:20" x14ac:dyDescent="0.2">
      <c r="B131" s="8">
        <v>34091</v>
      </c>
      <c r="C131" s="9">
        <v>1.98581E-7</v>
      </c>
      <c r="D131" s="8" t="s">
        <v>834</v>
      </c>
      <c r="E131" s="1">
        <v>0.27</v>
      </c>
      <c r="F131" s="1">
        <f t="shared" si="3"/>
        <v>2.5672117798516489</v>
      </c>
      <c r="G131" s="1">
        <f t="shared" si="4"/>
        <v>2288083935.6094217</v>
      </c>
      <c r="H131" s="1">
        <f t="shared" si="5"/>
        <v>0</v>
      </c>
      <c r="K131">
        <f>VLOOKUP(B131,Nuclides!A:C,2,FALSE)</f>
        <v>57</v>
      </c>
      <c r="L131">
        <f>VLOOKUP(B131,Nuclides!A:C,3,FALSE)</f>
        <v>34</v>
      </c>
      <c r="O131" s="1">
        <v>33076</v>
      </c>
      <c r="P131" s="1">
        <v>1.3959999999999999E-10</v>
      </c>
      <c r="Q131" t="s">
        <v>791</v>
      </c>
      <c r="R131">
        <v>43</v>
      </c>
      <c r="S131">
        <v>33</v>
      </c>
      <c r="T131">
        <f>VLOOKUP(O131,Nuclides!A:D,4,FALSE)</f>
        <v>94538.880000000005</v>
      </c>
    </row>
    <row r="132" spans="2:20" x14ac:dyDescent="0.2">
      <c r="B132" s="8">
        <v>35070</v>
      </c>
      <c r="C132" s="9">
        <v>6.4355600000000002E-8</v>
      </c>
      <c r="D132" s="8" t="s">
        <v>837</v>
      </c>
      <c r="E132" s="1">
        <v>7.9099999999999906E-2</v>
      </c>
      <c r="F132" s="1">
        <f t="shared" ref="F132:F195" si="6">LN(2)/E132</f>
        <v>8.7629226366617718</v>
      </c>
      <c r="G132" s="1">
        <f t="shared" ref="G132:G195" si="7">2*6240000000000000*C132*(1-EXP(-F132))</f>
        <v>803032252.61279619</v>
      </c>
      <c r="H132" s="1">
        <f t="shared" ref="H132:H195" si="8">G132*EXP(-F132*365*24*3600)</f>
        <v>0</v>
      </c>
      <c r="K132">
        <f>VLOOKUP(B132,Nuclides!A:C,2,FALSE)</f>
        <v>35</v>
      </c>
      <c r="L132">
        <f>VLOOKUP(B132,Nuclides!A:C,3,FALSE)</f>
        <v>35</v>
      </c>
      <c r="O132" s="1">
        <v>33077</v>
      </c>
      <c r="P132" s="1">
        <v>1.8845999999999999E-9</v>
      </c>
      <c r="Q132" t="s">
        <v>792</v>
      </c>
      <c r="R132">
        <v>44</v>
      </c>
      <c r="S132">
        <v>33</v>
      </c>
      <c r="T132">
        <f>VLOOKUP(O132,Nuclides!A:D,4,FALSE)</f>
        <v>139788</v>
      </c>
    </row>
    <row r="133" spans="2:20" x14ac:dyDescent="0.2">
      <c r="B133" s="8">
        <v>35071</v>
      </c>
      <c r="C133" s="9">
        <v>1.10982E-8</v>
      </c>
      <c r="D133" s="8" t="s">
        <v>838</v>
      </c>
      <c r="E133" s="1">
        <v>21.4</v>
      </c>
      <c r="F133" s="1">
        <f t="shared" si="6"/>
        <v>3.2390055166352585E-2</v>
      </c>
      <c r="G133" s="1">
        <f t="shared" si="7"/>
        <v>4414325.9007025184</v>
      </c>
      <c r="H133" s="1">
        <f t="shared" si="8"/>
        <v>0</v>
      </c>
      <c r="K133">
        <f>VLOOKUP(B133,Nuclides!A:C,2,FALSE)</f>
        <v>36</v>
      </c>
      <c r="L133">
        <f>VLOOKUP(B133,Nuclides!A:C,3,FALSE)</f>
        <v>35</v>
      </c>
      <c r="O133" s="1">
        <v>33078</v>
      </c>
      <c r="P133" s="1">
        <v>1.10284E-8</v>
      </c>
      <c r="Q133" t="s">
        <v>793</v>
      </c>
      <c r="R133">
        <v>45</v>
      </c>
      <c r="S133">
        <v>33</v>
      </c>
      <c r="T133">
        <f>VLOOKUP(O133,Nuclides!A:D,4,FALSE)</f>
        <v>5442</v>
      </c>
    </row>
    <row r="134" spans="2:20" x14ac:dyDescent="0.2">
      <c r="B134" s="8">
        <v>35072</v>
      </c>
      <c r="C134" s="9">
        <v>3.3503999999999999E-9</v>
      </c>
      <c r="D134" s="8" t="s">
        <v>839</v>
      </c>
      <c r="E134" s="1">
        <v>78.599999999999994</v>
      </c>
      <c r="F134" s="1">
        <f t="shared" si="6"/>
        <v>8.818666419337727E-3</v>
      </c>
      <c r="G134" s="1">
        <f t="shared" si="7"/>
        <v>367113.72254845488</v>
      </c>
      <c r="H134" s="1">
        <f t="shared" si="8"/>
        <v>0</v>
      </c>
      <c r="K134">
        <f>VLOOKUP(B134,Nuclides!A:C,2,FALSE)</f>
        <v>37</v>
      </c>
      <c r="L134">
        <f>VLOOKUP(B134,Nuclides!A:C,3,FALSE)</f>
        <v>35</v>
      </c>
      <c r="O134" s="1">
        <v>33079</v>
      </c>
      <c r="P134" s="1">
        <v>6.9241599999999997E-8</v>
      </c>
      <c r="Q134" t="s">
        <v>794</v>
      </c>
      <c r="R134">
        <v>46</v>
      </c>
      <c r="S134">
        <v>33</v>
      </c>
      <c r="T134">
        <f>VLOOKUP(O134,Nuclides!A:D,4,FALSE)</f>
        <v>540.6</v>
      </c>
    </row>
    <row r="135" spans="2:20" x14ac:dyDescent="0.2">
      <c r="B135" s="8">
        <v>35073</v>
      </c>
      <c r="C135" s="9">
        <v>2.094E-10</v>
      </c>
      <c r="D135" s="8" t="s">
        <v>840</v>
      </c>
      <c r="E135" s="1">
        <v>204</v>
      </c>
      <c r="F135" s="1">
        <f t="shared" si="6"/>
        <v>3.3977802968624769E-3</v>
      </c>
      <c r="G135" s="1">
        <f t="shared" si="7"/>
        <v>8864.3918669234172</v>
      </c>
      <c r="H135" s="1">
        <f t="shared" si="8"/>
        <v>0</v>
      </c>
      <c r="K135">
        <f>VLOOKUP(B135,Nuclides!A:C,2,FALSE)</f>
        <v>38</v>
      </c>
      <c r="L135">
        <f>VLOOKUP(B135,Nuclides!A:C,3,FALSE)</f>
        <v>35</v>
      </c>
      <c r="O135" s="1">
        <v>33080</v>
      </c>
      <c r="P135" s="1">
        <v>1.8915800000000001E-7</v>
      </c>
      <c r="Q135" t="s">
        <v>795</v>
      </c>
      <c r="R135">
        <v>47</v>
      </c>
      <c r="S135">
        <v>33</v>
      </c>
      <c r="T135">
        <f>VLOOKUP(O135,Nuclides!A:D,4,FALSE)</f>
        <v>15.2</v>
      </c>
    </row>
    <row r="136" spans="2:20" x14ac:dyDescent="0.2">
      <c r="B136" s="8">
        <v>35078</v>
      </c>
      <c r="C136" s="9">
        <v>5.5839999999999995E-10</v>
      </c>
      <c r="D136" s="8" t="s">
        <v>845</v>
      </c>
      <c r="E136" s="1">
        <v>387</v>
      </c>
      <c r="F136" s="1">
        <f t="shared" si="6"/>
        <v>1.7910779859430111E-3</v>
      </c>
      <c r="G136" s="1">
        <f t="shared" si="7"/>
        <v>12470.550385048948</v>
      </c>
      <c r="H136" s="1">
        <f t="shared" si="8"/>
        <v>0</v>
      </c>
      <c r="K136">
        <f>VLOOKUP(B136,Nuclides!A:C,2,FALSE)</f>
        <v>43</v>
      </c>
      <c r="L136">
        <f>VLOOKUP(B136,Nuclides!A:C,3,FALSE)</f>
        <v>35</v>
      </c>
      <c r="O136" s="1">
        <v>33081</v>
      </c>
      <c r="P136" s="1">
        <v>8.6258799999999999E-7</v>
      </c>
      <c r="Q136" t="s">
        <v>796</v>
      </c>
      <c r="R136">
        <v>48</v>
      </c>
      <c r="S136">
        <v>33</v>
      </c>
      <c r="T136">
        <f>VLOOKUP(O136,Nuclides!A:D,4,FALSE)</f>
        <v>33.299999999999997</v>
      </c>
    </row>
    <row r="137" spans="2:20" x14ac:dyDescent="0.2">
      <c r="B137" s="8">
        <v>35080</v>
      </c>
      <c r="C137" s="9">
        <v>1.2215000000000001E-8</v>
      </c>
      <c r="D137" s="8" t="s">
        <v>847</v>
      </c>
      <c r="E137" s="1">
        <v>1060.8</v>
      </c>
      <c r="F137" s="1">
        <f t="shared" si="6"/>
        <v>6.5341928785816864E-4</v>
      </c>
      <c r="G137" s="1">
        <f t="shared" si="7"/>
        <v>99576.790941986153</v>
      </c>
      <c r="H137" s="1">
        <f t="shared" si="8"/>
        <v>0</v>
      </c>
      <c r="K137">
        <f>VLOOKUP(B137,Nuclides!A:C,2,FALSE)</f>
        <v>45</v>
      </c>
      <c r="L137">
        <f>VLOOKUP(B137,Nuclides!A:C,3,FALSE)</f>
        <v>35</v>
      </c>
      <c r="O137" s="1">
        <v>33082</v>
      </c>
      <c r="P137" s="1">
        <v>1.51864E-6</v>
      </c>
      <c r="Q137" t="s">
        <v>797</v>
      </c>
      <c r="R137">
        <v>49</v>
      </c>
      <c r="S137">
        <v>33</v>
      </c>
      <c r="T137">
        <f>VLOOKUP(O137,Nuclides!A:D,4,FALSE)</f>
        <v>19.100000000000001</v>
      </c>
    </row>
    <row r="138" spans="2:20" x14ac:dyDescent="0.2">
      <c r="B138" s="8">
        <v>35082</v>
      </c>
      <c r="C138" s="9">
        <v>1.91182E-7</v>
      </c>
      <c r="D138" s="8" t="s">
        <v>849</v>
      </c>
      <c r="E138" s="1">
        <v>127015.19999999899</v>
      </c>
      <c r="F138" s="1">
        <f t="shared" si="6"/>
        <v>5.4571986703949669E-6</v>
      </c>
      <c r="G138" s="1">
        <f t="shared" si="7"/>
        <v>13020.575061342901</v>
      </c>
      <c r="H138" s="1">
        <f t="shared" si="8"/>
        <v>2.3622402218313687E-71</v>
      </c>
      <c r="K138">
        <f>VLOOKUP(B138,Nuclides!A:C,2,FALSE)</f>
        <v>47</v>
      </c>
      <c r="L138">
        <f>VLOOKUP(B138,Nuclides!A:C,3,FALSE)</f>
        <v>35</v>
      </c>
      <c r="O138" s="1">
        <v>33083</v>
      </c>
      <c r="P138" s="1">
        <v>4.4794800000000004E-6</v>
      </c>
      <c r="Q138" t="s">
        <v>798</v>
      </c>
      <c r="R138">
        <v>50</v>
      </c>
      <c r="S138">
        <v>33</v>
      </c>
      <c r="T138">
        <f>VLOOKUP(O138,Nuclides!A:D,4,FALSE)</f>
        <v>13.4</v>
      </c>
    </row>
    <row r="139" spans="2:20" x14ac:dyDescent="0.2">
      <c r="B139" s="8">
        <v>35083</v>
      </c>
      <c r="C139" s="9">
        <v>6.7468700000000004E-7</v>
      </c>
      <c r="D139" s="8" t="s">
        <v>850</v>
      </c>
      <c r="E139" s="1">
        <v>8546.4</v>
      </c>
      <c r="F139" s="1">
        <f t="shared" si="6"/>
        <v>8.1103994729938379E-5</v>
      </c>
      <c r="G139" s="1">
        <f t="shared" si="7"/>
        <v>682875.54759469756</v>
      </c>
      <c r="H139" s="1">
        <f t="shared" si="8"/>
        <v>0</v>
      </c>
      <c r="K139">
        <f>VLOOKUP(B139,Nuclides!A:C,2,FALSE)</f>
        <v>48</v>
      </c>
      <c r="L139">
        <f>VLOOKUP(B139,Nuclides!A:C,3,FALSE)</f>
        <v>35</v>
      </c>
      <c r="O139" s="1">
        <v>33084</v>
      </c>
      <c r="P139" s="1">
        <v>3.6082399999999999E-6</v>
      </c>
      <c r="Q139" t="s">
        <v>799</v>
      </c>
      <c r="R139">
        <v>51</v>
      </c>
      <c r="S139">
        <v>33</v>
      </c>
      <c r="T139">
        <f>VLOOKUP(O139,Nuclides!A:D,4,FALSE)</f>
        <v>4.0199999999999996</v>
      </c>
    </row>
    <row r="140" spans="2:20" x14ac:dyDescent="0.2">
      <c r="B140" s="8">
        <v>35084</v>
      </c>
      <c r="C140" s="9">
        <v>1.9777799999999998E-6</v>
      </c>
      <c r="D140" s="8" t="s">
        <v>851</v>
      </c>
      <c r="E140" s="1">
        <v>1905.6</v>
      </c>
      <c r="F140" s="1">
        <f t="shared" si="6"/>
        <v>3.6374222321575639E-4</v>
      </c>
      <c r="G140" s="1">
        <f t="shared" si="7"/>
        <v>8976505.4700107407</v>
      </c>
      <c r="H140" s="1">
        <f t="shared" si="8"/>
        <v>0</v>
      </c>
      <c r="K140">
        <f>VLOOKUP(B140,Nuclides!A:C,2,FALSE)</f>
        <v>49</v>
      </c>
      <c r="L140">
        <f>VLOOKUP(B140,Nuclides!A:C,3,FALSE)</f>
        <v>35</v>
      </c>
      <c r="O140" s="1">
        <v>33085</v>
      </c>
      <c r="P140" s="1">
        <v>5.3098999999999998E-6</v>
      </c>
      <c r="Q140" t="s">
        <v>800</v>
      </c>
      <c r="R140">
        <v>52</v>
      </c>
      <c r="S140">
        <v>33</v>
      </c>
      <c r="T140">
        <f>VLOOKUP(O140,Nuclides!A:D,4,FALSE)</f>
        <v>2.0209999999999999</v>
      </c>
    </row>
    <row r="141" spans="2:20" x14ac:dyDescent="0.2">
      <c r="B141" s="8">
        <v>35085</v>
      </c>
      <c r="C141" s="9">
        <v>5.9023600000000002E-6</v>
      </c>
      <c r="D141" s="8" t="s">
        <v>852</v>
      </c>
      <c r="E141" s="1">
        <v>174</v>
      </c>
      <c r="F141" s="1">
        <f t="shared" si="6"/>
        <v>3.9836044859766972E-3</v>
      </c>
      <c r="G141" s="1">
        <f t="shared" si="7"/>
        <v>292854398.49186456</v>
      </c>
      <c r="H141" s="1">
        <f t="shared" si="8"/>
        <v>0</v>
      </c>
      <c r="K141">
        <f>VLOOKUP(B141,Nuclides!A:C,2,FALSE)</f>
        <v>50</v>
      </c>
      <c r="L141">
        <f>VLOOKUP(B141,Nuclides!A:C,3,FALSE)</f>
        <v>35</v>
      </c>
      <c r="O141" s="1">
        <v>33086</v>
      </c>
      <c r="P141" s="1">
        <v>2.7526999999999999E-6</v>
      </c>
      <c r="Q141" t="s">
        <v>801</v>
      </c>
      <c r="R141">
        <v>53</v>
      </c>
      <c r="S141">
        <v>33</v>
      </c>
      <c r="T141">
        <f>VLOOKUP(O141,Nuclides!A:D,4,FALSE)</f>
        <v>0.94499999999999995</v>
      </c>
    </row>
    <row r="142" spans="2:20" x14ac:dyDescent="0.2">
      <c r="B142" s="8">
        <v>35086</v>
      </c>
      <c r="C142" s="9">
        <v>1.11154E-5</v>
      </c>
      <c r="D142" s="8" t="s">
        <v>853</v>
      </c>
      <c r="E142" s="1">
        <v>55.1</v>
      </c>
      <c r="F142" s="1">
        <f t="shared" si="6"/>
        <v>1.2579803639926411E-2</v>
      </c>
      <c r="G142" s="1">
        <f t="shared" si="7"/>
        <v>1734142322.152215</v>
      </c>
      <c r="H142" s="1">
        <f t="shared" si="8"/>
        <v>0</v>
      </c>
      <c r="K142">
        <f>VLOOKUP(B142,Nuclides!A:C,2,FALSE)</f>
        <v>51</v>
      </c>
      <c r="L142">
        <f>VLOOKUP(B142,Nuclides!A:C,3,FALSE)</f>
        <v>35</v>
      </c>
      <c r="O142" s="1">
        <v>33087</v>
      </c>
      <c r="P142" s="1">
        <v>4.0763899999999998E-6</v>
      </c>
      <c r="Q142" t="s">
        <v>802</v>
      </c>
      <c r="R142">
        <v>54</v>
      </c>
      <c r="S142">
        <v>33</v>
      </c>
      <c r="T142">
        <f>VLOOKUP(O142,Nuclides!A:D,4,FALSE)</f>
        <v>0.48399999999999999</v>
      </c>
    </row>
    <row r="143" spans="2:20" x14ac:dyDescent="0.2">
      <c r="B143" s="8">
        <v>35087</v>
      </c>
      <c r="C143" s="9">
        <v>2.1094499999999999E-5</v>
      </c>
      <c r="D143" s="8" t="s">
        <v>854</v>
      </c>
      <c r="E143" s="1">
        <v>55.65</v>
      </c>
      <c r="F143" s="1">
        <f t="shared" si="6"/>
        <v>1.2455474942676466E-2</v>
      </c>
      <c r="G143" s="1">
        <f t="shared" si="7"/>
        <v>3258684004.4895868</v>
      </c>
      <c r="H143" s="1">
        <f t="shared" si="8"/>
        <v>0</v>
      </c>
      <c r="K143">
        <f>VLOOKUP(B143,Nuclides!A:C,2,FALSE)</f>
        <v>52</v>
      </c>
      <c r="L143">
        <f>VLOOKUP(B143,Nuclides!A:C,3,FALSE)</f>
        <v>35</v>
      </c>
      <c r="O143" s="1">
        <v>34068</v>
      </c>
      <c r="P143" s="1">
        <v>1.38176E-6</v>
      </c>
      <c r="Q143" t="s">
        <v>811</v>
      </c>
      <c r="R143">
        <v>34</v>
      </c>
      <c r="S143">
        <v>34</v>
      </c>
      <c r="T143">
        <f>VLOOKUP(O143,Nuclides!A:D,4,FALSE)</f>
        <v>35.5</v>
      </c>
    </row>
    <row r="144" spans="2:20" x14ac:dyDescent="0.2">
      <c r="B144" s="8">
        <v>35088</v>
      </c>
      <c r="C144" s="9">
        <v>2.08134E-5</v>
      </c>
      <c r="D144" s="8" t="s">
        <v>855</v>
      </c>
      <c r="E144" s="1">
        <v>16.34</v>
      </c>
      <c r="F144" s="1">
        <f t="shared" si="6"/>
        <v>4.242026808812395E-2</v>
      </c>
      <c r="G144" s="1">
        <f t="shared" si="7"/>
        <v>10788278342.92897</v>
      </c>
      <c r="H144" s="1">
        <f t="shared" si="8"/>
        <v>0</v>
      </c>
      <c r="K144">
        <f>VLOOKUP(B144,Nuclides!A:C,2,FALSE)</f>
        <v>53</v>
      </c>
      <c r="L144">
        <f>VLOOKUP(B144,Nuclides!A:C,3,FALSE)</f>
        <v>35</v>
      </c>
      <c r="O144" s="1">
        <v>34069</v>
      </c>
      <c r="P144" s="1">
        <v>9.7182500000000001E-7</v>
      </c>
      <c r="Q144" t="s">
        <v>812</v>
      </c>
      <c r="R144">
        <v>35</v>
      </c>
      <c r="S144">
        <v>34</v>
      </c>
      <c r="T144">
        <f>VLOOKUP(O144,Nuclides!A:D,4,FALSE)</f>
        <v>27.4</v>
      </c>
    </row>
    <row r="145" spans="2:20" x14ac:dyDescent="0.2">
      <c r="B145" s="8">
        <v>35089</v>
      </c>
      <c r="C145" s="9">
        <v>2.2754600000000001E-5</v>
      </c>
      <c r="D145" s="8" t="s">
        <v>856</v>
      </c>
      <c r="E145" s="1">
        <v>4.3570000000000002</v>
      </c>
      <c r="F145" s="1">
        <f t="shared" si="6"/>
        <v>0.15908817547852772</v>
      </c>
      <c r="G145" s="1">
        <f t="shared" si="7"/>
        <v>41767070900.496666</v>
      </c>
      <c r="H145" s="1">
        <f t="shared" si="8"/>
        <v>0</v>
      </c>
      <c r="K145">
        <f>VLOOKUP(B145,Nuclides!A:C,2,FALSE)</f>
        <v>54</v>
      </c>
      <c r="L145">
        <f>VLOOKUP(B145,Nuclides!A:C,3,FALSE)</f>
        <v>35</v>
      </c>
      <c r="O145" s="1">
        <v>34070</v>
      </c>
      <c r="P145" s="1">
        <v>2.2852499999999999E-7</v>
      </c>
      <c r="Q145" t="s">
        <v>813</v>
      </c>
      <c r="R145">
        <v>36</v>
      </c>
      <c r="S145">
        <v>34</v>
      </c>
      <c r="T145">
        <f>VLOOKUP(O145,Nuclides!A:D,4,FALSE)</f>
        <v>2466</v>
      </c>
    </row>
    <row r="146" spans="2:20" x14ac:dyDescent="0.2">
      <c r="B146" s="8">
        <v>35090</v>
      </c>
      <c r="C146" s="9">
        <v>1.1881E-5</v>
      </c>
      <c r="D146" s="8" t="s">
        <v>857</v>
      </c>
      <c r="E146" s="1">
        <v>1.92</v>
      </c>
      <c r="F146" s="1">
        <f t="shared" si="6"/>
        <v>0.36101415654163821</v>
      </c>
      <c r="G146" s="1">
        <f t="shared" si="7"/>
        <v>44931865629.845627</v>
      </c>
      <c r="H146" s="1">
        <f t="shared" si="8"/>
        <v>0</v>
      </c>
      <c r="K146">
        <f>VLOOKUP(B146,Nuclides!A:C,2,FALSE)</f>
        <v>55</v>
      </c>
      <c r="L146">
        <f>VLOOKUP(B146,Nuclides!A:C,3,FALSE)</f>
        <v>35</v>
      </c>
      <c r="O146" s="1">
        <v>34071</v>
      </c>
      <c r="P146" s="1">
        <v>1.07143E-7</v>
      </c>
      <c r="Q146" t="s">
        <v>814</v>
      </c>
      <c r="R146">
        <v>37</v>
      </c>
      <c r="S146">
        <v>34</v>
      </c>
      <c r="T146">
        <f>VLOOKUP(O146,Nuclides!A:D,4,FALSE)</f>
        <v>284.39999999999998</v>
      </c>
    </row>
    <row r="147" spans="2:20" x14ac:dyDescent="0.2">
      <c r="B147" s="8">
        <v>35091</v>
      </c>
      <c r="C147" s="9">
        <v>7.73377E-6</v>
      </c>
      <c r="D147" s="8" t="s">
        <v>858</v>
      </c>
      <c r="E147" s="1">
        <v>0.54300000000000004</v>
      </c>
      <c r="F147" s="1">
        <f t="shared" si="6"/>
        <v>1.2765141446776156</v>
      </c>
      <c r="G147" s="1">
        <f t="shared" si="7"/>
        <v>69588290735.51857</v>
      </c>
      <c r="H147" s="1">
        <f t="shared" si="8"/>
        <v>0</v>
      </c>
      <c r="K147">
        <f>VLOOKUP(B147,Nuclides!A:C,2,FALSE)</f>
        <v>56</v>
      </c>
      <c r="L147">
        <f>VLOOKUP(B147,Nuclides!A:C,3,FALSE)</f>
        <v>35</v>
      </c>
      <c r="O147" s="1">
        <v>34072</v>
      </c>
      <c r="P147" s="1">
        <v>1.6333199999999999E-8</v>
      </c>
      <c r="Q147" t="s">
        <v>815</v>
      </c>
      <c r="R147">
        <v>38</v>
      </c>
      <c r="S147">
        <v>34</v>
      </c>
      <c r="T147">
        <f>VLOOKUP(O147,Nuclides!A:D,4,FALSE)</f>
        <v>725760</v>
      </c>
    </row>
    <row r="148" spans="2:20" x14ac:dyDescent="0.2">
      <c r="B148" s="8">
        <v>35092</v>
      </c>
      <c r="C148" s="9">
        <v>2.3635700000000001E-6</v>
      </c>
      <c r="D148" s="8" t="s">
        <v>859</v>
      </c>
      <c r="E148" s="1">
        <v>0.314</v>
      </c>
      <c r="F148" s="1">
        <f t="shared" si="6"/>
        <v>2.2074750973246666</v>
      </c>
      <c r="G148" s="1">
        <f t="shared" si="7"/>
        <v>26253294178.234108</v>
      </c>
      <c r="H148" s="1">
        <f t="shared" si="8"/>
        <v>0</v>
      </c>
      <c r="K148">
        <f>VLOOKUP(B148,Nuclides!A:C,2,FALSE)</f>
        <v>57</v>
      </c>
      <c r="L148">
        <f>VLOOKUP(B148,Nuclides!A:C,3,FALSE)</f>
        <v>35</v>
      </c>
      <c r="O148" s="1">
        <v>34073</v>
      </c>
      <c r="P148" s="1">
        <v>4.8859999999999999E-9</v>
      </c>
      <c r="Q148" t="s">
        <v>816</v>
      </c>
      <c r="R148">
        <v>39</v>
      </c>
      <c r="S148">
        <v>34</v>
      </c>
      <c r="T148">
        <f>VLOOKUP(O148,Nuclides!A:D,4,FALSE)</f>
        <v>25740</v>
      </c>
    </row>
    <row r="149" spans="2:20" x14ac:dyDescent="0.2">
      <c r="B149" s="8">
        <v>36071</v>
      </c>
      <c r="C149" s="9">
        <v>9.1500800000000004E-7</v>
      </c>
      <c r="D149" s="8" t="s">
        <v>868</v>
      </c>
      <c r="E149" s="1">
        <v>0.1</v>
      </c>
      <c r="F149" s="1">
        <f t="shared" si="6"/>
        <v>6.9314718055994522</v>
      </c>
      <c r="G149" s="1">
        <f t="shared" si="7"/>
        <v>11408148180</v>
      </c>
      <c r="H149" s="1">
        <f t="shared" si="8"/>
        <v>0</v>
      </c>
      <c r="K149">
        <f>VLOOKUP(B149,Nuclides!A:C,2,FALSE)</f>
        <v>35</v>
      </c>
      <c r="L149">
        <f>VLOOKUP(B149,Nuclides!A:C,3,FALSE)</f>
        <v>36</v>
      </c>
      <c r="O149" s="1">
        <v>34074</v>
      </c>
      <c r="P149" s="1">
        <v>6.2819999999999996E-10</v>
      </c>
      <c r="Q149" t="s">
        <v>817</v>
      </c>
      <c r="R149">
        <v>40</v>
      </c>
      <c r="S149">
        <v>34</v>
      </c>
      <c r="T149" t="str">
        <f>VLOOKUP(O149,Nuclides!A:D,4,FALSE)</f>
        <v>STABLE</v>
      </c>
    </row>
    <row r="150" spans="2:20" x14ac:dyDescent="0.2">
      <c r="B150" s="8">
        <v>36072</v>
      </c>
      <c r="C150" s="9">
        <v>2.8799500000000001E-7</v>
      </c>
      <c r="D150" s="8" t="s">
        <v>869</v>
      </c>
      <c r="E150" s="1">
        <v>17.100000000000001</v>
      </c>
      <c r="F150" s="1">
        <f t="shared" si="6"/>
        <v>4.0534922839762878E-2</v>
      </c>
      <c r="G150" s="1">
        <f t="shared" si="7"/>
        <v>142776446.6724968</v>
      </c>
      <c r="H150" s="1">
        <f t="shared" si="8"/>
        <v>0</v>
      </c>
      <c r="K150">
        <f>VLOOKUP(B150,Nuclides!A:C,2,FALSE)</f>
        <v>36</v>
      </c>
      <c r="L150">
        <f>VLOOKUP(B150,Nuclides!A:C,3,FALSE)</f>
        <v>36</v>
      </c>
      <c r="O150" s="1">
        <v>34075</v>
      </c>
      <c r="P150" s="1">
        <v>6.9799999999999994E-11</v>
      </c>
      <c r="Q150" t="s">
        <v>818</v>
      </c>
      <c r="R150">
        <v>41</v>
      </c>
      <c r="S150">
        <v>34</v>
      </c>
      <c r="T150">
        <f>VLOOKUP(O150,Nuclides!A:D,4,FALSE)</f>
        <v>10348992</v>
      </c>
    </row>
    <row r="151" spans="2:20" x14ac:dyDescent="0.2">
      <c r="B151" s="8">
        <v>36073</v>
      </c>
      <c r="C151" s="9">
        <v>5.9330000000000003E-8</v>
      </c>
      <c r="D151" s="8" t="s">
        <v>870</v>
      </c>
      <c r="E151" s="1">
        <v>27.3</v>
      </c>
      <c r="F151" s="1">
        <f t="shared" si="6"/>
        <v>2.539000661391741E-2</v>
      </c>
      <c r="G151" s="1">
        <f t="shared" si="7"/>
        <v>18563080.29032911</v>
      </c>
      <c r="H151" s="1">
        <f t="shared" si="8"/>
        <v>0</v>
      </c>
      <c r="K151">
        <f>VLOOKUP(B151,Nuclides!A:C,2,FALSE)</f>
        <v>37</v>
      </c>
      <c r="L151">
        <f>VLOOKUP(B151,Nuclides!A:C,3,FALSE)</f>
        <v>36</v>
      </c>
      <c r="O151" s="1">
        <v>34078</v>
      </c>
      <c r="P151" s="1">
        <v>2.094E-10</v>
      </c>
      <c r="Q151" t="s">
        <v>821</v>
      </c>
      <c r="R151">
        <v>44</v>
      </c>
      <c r="S151">
        <v>34</v>
      </c>
      <c r="T151" t="str">
        <f>VLOOKUP(O151,Nuclides!A:D,4,FALSE)</f>
        <v>STABLE</v>
      </c>
    </row>
    <row r="152" spans="2:20" x14ac:dyDescent="0.2">
      <c r="B152" s="8">
        <v>36074</v>
      </c>
      <c r="C152" s="9">
        <v>1.04002E-8</v>
      </c>
      <c r="D152" s="8" t="s">
        <v>871</v>
      </c>
      <c r="E152" s="1">
        <v>690</v>
      </c>
      <c r="F152" s="1">
        <f t="shared" si="6"/>
        <v>1.0045611312462974E-3</v>
      </c>
      <c r="G152" s="1">
        <f t="shared" si="7"/>
        <v>130321.03704772615</v>
      </c>
      <c r="H152" s="1">
        <f t="shared" si="8"/>
        <v>0</v>
      </c>
      <c r="K152">
        <f>VLOOKUP(B152,Nuclides!A:C,2,FALSE)</f>
        <v>38</v>
      </c>
      <c r="L152">
        <f>VLOOKUP(B152,Nuclides!A:C,3,FALSE)</f>
        <v>36</v>
      </c>
      <c r="O152" s="1">
        <v>34079</v>
      </c>
      <c r="P152" s="1">
        <v>1.6752E-9</v>
      </c>
      <c r="Q152" t="s">
        <v>822</v>
      </c>
      <c r="R152">
        <v>45</v>
      </c>
      <c r="S152">
        <v>34</v>
      </c>
      <c r="T152">
        <f>VLOOKUP(O152,Nuclides!A:D,4,FALSE)</f>
        <v>10287777600000</v>
      </c>
    </row>
    <row r="153" spans="2:20" x14ac:dyDescent="0.2">
      <c r="B153" s="8">
        <v>36075</v>
      </c>
      <c r="C153" s="9">
        <v>2.3732E-9</v>
      </c>
      <c r="D153" s="8" t="s">
        <v>872</v>
      </c>
      <c r="E153" s="1">
        <v>276</v>
      </c>
      <c r="F153" s="1">
        <f t="shared" si="6"/>
        <v>2.5114028281157438E-3</v>
      </c>
      <c r="G153" s="1">
        <f t="shared" si="7"/>
        <v>74288.240777676809</v>
      </c>
      <c r="H153" s="1">
        <f t="shared" si="8"/>
        <v>0</v>
      </c>
      <c r="K153">
        <f>VLOOKUP(B153,Nuclides!A:C,2,FALSE)</f>
        <v>39</v>
      </c>
      <c r="L153">
        <f>VLOOKUP(B153,Nuclides!A:C,3,FALSE)</f>
        <v>36</v>
      </c>
      <c r="O153" s="1">
        <v>34080</v>
      </c>
      <c r="P153" s="1">
        <v>1.5844599999999999E-8</v>
      </c>
      <c r="Q153" t="s">
        <v>823</v>
      </c>
      <c r="R153">
        <v>46</v>
      </c>
      <c r="S153">
        <v>34</v>
      </c>
      <c r="T153" t="str">
        <f>VLOOKUP(O153,Nuclides!A:D,4,FALSE)</f>
        <v>STABLE</v>
      </c>
    </row>
    <row r="154" spans="2:20" x14ac:dyDescent="0.2">
      <c r="B154" s="8">
        <v>36076</v>
      </c>
      <c r="C154" s="9">
        <v>2.7919999999999998E-10</v>
      </c>
      <c r="D154" s="8" t="s">
        <v>873</v>
      </c>
      <c r="E154" s="1">
        <v>53280</v>
      </c>
      <c r="F154" s="1">
        <f t="shared" si="6"/>
        <v>1.3009519154653629E-5</v>
      </c>
      <c r="G154" s="1">
        <f t="shared" si="7"/>
        <v>45.330281831455572</v>
      </c>
      <c r="H154" s="1">
        <f t="shared" si="8"/>
        <v>3.0142187666086166E-177</v>
      </c>
      <c r="K154">
        <f>VLOOKUP(B154,Nuclides!A:C,2,FALSE)</f>
        <v>40</v>
      </c>
      <c r="L154">
        <f>VLOOKUP(B154,Nuclides!A:C,3,FALSE)</f>
        <v>36</v>
      </c>
      <c r="O154" s="1">
        <v>34081</v>
      </c>
      <c r="P154" s="1">
        <v>6.1423999999999995E-8</v>
      </c>
      <c r="Q154" t="s">
        <v>824</v>
      </c>
      <c r="R154">
        <v>47</v>
      </c>
      <c r="S154">
        <v>34</v>
      </c>
      <c r="T154">
        <f>VLOOKUP(O154,Nuclides!A:D,4,FALSE)</f>
        <v>1107</v>
      </c>
    </row>
    <row r="155" spans="2:20" x14ac:dyDescent="0.2">
      <c r="B155" s="8">
        <v>36077</v>
      </c>
      <c r="C155" s="9">
        <v>6.9799999999999994E-11</v>
      </c>
      <c r="D155" s="8" t="s">
        <v>874</v>
      </c>
      <c r="E155" s="1">
        <v>4464</v>
      </c>
      <c r="F155" s="1">
        <f t="shared" si="6"/>
        <v>1.5527490603941426E-4</v>
      </c>
      <c r="G155" s="1">
        <f t="shared" si="7"/>
        <v>135.25009100623188</v>
      </c>
      <c r="H155" s="1">
        <f t="shared" si="8"/>
        <v>0</v>
      </c>
      <c r="K155">
        <f>VLOOKUP(B155,Nuclides!A:C,2,FALSE)</f>
        <v>41</v>
      </c>
      <c r="L155">
        <f>VLOOKUP(B155,Nuclides!A:C,3,FALSE)</f>
        <v>36</v>
      </c>
      <c r="O155" s="1">
        <v>34082</v>
      </c>
      <c r="P155" s="1">
        <v>4.3282999999999999E-7</v>
      </c>
      <c r="Q155" t="s">
        <v>825</v>
      </c>
      <c r="R155">
        <v>48</v>
      </c>
      <c r="S155">
        <v>34</v>
      </c>
      <c r="T155" t="str">
        <f>VLOOKUP(O155,Nuclides!A:D,4,FALSE)</f>
        <v>STABLE</v>
      </c>
    </row>
    <row r="156" spans="2:20" x14ac:dyDescent="0.2">
      <c r="B156" s="8">
        <v>36079</v>
      </c>
      <c r="C156" s="9">
        <v>6.9799999999999994E-11</v>
      </c>
      <c r="D156" s="8" t="s">
        <v>876</v>
      </c>
      <c r="E156" s="1">
        <v>126144</v>
      </c>
      <c r="F156" s="1">
        <f t="shared" si="6"/>
        <v>5.4948882274221945E-6</v>
      </c>
      <c r="G156" s="1">
        <f t="shared" si="7"/>
        <v>4.7866059634772702</v>
      </c>
      <c r="H156" s="1">
        <f t="shared" si="8"/>
        <v>2.6456278980742819E-75</v>
      </c>
      <c r="K156">
        <f>VLOOKUP(B156,Nuclides!A:C,2,FALSE)</f>
        <v>43</v>
      </c>
      <c r="L156">
        <f>VLOOKUP(B156,Nuclides!A:C,3,FALSE)</f>
        <v>36</v>
      </c>
      <c r="O156" s="1">
        <v>34083</v>
      </c>
      <c r="P156" s="1">
        <v>9.2422199999999995E-7</v>
      </c>
      <c r="Q156" t="s">
        <v>826</v>
      </c>
      <c r="R156">
        <v>49</v>
      </c>
      <c r="S156">
        <v>34</v>
      </c>
      <c r="T156">
        <f>VLOOKUP(O156,Nuclides!A:D,4,FALSE)</f>
        <v>1335</v>
      </c>
    </row>
    <row r="157" spans="2:20" x14ac:dyDescent="0.2">
      <c r="B157" s="8">
        <v>36081</v>
      </c>
      <c r="C157" s="9">
        <v>3.6296E-9</v>
      </c>
      <c r="D157" s="8" t="s">
        <v>878</v>
      </c>
      <c r="E157" s="1">
        <v>7226690400000</v>
      </c>
      <c r="F157" s="1">
        <f t="shared" si="6"/>
        <v>9.5914885264760377E-14</v>
      </c>
      <c r="G157" s="1">
        <f t="shared" si="7"/>
        <v>4.3450754674267955E-6</v>
      </c>
      <c r="H157" s="1">
        <f t="shared" si="8"/>
        <v>4.345062324584835E-6</v>
      </c>
      <c r="K157">
        <f>VLOOKUP(B157,Nuclides!A:C,2,FALSE)</f>
        <v>45</v>
      </c>
      <c r="L157">
        <f>VLOOKUP(B157,Nuclides!A:C,3,FALSE)</f>
        <v>36</v>
      </c>
      <c r="O157" s="1">
        <v>34084</v>
      </c>
      <c r="P157" s="1">
        <v>4.1990300000000004E-6</v>
      </c>
      <c r="Q157" t="s">
        <v>827</v>
      </c>
      <c r="R157">
        <v>50</v>
      </c>
      <c r="S157">
        <v>34</v>
      </c>
      <c r="T157">
        <f>VLOOKUP(O157,Nuclides!A:D,4,FALSE)</f>
        <v>195.6</v>
      </c>
    </row>
    <row r="158" spans="2:20" x14ac:dyDescent="0.2">
      <c r="B158" s="8">
        <v>36085</v>
      </c>
      <c r="C158" s="9">
        <v>1.2485100000000001E-6</v>
      </c>
      <c r="D158" s="8" t="s">
        <v>882</v>
      </c>
      <c r="E158" s="1">
        <v>338897066.39999998</v>
      </c>
      <c r="F158" s="1">
        <f t="shared" si="6"/>
        <v>2.045302982179917E-9</v>
      </c>
      <c r="G158" s="1">
        <f t="shared" si="7"/>
        <v>31.868692844568258</v>
      </c>
      <c r="H158" s="1">
        <f t="shared" si="8"/>
        <v>29.878030293030506</v>
      </c>
      <c r="K158">
        <f>VLOOKUP(B158,Nuclides!A:C,2,FALSE)</f>
        <v>49</v>
      </c>
      <c r="L158">
        <f>VLOOKUP(B158,Nuclides!A:C,3,FALSE)</f>
        <v>36</v>
      </c>
      <c r="O158" s="1">
        <v>34085</v>
      </c>
      <c r="P158" s="1">
        <v>5.0480099999999996E-6</v>
      </c>
      <c r="Q158" t="s">
        <v>828</v>
      </c>
      <c r="R158">
        <v>51</v>
      </c>
      <c r="S158">
        <v>34</v>
      </c>
      <c r="T158">
        <f>VLOOKUP(O158,Nuclides!A:D,4,FALSE)</f>
        <v>32.9</v>
      </c>
    </row>
    <row r="159" spans="2:20" x14ac:dyDescent="0.2">
      <c r="B159" s="8">
        <v>36087</v>
      </c>
      <c r="C159" s="9">
        <v>8.6558999999999996E-6</v>
      </c>
      <c r="D159" s="8" t="s">
        <v>884</v>
      </c>
      <c r="E159" s="1">
        <v>4578</v>
      </c>
      <c r="F159" s="1">
        <f t="shared" si="6"/>
        <v>1.5140829632152584E-4</v>
      </c>
      <c r="G159" s="1">
        <f t="shared" si="7"/>
        <v>16354738.747369401</v>
      </c>
      <c r="H159" s="1">
        <f t="shared" si="8"/>
        <v>0</v>
      </c>
      <c r="K159">
        <f>VLOOKUP(B159,Nuclides!A:C,2,FALSE)</f>
        <v>51</v>
      </c>
      <c r="L159">
        <f>VLOOKUP(B159,Nuclides!A:C,3,FALSE)</f>
        <v>36</v>
      </c>
      <c r="O159" s="1">
        <v>34086</v>
      </c>
      <c r="P159" s="1">
        <v>9.4065299999999992E-6</v>
      </c>
      <c r="Q159" t="s">
        <v>829</v>
      </c>
      <c r="R159">
        <v>52</v>
      </c>
      <c r="S159">
        <v>34</v>
      </c>
      <c r="T159">
        <f>VLOOKUP(O159,Nuclides!A:D,4,FALSE)</f>
        <v>14.3</v>
      </c>
    </row>
    <row r="160" spans="2:20" x14ac:dyDescent="0.2">
      <c r="B160" s="8">
        <v>36088</v>
      </c>
      <c r="C160" s="9">
        <v>1.8726E-5</v>
      </c>
      <c r="D160" s="8" t="s">
        <v>885</v>
      </c>
      <c r="E160" s="1">
        <v>10170</v>
      </c>
      <c r="F160" s="1">
        <f t="shared" si="6"/>
        <v>6.8156064951813692E-5</v>
      </c>
      <c r="G160" s="1">
        <f t="shared" si="7"/>
        <v>15927562.308003755</v>
      </c>
      <c r="H160" s="1">
        <f t="shared" si="8"/>
        <v>0</v>
      </c>
      <c r="K160">
        <f>VLOOKUP(B160,Nuclides!A:C,2,FALSE)</f>
        <v>52</v>
      </c>
      <c r="L160">
        <f>VLOOKUP(B160,Nuclides!A:C,3,FALSE)</f>
        <v>36</v>
      </c>
      <c r="O160" s="1">
        <v>34087</v>
      </c>
      <c r="P160" s="1">
        <v>7.6673899999999998E-6</v>
      </c>
      <c r="Q160" t="s">
        <v>830</v>
      </c>
      <c r="R160">
        <v>53</v>
      </c>
      <c r="S160">
        <v>34</v>
      </c>
      <c r="T160">
        <f>VLOOKUP(O160,Nuclides!A:D,4,FALSE)</f>
        <v>5.5</v>
      </c>
    </row>
    <row r="161" spans="2:20" x14ac:dyDescent="0.2">
      <c r="B161" s="8">
        <v>36089</v>
      </c>
      <c r="C161" s="9">
        <v>3.0769899999999998E-5</v>
      </c>
      <c r="D161" s="8" t="s">
        <v>886</v>
      </c>
      <c r="E161" s="1">
        <v>189</v>
      </c>
      <c r="F161" s="1">
        <f t="shared" si="6"/>
        <v>3.6674453997880704E-3</v>
      </c>
      <c r="G161" s="1">
        <f t="shared" si="7"/>
        <v>1405750332.0985179</v>
      </c>
      <c r="H161" s="1">
        <f t="shared" si="8"/>
        <v>0</v>
      </c>
      <c r="K161">
        <f>VLOOKUP(B161,Nuclides!A:C,2,FALSE)</f>
        <v>53</v>
      </c>
      <c r="L161">
        <f>VLOOKUP(B161,Nuclides!A:C,3,FALSE)</f>
        <v>36</v>
      </c>
      <c r="O161" s="1">
        <v>34088</v>
      </c>
      <c r="P161" s="1">
        <v>8.9306299999999992E-6</v>
      </c>
      <c r="Q161" t="s">
        <v>831</v>
      </c>
      <c r="R161">
        <v>54</v>
      </c>
      <c r="S161">
        <v>34</v>
      </c>
      <c r="T161">
        <f>VLOOKUP(O161,Nuclides!A:D,4,FALSE)</f>
        <v>1.53</v>
      </c>
    </row>
    <row r="162" spans="2:20" x14ac:dyDescent="0.2">
      <c r="B162" s="8">
        <v>36090</v>
      </c>
      <c r="C162" s="9">
        <v>4.4976399999999999E-5</v>
      </c>
      <c r="D162" s="8" t="s">
        <v>887</v>
      </c>
      <c r="E162" s="1">
        <v>32.32</v>
      </c>
      <c r="F162" s="1">
        <f t="shared" si="6"/>
        <v>2.1446385537127018E-2</v>
      </c>
      <c r="G162" s="1">
        <f t="shared" si="7"/>
        <v>11909805924.93309</v>
      </c>
      <c r="H162" s="1">
        <f t="shared" si="8"/>
        <v>0</v>
      </c>
      <c r="K162">
        <f>VLOOKUP(B162,Nuclides!A:C,2,FALSE)</f>
        <v>54</v>
      </c>
      <c r="L162">
        <f>VLOOKUP(B162,Nuclides!A:C,3,FALSE)</f>
        <v>36</v>
      </c>
      <c r="O162" s="1">
        <v>34089</v>
      </c>
      <c r="P162" s="1">
        <v>5.8637600000000003E-6</v>
      </c>
      <c r="Q162" t="s">
        <v>832</v>
      </c>
      <c r="R162">
        <v>55</v>
      </c>
      <c r="S162">
        <v>34</v>
      </c>
      <c r="T162">
        <f>VLOOKUP(O162,Nuclides!A:D,4,FALSE)</f>
        <v>0.43</v>
      </c>
    </row>
    <row r="163" spans="2:20" x14ac:dyDescent="0.2">
      <c r="B163" s="8">
        <v>36091</v>
      </c>
      <c r="C163" s="9">
        <v>4.1325800000000003E-5</v>
      </c>
      <c r="D163" s="8" t="s">
        <v>888</v>
      </c>
      <c r="E163" s="1">
        <v>8.57</v>
      </c>
      <c r="F163" s="1">
        <f t="shared" si="6"/>
        <v>8.0880651173855928E-2</v>
      </c>
      <c r="G163" s="1">
        <f t="shared" si="7"/>
        <v>40071523366.457466</v>
      </c>
      <c r="H163" s="1">
        <f t="shared" si="8"/>
        <v>0</v>
      </c>
      <c r="K163">
        <f>VLOOKUP(B163,Nuclides!A:C,2,FALSE)</f>
        <v>55</v>
      </c>
      <c r="L163">
        <f>VLOOKUP(B163,Nuclides!A:C,3,FALSE)</f>
        <v>36</v>
      </c>
      <c r="O163" s="1">
        <v>34090</v>
      </c>
      <c r="P163" s="1">
        <v>4.5967499999999997E-6</v>
      </c>
      <c r="Q163" t="s">
        <v>833</v>
      </c>
      <c r="R163">
        <v>56</v>
      </c>
      <c r="S163">
        <v>34</v>
      </c>
      <c r="T163">
        <f>VLOOKUP(O163,Nuclides!A:D,4,FALSE)</f>
        <v>0.19500000000000001</v>
      </c>
    </row>
    <row r="164" spans="2:20" x14ac:dyDescent="0.2">
      <c r="B164" s="8">
        <v>36092</v>
      </c>
      <c r="C164" s="9">
        <v>3.6357099999999998E-5</v>
      </c>
      <c r="D164" s="8" t="s">
        <v>889</v>
      </c>
      <c r="E164" s="1">
        <v>1.84</v>
      </c>
      <c r="F164" s="1">
        <f t="shared" si="6"/>
        <v>0.37671042421736156</v>
      </c>
      <c r="G164" s="1">
        <f t="shared" si="7"/>
        <v>142421238917.37347</v>
      </c>
      <c r="H164" s="1">
        <f t="shared" si="8"/>
        <v>0</v>
      </c>
      <c r="K164">
        <f>VLOOKUP(B164,Nuclides!A:C,2,FALSE)</f>
        <v>56</v>
      </c>
      <c r="L164">
        <f>VLOOKUP(B164,Nuclides!A:C,3,FALSE)</f>
        <v>36</v>
      </c>
      <c r="O164" s="1">
        <v>34091</v>
      </c>
      <c r="P164" s="1">
        <v>1.25054E-6</v>
      </c>
      <c r="Q164" t="s">
        <v>834</v>
      </c>
      <c r="R164">
        <v>57</v>
      </c>
      <c r="S164">
        <v>34</v>
      </c>
      <c r="T164">
        <f>VLOOKUP(O164,Nuclides!A:D,4,FALSE)</f>
        <v>0.27</v>
      </c>
    </row>
    <row r="165" spans="2:20" x14ac:dyDescent="0.2">
      <c r="B165" s="8">
        <v>36093</v>
      </c>
      <c r="C165" s="9">
        <v>1.60266E-5</v>
      </c>
      <c r="D165" s="8" t="s">
        <v>890</v>
      </c>
      <c r="E165" s="1">
        <v>1.286</v>
      </c>
      <c r="F165" s="1">
        <f t="shared" si="6"/>
        <v>0.53899469716947535</v>
      </c>
      <c r="G165" s="1">
        <f t="shared" si="7"/>
        <v>83338109571.510941</v>
      </c>
      <c r="H165" s="1">
        <f t="shared" si="8"/>
        <v>0</v>
      </c>
      <c r="K165">
        <f>VLOOKUP(B165,Nuclides!A:C,2,FALSE)</f>
        <v>57</v>
      </c>
      <c r="L165">
        <f>VLOOKUP(B165,Nuclides!A:C,3,FALSE)</f>
        <v>36</v>
      </c>
      <c r="O165" s="1">
        <v>35070</v>
      </c>
      <c r="P165" s="1">
        <v>8.5107100000000004E-7</v>
      </c>
      <c r="Q165" t="s">
        <v>837</v>
      </c>
      <c r="R165">
        <v>35</v>
      </c>
      <c r="S165">
        <v>35</v>
      </c>
      <c r="T165">
        <f>VLOOKUP(O165,Nuclides!A:D,4,FALSE)</f>
        <v>7.9099999999999906E-2</v>
      </c>
    </row>
    <row r="166" spans="2:20" x14ac:dyDescent="0.2">
      <c r="B166" s="8">
        <v>36094</v>
      </c>
      <c r="C166" s="9">
        <v>7.7108099999999998E-6</v>
      </c>
      <c r="D166" s="8" t="s">
        <v>891</v>
      </c>
      <c r="E166" s="1">
        <v>0.21199999999999999</v>
      </c>
      <c r="F166" s="1">
        <f t="shared" si="6"/>
        <v>3.2695621724525723</v>
      </c>
      <c r="G166" s="1">
        <f t="shared" si="7"/>
        <v>92571914124.30072</v>
      </c>
      <c r="H166" s="1">
        <f t="shared" si="8"/>
        <v>0</v>
      </c>
      <c r="K166">
        <f>VLOOKUP(B166,Nuclides!A:C,2,FALSE)</f>
        <v>58</v>
      </c>
      <c r="L166">
        <f>VLOOKUP(B166,Nuclides!A:C,3,FALSE)</f>
        <v>36</v>
      </c>
      <c r="O166" s="1">
        <v>35071</v>
      </c>
      <c r="P166" s="1">
        <v>1.47557E-7</v>
      </c>
      <c r="Q166" t="s">
        <v>838</v>
      </c>
      <c r="R166">
        <v>36</v>
      </c>
      <c r="S166">
        <v>35</v>
      </c>
      <c r="T166">
        <f>VLOOKUP(O166,Nuclides!A:D,4,FALSE)</f>
        <v>21.4</v>
      </c>
    </row>
    <row r="167" spans="2:20" x14ac:dyDescent="0.2">
      <c r="B167" s="8">
        <v>36095</v>
      </c>
      <c r="C167" s="9">
        <v>1.9912500000000002E-6</v>
      </c>
      <c r="D167" s="8" t="s">
        <v>892</v>
      </c>
      <c r="E167" s="1">
        <v>0.114</v>
      </c>
      <c r="F167" s="1">
        <f t="shared" si="6"/>
        <v>6.0802384259644322</v>
      </c>
      <c r="G167" s="1">
        <f t="shared" si="7"/>
        <v>24793950535.63792</v>
      </c>
      <c r="H167" s="1">
        <f t="shared" si="8"/>
        <v>0</v>
      </c>
      <c r="K167">
        <f>VLOOKUP(B167,Nuclides!A:C,2,FALSE)</f>
        <v>59</v>
      </c>
      <c r="L167">
        <f>VLOOKUP(B167,Nuclides!A:C,3,FALSE)</f>
        <v>36</v>
      </c>
      <c r="O167" s="1">
        <v>35072</v>
      </c>
      <c r="P167" s="1">
        <v>6.8613400000000002E-8</v>
      </c>
      <c r="Q167" t="s">
        <v>839</v>
      </c>
      <c r="R167">
        <v>37</v>
      </c>
      <c r="S167">
        <v>35</v>
      </c>
      <c r="T167">
        <f>VLOOKUP(O167,Nuclides!A:D,4,FALSE)</f>
        <v>78.599999999999994</v>
      </c>
    </row>
    <row r="168" spans="2:20" x14ac:dyDescent="0.2">
      <c r="B168" s="8">
        <v>36096</v>
      </c>
      <c r="C168" s="9">
        <v>6.5514300000000001E-7</v>
      </c>
      <c r="D168" s="8" t="s">
        <v>893</v>
      </c>
      <c r="E168" s="1">
        <v>0.08</v>
      </c>
      <c r="F168" s="1">
        <f t="shared" si="6"/>
        <v>8.6643397569993166</v>
      </c>
      <c r="G168" s="1">
        <f t="shared" si="7"/>
        <v>8174773156.6984425</v>
      </c>
      <c r="H168" s="1">
        <f t="shared" si="8"/>
        <v>0</v>
      </c>
      <c r="K168">
        <f>VLOOKUP(B168,Nuclides!A:C,2,FALSE)</f>
        <v>60</v>
      </c>
      <c r="L168">
        <f>VLOOKUP(B168,Nuclides!A:C,3,FALSE)</f>
        <v>36</v>
      </c>
      <c r="O168" s="1">
        <v>35073</v>
      </c>
      <c r="P168" s="1">
        <v>6.9800000000000003E-9</v>
      </c>
      <c r="Q168" t="s">
        <v>840</v>
      </c>
      <c r="R168">
        <v>38</v>
      </c>
      <c r="S168">
        <v>35</v>
      </c>
      <c r="T168">
        <f>VLOOKUP(O168,Nuclides!A:D,4,FALSE)</f>
        <v>204</v>
      </c>
    </row>
    <row r="169" spans="2:20" x14ac:dyDescent="0.2">
      <c r="B169" s="8">
        <v>36097</v>
      </c>
      <c r="C169" s="9">
        <v>1.0484E-7</v>
      </c>
      <c r="D169" s="8" t="s">
        <v>894</v>
      </c>
      <c r="E169" s="1">
        <v>6.3E-2</v>
      </c>
      <c r="F169" s="1">
        <f t="shared" si="6"/>
        <v>11.00233619936421</v>
      </c>
      <c r="G169" s="1">
        <f t="shared" si="7"/>
        <v>1308381398.4335871</v>
      </c>
      <c r="H169" s="1">
        <f t="shared" si="8"/>
        <v>0</v>
      </c>
      <c r="K169">
        <f>VLOOKUP(B169,Nuclides!A:C,2,FALSE)</f>
        <v>61</v>
      </c>
      <c r="L169">
        <f>VLOOKUP(B169,Nuclides!A:C,3,FALSE)</f>
        <v>36</v>
      </c>
      <c r="O169" s="1">
        <v>35074</v>
      </c>
      <c r="P169" s="1">
        <v>2.5826000000000002E-9</v>
      </c>
      <c r="Q169" t="s">
        <v>841</v>
      </c>
      <c r="R169">
        <v>39</v>
      </c>
      <c r="S169">
        <v>35</v>
      </c>
      <c r="T169">
        <f>VLOOKUP(O169,Nuclides!A:D,4,FALSE)</f>
        <v>1524</v>
      </c>
    </row>
    <row r="170" spans="2:20" x14ac:dyDescent="0.2">
      <c r="B170" s="8">
        <v>37074</v>
      </c>
      <c r="C170" s="9">
        <v>2.2335999999999999E-8</v>
      </c>
      <c r="D170" s="8" t="s">
        <v>899</v>
      </c>
      <c r="E170" s="1">
        <v>6.4899999999999999E-2</v>
      </c>
      <c r="F170" s="1">
        <f t="shared" si="6"/>
        <v>10.680233906932902</v>
      </c>
      <c r="G170" s="1">
        <f t="shared" si="7"/>
        <v>278746870.06928766</v>
      </c>
      <c r="H170" s="1">
        <f t="shared" si="8"/>
        <v>0</v>
      </c>
      <c r="K170">
        <f>VLOOKUP(B170,Nuclides!A:C,2,FALSE)</f>
        <v>37</v>
      </c>
      <c r="L170">
        <f>VLOOKUP(B170,Nuclides!A:C,3,FALSE)</f>
        <v>37</v>
      </c>
      <c r="O170" s="1">
        <v>35075</v>
      </c>
      <c r="P170" s="1">
        <v>2.094E-10</v>
      </c>
      <c r="Q170" t="s">
        <v>842</v>
      </c>
      <c r="R170">
        <v>40</v>
      </c>
      <c r="S170">
        <v>35</v>
      </c>
      <c r="T170">
        <f>VLOOKUP(O170,Nuclides!A:D,4,FALSE)</f>
        <v>5802</v>
      </c>
    </row>
    <row r="171" spans="2:20" x14ac:dyDescent="0.2">
      <c r="B171" s="8">
        <v>37075</v>
      </c>
      <c r="C171" s="9">
        <v>2.6524000000000001E-9</v>
      </c>
      <c r="D171" s="8" t="s">
        <v>900</v>
      </c>
      <c r="E171" s="1">
        <v>19</v>
      </c>
      <c r="F171" s="1">
        <f t="shared" si="6"/>
        <v>3.6481430555786593E-2</v>
      </c>
      <c r="G171" s="1">
        <f t="shared" si="7"/>
        <v>1185844.3965554289</v>
      </c>
      <c r="H171" s="1">
        <f t="shared" si="8"/>
        <v>0</v>
      </c>
      <c r="K171">
        <f>VLOOKUP(B171,Nuclides!A:C,2,FALSE)</f>
        <v>38</v>
      </c>
      <c r="L171">
        <f>VLOOKUP(B171,Nuclides!A:C,3,FALSE)</f>
        <v>37</v>
      </c>
      <c r="O171" s="1">
        <v>35076</v>
      </c>
      <c r="P171" s="1">
        <v>6.9799999999999994E-11</v>
      </c>
      <c r="Q171" t="s">
        <v>843</v>
      </c>
      <c r="R171">
        <v>41</v>
      </c>
      <c r="S171">
        <v>35</v>
      </c>
      <c r="T171">
        <f>VLOOKUP(O171,Nuclides!A:D,4,FALSE)</f>
        <v>58320</v>
      </c>
    </row>
    <row r="172" spans="2:20" x14ac:dyDescent="0.2">
      <c r="B172" s="8">
        <v>37076</v>
      </c>
      <c r="C172" s="9">
        <v>6.2819999999999996E-10</v>
      </c>
      <c r="D172" s="8" t="s">
        <v>901</v>
      </c>
      <c r="E172" s="1">
        <v>36.5</v>
      </c>
      <c r="F172" s="1">
        <f t="shared" si="6"/>
        <v>1.8990333713971103E-2</v>
      </c>
      <c r="G172" s="1">
        <f t="shared" si="7"/>
        <v>147478.23835797442</v>
      </c>
      <c r="H172" s="1">
        <f t="shared" si="8"/>
        <v>0</v>
      </c>
      <c r="K172">
        <f>VLOOKUP(B172,Nuclides!A:C,2,FALSE)</f>
        <v>39</v>
      </c>
      <c r="L172">
        <f>VLOOKUP(B172,Nuclides!A:C,3,FALSE)</f>
        <v>37</v>
      </c>
      <c r="O172" s="1">
        <v>35080</v>
      </c>
      <c r="P172" s="1">
        <v>1.3959999999999999E-10</v>
      </c>
      <c r="Q172" t="s">
        <v>847</v>
      </c>
      <c r="R172">
        <v>45</v>
      </c>
      <c r="S172">
        <v>35</v>
      </c>
      <c r="T172">
        <f>VLOOKUP(O172,Nuclides!A:D,4,FALSE)</f>
        <v>1060.8</v>
      </c>
    </row>
    <row r="173" spans="2:20" x14ac:dyDescent="0.2">
      <c r="B173" s="8">
        <v>37082</v>
      </c>
      <c r="C173" s="9">
        <v>1.3959999999999999E-10</v>
      </c>
      <c r="D173" s="8" t="s">
        <v>907</v>
      </c>
      <c r="E173" s="1">
        <v>75.45</v>
      </c>
      <c r="F173" s="1">
        <f t="shared" si="6"/>
        <v>9.1868413593100759E-3</v>
      </c>
      <c r="G173" s="1">
        <f t="shared" si="7"/>
        <v>15932.093649496852</v>
      </c>
      <c r="H173" s="1">
        <f t="shared" si="8"/>
        <v>0</v>
      </c>
      <c r="K173">
        <f>VLOOKUP(B173,Nuclides!A:C,2,FALSE)</f>
        <v>45</v>
      </c>
      <c r="L173">
        <f>VLOOKUP(B173,Nuclides!A:C,3,FALSE)</f>
        <v>37</v>
      </c>
      <c r="O173" s="1">
        <v>35081</v>
      </c>
      <c r="P173" s="1">
        <v>6.9799999999999997E-10</v>
      </c>
      <c r="Q173" t="s">
        <v>848</v>
      </c>
      <c r="R173">
        <v>46</v>
      </c>
      <c r="S173">
        <v>35</v>
      </c>
      <c r="T173" t="str">
        <f>VLOOKUP(O173,Nuclides!A:D,4,FALSE)</f>
        <v>STABLE</v>
      </c>
    </row>
    <row r="174" spans="2:20" x14ac:dyDescent="0.2">
      <c r="B174" s="8">
        <v>37083</v>
      </c>
      <c r="C174" s="9">
        <v>9.772000000000001E-10</v>
      </c>
      <c r="D174" s="8" t="s">
        <v>908</v>
      </c>
      <c r="E174" s="1">
        <v>7447680</v>
      </c>
      <c r="F174" s="1">
        <f t="shared" si="6"/>
        <v>9.3068872529424639E-8</v>
      </c>
      <c r="G174" s="1">
        <f t="shared" si="7"/>
        <v>1.1350172867093991</v>
      </c>
      <c r="H174" s="1">
        <f t="shared" si="8"/>
        <v>6.0303080960038946E-2</v>
      </c>
      <c r="K174">
        <f>VLOOKUP(B174,Nuclides!A:C,2,FALSE)</f>
        <v>46</v>
      </c>
      <c r="L174">
        <f>VLOOKUP(B174,Nuclides!A:C,3,FALSE)</f>
        <v>37</v>
      </c>
      <c r="O174" s="1">
        <v>35082</v>
      </c>
      <c r="P174" s="1">
        <v>1.0051199999999999E-8</v>
      </c>
      <c r="Q174" t="s">
        <v>849</v>
      </c>
      <c r="R174">
        <v>47</v>
      </c>
      <c r="S174">
        <v>35</v>
      </c>
      <c r="T174">
        <f>VLOOKUP(O174,Nuclides!A:D,4,FALSE)</f>
        <v>127015.19999999899</v>
      </c>
    </row>
    <row r="175" spans="2:20" x14ac:dyDescent="0.2">
      <c r="B175" s="8">
        <v>37084</v>
      </c>
      <c r="C175" s="9">
        <v>8.0269999999999997E-9</v>
      </c>
      <c r="D175" s="8" t="s">
        <v>909</v>
      </c>
      <c r="E175" s="1">
        <v>2835648</v>
      </c>
      <c r="F175" s="1">
        <f t="shared" si="6"/>
        <v>2.4444048787435723E-7</v>
      </c>
      <c r="G175" s="1">
        <f t="shared" si="7"/>
        <v>24.487301982044691</v>
      </c>
      <c r="H175" s="1">
        <f t="shared" si="8"/>
        <v>1.099273664963976E-2</v>
      </c>
      <c r="K175">
        <f>VLOOKUP(B175,Nuclides!A:C,2,FALSE)</f>
        <v>47</v>
      </c>
      <c r="L175">
        <f>VLOOKUP(B175,Nuclides!A:C,3,FALSE)</f>
        <v>37</v>
      </c>
      <c r="O175" s="1">
        <v>35083</v>
      </c>
      <c r="P175" s="1">
        <v>8.5574799999999999E-8</v>
      </c>
      <c r="Q175" t="s">
        <v>850</v>
      </c>
      <c r="R175">
        <v>48</v>
      </c>
      <c r="S175">
        <v>35</v>
      </c>
      <c r="T175">
        <f>VLOOKUP(O175,Nuclides!A:D,4,FALSE)</f>
        <v>8546.4</v>
      </c>
    </row>
    <row r="176" spans="2:20" x14ac:dyDescent="0.2">
      <c r="B176" s="8">
        <v>37086</v>
      </c>
      <c r="C176" s="9">
        <v>1.7149899999999999E-7</v>
      </c>
      <c r="D176" s="8" t="s">
        <v>911</v>
      </c>
      <c r="E176" s="1">
        <v>1610668.8</v>
      </c>
      <c r="F176" s="1">
        <f t="shared" si="6"/>
        <v>4.3034743117886513E-7</v>
      </c>
      <c r="G176" s="1">
        <f t="shared" si="7"/>
        <v>921.07564489455194</v>
      </c>
      <c r="H176" s="1">
        <f t="shared" si="8"/>
        <v>1.1756966383874342E-3</v>
      </c>
      <c r="K176">
        <f>VLOOKUP(B176,Nuclides!A:C,2,FALSE)</f>
        <v>49</v>
      </c>
      <c r="L176">
        <f>VLOOKUP(B176,Nuclides!A:C,3,FALSE)</f>
        <v>37</v>
      </c>
      <c r="O176" s="1">
        <v>35084</v>
      </c>
      <c r="P176" s="1">
        <v>2.9211300000000002E-7</v>
      </c>
      <c r="Q176" t="s">
        <v>851</v>
      </c>
      <c r="R176">
        <v>49</v>
      </c>
      <c r="S176">
        <v>35</v>
      </c>
      <c r="T176">
        <f>VLOOKUP(O176,Nuclides!A:D,4,FALSE)</f>
        <v>1905.6</v>
      </c>
    </row>
    <row r="177" spans="2:20" x14ac:dyDescent="0.2">
      <c r="B177" s="8">
        <v>37087</v>
      </c>
      <c r="C177" s="9">
        <v>6.7273199999999997E-7</v>
      </c>
      <c r="D177" s="8" t="s">
        <v>912</v>
      </c>
      <c r="E177" s="1">
        <v>1.56841272E+18</v>
      </c>
      <c r="F177" s="1">
        <f t="shared" si="6"/>
        <v>4.419418254653949E-19</v>
      </c>
      <c r="G177" s="1">
        <f t="shared" si="7"/>
        <v>0</v>
      </c>
      <c r="H177" s="1">
        <f t="shared" si="8"/>
        <v>0</v>
      </c>
      <c r="K177">
        <f>VLOOKUP(B177,Nuclides!A:C,2,FALSE)</f>
        <v>50</v>
      </c>
      <c r="L177">
        <f>VLOOKUP(B177,Nuclides!A:C,3,FALSE)</f>
        <v>37</v>
      </c>
      <c r="O177" s="1">
        <v>35085</v>
      </c>
      <c r="P177" s="1">
        <v>1.9753399999999998E-6</v>
      </c>
      <c r="Q177" t="s">
        <v>852</v>
      </c>
      <c r="R177">
        <v>50</v>
      </c>
      <c r="S177">
        <v>35</v>
      </c>
      <c r="T177">
        <f>VLOOKUP(O177,Nuclides!A:D,4,FALSE)</f>
        <v>174</v>
      </c>
    </row>
    <row r="178" spans="2:20" x14ac:dyDescent="0.2">
      <c r="B178" s="8">
        <v>37088</v>
      </c>
      <c r="C178" s="9">
        <v>2.2233399999999998E-6</v>
      </c>
      <c r="D178" s="8" t="s">
        <v>913</v>
      </c>
      <c r="E178" s="1">
        <v>1066.3799999999901</v>
      </c>
      <c r="F178" s="1">
        <f t="shared" si="6"/>
        <v>6.5000016932045964E-4</v>
      </c>
      <c r="G178" s="1">
        <f t="shared" si="7"/>
        <v>18029878.431363117</v>
      </c>
      <c r="H178" s="1">
        <f t="shared" si="8"/>
        <v>0</v>
      </c>
      <c r="K178">
        <f>VLOOKUP(B178,Nuclides!A:C,2,FALSE)</f>
        <v>51</v>
      </c>
      <c r="L178">
        <f>VLOOKUP(B178,Nuclides!A:C,3,FALSE)</f>
        <v>37</v>
      </c>
      <c r="O178" s="1">
        <v>35086</v>
      </c>
      <c r="P178" s="1">
        <v>3.5823500000000001E-6</v>
      </c>
      <c r="Q178" t="s">
        <v>853</v>
      </c>
      <c r="R178">
        <v>51</v>
      </c>
      <c r="S178">
        <v>35</v>
      </c>
      <c r="T178">
        <f>VLOOKUP(O178,Nuclides!A:D,4,FALSE)</f>
        <v>55.1</v>
      </c>
    </row>
    <row r="179" spans="2:20" x14ac:dyDescent="0.2">
      <c r="B179" s="8">
        <v>37089</v>
      </c>
      <c r="C179" s="9">
        <v>7.1252500000000001E-6</v>
      </c>
      <c r="D179" s="8" t="s">
        <v>914</v>
      </c>
      <c r="E179" s="1">
        <v>919.2</v>
      </c>
      <c r="F179" s="1">
        <f t="shared" si="6"/>
        <v>7.5407656718880028E-4</v>
      </c>
      <c r="G179" s="1">
        <f t="shared" si="7"/>
        <v>67029565.184854865</v>
      </c>
      <c r="H179" s="1">
        <f t="shared" si="8"/>
        <v>0</v>
      </c>
      <c r="K179">
        <f>VLOOKUP(B179,Nuclides!A:C,2,FALSE)</f>
        <v>52</v>
      </c>
      <c r="L179">
        <f>VLOOKUP(B179,Nuclides!A:C,3,FALSE)</f>
        <v>37</v>
      </c>
      <c r="O179" s="1">
        <v>35087</v>
      </c>
      <c r="P179" s="1">
        <v>8.5490999999999992E-6</v>
      </c>
      <c r="Q179" t="s">
        <v>854</v>
      </c>
      <c r="R179">
        <v>52</v>
      </c>
      <c r="S179">
        <v>35</v>
      </c>
      <c r="T179">
        <f>VLOOKUP(O179,Nuclides!A:D,4,FALSE)</f>
        <v>55.65</v>
      </c>
    </row>
    <row r="180" spans="2:20" x14ac:dyDescent="0.2">
      <c r="B180" s="8">
        <v>37090</v>
      </c>
      <c r="C180" s="9">
        <v>1.5968799999999999E-5</v>
      </c>
      <c r="D180" s="8" t="s">
        <v>915</v>
      </c>
      <c r="E180" s="1">
        <v>158</v>
      </c>
      <c r="F180" s="1">
        <f t="shared" si="6"/>
        <v>4.3870074718983876E-3</v>
      </c>
      <c r="G180" s="1">
        <f t="shared" si="7"/>
        <v>872374500.71001709</v>
      </c>
      <c r="H180" s="1">
        <f t="shared" si="8"/>
        <v>0</v>
      </c>
      <c r="K180">
        <f>VLOOKUP(B180,Nuclides!A:C,2,FALSE)</f>
        <v>53</v>
      </c>
      <c r="L180">
        <f>VLOOKUP(B180,Nuclides!A:C,3,FALSE)</f>
        <v>37</v>
      </c>
      <c r="O180" s="1">
        <v>35088</v>
      </c>
      <c r="P180" s="1">
        <v>1.15686E-5</v>
      </c>
      <c r="Q180" t="s">
        <v>855</v>
      </c>
      <c r="R180">
        <v>53</v>
      </c>
      <c r="S180">
        <v>35</v>
      </c>
      <c r="T180">
        <f>VLOOKUP(O180,Nuclides!A:D,4,FALSE)</f>
        <v>16.34</v>
      </c>
    </row>
    <row r="181" spans="2:20" x14ac:dyDescent="0.2">
      <c r="B181" s="8">
        <v>37091</v>
      </c>
      <c r="C181" s="9">
        <v>3.4290299999999999E-5</v>
      </c>
      <c r="D181" s="8" t="s">
        <v>916</v>
      </c>
      <c r="E181" s="1">
        <v>58.2</v>
      </c>
      <c r="F181" s="1">
        <f t="shared" si="6"/>
        <v>1.1909745370445795E-2</v>
      </c>
      <c r="G181" s="1">
        <f t="shared" si="7"/>
        <v>5066461476.7680082</v>
      </c>
      <c r="H181" s="1">
        <f t="shared" si="8"/>
        <v>0</v>
      </c>
      <c r="K181">
        <f>VLOOKUP(B181,Nuclides!A:C,2,FALSE)</f>
        <v>54</v>
      </c>
      <c r="L181">
        <f>VLOOKUP(B181,Nuclides!A:C,3,FALSE)</f>
        <v>37</v>
      </c>
      <c r="O181" s="1">
        <v>35089</v>
      </c>
      <c r="P181" s="1">
        <v>1.78453E-5</v>
      </c>
      <c r="Q181" t="s">
        <v>856</v>
      </c>
      <c r="R181">
        <v>54</v>
      </c>
      <c r="S181">
        <v>35</v>
      </c>
      <c r="T181">
        <f>VLOOKUP(O181,Nuclides!A:D,4,FALSE)</f>
        <v>4.3570000000000002</v>
      </c>
    </row>
    <row r="182" spans="2:20" x14ac:dyDescent="0.2">
      <c r="B182" s="8">
        <v>37092</v>
      </c>
      <c r="C182" s="9">
        <v>4.6752799999999997E-5</v>
      </c>
      <c r="D182" s="8" t="s">
        <v>917</v>
      </c>
      <c r="E182" s="1">
        <v>4.492</v>
      </c>
      <c r="F182" s="1">
        <f t="shared" si="6"/>
        <v>0.15430703040070021</v>
      </c>
      <c r="G182" s="1">
        <f t="shared" si="7"/>
        <v>83431751580.673828</v>
      </c>
      <c r="H182" s="1">
        <f t="shared" si="8"/>
        <v>0</v>
      </c>
      <c r="K182">
        <f>VLOOKUP(B182,Nuclides!A:C,2,FALSE)</f>
        <v>55</v>
      </c>
      <c r="L182">
        <f>VLOOKUP(B182,Nuclides!A:C,3,FALSE)</f>
        <v>37</v>
      </c>
      <c r="O182" s="1">
        <v>35090</v>
      </c>
      <c r="P182" s="1">
        <v>1.3694599999999999E-5</v>
      </c>
      <c r="Q182" t="s">
        <v>857</v>
      </c>
      <c r="R182">
        <v>55</v>
      </c>
      <c r="S182">
        <v>35</v>
      </c>
      <c r="T182">
        <f>VLOOKUP(O182,Nuclides!A:D,4,FALSE)</f>
        <v>1.92</v>
      </c>
    </row>
    <row r="183" spans="2:20" x14ac:dyDescent="0.2">
      <c r="B183" s="8">
        <v>37093</v>
      </c>
      <c r="C183" s="9">
        <v>5.9101300000000003E-5</v>
      </c>
      <c r="D183" s="8" t="s">
        <v>918</v>
      </c>
      <c r="E183" s="1">
        <v>5.84</v>
      </c>
      <c r="F183" s="1">
        <f t="shared" si="6"/>
        <v>0.1186895857123194</v>
      </c>
      <c r="G183" s="1">
        <f t="shared" si="7"/>
        <v>82547895133.832962</v>
      </c>
      <c r="H183" s="1">
        <f t="shared" si="8"/>
        <v>0</v>
      </c>
      <c r="K183">
        <f>VLOOKUP(B183,Nuclides!A:C,2,FALSE)</f>
        <v>56</v>
      </c>
      <c r="L183">
        <f>VLOOKUP(B183,Nuclides!A:C,3,FALSE)</f>
        <v>37</v>
      </c>
      <c r="O183" s="1">
        <v>35091</v>
      </c>
      <c r="P183" s="1">
        <v>1.28729E-5</v>
      </c>
      <c r="Q183" t="s">
        <v>858</v>
      </c>
      <c r="R183">
        <v>56</v>
      </c>
      <c r="S183">
        <v>35</v>
      </c>
      <c r="T183">
        <f>VLOOKUP(O183,Nuclides!A:D,4,FALSE)</f>
        <v>0.54300000000000004</v>
      </c>
    </row>
    <row r="184" spans="2:20" x14ac:dyDescent="0.2">
      <c r="B184" s="8">
        <v>37094</v>
      </c>
      <c r="C184" s="9">
        <v>4.0043999999999998E-5</v>
      </c>
      <c r="D184" s="8" t="s">
        <v>919</v>
      </c>
      <c r="E184" s="1">
        <v>2.702</v>
      </c>
      <c r="F184" s="1">
        <f t="shared" si="6"/>
        <v>0.25653115490745571</v>
      </c>
      <c r="G184" s="1">
        <f t="shared" si="7"/>
        <v>113077789270.48254</v>
      </c>
      <c r="H184" s="1">
        <f t="shared" si="8"/>
        <v>0</v>
      </c>
      <c r="K184">
        <f>VLOOKUP(B184,Nuclides!A:C,2,FALSE)</f>
        <v>57</v>
      </c>
      <c r="L184">
        <f>VLOOKUP(B184,Nuclides!A:C,3,FALSE)</f>
        <v>37</v>
      </c>
      <c r="O184" s="1">
        <v>35092</v>
      </c>
      <c r="P184" s="1">
        <v>5.4033600000000004E-6</v>
      </c>
      <c r="Q184" t="s">
        <v>859</v>
      </c>
      <c r="R184">
        <v>57</v>
      </c>
      <c r="S184">
        <v>35</v>
      </c>
      <c r="T184">
        <f>VLOOKUP(O184,Nuclides!A:D,4,FALSE)</f>
        <v>0.314</v>
      </c>
    </row>
    <row r="185" spans="2:20" x14ac:dyDescent="0.2">
      <c r="B185" s="8">
        <v>37095</v>
      </c>
      <c r="C185" s="9">
        <v>3.0660600000000003E-5</v>
      </c>
      <c r="D185" s="8" t="s">
        <v>920</v>
      </c>
      <c r="E185" s="1">
        <v>0.37769999999999998</v>
      </c>
      <c r="F185" s="1">
        <f t="shared" si="6"/>
        <v>1.8351791913157143</v>
      </c>
      <c r="G185" s="1">
        <f t="shared" si="7"/>
        <v>321580036424.76538</v>
      </c>
      <c r="H185" s="1">
        <f t="shared" si="8"/>
        <v>0</v>
      </c>
      <c r="K185">
        <f>VLOOKUP(B185,Nuclides!A:C,2,FALSE)</f>
        <v>58</v>
      </c>
      <c r="L185">
        <f>VLOOKUP(B185,Nuclides!A:C,3,FALSE)</f>
        <v>37</v>
      </c>
      <c r="O185" s="1">
        <v>36071</v>
      </c>
      <c r="P185" s="1">
        <v>3.3900499999999998E-6</v>
      </c>
      <c r="Q185" t="s">
        <v>868</v>
      </c>
      <c r="R185">
        <v>35</v>
      </c>
      <c r="S185">
        <v>36</v>
      </c>
      <c r="T185">
        <f>VLOOKUP(O185,Nuclides!A:D,4,FALSE)</f>
        <v>0.1</v>
      </c>
    </row>
    <row r="186" spans="2:20" x14ac:dyDescent="0.2">
      <c r="B186" s="8">
        <v>37096</v>
      </c>
      <c r="C186" s="9">
        <v>1.19838E-5</v>
      </c>
      <c r="D186" s="8" t="s">
        <v>921</v>
      </c>
      <c r="E186" s="1">
        <v>0.20300000000000001</v>
      </c>
      <c r="F186" s="1">
        <f t="shared" si="6"/>
        <v>3.4145181308371688</v>
      </c>
      <c r="G186" s="1">
        <f t="shared" si="7"/>
        <v>144638530267.86328</v>
      </c>
      <c r="H186" s="1">
        <f t="shared" si="8"/>
        <v>0</v>
      </c>
      <c r="K186">
        <f>VLOOKUP(B186,Nuclides!A:C,2,FALSE)</f>
        <v>59</v>
      </c>
      <c r="L186">
        <f>VLOOKUP(B186,Nuclides!A:C,3,FALSE)</f>
        <v>37</v>
      </c>
      <c r="O186" s="1">
        <v>36072</v>
      </c>
      <c r="P186" s="1">
        <v>2.6595900000000001E-6</v>
      </c>
      <c r="Q186" t="s">
        <v>869</v>
      </c>
      <c r="R186">
        <v>36</v>
      </c>
      <c r="S186">
        <v>36</v>
      </c>
      <c r="T186">
        <f>VLOOKUP(O186,Nuclides!A:D,4,FALSE)</f>
        <v>17.100000000000001</v>
      </c>
    </row>
    <row r="187" spans="2:20" x14ac:dyDescent="0.2">
      <c r="B187" s="8">
        <v>37097</v>
      </c>
      <c r="C187" s="9">
        <v>5.6120599999999998E-6</v>
      </c>
      <c r="D187" s="8" t="s">
        <v>922</v>
      </c>
      <c r="E187" s="1">
        <v>0.1691</v>
      </c>
      <c r="F187" s="1">
        <f t="shared" si="6"/>
        <v>4.0990371410996174</v>
      </c>
      <c r="G187" s="1">
        <f t="shared" si="7"/>
        <v>68876665174.957184</v>
      </c>
      <c r="H187" s="1">
        <f t="shared" si="8"/>
        <v>0</v>
      </c>
      <c r="K187">
        <f>VLOOKUP(B187,Nuclides!A:C,2,FALSE)</f>
        <v>60</v>
      </c>
      <c r="L187">
        <f>VLOOKUP(B187,Nuclides!A:C,3,FALSE)</f>
        <v>37</v>
      </c>
      <c r="O187" s="1">
        <v>36073</v>
      </c>
      <c r="P187" s="1">
        <v>6.2331399999999999E-7</v>
      </c>
      <c r="Q187" t="s">
        <v>870</v>
      </c>
      <c r="R187">
        <v>37</v>
      </c>
      <c r="S187">
        <v>36</v>
      </c>
      <c r="T187">
        <f>VLOOKUP(O187,Nuclides!A:D,4,FALSE)</f>
        <v>27.3</v>
      </c>
    </row>
    <row r="188" spans="2:20" x14ac:dyDescent="0.2">
      <c r="B188" s="8">
        <v>37098</v>
      </c>
      <c r="C188" s="9">
        <v>1.6683599999999999E-6</v>
      </c>
      <c r="D188" s="8" t="s">
        <v>923</v>
      </c>
      <c r="E188" s="1">
        <v>0.10199999999999999</v>
      </c>
      <c r="F188" s="1">
        <f t="shared" si="6"/>
        <v>6.7955605937249546</v>
      </c>
      <c r="G188" s="1">
        <f t="shared" si="7"/>
        <v>20797839560.781139</v>
      </c>
      <c r="H188" s="1">
        <f t="shared" si="8"/>
        <v>0</v>
      </c>
      <c r="K188">
        <f>VLOOKUP(B188,Nuclides!A:C,2,FALSE)</f>
        <v>61</v>
      </c>
      <c r="L188">
        <f>VLOOKUP(B188,Nuclides!A:C,3,FALSE)</f>
        <v>37</v>
      </c>
      <c r="O188" s="1">
        <v>36074</v>
      </c>
      <c r="P188" s="1">
        <v>1.0400199999999999E-7</v>
      </c>
      <c r="Q188" t="s">
        <v>871</v>
      </c>
      <c r="R188">
        <v>38</v>
      </c>
      <c r="S188">
        <v>36</v>
      </c>
      <c r="T188">
        <f>VLOOKUP(O188,Nuclides!A:D,4,FALSE)</f>
        <v>690</v>
      </c>
    </row>
    <row r="189" spans="2:20" x14ac:dyDescent="0.2">
      <c r="B189" s="8">
        <v>37099</v>
      </c>
      <c r="C189" s="9">
        <v>4.79177E-7</v>
      </c>
      <c r="D189" s="8" t="s">
        <v>924</v>
      </c>
      <c r="E189" s="1">
        <v>5.3999999999999999E-2</v>
      </c>
      <c r="F189" s="1">
        <f t="shared" si="6"/>
        <v>12.836058899258246</v>
      </c>
      <c r="G189" s="1">
        <f t="shared" si="7"/>
        <v>5980113034.9428263</v>
      </c>
      <c r="H189" s="1">
        <f t="shared" si="8"/>
        <v>0</v>
      </c>
      <c r="K189">
        <f>VLOOKUP(B189,Nuclides!A:C,2,FALSE)</f>
        <v>62</v>
      </c>
      <c r="L189">
        <f>VLOOKUP(B189,Nuclides!A:C,3,FALSE)</f>
        <v>37</v>
      </c>
      <c r="O189" s="1">
        <v>36075</v>
      </c>
      <c r="P189" s="1">
        <v>3.8808800000000003E-8</v>
      </c>
      <c r="Q189" t="s">
        <v>872</v>
      </c>
      <c r="R189">
        <v>39</v>
      </c>
      <c r="S189">
        <v>36</v>
      </c>
      <c r="T189">
        <f>VLOOKUP(O189,Nuclides!A:D,4,FALSE)</f>
        <v>276</v>
      </c>
    </row>
    <row r="190" spans="2:20" x14ac:dyDescent="0.2">
      <c r="B190" s="8">
        <v>37100</v>
      </c>
      <c r="C190" s="9">
        <v>1.08609E-7</v>
      </c>
      <c r="D190" s="8" t="s">
        <v>925</v>
      </c>
      <c r="E190" s="1">
        <v>5.0999999999999997E-2</v>
      </c>
      <c r="F190" s="1">
        <f t="shared" si="6"/>
        <v>13.591121187449909</v>
      </c>
      <c r="G190" s="1">
        <f t="shared" si="7"/>
        <v>1355438623.5874927</v>
      </c>
      <c r="H190" s="1">
        <f t="shared" si="8"/>
        <v>0</v>
      </c>
      <c r="K190">
        <f>VLOOKUP(B190,Nuclides!A:C,2,FALSE)</f>
        <v>63</v>
      </c>
      <c r="L190">
        <f>VLOOKUP(B190,Nuclides!A:C,3,FALSE)</f>
        <v>37</v>
      </c>
      <c r="O190" s="1">
        <v>36076</v>
      </c>
      <c r="P190" s="1">
        <v>4.9557999999999998E-9</v>
      </c>
      <c r="Q190" t="s">
        <v>873</v>
      </c>
      <c r="R190">
        <v>40</v>
      </c>
      <c r="S190">
        <v>36</v>
      </c>
      <c r="T190">
        <f>VLOOKUP(O190,Nuclides!A:D,4,FALSE)</f>
        <v>53280</v>
      </c>
    </row>
    <row r="191" spans="2:20" x14ac:dyDescent="0.2">
      <c r="B191" s="8">
        <v>38077</v>
      </c>
      <c r="C191" s="9">
        <v>1.40996E-8</v>
      </c>
      <c r="D191" s="8" t="s">
        <v>933</v>
      </c>
      <c r="E191" s="1">
        <v>9</v>
      </c>
      <c r="F191" s="1">
        <f t="shared" si="6"/>
        <v>7.7016353395549478E-2</v>
      </c>
      <c r="G191" s="1">
        <f t="shared" si="7"/>
        <v>13043308.594793811</v>
      </c>
      <c r="H191" s="1">
        <f t="shared" si="8"/>
        <v>0</v>
      </c>
      <c r="K191">
        <f>VLOOKUP(B191,Nuclides!A:C,2,FALSE)</f>
        <v>39</v>
      </c>
      <c r="L191">
        <f>VLOOKUP(B191,Nuclides!A:C,3,FALSE)</f>
        <v>38</v>
      </c>
      <c r="O191" s="1">
        <v>36077</v>
      </c>
      <c r="P191" s="1">
        <v>1.4658E-9</v>
      </c>
      <c r="Q191" t="s">
        <v>874</v>
      </c>
      <c r="R191">
        <v>41</v>
      </c>
      <c r="S191">
        <v>36</v>
      </c>
      <c r="T191">
        <f>VLOOKUP(O191,Nuclides!A:D,4,FALSE)</f>
        <v>4464</v>
      </c>
    </row>
    <row r="192" spans="2:20" x14ac:dyDescent="0.2">
      <c r="B192" s="8">
        <v>38078</v>
      </c>
      <c r="C192" s="9">
        <v>1.1866E-9</v>
      </c>
      <c r="D192" s="8" t="s">
        <v>934</v>
      </c>
      <c r="E192" s="1">
        <v>160</v>
      </c>
      <c r="F192" s="1">
        <f t="shared" si="6"/>
        <v>4.3321698784996579E-3</v>
      </c>
      <c r="G192" s="1">
        <f t="shared" si="7"/>
        <v>64015.335893997704</v>
      </c>
      <c r="H192" s="1">
        <f t="shared" si="8"/>
        <v>0</v>
      </c>
      <c r="K192">
        <f>VLOOKUP(B192,Nuclides!A:C,2,FALSE)</f>
        <v>40</v>
      </c>
      <c r="L192">
        <f>VLOOKUP(B192,Nuclides!A:C,3,FALSE)</f>
        <v>38</v>
      </c>
      <c r="O192" s="1">
        <v>36078</v>
      </c>
      <c r="P192" s="1">
        <v>6.9799999999999994E-11</v>
      </c>
      <c r="Q192" t="s">
        <v>875</v>
      </c>
      <c r="R192">
        <v>42</v>
      </c>
      <c r="S192">
        <v>36</v>
      </c>
      <c r="T192">
        <f>VLOOKUP(O192,Nuclides!A:D,4,FALSE)</f>
        <v>4.73364E+28</v>
      </c>
    </row>
    <row r="193" spans="2:20" x14ac:dyDescent="0.2">
      <c r="B193" s="8">
        <v>38079</v>
      </c>
      <c r="C193" s="9">
        <v>6.9799999999999994E-11</v>
      </c>
      <c r="D193" s="8" t="s">
        <v>935</v>
      </c>
      <c r="E193" s="1">
        <v>135</v>
      </c>
      <c r="F193" s="1">
        <f t="shared" si="6"/>
        <v>5.1344235597032984E-3</v>
      </c>
      <c r="G193" s="1">
        <f t="shared" si="7"/>
        <v>4461.1543719744932</v>
      </c>
      <c r="H193" s="1">
        <f t="shared" si="8"/>
        <v>0</v>
      </c>
      <c r="K193">
        <f>VLOOKUP(B193,Nuclides!A:C,2,FALSE)</f>
        <v>41</v>
      </c>
      <c r="L193">
        <f>VLOOKUP(B193,Nuclides!A:C,3,FALSE)</f>
        <v>38</v>
      </c>
      <c r="O193" s="1">
        <v>36079</v>
      </c>
      <c r="P193" s="1">
        <v>6.9799999999999994E-11</v>
      </c>
      <c r="Q193" t="s">
        <v>876</v>
      </c>
      <c r="R193">
        <v>43</v>
      </c>
      <c r="S193">
        <v>36</v>
      </c>
      <c r="T193">
        <f>VLOOKUP(O193,Nuclides!A:D,4,FALSE)</f>
        <v>126144</v>
      </c>
    </row>
    <row r="194" spans="2:20" x14ac:dyDescent="0.2">
      <c r="B194" s="8">
        <v>38085</v>
      </c>
      <c r="C194" s="9">
        <v>9.0739999999999999E-10</v>
      </c>
      <c r="D194" s="8" t="s">
        <v>941</v>
      </c>
      <c r="E194" s="1">
        <v>5602953.5999999996</v>
      </c>
      <c r="F194" s="1">
        <f t="shared" si="6"/>
        <v>1.2371103350917369E-7</v>
      </c>
      <c r="G194" s="1">
        <f t="shared" si="7"/>
        <v>1.4009472032084602</v>
      </c>
      <c r="H194" s="1">
        <f t="shared" si="8"/>
        <v>2.8319559315343502E-2</v>
      </c>
      <c r="K194">
        <f>VLOOKUP(B194,Nuclides!A:C,2,FALSE)</f>
        <v>47</v>
      </c>
      <c r="L194">
        <f>VLOOKUP(B194,Nuclides!A:C,3,FALSE)</f>
        <v>38</v>
      </c>
      <c r="O194" s="1">
        <v>36082</v>
      </c>
      <c r="P194" s="1">
        <v>2.7919999999999998E-10</v>
      </c>
      <c r="Q194" t="s">
        <v>879</v>
      </c>
      <c r="R194">
        <v>46</v>
      </c>
      <c r="S194">
        <v>36</v>
      </c>
      <c r="T194" t="str">
        <f>VLOOKUP(O194,Nuclides!A:D,4,FALSE)</f>
        <v>STABLE</v>
      </c>
    </row>
    <row r="195" spans="2:20" x14ac:dyDescent="0.2">
      <c r="B195" s="8">
        <v>38089</v>
      </c>
      <c r="C195" s="9">
        <v>7.3234199999999995E-7</v>
      </c>
      <c r="D195" s="8" t="s">
        <v>945</v>
      </c>
      <c r="E195" s="1">
        <v>4368643.2</v>
      </c>
      <c r="F195" s="1">
        <f t="shared" si="6"/>
        <v>1.5866417760094148E-7</v>
      </c>
      <c r="G195" s="1">
        <f t="shared" si="7"/>
        <v>1450.1314706785763</v>
      </c>
      <c r="H195" s="1">
        <f t="shared" si="8"/>
        <v>9.735470767657846</v>
      </c>
      <c r="K195">
        <f>VLOOKUP(B195,Nuclides!A:C,2,FALSE)</f>
        <v>51</v>
      </c>
      <c r="L195">
        <f>VLOOKUP(B195,Nuclides!A:C,3,FALSE)</f>
        <v>38</v>
      </c>
      <c r="O195" s="1">
        <v>36083</v>
      </c>
      <c r="P195" s="1">
        <v>8.3759999999999998E-10</v>
      </c>
      <c r="Q195" t="s">
        <v>880</v>
      </c>
      <c r="R195">
        <v>47</v>
      </c>
      <c r="S195">
        <v>36</v>
      </c>
      <c r="T195" t="str">
        <f>VLOOKUP(O195,Nuclides!A:D,4,FALSE)</f>
        <v>STABLE</v>
      </c>
    </row>
    <row r="196" spans="2:20" x14ac:dyDescent="0.2">
      <c r="B196" s="8">
        <v>38090</v>
      </c>
      <c r="C196" s="9">
        <v>2.4836900000000002E-6</v>
      </c>
      <c r="D196" s="8" t="s">
        <v>946</v>
      </c>
      <c r="E196" s="1">
        <v>912014640</v>
      </c>
      <c r="F196" s="1">
        <f t="shared" ref="F196:F259" si="9">LN(2)/E196</f>
        <v>7.6001760296298017E-10</v>
      </c>
      <c r="G196" s="1">
        <f t="shared" ref="G196:G259" si="10">2*6240000000000000*C196*(1-EXP(-F196))</f>
        <v>23.557848586126088</v>
      </c>
      <c r="H196" s="1">
        <f t="shared" ref="H196:H259" si="11">G196*EXP(-F196*365*24*3600)</f>
        <v>22.9999288652328</v>
      </c>
      <c r="K196">
        <f>VLOOKUP(B196,Nuclides!A:C,2,FALSE)</f>
        <v>52</v>
      </c>
      <c r="L196">
        <f>VLOOKUP(B196,Nuclides!A:C,3,FALSE)</f>
        <v>38</v>
      </c>
      <c r="O196" s="1">
        <v>36084</v>
      </c>
      <c r="P196" s="1">
        <v>1.16566E-8</v>
      </c>
      <c r="Q196" t="s">
        <v>881</v>
      </c>
      <c r="R196">
        <v>48</v>
      </c>
      <c r="S196">
        <v>36</v>
      </c>
      <c r="T196" t="str">
        <f>VLOOKUP(O196,Nuclides!A:D,4,FALSE)</f>
        <v>STABLE</v>
      </c>
    </row>
    <row r="197" spans="2:20" x14ac:dyDescent="0.2">
      <c r="B197" s="8">
        <v>38091</v>
      </c>
      <c r="C197" s="9">
        <v>7.0508499999999996E-6</v>
      </c>
      <c r="D197" s="8" t="s">
        <v>947</v>
      </c>
      <c r="E197" s="1">
        <v>34740</v>
      </c>
      <c r="F197" s="1">
        <f t="shared" si="9"/>
        <v>1.9952423159468777E-5</v>
      </c>
      <c r="G197" s="1">
        <f t="shared" si="10"/>
        <v>1755688.1393948933</v>
      </c>
      <c r="H197" s="1">
        <f t="shared" si="11"/>
        <v>9.502544507581998E-268</v>
      </c>
      <c r="K197">
        <f>VLOOKUP(B197,Nuclides!A:C,2,FALSE)</f>
        <v>53</v>
      </c>
      <c r="L197">
        <f>VLOOKUP(B197,Nuclides!A:C,3,FALSE)</f>
        <v>38</v>
      </c>
      <c r="O197" s="1">
        <v>36085</v>
      </c>
      <c r="P197" s="1">
        <v>5.90508E-8</v>
      </c>
      <c r="Q197" t="s">
        <v>882</v>
      </c>
      <c r="R197">
        <v>49</v>
      </c>
      <c r="S197">
        <v>36</v>
      </c>
      <c r="T197">
        <f>VLOOKUP(O197,Nuclides!A:D,4,FALSE)</f>
        <v>338897066.39999998</v>
      </c>
    </row>
    <row r="198" spans="2:20" x14ac:dyDescent="0.2">
      <c r="B198" s="8">
        <v>38092</v>
      </c>
      <c r="C198" s="9">
        <v>1.6656399999999999E-5</v>
      </c>
      <c r="D198" s="8" t="s">
        <v>948</v>
      </c>
      <c r="E198" s="1">
        <v>9399.6</v>
      </c>
      <c r="F198" s="1">
        <f t="shared" si="9"/>
        <v>7.3742199727642167E-5</v>
      </c>
      <c r="G198" s="1">
        <f t="shared" si="10"/>
        <v>15328363.92219501</v>
      </c>
      <c r="H198" s="1">
        <f t="shared" si="11"/>
        <v>0</v>
      </c>
      <c r="K198">
        <f>VLOOKUP(B198,Nuclides!A:C,2,FALSE)</f>
        <v>54</v>
      </c>
      <c r="L198">
        <f>VLOOKUP(B198,Nuclides!A:C,3,FALSE)</f>
        <v>38</v>
      </c>
      <c r="O198" s="1">
        <v>36086</v>
      </c>
      <c r="P198" s="1">
        <v>6.1005200000000004E-7</v>
      </c>
      <c r="Q198" t="s">
        <v>883</v>
      </c>
      <c r="R198">
        <v>50</v>
      </c>
      <c r="S198">
        <v>36</v>
      </c>
      <c r="T198" t="str">
        <f>VLOOKUP(O198,Nuclides!A:D,4,FALSE)</f>
        <v>STABLE</v>
      </c>
    </row>
    <row r="199" spans="2:20" x14ac:dyDescent="0.2">
      <c r="B199" s="8">
        <v>38093</v>
      </c>
      <c r="C199" s="9">
        <v>3.3427199999999997E-5</v>
      </c>
      <c r="D199" s="8" t="s">
        <v>949</v>
      </c>
      <c r="E199" s="1">
        <v>445.79999999999899</v>
      </c>
      <c r="F199" s="1">
        <f t="shared" si="9"/>
        <v>1.5548388976221329E-3</v>
      </c>
      <c r="G199" s="1">
        <f t="shared" si="10"/>
        <v>648130407.01013255</v>
      </c>
      <c r="H199" s="1">
        <f t="shared" si="11"/>
        <v>0</v>
      </c>
      <c r="K199">
        <f>VLOOKUP(B199,Nuclides!A:C,2,FALSE)</f>
        <v>55</v>
      </c>
      <c r="L199">
        <f>VLOOKUP(B199,Nuclides!A:C,3,FALSE)</f>
        <v>38</v>
      </c>
      <c r="O199" s="1">
        <v>36087</v>
      </c>
      <c r="P199" s="1">
        <v>1.6130799999999999E-6</v>
      </c>
      <c r="Q199" t="s">
        <v>884</v>
      </c>
      <c r="R199">
        <v>51</v>
      </c>
      <c r="S199">
        <v>36</v>
      </c>
      <c r="T199">
        <f>VLOOKUP(O199,Nuclides!A:D,4,FALSE)</f>
        <v>4578</v>
      </c>
    </row>
    <row r="200" spans="2:20" x14ac:dyDescent="0.2">
      <c r="B200" s="8">
        <v>38094</v>
      </c>
      <c r="C200" s="9">
        <v>5.7698400000000003E-5</v>
      </c>
      <c r="D200" s="8" t="s">
        <v>950</v>
      </c>
      <c r="E200" s="1">
        <v>75.3</v>
      </c>
      <c r="F200" s="1">
        <f t="shared" si="9"/>
        <v>9.2051418401055147E-3</v>
      </c>
      <c r="G200" s="1">
        <f t="shared" si="10"/>
        <v>6597987714.0618076</v>
      </c>
      <c r="H200" s="1">
        <f t="shared" si="11"/>
        <v>0</v>
      </c>
      <c r="K200">
        <f>VLOOKUP(B200,Nuclides!A:C,2,FALSE)</f>
        <v>56</v>
      </c>
      <c r="L200">
        <f>VLOOKUP(B200,Nuclides!A:C,3,FALSE)</f>
        <v>38</v>
      </c>
      <c r="O200" s="1">
        <v>36088</v>
      </c>
      <c r="P200" s="1">
        <v>5.8275300000000001E-6</v>
      </c>
      <c r="Q200" t="s">
        <v>885</v>
      </c>
      <c r="R200">
        <v>52</v>
      </c>
      <c r="S200">
        <v>36</v>
      </c>
      <c r="T200">
        <f>VLOOKUP(O200,Nuclides!A:D,4,FALSE)</f>
        <v>10170</v>
      </c>
    </row>
    <row r="201" spans="2:20" x14ac:dyDescent="0.2">
      <c r="B201" s="8">
        <v>38095</v>
      </c>
      <c r="C201" s="9">
        <v>7.0071099999999994E-5</v>
      </c>
      <c r="D201" s="8" t="s">
        <v>951</v>
      </c>
      <c r="E201" s="1">
        <v>23.9</v>
      </c>
      <c r="F201" s="1">
        <f t="shared" si="9"/>
        <v>2.9001974082006082E-2</v>
      </c>
      <c r="G201" s="1">
        <f t="shared" si="10"/>
        <v>24997616577.400661</v>
      </c>
      <c r="H201" s="1">
        <f t="shared" si="11"/>
        <v>0</v>
      </c>
      <c r="K201">
        <f>VLOOKUP(B201,Nuclides!A:C,2,FALSE)</f>
        <v>57</v>
      </c>
      <c r="L201">
        <f>VLOOKUP(B201,Nuclides!A:C,3,FALSE)</f>
        <v>38</v>
      </c>
      <c r="O201" s="1">
        <v>36089</v>
      </c>
      <c r="P201" s="1">
        <v>9.9878199999999992E-6</v>
      </c>
      <c r="Q201" t="s">
        <v>886</v>
      </c>
      <c r="R201">
        <v>53</v>
      </c>
      <c r="S201">
        <v>36</v>
      </c>
      <c r="T201">
        <f>VLOOKUP(O201,Nuclides!A:D,4,FALSE)</f>
        <v>189</v>
      </c>
    </row>
    <row r="202" spans="2:20" x14ac:dyDescent="0.2">
      <c r="B202" s="8">
        <v>38096</v>
      </c>
      <c r="C202" s="9">
        <v>7.1081599999999994E-5</v>
      </c>
      <c r="D202" s="8" t="s">
        <v>952</v>
      </c>
      <c r="E202" s="1">
        <v>1.07</v>
      </c>
      <c r="F202" s="1">
        <f t="shared" si="9"/>
        <v>0.64780110332705165</v>
      </c>
      <c r="G202" s="1">
        <f t="shared" si="10"/>
        <v>422972968853.18597</v>
      </c>
      <c r="H202" s="1">
        <f t="shared" si="11"/>
        <v>0</v>
      </c>
      <c r="K202">
        <f>VLOOKUP(B202,Nuclides!A:C,2,FALSE)</f>
        <v>58</v>
      </c>
      <c r="L202">
        <f>VLOOKUP(B202,Nuclides!A:C,3,FALSE)</f>
        <v>38</v>
      </c>
      <c r="O202" s="1">
        <v>36090</v>
      </c>
      <c r="P202" s="1">
        <v>2.0305500000000001E-5</v>
      </c>
      <c r="Q202" t="s">
        <v>887</v>
      </c>
      <c r="R202">
        <v>54</v>
      </c>
      <c r="S202">
        <v>36</v>
      </c>
      <c r="T202">
        <f>VLOOKUP(O202,Nuclides!A:D,4,FALSE)</f>
        <v>32.32</v>
      </c>
    </row>
    <row r="203" spans="2:20" x14ac:dyDescent="0.2">
      <c r="B203" s="8">
        <v>38097</v>
      </c>
      <c r="C203" s="9">
        <v>4.5796800000000002E-5</v>
      </c>
      <c r="D203" s="8" t="s">
        <v>953</v>
      </c>
      <c r="E203" s="1">
        <v>0.42899999999999999</v>
      </c>
      <c r="F203" s="1">
        <f t="shared" si="9"/>
        <v>1.6157276936129261</v>
      </c>
      <c r="G203" s="1">
        <f t="shared" si="10"/>
        <v>457951972247.17755</v>
      </c>
      <c r="H203" s="1">
        <f t="shared" si="11"/>
        <v>0</v>
      </c>
      <c r="K203">
        <f>VLOOKUP(B203,Nuclides!A:C,2,FALSE)</f>
        <v>59</v>
      </c>
      <c r="L203">
        <f>VLOOKUP(B203,Nuclides!A:C,3,FALSE)</f>
        <v>38</v>
      </c>
      <c r="O203" s="1">
        <v>36091</v>
      </c>
      <c r="P203" s="1">
        <v>2.0797399999999998E-5</v>
      </c>
      <c r="Q203" t="s">
        <v>888</v>
      </c>
      <c r="R203">
        <v>55</v>
      </c>
      <c r="S203">
        <v>36</v>
      </c>
      <c r="T203">
        <f>VLOOKUP(O203,Nuclides!A:D,4,FALSE)</f>
        <v>8.57</v>
      </c>
    </row>
    <row r="204" spans="2:20" x14ac:dyDescent="0.2">
      <c r="B204" s="8">
        <v>38098</v>
      </c>
      <c r="C204" s="9">
        <v>2.60672E-5</v>
      </c>
      <c r="D204" s="8" t="s">
        <v>954</v>
      </c>
      <c r="E204" s="1">
        <v>0.65300000000000002</v>
      </c>
      <c r="F204" s="1">
        <f t="shared" si="9"/>
        <v>1.0614811340887369</v>
      </c>
      <c r="G204" s="1">
        <f t="shared" si="10"/>
        <v>212776930311.99133</v>
      </c>
      <c r="H204" s="1">
        <f t="shared" si="11"/>
        <v>0</v>
      </c>
      <c r="K204">
        <f>VLOOKUP(B204,Nuclides!A:C,2,FALSE)</f>
        <v>60</v>
      </c>
      <c r="L204">
        <f>VLOOKUP(B204,Nuclides!A:C,3,FALSE)</f>
        <v>38</v>
      </c>
      <c r="O204" s="1">
        <v>36092</v>
      </c>
      <c r="P204" s="1">
        <v>2.4842400000000001E-5</v>
      </c>
      <c r="Q204" t="s">
        <v>889</v>
      </c>
      <c r="R204">
        <v>56</v>
      </c>
      <c r="S204">
        <v>36</v>
      </c>
      <c r="T204">
        <f>VLOOKUP(O204,Nuclides!A:D,4,FALSE)</f>
        <v>1.84</v>
      </c>
    </row>
    <row r="205" spans="2:20" x14ac:dyDescent="0.2">
      <c r="B205" s="8">
        <v>38099</v>
      </c>
      <c r="C205" s="9">
        <v>8.4500599999999995E-6</v>
      </c>
      <c r="D205" s="8" t="s">
        <v>955</v>
      </c>
      <c r="E205" s="1">
        <v>0.26900000000000002</v>
      </c>
      <c r="F205" s="1">
        <f t="shared" si="9"/>
        <v>2.5767553180667111</v>
      </c>
      <c r="G205" s="1">
        <f t="shared" si="10"/>
        <v>97439898718.507736</v>
      </c>
      <c r="H205" s="1">
        <f t="shared" si="11"/>
        <v>0</v>
      </c>
      <c r="K205">
        <f>VLOOKUP(B205,Nuclides!A:C,2,FALSE)</f>
        <v>61</v>
      </c>
      <c r="L205">
        <f>VLOOKUP(B205,Nuclides!A:C,3,FALSE)</f>
        <v>38</v>
      </c>
      <c r="O205" s="1">
        <v>36093</v>
      </c>
      <c r="P205" s="1">
        <v>1.28574E-5</v>
      </c>
      <c r="Q205" t="s">
        <v>890</v>
      </c>
      <c r="R205">
        <v>57</v>
      </c>
      <c r="S205">
        <v>36</v>
      </c>
      <c r="T205">
        <f>VLOOKUP(O205,Nuclides!A:D,4,FALSE)</f>
        <v>1.286</v>
      </c>
    </row>
    <row r="206" spans="2:20" x14ac:dyDescent="0.2">
      <c r="B206" s="8">
        <v>38100</v>
      </c>
      <c r="C206" s="9">
        <v>2.6510000000000001E-6</v>
      </c>
      <c r="D206" s="8" t="s">
        <v>956</v>
      </c>
      <c r="E206" s="1">
        <v>0.20200000000000001</v>
      </c>
      <c r="F206" s="1">
        <f t="shared" si="9"/>
        <v>3.431421685940323</v>
      </c>
      <c r="G206" s="1">
        <f t="shared" si="10"/>
        <v>32014497167.119869</v>
      </c>
      <c r="H206" s="1">
        <f t="shared" si="11"/>
        <v>0</v>
      </c>
      <c r="K206">
        <f>VLOOKUP(B206,Nuclides!A:C,2,FALSE)</f>
        <v>62</v>
      </c>
      <c r="L206">
        <f>VLOOKUP(B206,Nuclides!A:C,3,FALSE)</f>
        <v>38</v>
      </c>
      <c r="O206" s="1">
        <v>36094</v>
      </c>
      <c r="P206" s="1">
        <v>1.13819E-5</v>
      </c>
      <c r="Q206" t="s">
        <v>891</v>
      </c>
      <c r="R206">
        <v>58</v>
      </c>
      <c r="S206">
        <v>36</v>
      </c>
      <c r="T206">
        <f>VLOOKUP(O206,Nuclides!A:D,4,FALSE)</f>
        <v>0.21199999999999999</v>
      </c>
    </row>
    <row r="207" spans="2:20" x14ac:dyDescent="0.2">
      <c r="B207" s="8">
        <v>39080</v>
      </c>
      <c r="C207" s="9">
        <v>4.9746499999999999E-7</v>
      </c>
      <c r="D207" s="8" t="s">
        <v>968</v>
      </c>
      <c r="E207" s="1">
        <v>30.1</v>
      </c>
      <c r="F207" s="1">
        <f t="shared" si="9"/>
        <v>2.3028145533552997E-2</v>
      </c>
      <c r="G207" s="1">
        <f t="shared" si="10"/>
        <v>141333521.1918669</v>
      </c>
      <c r="H207" s="1">
        <f t="shared" si="11"/>
        <v>0</v>
      </c>
      <c r="K207">
        <f>VLOOKUP(B207,Nuclides!A:C,2,FALSE)</f>
        <v>41</v>
      </c>
      <c r="L207">
        <f>VLOOKUP(B207,Nuclides!A:C,3,FALSE)</f>
        <v>39</v>
      </c>
      <c r="O207" s="1">
        <v>36095</v>
      </c>
      <c r="P207" s="1">
        <v>4.6708799999999999E-6</v>
      </c>
      <c r="Q207" t="s">
        <v>892</v>
      </c>
      <c r="R207">
        <v>59</v>
      </c>
      <c r="S207">
        <v>36</v>
      </c>
      <c r="T207">
        <f>VLOOKUP(O207,Nuclides!A:D,4,FALSE)</f>
        <v>0.114</v>
      </c>
    </row>
    <row r="208" spans="2:20" x14ac:dyDescent="0.2">
      <c r="B208" s="8">
        <v>39081</v>
      </c>
      <c r="C208" s="9">
        <v>7.9222999999999994E-8</v>
      </c>
      <c r="D208" s="8" t="s">
        <v>969</v>
      </c>
      <c r="E208" s="1">
        <v>70.400000000000006</v>
      </c>
      <c r="F208" s="1">
        <f t="shared" si="9"/>
        <v>9.8458406329537673E-3</v>
      </c>
      <c r="G208" s="1">
        <f t="shared" si="10"/>
        <v>9686846.7366376966</v>
      </c>
      <c r="H208" s="1">
        <f t="shared" si="11"/>
        <v>0</v>
      </c>
      <c r="K208">
        <f>VLOOKUP(B208,Nuclides!A:C,2,FALSE)</f>
        <v>42</v>
      </c>
      <c r="L208">
        <f>VLOOKUP(B208,Nuclides!A:C,3,FALSE)</f>
        <v>39</v>
      </c>
      <c r="O208" s="1">
        <v>36096</v>
      </c>
      <c r="P208" s="1">
        <v>5.5634799999999996E-6</v>
      </c>
      <c r="Q208" t="s">
        <v>893</v>
      </c>
      <c r="R208">
        <v>60</v>
      </c>
      <c r="S208">
        <v>36</v>
      </c>
      <c r="T208">
        <f>VLOOKUP(O208,Nuclides!A:D,4,FALSE)</f>
        <v>0.08</v>
      </c>
    </row>
    <row r="209" spans="2:20" x14ac:dyDescent="0.2">
      <c r="B209" s="8">
        <v>39082</v>
      </c>
      <c r="C209" s="9">
        <v>6.4216000000000002E-9</v>
      </c>
      <c r="D209" s="8" t="s">
        <v>970</v>
      </c>
      <c r="E209" s="1">
        <v>8.3000000000000007</v>
      </c>
      <c r="F209" s="1">
        <f t="shared" si="9"/>
        <v>8.3511708501198226E-2</v>
      </c>
      <c r="G209" s="1">
        <f t="shared" si="10"/>
        <v>6420917.0883259075</v>
      </c>
      <c r="H209" s="1">
        <f t="shared" si="11"/>
        <v>0</v>
      </c>
      <c r="K209">
        <f>VLOOKUP(B209,Nuclides!A:C,2,FALSE)</f>
        <v>43</v>
      </c>
      <c r="L209">
        <f>VLOOKUP(B209,Nuclides!A:C,3,FALSE)</f>
        <v>39</v>
      </c>
      <c r="O209" s="1">
        <v>36097</v>
      </c>
      <c r="P209" s="1">
        <v>5.58679E-7</v>
      </c>
      <c r="Q209" t="s">
        <v>894</v>
      </c>
      <c r="R209">
        <v>61</v>
      </c>
      <c r="S209">
        <v>36</v>
      </c>
      <c r="T209">
        <f>VLOOKUP(O209,Nuclides!A:D,4,FALSE)</f>
        <v>6.3E-2</v>
      </c>
    </row>
    <row r="210" spans="2:20" x14ac:dyDescent="0.2">
      <c r="B210" s="8">
        <v>39083</v>
      </c>
      <c r="C210" s="9">
        <v>1.3262E-9</v>
      </c>
      <c r="D210" s="8" t="s">
        <v>971</v>
      </c>
      <c r="E210" s="1">
        <v>424.8</v>
      </c>
      <c r="F210" s="1">
        <f t="shared" si="9"/>
        <v>1.6317024024480821E-3</v>
      </c>
      <c r="G210" s="1">
        <f t="shared" si="10"/>
        <v>26984.246185373097</v>
      </c>
      <c r="H210" s="1">
        <f t="shared" si="11"/>
        <v>0</v>
      </c>
      <c r="K210">
        <f>VLOOKUP(B210,Nuclides!A:C,2,FALSE)</f>
        <v>44</v>
      </c>
      <c r="L210">
        <f>VLOOKUP(B210,Nuclides!A:C,3,FALSE)</f>
        <v>39</v>
      </c>
      <c r="O210" s="1">
        <v>37074</v>
      </c>
      <c r="P210" s="1">
        <v>2.8262000000000003E-7</v>
      </c>
      <c r="Q210" t="s">
        <v>899</v>
      </c>
      <c r="R210">
        <v>37</v>
      </c>
      <c r="S210">
        <v>37</v>
      </c>
      <c r="T210">
        <f>VLOOKUP(O210,Nuclides!A:D,4,FALSE)</f>
        <v>6.4899999999999999E-2</v>
      </c>
    </row>
    <row r="211" spans="2:20" x14ac:dyDescent="0.2">
      <c r="B211" s="8">
        <v>39087</v>
      </c>
      <c r="C211" s="9">
        <v>2.094E-10</v>
      </c>
      <c r="D211" s="8" t="s">
        <v>975</v>
      </c>
      <c r="E211" s="1">
        <v>287280</v>
      </c>
      <c r="F211" s="1">
        <f t="shared" si="9"/>
        <v>2.4127930261763619E-6</v>
      </c>
      <c r="G211" s="1">
        <f t="shared" si="10"/>
        <v>6.3053733619757466</v>
      </c>
      <c r="H211" s="1">
        <f t="shared" si="11"/>
        <v>5.6795350942402155E-33</v>
      </c>
      <c r="K211">
        <f>VLOOKUP(B211,Nuclides!A:C,2,FALSE)</f>
        <v>48</v>
      </c>
      <c r="L211">
        <f>VLOOKUP(B211,Nuclides!A:C,3,FALSE)</f>
        <v>39</v>
      </c>
      <c r="O211" s="1">
        <v>37075</v>
      </c>
      <c r="P211" s="1">
        <v>3.2666399999999998E-8</v>
      </c>
      <c r="Q211" t="s">
        <v>900</v>
      </c>
      <c r="R211">
        <v>38</v>
      </c>
      <c r="S211">
        <v>37</v>
      </c>
      <c r="T211">
        <f>VLOOKUP(O211,Nuclides!A:D,4,FALSE)</f>
        <v>19</v>
      </c>
    </row>
    <row r="212" spans="2:20" x14ac:dyDescent="0.2">
      <c r="B212" s="8">
        <v>39088</v>
      </c>
      <c r="C212" s="9">
        <v>1.3959999999999999E-9</v>
      </c>
      <c r="D212" s="8" t="s">
        <v>976</v>
      </c>
      <c r="E212" s="1">
        <v>9212486.4000000004</v>
      </c>
      <c r="F212" s="1">
        <f t="shared" si="9"/>
        <v>7.5239967850584322E-8</v>
      </c>
      <c r="G212" s="1">
        <f t="shared" si="10"/>
        <v>1.310836690056334</v>
      </c>
      <c r="H212" s="1">
        <f t="shared" si="11"/>
        <v>0.12219929541424641</v>
      </c>
      <c r="K212">
        <f>VLOOKUP(B212,Nuclides!A:C,2,FALSE)</f>
        <v>49</v>
      </c>
      <c r="L212">
        <f>VLOOKUP(B212,Nuclides!A:C,3,FALSE)</f>
        <v>39</v>
      </c>
      <c r="O212" s="1">
        <v>37076</v>
      </c>
      <c r="P212" s="1">
        <v>1.43788E-8</v>
      </c>
      <c r="Q212" t="s">
        <v>901</v>
      </c>
      <c r="R212">
        <v>39</v>
      </c>
      <c r="S212">
        <v>37</v>
      </c>
      <c r="T212">
        <f>VLOOKUP(O212,Nuclides!A:D,4,FALSE)</f>
        <v>36.5</v>
      </c>
    </row>
    <row r="213" spans="2:20" x14ac:dyDescent="0.2">
      <c r="B213" s="8">
        <v>39090</v>
      </c>
      <c r="C213" s="9">
        <v>5.6468199999999997E-8</v>
      </c>
      <c r="D213" s="8" t="s">
        <v>978</v>
      </c>
      <c r="E213" s="1">
        <v>230590.8</v>
      </c>
      <c r="F213" s="1">
        <f t="shared" si="9"/>
        <v>3.0059619922388289E-6</v>
      </c>
      <c r="G213" s="1">
        <f t="shared" si="10"/>
        <v>2118.3677780262542</v>
      </c>
      <c r="H213" s="1">
        <f t="shared" si="11"/>
        <v>1.4342144842982387E-38</v>
      </c>
      <c r="K213">
        <f>VLOOKUP(B213,Nuclides!A:C,2,FALSE)</f>
        <v>51</v>
      </c>
      <c r="L213">
        <f>VLOOKUP(B213,Nuclides!A:C,3,FALSE)</f>
        <v>39</v>
      </c>
      <c r="O213" s="1">
        <v>37077</v>
      </c>
      <c r="P213" s="1">
        <v>1.1866E-9</v>
      </c>
      <c r="Q213" t="s">
        <v>902</v>
      </c>
      <c r="R213">
        <v>40</v>
      </c>
      <c r="S213">
        <v>37</v>
      </c>
      <c r="T213">
        <f>VLOOKUP(O213,Nuclides!A:D,4,FALSE)</f>
        <v>226.2</v>
      </c>
    </row>
    <row r="214" spans="2:20" x14ac:dyDescent="0.2">
      <c r="B214" s="8">
        <v>39091</v>
      </c>
      <c r="C214" s="9">
        <v>2.53234E-7</v>
      </c>
      <c r="D214" s="8" t="s">
        <v>979</v>
      </c>
      <c r="E214" s="1">
        <v>5055264</v>
      </c>
      <c r="F214" s="1">
        <f t="shared" si="9"/>
        <v>1.3711394312145624E-7</v>
      </c>
      <c r="G214" s="1">
        <f t="shared" si="10"/>
        <v>433.32943558204465</v>
      </c>
      <c r="H214" s="1">
        <f t="shared" si="11"/>
        <v>5.7400788642424718</v>
      </c>
      <c r="K214">
        <f>VLOOKUP(B214,Nuclides!A:C,2,FALSE)</f>
        <v>52</v>
      </c>
      <c r="L214">
        <f>VLOOKUP(B214,Nuclides!A:C,3,FALSE)</f>
        <v>39</v>
      </c>
      <c r="O214" s="1">
        <v>37078</v>
      </c>
      <c r="P214" s="1">
        <v>2.7919999999999998E-10</v>
      </c>
      <c r="Q214" t="s">
        <v>903</v>
      </c>
      <c r="R214">
        <v>41</v>
      </c>
      <c r="S214">
        <v>37</v>
      </c>
      <c r="T214">
        <f>VLOOKUP(O214,Nuclides!A:D,4,FALSE)</f>
        <v>1059.5999999999999</v>
      </c>
    </row>
    <row r="215" spans="2:20" x14ac:dyDescent="0.2">
      <c r="B215" s="8">
        <v>39092</v>
      </c>
      <c r="C215" s="9">
        <v>9.8885700000000005E-7</v>
      </c>
      <c r="D215" s="8" t="s">
        <v>980</v>
      </c>
      <c r="E215" s="1">
        <v>12744</v>
      </c>
      <c r="F215" s="1">
        <f t="shared" si="9"/>
        <v>5.4390080081602739E-5</v>
      </c>
      <c r="G215" s="1">
        <f t="shared" si="10"/>
        <v>671206.20886640786</v>
      </c>
      <c r="H215" s="1">
        <f t="shared" si="11"/>
        <v>0</v>
      </c>
      <c r="K215">
        <f>VLOOKUP(B215,Nuclides!A:C,2,FALSE)</f>
        <v>53</v>
      </c>
      <c r="L215">
        <f>VLOOKUP(B215,Nuclides!A:C,3,FALSE)</f>
        <v>39</v>
      </c>
      <c r="O215" s="1">
        <v>37085</v>
      </c>
      <c r="P215" s="1">
        <v>5.5839999999999995E-10</v>
      </c>
      <c r="Q215" t="s">
        <v>910</v>
      </c>
      <c r="R215">
        <v>48</v>
      </c>
      <c r="S215">
        <v>37</v>
      </c>
      <c r="T215" t="str">
        <f>VLOOKUP(O215,Nuclides!A:D,4,FALSE)</f>
        <v>STABLE</v>
      </c>
    </row>
    <row r="216" spans="2:20" x14ac:dyDescent="0.2">
      <c r="B216" s="8">
        <v>39093</v>
      </c>
      <c r="C216" s="9">
        <v>3.5352999999999998E-6</v>
      </c>
      <c r="D216" s="8" t="s">
        <v>981</v>
      </c>
      <c r="E216" s="1">
        <v>36648</v>
      </c>
      <c r="F216" s="1">
        <f t="shared" si="9"/>
        <v>1.891364277886775E-5</v>
      </c>
      <c r="G216" s="1">
        <f t="shared" si="10"/>
        <v>834472.31694352254</v>
      </c>
      <c r="H216" s="1">
        <f t="shared" si="11"/>
        <v>7.6181213280247645E-254</v>
      </c>
      <c r="K216">
        <f>VLOOKUP(B216,Nuclides!A:C,2,FALSE)</f>
        <v>54</v>
      </c>
      <c r="L216">
        <f>VLOOKUP(B216,Nuclides!A:C,3,FALSE)</f>
        <v>39</v>
      </c>
      <c r="O216" s="1">
        <v>37086</v>
      </c>
      <c r="P216" s="1">
        <v>4.6068000000000003E-9</v>
      </c>
      <c r="Q216" t="s">
        <v>911</v>
      </c>
      <c r="R216">
        <v>49</v>
      </c>
      <c r="S216">
        <v>37</v>
      </c>
      <c r="T216">
        <f>VLOOKUP(O216,Nuclides!A:D,4,FALSE)</f>
        <v>1610668.8</v>
      </c>
    </row>
    <row r="217" spans="2:20" x14ac:dyDescent="0.2">
      <c r="B217" s="8">
        <v>39094</v>
      </c>
      <c r="C217" s="9">
        <v>9.3795799999999994E-6</v>
      </c>
      <c r="D217" s="8" t="s">
        <v>982</v>
      </c>
      <c r="E217" s="1">
        <v>1122</v>
      </c>
      <c r="F217" s="1">
        <f t="shared" si="9"/>
        <v>6.1777823579317766E-4</v>
      </c>
      <c r="G217" s="1">
        <f t="shared" si="10"/>
        <v>72293031.97322005</v>
      </c>
      <c r="H217" s="1">
        <f t="shared" si="11"/>
        <v>0</v>
      </c>
      <c r="K217">
        <f>VLOOKUP(B217,Nuclides!A:C,2,FALSE)</f>
        <v>55</v>
      </c>
      <c r="L217">
        <f>VLOOKUP(B217,Nuclides!A:C,3,FALSE)</f>
        <v>39</v>
      </c>
      <c r="O217" s="1">
        <v>37087</v>
      </c>
      <c r="P217" s="1">
        <v>7.4825600000000003E-8</v>
      </c>
      <c r="Q217" t="s">
        <v>912</v>
      </c>
      <c r="R217">
        <v>50</v>
      </c>
      <c r="S217">
        <v>37</v>
      </c>
      <c r="T217">
        <f>VLOOKUP(O217,Nuclides!A:D,4,FALSE)</f>
        <v>1.56841272E+18</v>
      </c>
    </row>
    <row r="218" spans="2:20" x14ac:dyDescent="0.2">
      <c r="B218" s="8">
        <v>39095</v>
      </c>
      <c r="C218" s="9">
        <v>2.52543E-5</v>
      </c>
      <c r="D218" s="8" t="s">
        <v>983</v>
      </c>
      <c r="E218" s="1">
        <v>618</v>
      </c>
      <c r="F218" s="1">
        <f t="shared" si="9"/>
        <v>1.1215973795468371E-3</v>
      </c>
      <c r="G218" s="1">
        <f t="shared" si="10"/>
        <v>353299788.54904079</v>
      </c>
      <c r="H218" s="1">
        <f t="shared" si="11"/>
        <v>0</v>
      </c>
      <c r="K218">
        <f>VLOOKUP(B218,Nuclides!A:C,2,FALSE)</f>
        <v>56</v>
      </c>
      <c r="L218">
        <f>VLOOKUP(B218,Nuclides!A:C,3,FALSE)</f>
        <v>39</v>
      </c>
      <c r="O218" s="1">
        <v>37088</v>
      </c>
      <c r="P218" s="1">
        <v>3.0844599999999998E-7</v>
      </c>
      <c r="Q218" t="s">
        <v>913</v>
      </c>
      <c r="R218">
        <v>51</v>
      </c>
      <c r="S218">
        <v>37</v>
      </c>
      <c r="T218">
        <f>VLOOKUP(O218,Nuclides!A:D,4,FALSE)</f>
        <v>1066.3799999999901</v>
      </c>
    </row>
    <row r="219" spans="2:20" x14ac:dyDescent="0.2">
      <c r="B219" s="8">
        <v>39096</v>
      </c>
      <c r="C219" s="9">
        <v>4.24339E-5</v>
      </c>
      <c r="D219" s="8" t="s">
        <v>984</v>
      </c>
      <c r="E219" s="1">
        <v>5.34</v>
      </c>
      <c r="F219" s="1">
        <f t="shared" si="9"/>
        <v>0.12980284280148788</v>
      </c>
      <c r="G219" s="1">
        <f t="shared" si="10"/>
        <v>64465930371.032326</v>
      </c>
      <c r="H219" s="1">
        <f t="shared" si="11"/>
        <v>0</v>
      </c>
      <c r="K219">
        <f>VLOOKUP(B219,Nuclides!A:C,2,FALSE)</f>
        <v>57</v>
      </c>
      <c r="L219">
        <f>VLOOKUP(B219,Nuclides!A:C,3,FALSE)</f>
        <v>39</v>
      </c>
      <c r="O219" s="1">
        <v>37089</v>
      </c>
      <c r="P219" s="1">
        <v>1.5353200000000001E-6</v>
      </c>
      <c r="Q219" t="s">
        <v>914</v>
      </c>
      <c r="R219">
        <v>52</v>
      </c>
      <c r="S219">
        <v>37</v>
      </c>
      <c r="T219">
        <f>VLOOKUP(O219,Nuclides!A:D,4,FALSE)</f>
        <v>919.2</v>
      </c>
    </row>
    <row r="220" spans="2:20" x14ac:dyDescent="0.2">
      <c r="B220" s="8">
        <v>39097</v>
      </c>
      <c r="C220" s="9">
        <v>6.9031900000000006E-5</v>
      </c>
      <c r="D220" s="8" t="s">
        <v>985</v>
      </c>
      <c r="E220" s="1">
        <v>3.75</v>
      </c>
      <c r="F220" s="1">
        <f t="shared" si="9"/>
        <v>0.18483924814931874</v>
      </c>
      <c r="G220" s="1">
        <f t="shared" si="10"/>
        <v>145391609092.21344</v>
      </c>
      <c r="H220" s="1">
        <f t="shared" si="11"/>
        <v>0</v>
      </c>
      <c r="K220">
        <f>VLOOKUP(B220,Nuclides!A:C,2,FALSE)</f>
        <v>58</v>
      </c>
      <c r="L220">
        <f>VLOOKUP(B220,Nuclides!A:C,3,FALSE)</f>
        <v>39</v>
      </c>
      <c r="O220" s="1">
        <v>37090</v>
      </c>
      <c r="P220" s="1">
        <v>4.2028699999999996E-6</v>
      </c>
      <c r="Q220" t="s">
        <v>915</v>
      </c>
      <c r="R220">
        <v>53</v>
      </c>
      <c r="S220">
        <v>37</v>
      </c>
      <c r="T220">
        <f>VLOOKUP(O220,Nuclides!A:D,4,FALSE)</f>
        <v>158</v>
      </c>
    </row>
    <row r="221" spans="2:20" x14ac:dyDescent="0.2">
      <c r="B221" s="8">
        <v>39098</v>
      </c>
      <c r="C221" s="9">
        <v>6.3832900000000003E-5</v>
      </c>
      <c r="D221" s="8" t="s">
        <v>986</v>
      </c>
      <c r="E221" s="1">
        <v>0.54800000000000004</v>
      </c>
      <c r="F221" s="1">
        <f t="shared" si="9"/>
        <v>1.264867117810119</v>
      </c>
      <c r="G221" s="1">
        <f t="shared" si="10"/>
        <v>571763126045.15503</v>
      </c>
      <c r="H221" s="1">
        <f t="shared" si="11"/>
        <v>0</v>
      </c>
      <c r="K221">
        <f>VLOOKUP(B221,Nuclides!A:C,2,FALSE)</f>
        <v>59</v>
      </c>
      <c r="L221">
        <f>VLOOKUP(B221,Nuclides!A:C,3,FALSE)</f>
        <v>39</v>
      </c>
      <c r="O221" s="1">
        <v>37091</v>
      </c>
      <c r="P221" s="1">
        <v>1.1511999999999999E-5</v>
      </c>
      <c r="Q221" t="s">
        <v>916</v>
      </c>
      <c r="R221">
        <v>54</v>
      </c>
      <c r="S221">
        <v>37</v>
      </c>
      <c r="T221">
        <f>VLOOKUP(O221,Nuclides!A:D,4,FALSE)</f>
        <v>58.2</v>
      </c>
    </row>
    <row r="222" spans="2:20" x14ac:dyDescent="0.2">
      <c r="B222" s="8">
        <v>39099</v>
      </c>
      <c r="C222" s="9">
        <v>5.4675700000000002E-5</v>
      </c>
      <c r="D222" s="8" t="s">
        <v>987</v>
      </c>
      <c r="E222" s="1">
        <v>1.484</v>
      </c>
      <c r="F222" s="1">
        <f t="shared" si="9"/>
        <v>0.46708031035036746</v>
      </c>
      <c r="G222" s="1">
        <f t="shared" si="10"/>
        <v>254633742804.76724</v>
      </c>
      <c r="H222" s="1">
        <f t="shared" si="11"/>
        <v>0</v>
      </c>
      <c r="K222">
        <f>VLOOKUP(B222,Nuclides!A:C,2,FALSE)</f>
        <v>60</v>
      </c>
      <c r="L222">
        <f>VLOOKUP(B222,Nuclides!A:C,3,FALSE)</f>
        <v>39</v>
      </c>
      <c r="O222" s="1">
        <v>37092</v>
      </c>
      <c r="P222" s="1">
        <v>1.8562800000000001E-5</v>
      </c>
      <c r="Q222" t="s">
        <v>917</v>
      </c>
      <c r="R222">
        <v>55</v>
      </c>
      <c r="S222">
        <v>37</v>
      </c>
      <c r="T222">
        <f>VLOOKUP(O222,Nuclides!A:D,4,FALSE)</f>
        <v>4.492</v>
      </c>
    </row>
    <row r="223" spans="2:20" x14ac:dyDescent="0.2">
      <c r="B223" s="8">
        <v>39100</v>
      </c>
      <c r="C223" s="9">
        <v>2.6766799999999999E-5</v>
      </c>
      <c r="D223" s="8" t="s">
        <v>988</v>
      </c>
      <c r="E223" s="1">
        <v>0.73499999999999999</v>
      </c>
      <c r="F223" s="1">
        <f t="shared" si="9"/>
        <v>0.94305738851693233</v>
      </c>
      <c r="G223" s="1">
        <f t="shared" si="10"/>
        <v>203958913456.18161</v>
      </c>
      <c r="H223" s="1">
        <f t="shared" si="11"/>
        <v>0</v>
      </c>
      <c r="K223">
        <f>VLOOKUP(B223,Nuclides!A:C,2,FALSE)</f>
        <v>61</v>
      </c>
      <c r="L223">
        <f>VLOOKUP(B223,Nuclides!A:C,3,FALSE)</f>
        <v>39</v>
      </c>
      <c r="O223" s="1">
        <v>37093</v>
      </c>
      <c r="P223" s="1">
        <v>3.0247799999999999E-5</v>
      </c>
      <c r="Q223" t="s">
        <v>918</v>
      </c>
      <c r="R223">
        <v>56</v>
      </c>
      <c r="S223">
        <v>37</v>
      </c>
      <c r="T223">
        <f>VLOOKUP(O223,Nuclides!A:D,4,FALSE)</f>
        <v>5.84</v>
      </c>
    </row>
    <row r="224" spans="2:20" x14ac:dyDescent="0.2">
      <c r="B224" s="8">
        <v>39101</v>
      </c>
      <c r="C224" s="9">
        <v>1.21421E-5</v>
      </c>
      <c r="D224" s="8" t="s">
        <v>989</v>
      </c>
      <c r="E224" s="1">
        <v>0.45</v>
      </c>
      <c r="F224" s="1">
        <f t="shared" si="9"/>
        <v>1.5403270679109895</v>
      </c>
      <c r="G224" s="1">
        <f t="shared" si="10"/>
        <v>119058132447.69507</v>
      </c>
      <c r="H224" s="1">
        <f t="shared" si="11"/>
        <v>0</v>
      </c>
      <c r="K224">
        <f>VLOOKUP(B224,Nuclides!A:C,2,FALSE)</f>
        <v>62</v>
      </c>
      <c r="L224">
        <f>VLOOKUP(B224,Nuclides!A:C,3,FALSE)</f>
        <v>39</v>
      </c>
      <c r="O224" s="1">
        <v>37094</v>
      </c>
      <c r="P224" s="1">
        <v>2.4550599999999998E-5</v>
      </c>
      <c r="Q224" t="s">
        <v>919</v>
      </c>
      <c r="R224">
        <v>57</v>
      </c>
      <c r="S224">
        <v>37</v>
      </c>
      <c r="T224">
        <f>VLOOKUP(O224,Nuclides!A:D,4,FALSE)</f>
        <v>2.702</v>
      </c>
    </row>
    <row r="225" spans="2:20" x14ac:dyDescent="0.2">
      <c r="B225" s="8">
        <v>39102</v>
      </c>
      <c r="C225" s="9">
        <v>3.1645899999999999E-6</v>
      </c>
      <c r="D225" s="8" t="s">
        <v>990</v>
      </c>
      <c r="E225" s="1">
        <v>0.36</v>
      </c>
      <c r="F225" s="1">
        <f t="shared" si="9"/>
        <v>1.925408834888737</v>
      </c>
      <c r="G225" s="1">
        <f t="shared" si="10"/>
        <v>33735208831.970596</v>
      </c>
      <c r="H225" s="1">
        <f t="shared" si="11"/>
        <v>0</v>
      </c>
      <c r="K225">
        <f>VLOOKUP(B225,Nuclides!A:C,2,FALSE)</f>
        <v>63</v>
      </c>
      <c r="L225">
        <f>VLOOKUP(B225,Nuclides!A:C,3,FALSE)</f>
        <v>39</v>
      </c>
      <c r="O225" s="1">
        <v>37095</v>
      </c>
      <c r="P225" s="1">
        <v>2.6670899999999999E-5</v>
      </c>
      <c r="Q225" t="s">
        <v>920</v>
      </c>
      <c r="R225">
        <v>58</v>
      </c>
      <c r="S225">
        <v>37</v>
      </c>
      <c r="T225">
        <f>VLOOKUP(O225,Nuclides!A:D,4,FALSE)</f>
        <v>0.37769999999999998</v>
      </c>
    </row>
    <row r="226" spans="2:20" x14ac:dyDescent="0.2">
      <c r="B226" s="8">
        <v>40081</v>
      </c>
      <c r="C226" s="9">
        <v>8.33552E-7</v>
      </c>
      <c r="D226" s="8" t="s">
        <v>1001</v>
      </c>
      <c r="E226" s="1">
        <v>5.5</v>
      </c>
      <c r="F226" s="1">
        <f t="shared" si="9"/>
        <v>0.12602676010180824</v>
      </c>
      <c r="G226" s="1">
        <f t="shared" si="10"/>
        <v>1231774080.7701457</v>
      </c>
      <c r="H226" s="1">
        <f t="shared" si="11"/>
        <v>0</v>
      </c>
      <c r="K226">
        <f>VLOOKUP(B226,Nuclides!A:C,2,FALSE)</f>
        <v>41</v>
      </c>
      <c r="L226">
        <f>VLOOKUP(B226,Nuclides!A:C,3,FALSE)</f>
        <v>40</v>
      </c>
      <c r="O226" s="1">
        <v>37096</v>
      </c>
      <c r="P226" s="1">
        <v>1.3219E-5</v>
      </c>
      <c r="Q226" t="s">
        <v>921</v>
      </c>
      <c r="R226">
        <v>59</v>
      </c>
      <c r="S226">
        <v>37</v>
      </c>
      <c r="T226">
        <f>VLOOKUP(O226,Nuclides!A:D,4,FALSE)</f>
        <v>0.20300000000000001</v>
      </c>
    </row>
    <row r="227" spans="2:20" x14ac:dyDescent="0.2">
      <c r="B227" s="8">
        <v>40082</v>
      </c>
      <c r="C227" s="9">
        <v>1.09865E-7</v>
      </c>
      <c r="D227" s="8" t="s">
        <v>1002</v>
      </c>
      <c r="E227" s="1">
        <v>32</v>
      </c>
      <c r="F227" s="1">
        <f t="shared" si="9"/>
        <v>2.166084939249829E-2</v>
      </c>
      <c r="G227" s="1">
        <f t="shared" si="10"/>
        <v>29380171.376210675</v>
      </c>
      <c r="H227" s="1">
        <f t="shared" si="11"/>
        <v>0</v>
      </c>
      <c r="K227">
        <f>VLOOKUP(B227,Nuclides!A:C,2,FALSE)</f>
        <v>42</v>
      </c>
      <c r="L227">
        <f>VLOOKUP(B227,Nuclides!A:C,3,FALSE)</f>
        <v>40</v>
      </c>
      <c r="O227" s="1">
        <v>37097</v>
      </c>
      <c r="P227" s="1">
        <v>1.0947999999999999E-5</v>
      </c>
      <c r="Q227" t="s">
        <v>922</v>
      </c>
      <c r="R227">
        <v>60</v>
      </c>
      <c r="S227">
        <v>37</v>
      </c>
      <c r="T227">
        <f>VLOOKUP(O227,Nuclides!A:D,4,FALSE)</f>
        <v>0.1691</v>
      </c>
    </row>
    <row r="228" spans="2:20" x14ac:dyDescent="0.2">
      <c r="B228" s="8">
        <v>40083</v>
      </c>
      <c r="C228" s="9">
        <v>1.8845999999999999E-8</v>
      </c>
      <c r="D228" s="8" t="s">
        <v>1003</v>
      </c>
      <c r="E228" s="1">
        <v>42</v>
      </c>
      <c r="F228" s="1">
        <f t="shared" si="9"/>
        <v>1.6503504299046318E-2</v>
      </c>
      <c r="G228" s="1">
        <f t="shared" si="10"/>
        <v>3849738.0624368037</v>
      </c>
      <c r="H228" s="1">
        <f t="shared" si="11"/>
        <v>0</v>
      </c>
      <c r="K228">
        <f>VLOOKUP(B228,Nuclides!A:C,2,FALSE)</f>
        <v>43</v>
      </c>
      <c r="L228">
        <f>VLOOKUP(B228,Nuclides!A:C,3,FALSE)</f>
        <v>40</v>
      </c>
      <c r="O228" s="1">
        <v>37098</v>
      </c>
      <c r="P228" s="1">
        <v>3.9120099999999998E-6</v>
      </c>
      <c r="Q228" t="s">
        <v>923</v>
      </c>
      <c r="R228">
        <v>61</v>
      </c>
      <c r="S228">
        <v>37</v>
      </c>
      <c r="T228">
        <f>VLOOKUP(O228,Nuclides!A:D,4,FALSE)</f>
        <v>0.10199999999999999</v>
      </c>
    </row>
    <row r="229" spans="2:20" x14ac:dyDescent="0.2">
      <c r="B229" s="8">
        <v>40084</v>
      </c>
      <c r="C229" s="9">
        <v>1.8148E-9</v>
      </c>
      <c r="D229" s="8" t="s">
        <v>1004</v>
      </c>
      <c r="E229" s="1">
        <v>1548</v>
      </c>
      <c r="F229" s="1">
        <f t="shared" si="9"/>
        <v>4.4776949648575278E-4</v>
      </c>
      <c r="G229" s="1">
        <f t="shared" si="10"/>
        <v>10139.128620471476</v>
      </c>
      <c r="H229" s="1">
        <f t="shared" si="11"/>
        <v>0</v>
      </c>
      <c r="K229">
        <f>VLOOKUP(B229,Nuclides!A:C,2,FALSE)</f>
        <v>44</v>
      </c>
      <c r="L229">
        <f>VLOOKUP(B229,Nuclides!A:C,3,FALSE)</f>
        <v>40</v>
      </c>
      <c r="O229" s="1">
        <v>37099</v>
      </c>
      <c r="P229" s="1">
        <v>1.76447E-6</v>
      </c>
      <c r="Q229" t="s">
        <v>924</v>
      </c>
      <c r="R229">
        <v>62</v>
      </c>
      <c r="S229">
        <v>37</v>
      </c>
      <c r="T229">
        <f>VLOOKUP(O229,Nuclides!A:D,4,FALSE)</f>
        <v>5.3999999999999999E-2</v>
      </c>
    </row>
    <row r="230" spans="2:20" x14ac:dyDescent="0.2">
      <c r="B230" s="8">
        <v>40085</v>
      </c>
      <c r="C230" s="9">
        <v>4.8860000000000005E-10</v>
      </c>
      <c r="D230" s="8" t="s">
        <v>1005</v>
      </c>
      <c r="E230" s="1">
        <v>471.6</v>
      </c>
      <c r="F230" s="1">
        <f t="shared" si="9"/>
        <v>1.4697777365562876E-3</v>
      </c>
      <c r="G230" s="1">
        <f t="shared" si="10"/>
        <v>8955.721785514208</v>
      </c>
      <c r="H230" s="1">
        <f t="shared" si="11"/>
        <v>0</v>
      </c>
      <c r="K230">
        <f>VLOOKUP(B230,Nuclides!A:C,2,FALSE)</f>
        <v>45</v>
      </c>
      <c r="L230">
        <f>VLOOKUP(B230,Nuclides!A:C,3,FALSE)</f>
        <v>40</v>
      </c>
      <c r="O230" s="1">
        <v>37100</v>
      </c>
      <c r="P230" s="1">
        <v>1.0498600000000001E-6</v>
      </c>
      <c r="Q230" t="s">
        <v>925</v>
      </c>
      <c r="R230">
        <v>63</v>
      </c>
      <c r="S230">
        <v>37</v>
      </c>
      <c r="T230">
        <f>VLOOKUP(O230,Nuclides!A:D,4,FALSE)</f>
        <v>5.0999999999999997E-2</v>
      </c>
    </row>
    <row r="231" spans="2:20" x14ac:dyDescent="0.2">
      <c r="B231" s="8">
        <v>40086</v>
      </c>
      <c r="C231" s="9">
        <v>1.3959999999999999E-10</v>
      </c>
      <c r="D231" s="8" t="s">
        <v>1006</v>
      </c>
      <c r="E231" s="1">
        <v>59400</v>
      </c>
      <c r="F231" s="1">
        <f t="shared" si="9"/>
        <v>1.1669144453871133E-5</v>
      </c>
      <c r="G231" s="1">
        <f t="shared" si="10"/>
        <v>20.329958203771238</v>
      </c>
      <c r="H231" s="1">
        <f t="shared" si="11"/>
        <v>3.0801732965677561E-159</v>
      </c>
      <c r="K231">
        <f>VLOOKUP(B231,Nuclides!A:C,2,FALSE)</f>
        <v>46</v>
      </c>
      <c r="L231">
        <f>VLOOKUP(B231,Nuclides!A:C,3,FALSE)</f>
        <v>40</v>
      </c>
      <c r="O231" s="1">
        <v>38077</v>
      </c>
      <c r="P231" s="1">
        <v>1.2375500000000001E-7</v>
      </c>
      <c r="Q231" t="s">
        <v>933</v>
      </c>
      <c r="R231">
        <v>39</v>
      </c>
      <c r="S231">
        <v>38</v>
      </c>
      <c r="T231">
        <f>VLOOKUP(O231,Nuclides!A:D,4,FALSE)</f>
        <v>9</v>
      </c>
    </row>
    <row r="232" spans="2:20" x14ac:dyDescent="0.2">
      <c r="B232" s="8">
        <v>40089</v>
      </c>
      <c r="C232" s="9">
        <v>1.3959999999999999E-10</v>
      </c>
      <c r="D232" s="8" t="s">
        <v>1009</v>
      </c>
      <c r="E232" s="1">
        <v>282276</v>
      </c>
      <c r="F232" s="1">
        <f t="shared" si="9"/>
        <v>2.4555654060562899E-6</v>
      </c>
      <c r="G232" s="1">
        <f t="shared" si="10"/>
        <v>4.2781004424503513</v>
      </c>
      <c r="H232" s="1">
        <f t="shared" si="11"/>
        <v>1.0001065183032645E-33</v>
      </c>
      <c r="K232">
        <f>VLOOKUP(B232,Nuclides!A:C,2,FALSE)</f>
        <v>49</v>
      </c>
      <c r="L232">
        <f>VLOOKUP(B232,Nuclides!A:C,3,FALSE)</f>
        <v>40</v>
      </c>
      <c r="O232" s="1">
        <v>38078</v>
      </c>
      <c r="P232" s="1">
        <v>1.8845999999999999E-8</v>
      </c>
      <c r="Q232" t="s">
        <v>934</v>
      </c>
      <c r="R232">
        <v>40</v>
      </c>
      <c r="S232">
        <v>38</v>
      </c>
      <c r="T232">
        <f>VLOOKUP(O232,Nuclides!A:D,4,FALSE)</f>
        <v>160</v>
      </c>
    </row>
    <row r="233" spans="2:20" x14ac:dyDescent="0.2">
      <c r="B233" s="8">
        <v>40093</v>
      </c>
      <c r="C233" s="9">
        <v>1.91601E-7</v>
      </c>
      <c r="D233" s="8" t="s">
        <v>1013</v>
      </c>
      <c r="E233" s="1">
        <v>50807736000000</v>
      </c>
      <c r="F233" s="1">
        <f t="shared" si="9"/>
        <v>1.3642552003496973E-14</v>
      </c>
      <c r="G233" s="1">
        <f t="shared" si="10"/>
        <v>3.2653346586641874E-5</v>
      </c>
      <c r="H233" s="1">
        <f t="shared" si="11"/>
        <v>3.265333253814596E-5</v>
      </c>
      <c r="K233">
        <f>VLOOKUP(B233,Nuclides!A:C,2,FALSE)</f>
        <v>53</v>
      </c>
      <c r="L233">
        <f>VLOOKUP(B233,Nuclides!A:C,3,FALSE)</f>
        <v>40</v>
      </c>
      <c r="O233" s="1">
        <v>38079</v>
      </c>
      <c r="P233" s="1">
        <v>5.7236000000000004E-9</v>
      </c>
      <c r="Q233" t="s">
        <v>935</v>
      </c>
      <c r="R233">
        <v>41</v>
      </c>
      <c r="S233">
        <v>38</v>
      </c>
      <c r="T233">
        <f>VLOOKUP(O233,Nuclides!A:D,4,FALSE)</f>
        <v>135</v>
      </c>
    </row>
    <row r="234" spans="2:20" x14ac:dyDescent="0.2">
      <c r="B234" s="8">
        <v>40095</v>
      </c>
      <c r="C234" s="9">
        <v>2.8452599999999998E-6</v>
      </c>
      <c r="D234" s="8" t="s">
        <v>1015</v>
      </c>
      <c r="E234" s="1">
        <v>5532364.7999999998</v>
      </c>
      <c r="F234" s="1">
        <f t="shared" si="9"/>
        <v>1.2528949294159802E-7</v>
      </c>
      <c r="G234" s="1">
        <f t="shared" si="10"/>
        <v>4448.8848821989886</v>
      </c>
      <c r="H234" s="1">
        <f t="shared" si="11"/>
        <v>85.565255416377767</v>
      </c>
      <c r="K234">
        <f>VLOOKUP(B234,Nuclides!A:C,2,FALSE)</f>
        <v>55</v>
      </c>
      <c r="L234">
        <f>VLOOKUP(B234,Nuclides!A:C,3,FALSE)</f>
        <v>40</v>
      </c>
      <c r="O234" s="1">
        <v>38080</v>
      </c>
      <c r="P234" s="1">
        <v>4.8860000000000005E-10</v>
      </c>
      <c r="Q234" t="s">
        <v>936</v>
      </c>
      <c r="R234">
        <v>42</v>
      </c>
      <c r="S234">
        <v>38</v>
      </c>
      <c r="T234">
        <f>VLOOKUP(O234,Nuclides!A:D,4,FALSE)</f>
        <v>6378</v>
      </c>
    </row>
    <row r="235" spans="2:20" x14ac:dyDescent="0.2">
      <c r="B235" s="8">
        <v>40096</v>
      </c>
      <c r="C235" s="9">
        <v>8.3706299999999995E-6</v>
      </c>
      <c r="D235" s="8" t="s">
        <v>1016</v>
      </c>
      <c r="E235" s="1">
        <v>7.4160360000000004E+26</v>
      </c>
      <c r="F235" s="1">
        <f t="shared" si="9"/>
        <v>9.3465994577149465E-28</v>
      </c>
      <c r="G235" s="1">
        <f t="shared" si="10"/>
        <v>0</v>
      </c>
      <c r="H235" s="1">
        <f t="shared" si="11"/>
        <v>0</v>
      </c>
      <c r="K235">
        <f>VLOOKUP(B235,Nuclides!A:C,2,FALSE)</f>
        <v>56</v>
      </c>
      <c r="L235">
        <f>VLOOKUP(B235,Nuclides!A:C,3,FALSE)</f>
        <v>40</v>
      </c>
      <c r="O235" s="1">
        <v>38081</v>
      </c>
      <c r="P235" s="1">
        <v>2.094E-10</v>
      </c>
      <c r="Q235" t="s">
        <v>937</v>
      </c>
      <c r="R235">
        <v>43</v>
      </c>
      <c r="S235">
        <v>38</v>
      </c>
      <c r="T235">
        <f>VLOOKUP(O235,Nuclides!A:D,4,FALSE)</f>
        <v>1338</v>
      </c>
    </row>
    <row r="236" spans="2:20" x14ac:dyDescent="0.2">
      <c r="B236" s="8">
        <v>40097</v>
      </c>
      <c r="C236" s="9">
        <v>2.0043699999999999E-5</v>
      </c>
      <c r="D236" s="8" t="s">
        <v>1017</v>
      </c>
      <c r="E236" s="1">
        <v>60296.3999999999</v>
      </c>
      <c r="F236" s="1">
        <f t="shared" si="9"/>
        <v>1.149566442706275E-5</v>
      </c>
      <c r="G236" s="1">
        <f t="shared" si="10"/>
        <v>2875570.7721355646</v>
      </c>
      <c r="H236" s="1">
        <f t="shared" si="11"/>
        <v>1.0354513433545622E-151</v>
      </c>
      <c r="K236">
        <f>VLOOKUP(B236,Nuclides!A:C,2,FALSE)</f>
        <v>57</v>
      </c>
      <c r="L236">
        <f>VLOOKUP(B236,Nuclides!A:C,3,FALSE)</f>
        <v>40</v>
      </c>
      <c r="O236" s="1">
        <v>38086</v>
      </c>
      <c r="P236" s="1">
        <v>6.9799999999999994E-11</v>
      </c>
      <c r="Q236" t="s">
        <v>942</v>
      </c>
      <c r="R236">
        <v>48</v>
      </c>
      <c r="S236">
        <v>38</v>
      </c>
      <c r="T236" t="str">
        <f>VLOOKUP(O236,Nuclides!A:D,4,FALSE)</f>
        <v>STABLE</v>
      </c>
    </row>
    <row r="237" spans="2:20" x14ac:dyDescent="0.2">
      <c r="B237" s="8">
        <v>40098</v>
      </c>
      <c r="C237" s="9">
        <v>4.1214899999999997E-5</v>
      </c>
      <c r="D237" s="8" t="s">
        <v>1018</v>
      </c>
      <c r="E237" s="1">
        <v>30.7</v>
      </c>
      <c r="F237" s="1">
        <f t="shared" si="9"/>
        <v>2.2578084057327207E-2</v>
      </c>
      <c r="G237" s="1">
        <f t="shared" si="10"/>
        <v>11483185414.35523</v>
      </c>
      <c r="H237" s="1">
        <f t="shared" si="11"/>
        <v>0</v>
      </c>
      <c r="K237">
        <f>VLOOKUP(B237,Nuclides!A:C,2,FALSE)</f>
        <v>58</v>
      </c>
      <c r="L237">
        <f>VLOOKUP(B237,Nuclides!A:C,3,FALSE)</f>
        <v>40</v>
      </c>
      <c r="O237" s="1">
        <v>38087</v>
      </c>
      <c r="P237" s="1">
        <v>4.1879999999999999E-10</v>
      </c>
      <c r="Q237" t="s">
        <v>943</v>
      </c>
      <c r="R237">
        <v>49</v>
      </c>
      <c r="S237">
        <v>38</v>
      </c>
      <c r="T237" t="str">
        <f>VLOOKUP(O237,Nuclides!A:D,4,FALSE)</f>
        <v>STABLE</v>
      </c>
    </row>
    <row r="238" spans="2:20" x14ac:dyDescent="0.2">
      <c r="B238" s="8">
        <v>40099</v>
      </c>
      <c r="C238" s="9">
        <v>6.3559599999999994E-5</v>
      </c>
      <c r="D238" s="8" t="s">
        <v>1019</v>
      </c>
      <c r="E238" s="1">
        <v>2.1</v>
      </c>
      <c r="F238" s="1">
        <f t="shared" si="9"/>
        <v>0.3300700859809263</v>
      </c>
      <c r="G238" s="1">
        <f t="shared" si="10"/>
        <v>222996352856.61948</v>
      </c>
      <c r="H238" s="1">
        <f t="shared" si="11"/>
        <v>0</v>
      </c>
      <c r="K238">
        <f>VLOOKUP(B238,Nuclides!A:C,2,FALSE)</f>
        <v>59</v>
      </c>
      <c r="L238">
        <f>VLOOKUP(B238,Nuclides!A:C,3,FALSE)</f>
        <v>40</v>
      </c>
      <c r="O238" s="1">
        <v>38088</v>
      </c>
      <c r="P238" s="1">
        <v>5.5141999999999998E-9</v>
      </c>
      <c r="Q238" t="s">
        <v>944</v>
      </c>
      <c r="R238">
        <v>50</v>
      </c>
      <c r="S238">
        <v>38</v>
      </c>
      <c r="T238" t="str">
        <f>VLOOKUP(O238,Nuclides!A:D,4,FALSE)</f>
        <v>STABLE</v>
      </c>
    </row>
    <row r="239" spans="2:20" x14ac:dyDescent="0.2">
      <c r="B239" s="8">
        <v>40100</v>
      </c>
      <c r="C239" s="9">
        <v>7.5980800000000003E-5</v>
      </c>
      <c r="D239" s="8" t="s">
        <v>1020</v>
      </c>
      <c r="E239" s="1">
        <v>7.1</v>
      </c>
      <c r="F239" s="1">
        <f t="shared" si="9"/>
        <v>9.7626363459147228E-2</v>
      </c>
      <c r="G239" s="1">
        <f t="shared" si="10"/>
        <v>88197996113.722824</v>
      </c>
      <c r="H239" s="1">
        <f t="shared" si="11"/>
        <v>0</v>
      </c>
      <c r="K239">
        <f>VLOOKUP(B239,Nuclides!A:C,2,FALSE)</f>
        <v>60</v>
      </c>
      <c r="L239">
        <f>VLOOKUP(B239,Nuclides!A:C,3,FALSE)</f>
        <v>40</v>
      </c>
      <c r="O239" s="1">
        <v>38089</v>
      </c>
      <c r="P239" s="1">
        <v>4.1391399999999998E-8</v>
      </c>
      <c r="Q239" t="s">
        <v>945</v>
      </c>
      <c r="R239">
        <v>51</v>
      </c>
      <c r="S239">
        <v>38</v>
      </c>
      <c r="T239">
        <f>VLOOKUP(O239,Nuclides!A:D,4,FALSE)</f>
        <v>4368643.2</v>
      </c>
    </row>
    <row r="240" spans="2:20" x14ac:dyDescent="0.2">
      <c r="B240" s="8">
        <v>40101</v>
      </c>
      <c r="C240" s="9">
        <v>6.0205099999999997E-5</v>
      </c>
      <c r="D240" s="8" t="s">
        <v>1021</v>
      </c>
      <c r="E240" s="1">
        <v>2.2999999999999998</v>
      </c>
      <c r="F240" s="1">
        <f t="shared" si="9"/>
        <v>0.30136833937388929</v>
      </c>
      <c r="G240" s="1">
        <f t="shared" si="10"/>
        <v>195499855936.65018</v>
      </c>
      <c r="H240" s="1">
        <f t="shared" si="11"/>
        <v>0</v>
      </c>
      <c r="K240">
        <f>VLOOKUP(B240,Nuclides!A:C,2,FALSE)</f>
        <v>61</v>
      </c>
      <c r="L240">
        <f>VLOOKUP(B240,Nuclides!A:C,3,FALSE)</f>
        <v>40</v>
      </c>
      <c r="O240" s="1">
        <v>38090</v>
      </c>
      <c r="P240" s="1">
        <v>2.9993099999999999E-7</v>
      </c>
      <c r="Q240" t="s">
        <v>946</v>
      </c>
      <c r="R240">
        <v>52</v>
      </c>
      <c r="S240">
        <v>38</v>
      </c>
      <c r="T240">
        <f>VLOOKUP(O240,Nuclides!A:D,4,FALSE)</f>
        <v>912014640</v>
      </c>
    </row>
    <row r="241" spans="2:20" x14ac:dyDescent="0.2">
      <c r="B241" s="8">
        <v>40102</v>
      </c>
      <c r="C241" s="9">
        <v>3.4218199999999997E-5</v>
      </c>
      <c r="D241" s="8" t="s">
        <v>1022</v>
      </c>
      <c r="E241" s="1">
        <v>2.9</v>
      </c>
      <c r="F241" s="1">
        <f t="shared" si="9"/>
        <v>0.23901626915860183</v>
      </c>
      <c r="G241" s="1">
        <f t="shared" si="10"/>
        <v>90788485923.230042</v>
      </c>
      <c r="H241" s="1">
        <f t="shared" si="11"/>
        <v>0</v>
      </c>
      <c r="K241">
        <f>VLOOKUP(B241,Nuclides!A:C,2,FALSE)</f>
        <v>62</v>
      </c>
      <c r="L241">
        <f>VLOOKUP(B241,Nuclides!A:C,3,FALSE)</f>
        <v>40</v>
      </c>
      <c r="O241" s="1">
        <v>38091</v>
      </c>
      <c r="P241" s="1">
        <v>1.02913E-6</v>
      </c>
      <c r="Q241" t="s">
        <v>947</v>
      </c>
      <c r="R241">
        <v>53</v>
      </c>
      <c r="S241">
        <v>38</v>
      </c>
      <c r="T241">
        <f>VLOOKUP(O241,Nuclides!A:D,4,FALSE)</f>
        <v>34740</v>
      </c>
    </row>
    <row r="242" spans="2:20" x14ac:dyDescent="0.2">
      <c r="B242" s="8">
        <v>41084</v>
      </c>
      <c r="C242" s="9">
        <v>1.23821E-5</v>
      </c>
      <c r="D242" s="8" t="s">
        <v>1035</v>
      </c>
      <c r="E242" s="1">
        <v>9.8000000000000007</v>
      </c>
      <c r="F242" s="1">
        <f t="shared" si="9"/>
        <v>7.0729304138769919E-2</v>
      </c>
      <c r="G242" s="1">
        <f t="shared" si="10"/>
        <v>10552129842.27747</v>
      </c>
      <c r="H242" s="1">
        <f t="shared" si="11"/>
        <v>0</v>
      </c>
      <c r="K242">
        <f>VLOOKUP(B242,Nuclides!A:C,2,FALSE)</f>
        <v>43</v>
      </c>
      <c r="L242">
        <f>VLOOKUP(B242,Nuclides!A:C,3,FALSE)</f>
        <v>41</v>
      </c>
      <c r="O242" s="1">
        <v>38092</v>
      </c>
      <c r="P242" s="1">
        <v>4.5028000000000003E-6</v>
      </c>
      <c r="Q242" t="s">
        <v>948</v>
      </c>
      <c r="R242">
        <v>54</v>
      </c>
      <c r="S242">
        <v>38</v>
      </c>
      <c r="T242">
        <f>VLOOKUP(O242,Nuclides!A:D,4,FALSE)</f>
        <v>9399.6</v>
      </c>
    </row>
    <row r="243" spans="2:20" x14ac:dyDescent="0.2">
      <c r="B243" s="8">
        <v>41085</v>
      </c>
      <c r="C243" s="9">
        <v>3.6280600000000002E-6</v>
      </c>
      <c r="D243" s="8" t="s">
        <v>1036</v>
      </c>
      <c r="E243" s="1">
        <v>20.5</v>
      </c>
      <c r="F243" s="1">
        <f t="shared" si="9"/>
        <v>3.3812057588290013E-2</v>
      </c>
      <c r="G243" s="1">
        <f t="shared" si="10"/>
        <v>1505355725.538743</v>
      </c>
      <c r="H243" s="1">
        <f t="shared" si="11"/>
        <v>0</v>
      </c>
      <c r="K243">
        <f>VLOOKUP(B243,Nuclides!A:C,2,FALSE)</f>
        <v>44</v>
      </c>
      <c r="L243">
        <f>VLOOKUP(B243,Nuclides!A:C,3,FALSE)</f>
        <v>41</v>
      </c>
      <c r="O243" s="1">
        <v>38093</v>
      </c>
      <c r="P243" s="1">
        <v>9.5610599999999996E-6</v>
      </c>
      <c r="Q243" t="s">
        <v>949</v>
      </c>
      <c r="R243">
        <v>55</v>
      </c>
      <c r="S243">
        <v>38</v>
      </c>
      <c r="T243">
        <f>VLOOKUP(O243,Nuclides!A:D,4,FALSE)</f>
        <v>445.79999999999899</v>
      </c>
    </row>
    <row r="244" spans="2:20" x14ac:dyDescent="0.2">
      <c r="B244" s="8">
        <v>41086</v>
      </c>
      <c r="C244" s="9">
        <v>7.1531000000000002E-7</v>
      </c>
      <c r="D244" s="8" t="s">
        <v>1037</v>
      </c>
      <c r="E244" s="1">
        <v>88</v>
      </c>
      <c r="F244" s="1">
        <f t="shared" si="9"/>
        <v>7.8766725063630152E-3</v>
      </c>
      <c r="G244" s="1">
        <f t="shared" si="10"/>
        <v>70039396.569906533</v>
      </c>
      <c r="H244" s="1">
        <f t="shared" si="11"/>
        <v>0</v>
      </c>
      <c r="K244">
        <f>VLOOKUP(B244,Nuclides!A:C,2,FALSE)</f>
        <v>45</v>
      </c>
      <c r="L244">
        <f>VLOOKUP(B244,Nuclides!A:C,3,FALSE)</f>
        <v>41</v>
      </c>
      <c r="O244" s="1">
        <v>38094</v>
      </c>
      <c r="P244" s="1">
        <v>2.42979E-5</v>
      </c>
      <c r="Q244" t="s">
        <v>950</v>
      </c>
      <c r="R244">
        <v>56</v>
      </c>
      <c r="S244">
        <v>38</v>
      </c>
      <c r="T244">
        <f>VLOOKUP(O244,Nuclides!A:D,4,FALSE)</f>
        <v>75.3</v>
      </c>
    </row>
    <row r="245" spans="2:20" x14ac:dyDescent="0.2">
      <c r="B245" s="8">
        <v>41087</v>
      </c>
      <c r="C245" s="9">
        <v>1.42252E-7</v>
      </c>
      <c r="D245" s="8" t="s">
        <v>1038</v>
      </c>
      <c r="E245" s="1">
        <v>222</v>
      </c>
      <c r="F245" s="1">
        <f t="shared" si="9"/>
        <v>3.1222845971168706E-3</v>
      </c>
      <c r="G245" s="1">
        <f t="shared" si="10"/>
        <v>5534362.9077106649</v>
      </c>
      <c r="H245" s="1">
        <f t="shared" si="11"/>
        <v>0</v>
      </c>
      <c r="K245">
        <f>VLOOKUP(B245,Nuclides!A:C,2,FALSE)</f>
        <v>46</v>
      </c>
      <c r="L245">
        <f>VLOOKUP(B245,Nuclides!A:C,3,FALSE)</f>
        <v>41</v>
      </c>
      <c r="O245" s="1">
        <v>38095</v>
      </c>
      <c r="P245" s="1">
        <v>2.46254E-5</v>
      </c>
      <c r="Q245" t="s">
        <v>951</v>
      </c>
      <c r="R245">
        <v>57</v>
      </c>
      <c r="S245">
        <v>38</v>
      </c>
      <c r="T245">
        <f>VLOOKUP(O245,Nuclides!A:D,4,FALSE)</f>
        <v>23.9</v>
      </c>
    </row>
    <row r="246" spans="2:20" x14ac:dyDescent="0.2">
      <c r="B246" s="8">
        <v>41088</v>
      </c>
      <c r="C246" s="9">
        <v>3.0711999999999997E-8</v>
      </c>
      <c r="D246" s="8" t="s">
        <v>1039</v>
      </c>
      <c r="E246" s="1">
        <v>873</v>
      </c>
      <c r="F246" s="1">
        <f t="shared" si="9"/>
        <v>7.9398302469638638E-4</v>
      </c>
      <c r="G246" s="1">
        <f t="shared" si="10"/>
        <v>304201.60561141075</v>
      </c>
      <c r="H246" s="1">
        <f t="shared" si="11"/>
        <v>0</v>
      </c>
      <c r="K246">
        <f>VLOOKUP(B246,Nuclides!A:C,2,FALSE)</f>
        <v>47</v>
      </c>
      <c r="L246">
        <f>VLOOKUP(B246,Nuclides!A:C,3,FALSE)</f>
        <v>41</v>
      </c>
      <c r="O246" s="1">
        <v>38096</v>
      </c>
      <c r="P246" s="1">
        <v>3.47111E-5</v>
      </c>
      <c r="Q246" t="s">
        <v>952</v>
      </c>
      <c r="R246">
        <v>58</v>
      </c>
      <c r="S246">
        <v>38</v>
      </c>
      <c r="T246">
        <f>VLOOKUP(O246,Nuclides!A:D,4,FALSE)</f>
        <v>1.07</v>
      </c>
    </row>
    <row r="247" spans="2:20" x14ac:dyDescent="0.2">
      <c r="B247" s="8">
        <v>41089</v>
      </c>
      <c r="C247" s="9">
        <v>1.10284E-8</v>
      </c>
      <c r="D247" s="8" t="s">
        <v>1040</v>
      </c>
      <c r="E247" s="1">
        <v>7307.99999999999</v>
      </c>
      <c r="F247" s="1">
        <f t="shared" si="9"/>
        <v>9.4847725856588155E-5</v>
      </c>
      <c r="G247" s="1">
        <f t="shared" si="10"/>
        <v>13053.693808396007</v>
      </c>
      <c r="H247" s="1">
        <f t="shared" si="11"/>
        <v>0</v>
      </c>
      <c r="K247">
        <f>VLOOKUP(B247,Nuclides!A:C,2,FALSE)</f>
        <v>48</v>
      </c>
      <c r="L247">
        <f>VLOOKUP(B247,Nuclides!A:C,3,FALSE)</f>
        <v>41</v>
      </c>
      <c r="O247" s="1">
        <v>38097</v>
      </c>
      <c r="P247" s="1">
        <v>2.2148199999999999E-5</v>
      </c>
      <c r="Q247" t="s">
        <v>953</v>
      </c>
      <c r="R247">
        <v>59</v>
      </c>
      <c r="S247">
        <v>38</v>
      </c>
      <c r="T247">
        <f>VLOOKUP(O247,Nuclides!A:D,4,FALSE)</f>
        <v>0.42899999999999999</v>
      </c>
    </row>
    <row r="248" spans="2:20" x14ac:dyDescent="0.2">
      <c r="B248" s="8">
        <v>41090</v>
      </c>
      <c r="C248" s="9">
        <v>2.9316000000000001E-9</v>
      </c>
      <c r="D248" s="8" t="s">
        <v>1041</v>
      </c>
      <c r="E248" s="1">
        <v>52560</v>
      </c>
      <c r="F248" s="1">
        <f t="shared" si="9"/>
        <v>1.3187731745813266E-5</v>
      </c>
      <c r="G248" s="1">
        <f t="shared" si="10"/>
        <v>482.48802527004551</v>
      </c>
      <c r="H248" s="1">
        <f t="shared" si="11"/>
        <v>1.1627574767725002E-178</v>
      </c>
      <c r="K248">
        <f>VLOOKUP(B248,Nuclides!A:C,2,FALSE)</f>
        <v>49</v>
      </c>
      <c r="L248">
        <f>VLOOKUP(B248,Nuclides!A:C,3,FALSE)</f>
        <v>41</v>
      </c>
      <c r="O248" s="1">
        <v>38098</v>
      </c>
      <c r="P248" s="1">
        <v>2.07114E-5</v>
      </c>
      <c r="Q248" t="s">
        <v>954</v>
      </c>
      <c r="R248">
        <v>60</v>
      </c>
      <c r="S248">
        <v>38</v>
      </c>
      <c r="T248">
        <f>VLOOKUP(O248,Nuclides!A:D,4,FALSE)</f>
        <v>0.65300000000000002</v>
      </c>
    </row>
    <row r="249" spans="2:20" x14ac:dyDescent="0.2">
      <c r="B249" s="8">
        <v>41091</v>
      </c>
      <c r="C249" s="9">
        <v>1.047E-9</v>
      </c>
      <c r="D249" s="8" t="s">
        <v>1042</v>
      </c>
      <c r="E249" s="1">
        <v>21459168000</v>
      </c>
      <c r="F249" s="1">
        <f t="shared" si="9"/>
        <v>3.2300748125926655E-11</v>
      </c>
      <c r="G249" s="1">
        <f t="shared" si="10"/>
        <v>4.2205926529703675E-4</v>
      </c>
      <c r="H249" s="1">
        <f t="shared" si="11"/>
        <v>4.216295592637027E-4</v>
      </c>
      <c r="K249">
        <f>VLOOKUP(B249,Nuclides!A:C,2,FALSE)</f>
        <v>50</v>
      </c>
      <c r="L249">
        <f>VLOOKUP(B249,Nuclides!A:C,3,FALSE)</f>
        <v>41</v>
      </c>
      <c r="O249" s="1">
        <v>38099</v>
      </c>
      <c r="P249" s="1">
        <v>7.7651100000000003E-6</v>
      </c>
      <c r="Q249" t="s">
        <v>955</v>
      </c>
      <c r="R249">
        <v>61</v>
      </c>
      <c r="S249">
        <v>38</v>
      </c>
      <c r="T249">
        <f>VLOOKUP(O249,Nuclides!A:D,4,FALSE)</f>
        <v>0.26900000000000002</v>
      </c>
    </row>
    <row r="250" spans="2:20" x14ac:dyDescent="0.2">
      <c r="B250" s="8">
        <v>41092</v>
      </c>
      <c r="C250" s="9">
        <v>5.5839999999999995E-10</v>
      </c>
      <c r="D250" s="8" t="s">
        <v>1043</v>
      </c>
      <c r="E250" s="1">
        <v>1095048720000000</v>
      </c>
      <c r="F250" s="1">
        <f t="shared" si="9"/>
        <v>6.3298296039279903E-16</v>
      </c>
      <c r="G250" s="1">
        <f t="shared" si="10"/>
        <v>4.6421746446867465E-9</v>
      </c>
      <c r="H250" s="1">
        <f t="shared" si="11"/>
        <v>4.6421745520208143E-9</v>
      </c>
      <c r="K250">
        <f>VLOOKUP(B250,Nuclides!A:C,2,FALSE)</f>
        <v>51</v>
      </c>
      <c r="L250">
        <f>VLOOKUP(B250,Nuclides!A:C,3,FALSE)</f>
        <v>41</v>
      </c>
      <c r="O250" s="1">
        <v>38100</v>
      </c>
      <c r="P250" s="1">
        <v>6.7033800000000004E-6</v>
      </c>
      <c r="Q250" t="s">
        <v>956</v>
      </c>
      <c r="R250">
        <v>62</v>
      </c>
      <c r="S250">
        <v>38</v>
      </c>
      <c r="T250">
        <f>VLOOKUP(O250,Nuclides!A:D,4,FALSE)</f>
        <v>0.20200000000000001</v>
      </c>
    </row>
    <row r="251" spans="2:20" x14ac:dyDescent="0.2">
      <c r="B251" s="8">
        <v>41094</v>
      </c>
      <c r="C251" s="9">
        <v>9.4928000000000001E-9</v>
      </c>
      <c r="D251" s="8" t="s">
        <v>1045</v>
      </c>
      <c r="E251" s="1">
        <v>640619280000</v>
      </c>
      <c r="F251" s="1">
        <f t="shared" si="9"/>
        <v>1.0819955037256219E-12</v>
      </c>
      <c r="G251" s="1">
        <f t="shared" si="10"/>
        <v>1.2818746324683161E-4</v>
      </c>
      <c r="H251" s="1">
        <f t="shared" si="11"/>
        <v>1.2818308933316335E-4</v>
      </c>
      <c r="K251">
        <f>VLOOKUP(B251,Nuclides!A:C,2,FALSE)</f>
        <v>53</v>
      </c>
      <c r="L251">
        <f>VLOOKUP(B251,Nuclides!A:C,3,FALSE)</f>
        <v>41</v>
      </c>
      <c r="O251" s="1">
        <v>39080</v>
      </c>
      <c r="P251" s="1">
        <v>2.9618199999999999E-6</v>
      </c>
      <c r="Q251" t="s">
        <v>968</v>
      </c>
      <c r="R251">
        <v>41</v>
      </c>
      <c r="S251">
        <v>39</v>
      </c>
      <c r="T251">
        <f>VLOOKUP(O251,Nuclides!A:D,4,FALSE)</f>
        <v>30.1</v>
      </c>
    </row>
    <row r="252" spans="2:20" x14ac:dyDescent="0.2">
      <c r="B252" s="8">
        <v>41095</v>
      </c>
      <c r="C252" s="9">
        <v>5.4444000000000001E-8</v>
      </c>
      <c r="D252" s="8" t="s">
        <v>1046</v>
      </c>
      <c r="E252" s="1">
        <v>3023222.4</v>
      </c>
      <c r="F252" s="1">
        <f t="shared" si="9"/>
        <v>2.2927429373371449E-7</v>
      </c>
      <c r="G252" s="1">
        <f t="shared" si="10"/>
        <v>155.78295055577755</v>
      </c>
      <c r="H252" s="1">
        <f t="shared" si="11"/>
        <v>0.11282352221938582</v>
      </c>
      <c r="K252">
        <f>VLOOKUP(B252,Nuclides!A:C,2,FALSE)</f>
        <v>54</v>
      </c>
      <c r="L252">
        <f>VLOOKUP(B252,Nuclides!A:C,3,FALSE)</f>
        <v>41</v>
      </c>
      <c r="O252" s="1">
        <v>39081</v>
      </c>
      <c r="P252" s="1">
        <v>5.2992199999999997E-7</v>
      </c>
      <c r="Q252" t="s">
        <v>969</v>
      </c>
      <c r="R252">
        <v>42</v>
      </c>
      <c r="S252">
        <v>39</v>
      </c>
      <c r="T252">
        <f>VLOOKUP(O252,Nuclides!A:D,4,FALSE)</f>
        <v>70.400000000000006</v>
      </c>
    </row>
    <row r="253" spans="2:20" x14ac:dyDescent="0.2">
      <c r="B253" s="8">
        <v>41096</v>
      </c>
      <c r="C253" s="9">
        <v>2.5281600000000001E-7</v>
      </c>
      <c r="D253" s="8" t="s">
        <v>1047</v>
      </c>
      <c r="E253" s="1">
        <v>84060</v>
      </c>
      <c r="F253" s="1">
        <f t="shared" si="9"/>
        <v>8.2458622479175036E-6</v>
      </c>
      <c r="G253" s="1">
        <f t="shared" si="10"/>
        <v>26016.77289211248</v>
      </c>
      <c r="H253" s="1">
        <f t="shared" si="11"/>
        <v>3.0245430017505734E-109</v>
      </c>
      <c r="K253">
        <f>VLOOKUP(B253,Nuclides!A:C,2,FALSE)</f>
        <v>55</v>
      </c>
      <c r="L253">
        <f>VLOOKUP(B253,Nuclides!A:C,3,FALSE)</f>
        <v>41</v>
      </c>
      <c r="O253" s="1">
        <v>39082</v>
      </c>
      <c r="P253" s="1">
        <v>8.6831200000000003E-8</v>
      </c>
      <c r="Q253" t="s">
        <v>970</v>
      </c>
      <c r="R253">
        <v>43</v>
      </c>
      <c r="S253">
        <v>39</v>
      </c>
      <c r="T253">
        <f>VLOOKUP(O253,Nuclides!A:D,4,FALSE)</f>
        <v>8.3000000000000007</v>
      </c>
    </row>
    <row r="254" spans="2:20" x14ac:dyDescent="0.2">
      <c r="B254" s="8">
        <v>41097</v>
      </c>
      <c r="C254" s="9">
        <v>1.08365E-6</v>
      </c>
      <c r="D254" s="8" t="s">
        <v>1048</v>
      </c>
      <c r="E254" s="1">
        <v>4326</v>
      </c>
      <c r="F254" s="1">
        <f t="shared" si="9"/>
        <v>1.6022819707811958E-4</v>
      </c>
      <c r="G254" s="1">
        <f t="shared" si="10"/>
        <v>2166744.8548847577</v>
      </c>
      <c r="H254" s="1">
        <f t="shared" si="11"/>
        <v>0</v>
      </c>
      <c r="K254">
        <f>VLOOKUP(B254,Nuclides!A:C,2,FALSE)</f>
        <v>56</v>
      </c>
      <c r="L254">
        <f>VLOOKUP(B254,Nuclides!A:C,3,FALSE)</f>
        <v>41</v>
      </c>
      <c r="O254" s="1">
        <v>39083</v>
      </c>
      <c r="P254" s="1">
        <v>4.1321600000000003E-8</v>
      </c>
      <c r="Q254" t="s">
        <v>971</v>
      </c>
      <c r="R254">
        <v>44</v>
      </c>
      <c r="S254">
        <v>39</v>
      </c>
      <c r="T254">
        <f>VLOOKUP(O254,Nuclides!A:D,4,FALSE)</f>
        <v>424.8</v>
      </c>
    </row>
    <row r="255" spans="2:20" x14ac:dyDescent="0.2">
      <c r="B255" s="8">
        <v>41098</v>
      </c>
      <c r="C255" s="9">
        <v>3.5865299999999999E-6</v>
      </c>
      <c r="D255" s="8" t="s">
        <v>1049</v>
      </c>
      <c r="E255" s="1">
        <v>2.86</v>
      </c>
      <c r="F255" s="1">
        <f t="shared" si="9"/>
        <v>0.24235915404193892</v>
      </c>
      <c r="G255" s="1">
        <f t="shared" si="10"/>
        <v>9633480853.894207</v>
      </c>
      <c r="H255" s="1">
        <f t="shared" si="11"/>
        <v>0</v>
      </c>
      <c r="K255">
        <f>VLOOKUP(B255,Nuclides!A:C,2,FALSE)</f>
        <v>57</v>
      </c>
      <c r="L255">
        <f>VLOOKUP(B255,Nuclides!A:C,3,FALSE)</f>
        <v>41</v>
      </c>
      <c r="O255" s="1">
        <v>39084</v>
      </c>
      <c r="P255" s="1">
        <v>5.2350000000000002E-9</v>
      </c>
      <c r="Q255" t="s">
        <v>972</v>
      </c>
      <c r="R255">
        <v>45</v>
      </c>
      <c r="S255">
        <v>39</v>
      </c>
      <c r="T255">
        <f>VLOOKUP(O255,Nuclides!A:D,4,FALSE)</f>
        <v>2370</v>
      </c>
    </row>
    <row r="256" spans="2:20" x14ac:dyDescent="0.2">
      <c r="B256" s="8">
        <v>41099</v>
      </c>
      <c r="C256" s="9">
        <v>1.1817100000000001E-5</v>
      </c>
      <c r="D256" s="8" t="s">
        <v>1050</v>
      </c>
      <c r="E256" s="1">
        <v>15</v>
      </c>
      <c r="F256" s="1">
        <f t="shared" si="9"/>
        <v>4.6209812037329684E-2</v>
      </c>
      <c r="G256" s="1">
        <f t="shared" si="10"/>
        <v>6659843204.7291098</v>
      </c>
      <c r="H256" s="1">
        <f t="shared" si="11"/>
        <v>0</v>
      </c>
      <c r="K256">
        <f>VLOOKUP(B256,Nuclides!A:C,2,FALSE)</f>
        <v>58</v>
      </c>
      <c r="L256">
        <f>VLOOKUP(B256,Nuclides!A:C,3,FALSE)</f>
        <v>41</v>
      </c>
      <c r="O256" s="1">
        <v>39085</v>
      </c>
      <c r="P256" s="1">
        <v>1.3959999999999999E-9</v>
      </c>
      <c r="Q256" t="s">
        <v>973</v>
      </c>
      <c r="R256">
        <v>46</v>
      </c>
      <c r="S256">
        <v>39</v>
      </c>
      <c r="T256">
        <f>VLOOKUP(O256,Nuclides!A:D,4,FALSE)</f>
        <v>9648</v>
      </c>
    </row>
    <row r="257" spans="2:20" x14ac:dyDescent="0.2">
      <c r="B257" s="8">
        <v>41100</v>
      </c>
      <c r="C257" s="9">
        <v>2.34096E-5</v>
      </c>
      <c r="D257" s="8" t="s">
        <v>1051</v>
      </c>
      <c r="E257" s="1">
        <v>1.5</v>
      </c>
      <c r="F257" s="1">
        <f t="shared" si="9"/>
        <v>0.46209812037329684</v>
      </c>
      <c r="G257" s="1">
        <f t="shared" si="10"/>
        <v>108107701667.97729</v>
      </c>
      <c r="H257" s="1">
        <f t="shared" si="11"/>
        <v>0</v>
      </c>
      <c r="K257">
        <f>VLOOKUP(B257,Nuclides!A:C,2,FALSE)</f>
        <v>59</v>
      </c>
      <c r="L257">
        <f>VLOOKUP(B257,Nuclides!A:C,3,FALSE)</f>
        <v>41</v>
      </c>
      <c r="O257" s="1">
        <v>39086</v>
      </c>
      <c r="P257" s="1">
        <v>1.3959999999999999E-10</v>
      </c>
      <c r="Q257" t="s">
        <v>974</v>
      </c>
      <c r="R257">
        <v>47</v>
      </c>
      <c r="S257">
        <v>39</v>
      </c>
      <c r="T257">
        <f>VLOOKUP(O257,Nuclides!A:D,4,FALSE)</f>
        <v>53064</v>
      </c>
    </row>
    <row r="258" spans="2:20" x14ac:dyDescent="0.2">
      <c r="B258" s="8">
        <v>41101</v>
      </c>
      <c r="C258" s="9">
        <v>4.60276E-5</v>
      </c>
      <c r="D258" s="8" t="s">
        <v>1052</v>
      </c>
      <c r="E258" s="1">
        <v>7.1</v>
      </c>
      <c r="F258" s="1">
        <f t="shared" si="9"/>
        <v>9.7626363459147228E-2</v>
      </c>
      <c r="G258" s="1">
        <f t="shared" si="10"/>
        <v>53428525179.045082</v>
      </c>
      <c r="H258" s="1">
        <f t="shared" si="11"/>
        <v>0</v>
      </c>
      <c r="K258">
        <f>VLOOKUP(B258,Nuclides!A:C,2,FALSE)</f>
        <v>60</v>
      </c>
      <c r="L258">
        <f>VLOOKUP(B258,Nuclides!A:C,3,FALSE)</f>
        <v>41</v>
      </c>
      <c r="O258" s="1">
        <v>39087</v>
      </c>
      <c r="P258" s="1">
        <v>6.9799999999999994E-11</v>
      </c>
      <c r="Q258" t="s">
        <v>975</v>
      </c>
      <c r="R258">
        <v>48</v>
      </c>
      <c r="S258">
        <v>39</v>
      </c>
      <c r="T258">
        <f>VLOOKUP(O258,Nuclides!A:D,4,FALSE)</f>
        <v>287280</v>
      </c>
    </row>
    <row r="259" spans="2:20" x14ac:dyDescent="0.2">
      <c r="B259" s="8">
        <v>41102</v>
      </c>
      <c r="C259" s="9">
        <v>4.4322E-5</v>
      </c>
      <c r="D259" s="8" t="s">
        <v>1053</v>
      </c>
      <c r="E259" s="1">
        <v>4.3</v>
      </c>
      <c r="F259" s="1">
        <f t="shared" si="9"/>
        <v>0.16119701873487099</v>
      </c>
      <c r="G259" s="1">
        <f t="shared" si="10"/>
        <v>82348853178.577682</v>
      </c>
      <c r="H259" s="1">
        <f t="shared" si="11"/>
        <v>0</v>
      </c>
      <c r="K259">
        <f>VLOOKUP(B259,Nuclides!A:C,2,FALSE)</f>
        <v>61</v>
      </c>
      <c r="L259">
        <f>VLOOKUP(B259,Nuclides!A:C,3,FALSE)</f>
        <v>41</v>
      </c>
      <c r="O259" s="1">
        <v>39089</v>
      </c>
      <c r="P259" s="1">
        <v>4.8860000000000005E-10</v>
      </c>
      <c r="Q259" t="s">
        <v>977</v>
      </c>
      <c r="R259">
        <v>50</v>
      </c>
      <c r="S259">
        <v>39</v>
      </c>
      <c r="T259" t="str">
        <f>VLOOKUP(O259,Nuclides!A:D,4,FALSE)</f>
        <v>STABLE</v>
      </c>
    </row>
    <row r="260" spans="2:20" x14ac:dyDescent="0.2">
      <c r="B260" s="8">
        <v>41103</v>
      </c>
      <c r="C260" s="9">
        <v>3.9722999999999999E-5</v>
      </c>
      <c r="D260" s="8" t="s">
        <v>1054</v>
      </c>
      <c r="E260" s="1">
        <v>1.5</v>
      </c>
      <c r="F260" s="1">
        <f t="shared" ref="F260:F323" si="12">LN(2)/E260</f>
        <v>0.46209812037329684</v>
      </c>
      <c r="G260" s="1">
        <f t="shared" ref="G260:G323" si="13">2*6240000000000000*C260*(1-EXP(-F260))</f>
        <v>183444494282.56195</v>
      </c>
      <c r="H260" s="1">
        <f t="shared" ref="H260:H323" si="14">G260*EXP(-F260*365*24*3600)</f>
        <v>0</v>
      </c>
      <c r="K260">
        <f>VLOOKUP(B260,Nuclides!A:C,2,FALSE)</f>
        <v>62</v>
      </c>
      <c r="L260">
        <f>VLOOKUP(B260,Nuclides!A:C,3,FALSE)</f>
        <v>41</v>
      </c>
      <c r="O260" s="1">
        <v>39090</v>
      </c>
      <c r="P260" s="1">
        <v>1.3262E-9</v>
      </c>
      <c r="Q260" t="s">
        <v>978</v>
      </c>
      <c r="R260">
        <v>51</v>
      </c>
      <c r="S260">
        <v>39</v>
      </c>
      <c r="T260">
        <f>VLOOKUP(O260,Nuclides!A:D,4,FALSE)</f>
        <v>230590.8</v>
      </c>
    </row>
    <row r="261" spans="2:20" x14ac:dyDescent="0.2">
      <c r="B261" s="8">
        <v>41104</v>
      </c>
      <c r="C261" s="9">
        <v>1.87679E-5</v>
      </c>
      <c r="D261" s="8" t="s">
        <v>1055</v>
      </c>
      <c r="E261" s="1">
        <v>4.9000000000000004</v>
      </c>
      <c r="F261" s="1">
        <f t="shared" si="12"/>
        <v>0.14145860827753984</v>
      </c>
      <c r="G261" s="1">
        <f t="shared" si="13"/>
        <v>30896148440.692383</v>
      </c>
      <c r="H261" s="1">
        <f t="shared" si="14"/>
        <v>0</v>
      </c>
      <c r="K261">
        <f>VLOOKUP(B261,Nuclides!A:C,2,FALSE)</f>
        <v>63</v>
      </c>
      <c r="L261">
        <f>VLOOKUP(B261,Nuclides!A:C,3,FALSE)</f>
        <v>41</v>
      </c>
      <c r="O261" s="1">
        <v>39091</v>
      </c>
      <c r="P261" s="1">
        <v>1.6123799999999998E-8</v>
      </c>
      <c r="Q261" t="s">
        <v>979</v>
      </c>
      <c r="R261">
        <v>52</v>
      </c>
      <c r="S261">
        <v>39</v>
      </c>
      <c r="T261">
        <f>VLOOKUP(O261,Nuclides!A:D,4,FALSE)</f>
        <v>5055264</v>
      </c>
    </row>
    <row r="262" spans="2:20" x14ac:dyDescent="0.2">
      <c r="B262" s="8">
        <v>41105</v>
      </c>
      <c r="C262" s="9">
        <v>8.94752E-6</v>
      </c>
      <c r="D262" s="8" t="s">
        <v>1056</v>
      </c>
      <c r="E262" s="1">
        <v>2.95</v>
      </c>
      <c r="F262" s="1">
        <f t="shared" si="12"/>
        <v>0.23496514595252382</v>
      </c>
      <c r="G262" s="1">
        <f t="shared" si="13"/>
        <v>23382839525.174053</v>
      </c>
      <c r="H262" s="1">
        <f t="shared" si="14"/>
        <v>0</v>
      </c>
      <c r="K262">
        <f>VLOOKUP(B262,Nuclides!A:C,2,FALSE)</f>
        <v>64</v>
      </c>
      <c r="L262">
        <f>VLOOKUP(B262,Nuclides!A:C,3,FALSE)</f>
        <v>41</v>
      </c>
      <c r="O262" s="1">
        <v>39092</v>
      </c>
      <c r="P262" s="1">
        <v>9.7580399999999999E-8</v>
      </c>
      <c r="Q262" t="s">
        <v>980</v>
      </c>
      <c r="R262">
        <v>53</v>
      </c>
      <c r="S262">
        <v>39</v>
      </c>
      <c r="T262">
        <f>VLOOKUP(O262,Nuclides!A:D,4,FALSE)</f>
        <v>12744</v>
      </c>
    </row>
    <row r="263" spans="2:20" x14ac:dyDescent="0.2">
      <c r="B263" s="8">
        <v>41106</v>
      </c>
      <c r="C263" s="9">
        <v>2.97034E-6</v>
      </c>
      <c r="D263" s="8" t="s">
        <v>1057</v>
      </c>
      <c r="E263" s="1">
        <v>1.02</v>
      </c>
      <c r="F263" s="1">
        <f t="shared" si="12"/>
        <v>0.67955605937249541</v>
      </c>
      <c r="G263" s="1">
        <f t="shared" si="13"/>
        <v>18281291580.336807</v>
      </c>
      <c r="H263" s="1">
        <f t="shared" si="14"/>
        <v>0</v>
      </c>
      <c r="K263">
        <f>VLOOKUP(B263,Nuclides!A:C,2,FALSE)</f>
        <v>65</v>
      </c>
      <c r="L263">
        <f>VLOOKUP(B263,Nuclides!A:C,3,FALSE)</f>
        <v>41</v>
      </c>
      <c r="O263" s="1">
        <v>39093</v>
      </c>
      <c r="P263" s="1">
        <v>6.3720400000000002E-7</v>
      </c>
      <c r="Q263" t="s">
        <v>981</v>
      </c>
      <c r="R263">
        <v>54</v>
      </c>
      <c r="S263">
        <v>39</v>
      </c>
      <c r="T263">
        <f>VLOOKUP(O263,Nuclides!A:D,4,FALSE)</f>
        <v>36648</v>
      </c>
    </row>
    <row r="264" spans="2:20" x14ac:dyDescent="0.2">
      <c r="B264" s="8">
        <v>42087</v>
      </c>
      <c r="C264" s="9">
        <v>1.3649400000000001E-6</v>
      </c>
      <c r="D264" s="8" t="s">
        <v>1073</v>
      </c>
      <c r="E264" s="1">
        <v>14.02</v>
      </c>
      <c r="F264" s="1">
        <f t="shared" si="12"/>
        <v>4.9439884490723632E-2</v>
      </c>
      <c r="G264" s="1">
        <f t="shared" si="13"/>
        <v>821701518.52711403</v>
      </c>
      <c r="H264" s="1">
        <f t="shared" si="14"/>
        <v>0</v>
      </c>
      <c r="K264">
        <f>VLOOKUP(B264,Nuclides!A:C,2,FALSE)</f>
        <v>45</v>
      </c>
      <c r="L264">
        <f>VLOOKUP(B264,Nuclides!A:C,3,FALSE)</f>
        <v>42</v>
      </c>
      <c r="O264" s="1">
        <v>39094</v>
      </c>
      <c r="P264" s="1">
        <v>2.2451899999999998E-6</v>
      </c>
      <c r="Q264" t="s">
        <v>982</v>
      </c>
      <c r="R264">
        <v>55</v>
      </c>
      <c r="S264">
        <v>39</v>
      </c>
      <c r="T264">
        <f>VLOOKUP(O264,Nuclides!A:D,4,FALSE)</f>
        <v>1122</v>
      </c>
    </row>
    <row r="265" spans="2:20" x14ac:dyDescent="0.2">
      <c r="B265" s="8">
        <v>42088</v>
      </c>
      <c r="C265" s="9">
        <v>4.94324E-7</v>
      </c>
      <c r="D265" s="8" t="s">
        <v>1074</v>
      </c>
      <c r="E265" s="1">
        <v>480</v>
      </c>
      <c r="F265" s="1">
        <f t="shared" si="12"/>
        <v>1.4440566261665526E-3</v>
      </c>
      <c r="G265" s="1">
        <f t="shared" si="13"/>
        <v>8902192.27711007</v>
      </c>
      <c r="H265" s="1">
        <f t="shared" si="14"/>
        <v>0</v>
      </c>
      <c r="K265">
        <f>VLOOKUP(B265,Nuclides!A:C,2,FALSE)</f>
        <v>46</v>
      </c>
      <c r="L265">
        <f>VLOOKUP(B265,Nuclides!A:C,3,FALSE)</f>
        <v>42</v>
      </c>
      <c r="O265" s="1">
        <v>39095</v>
      </c>
      <c r="P265" s="1">
        <v>8.2075700000000004E-6</v>
      </c>
      <c r="Q265" t="s">
        <v>983</v>
      </c>
      <c r="R265">
        <v>56</v>
      </c>
      <c r="S265">
        <v>39</v>
      </c>
      <c r="T265">
        <f>VLOOKUP(O265,Nuclides!A:D,4,FALSE)</f>
        <v>618</v>
      </c>
    </row>
    <row r="266" spans="2:20" x14ac:dyDescent="0.2">
      <c r="B266" s="8">
        <v>42089</v>
      </c>
      <c r="C266" s="9">
        <v>2.0577E-7</v>
      </c>
      <c r="D266" s="8" t="s">
        <v>1075</v>
      </c>
      <c r="E266" s="1">
        <v>126.6</v>
      </c>
      <c r="F266" s="1">
        <f t="shared" si="12"/>
        <v>5.4750962129537541E-3</v>
      </c>
      <c r="G266" s="1">
        <f t="shared" si="13"/>
        <v>14021679.586456308</v>
      </c>
      <c r="H266" s="1">
        <f t="shared" si="14"/>
        <v>0</v>
      </c>
      <c r="K266">
        <f>VLOOKUP(B266,Nuclides!A:C,2,FALSE)</f>
        <v>47</v>
      </c>
      <c r="L266">
        <f>VLOOKUP(B266,Nuclides!A:C,3,FALSE)</f>
        <v>42</v>
      </c>
      <c r="O266" s="1">
        <v>39096</v>
      </c>
      <c r="P266" s="1">
        <v>1.5322799999999998E-5</v>
      </c>
      <c r="Q266" t="s">
        <v>984</v>
      </c>
      <c r="R266">
        <v>57</v>
      </c>
      <c r="S266">
        <v>39</v>
      </c>
      <c r="T266">
        <f>VLOOKUP(O266,Nuclides!A:D,4,FALSE)</f>
        <v>5.34</v>
      </c>
    </row>
    <row r="267" spans="2:20" x14ac:dyDescent="0.2">
      <c r="B267" s="8">
        <v>42090</v>
      </c>
      <c r="C267" s="9">
        <v>6.4774400000000003E-8</v>
      </c>
      <c r="D267" s="8" t="s">
        <v>1076</v>
      </c>
      <c r="E267" s="1">
        <v>20016</v>
      </c>
      <c r="F267" s="1">
        <f t="shared" si="12"/>
        <v>3.4629655303754263E-5</v>
      </c>
      <c r="G267" s="1">
        <f t="shared" si="13"/>
        <v>27993.592296437688</v>
      </c>
      <c r="H267" s="1">
        <f t="shared" si="14"/>
        <v>0</v>
      </c>
      <c r="K267">
        <f>VLOOKUP(B267,Nuclides!A:C,2,FALSE)</f>
        <v>48</v>
      </c>
      <c r="L267">
        <f>VLOOKUP(B267,Nuclides!A:C,3,FALSE)</f>
        <v>42</v>
      </c>
      <c r="O267" s="1">
        <v>39097</v>
      </c>
      <c r="P267" s="1">
        <v>2.64968E-5</v>
      </c>
      <c r="Q267" t="s">
        <v>985</v>
      </c>
      <c r="R267">
        <v>58</v>
      </c>
      <c r="S267">
        <v>39</v>
      </c>
      <c r="T267">
        <f>VLOOKUP(O267,Nuclides!A:D,4,FALSE)</f>
        <v>3.75</v>
      </c>
    </row>
    <row r="268" spans="2:20" x14ac:dyDescent="0.2">
      <c r="B268" s="8">
        <v>42091</v>
      </c>
      <c r="C268" s="9">
        <v>2.3034E-8</v>
      </c>
      <c r="D268" s="8" t="s">
        <v>1077</v>
      </c>
      <c r="E268" s="1">
        <v>929.4</v>
      </c>
      <c r="F268" s="1">
        <f t="shared" si="12"/>
        <v>7.4580071073805177E-4</v>
      </c>
      <c r="G268" s="1">
        <f t="shared" si="13"/>
        <v>214311.16752366078</v>
      </c>
      <c r="H268" s="1">
        <f t="shared" si="14"/>
        <v>0</v>
      </c>
      <c r="K268">
        <f>VLOOKUP(B268,Nuclides!A:C,2,FALSE)</f>
        <v>49</v>
      </c>
      <c r="L268">
        <f>VLOOKUP(B268,Nuclides!A:C,3,FALSE)</f>
        <v>42</v>
      </c>
      <c r="O268" s="1">
        <v>39098</v>
      </c>
      <c r="P268" s="1">
        <v>2.36196E-5</v>
      </c>
      <c r="Q268" t="s">
        <v>986</v>
      </c>
      <c r="R268">
        <v>59</v>
      </c>
      <c r="S268">
        <v>39</v>
      </c>
      <c r="T268">
        <f>VLOOKUP(O268,Nuclides!A:D,4,FALSE)</f>
        <v>0.54800000000000004</v>
      </c>
    </row>
    <row r="269" spans="2:20" x14ac:dyDescent="0.2">
      <c r="B269" s="8">
        <v>42093</v>
      </c>
      <c r="C269" s="9">
        <v>2.2335999999999998E-9</v>
      </c>
      <c r="D269" s="8" t="s">
        <v>1079</v>
      </c>
      <c r="E269" s="1">
        <v>126230400000</v>
      </c>
      <c r="F269" s="1">
        <f t="shared" si="12"/>
        <v>5.4911271814075315E-12</v>
      </c>
      <c r="G269" s="1">
        <f t="shared" si="13"/>
        <v>1.5306797195080432E-4</v>
      </c>
      <c r="H269" s="1">
        <f t="shared" si="14"/>
        <v>1.5304146774255462E-4</v>
      </c>
      <c r="K269">
        <f>VLOOKUP(B269,Nuclides!A:C,2,FALSE)</f>
        <v>51</v>
      </c>
      <c r="L269">
        <f>VLOOKUP(B269,Nuclides!A:C,3,FALSE)</f>
        <v>42</v>
      </c>
      <c r="O269" s="1">
        <v>39099</v>
      </c>
      <c r="P269" s="1">
        <v>2.86367E-5</v>
      </c>
      <c r="Q269" t="s">
        <v>987</v>
      </c>
      <c r="R269">
        <v>60</v>
      </c>
      <c r="S269">
        <v>39</v>
      </c>
      <c r="T269">
        <f>VLOOKUP(O269,Nuclides!A:D,4,FALSE)</f>
        <v>1.484</v>
      </c>
    </row>
    <row r="270" spans="2:20" x14ac:dyDescent="0.2">
      <c r="B270" s="8">
        <v>42099</v>
      </c>
      <c r="C270" s="9">
        <v>5.6489100000000005E-7</v>
      </c>
      <c r="D270" s="8" t="s">
        <v>1085</v>
      </c>
      <c r="E270" s="1">
        <v>237513.60000000001</v>
      </c>
      <c r="F270" s="1">
        <f t="shared" si="12"/>
        <v>2.9183473306789393E-6</v>
      </c>
      <c r="G270" s="1">
        <f t="shared" si="13"/>
        <v>20573.850791032626</v>
      </c>
      <c r="H270" s="1">
        <f t="shared" si="14"/>
        <v>2.2074502067703122E-36</v>
      </c>
      <c r="K270">
        <f>VLOOKUP(B270,Nuclides!A:C,2,FALSE)</f>
        <v>57</v>
      </c>
      <c r="L270">
        <f>VLOOKUP(B270,Nuclides!A:C,3,FALSE)</f>
        <v>42</v>
      </c>
      <c r="O270" s="1">
        <v>39100</v>
      </c>
      <c r="P270" s="1">
        <v>1.96514E-5</v>
      </c>
      <c r="Q270" t="s">
        <v>988</v>
      </c>
      <c r="R270">
        <v>61</v>
      </c>
      <c r="S270">
        <v>39</v>
      </c>
      <c r="T270">
        <f>VLOOKUP(O270,Nuclides!A:D,4,FALSE)</f>
        <v>0.73499999999999999</v>
      </c>
    </row>
    <row r="271" spans="2:20" x14ac:dyDescent="0.2">
      <c r="B271" s="8">
        <v>42100</v>
      </c>
      <c r="C271" s="9">
        <v>1.9744300000000001E-6</v>
      </c>
      <c r="D271" s="8" t="s">
        <v>1086</v>
      </c>
      <c r="E271" s="1">
        <v>2.3037048000000002E+26</v>
      </c>
      <c r="F271" s="1">
        <f t="shared" si="12"/>
        <v>3.0088368117301542E-27</v>
      </c>
      <c r="G271" s="1">
        <f t="shared" si="13"/>
        <v>0</v>
      </c>
      <c r="H271" s="1">
        <f t="shared" si="14"/>
        <v>0</v>
      </c>
      <c r="K271">
        <f>VLOOKUP(B271,Nuclides!A:C,2,FALSE)</f>
        <v>58</v>
      </c>
      <c r="L271">
        <f>VLOOKUP(B271,Nuclides!A:C,3,FALSE)</f>
        <v>42</v>
      </c>
      <c r="O271" s="1">
        <v>39101</v>
      </c>
      <c r="P271" s="1">
        <v>1.24008E-5</v>
      </c>
      <c r="Q271" t="s">
        <v>989</v>
      </c>
      <c r="R271">
        <v>62</v>
      </c>
      <c r="S271">
        <v>39</v>
      </c>
      <c r="T271">
        <f>VLOOKUP(O271,Nuclides!A:D,4,FALSE)</f>
        <v>0.45</v>
      </c>
    </row>
    <row r="272" spans="2:20" x14ac:dyDescent="0.2">
      <c r="B272" s="8">
        <v>42101</v>
      </c>
      <c r="C272" s="9">
        <v>5.4125700000000001E-6</v>
      </c>
      <c r="D272" s="8" t="s">
        <v>1087</v>
      </c>
      <c r="E272" s="1">
        <v>876.599999999999</v>
      </c>
      <c r="F272" s="1">
        <f t="shared" si="12"/>
        <v>7.9072231412268543E-4</v>
      </c>
      <c r="G272" s="1">
        <f t="shared" si="13"/>
        <v>53391290.025301322</v>
      </c>
      <c r="H272" s="1">
        <f t="shared" si="14"/>
        <v>0</v>
      </c>
      <c r="K272">
        <f>VLOOKUP(B272,Nuclides!A:C,2,FALSE)</f>
        <v>59</v>
      </c>
      <c r="L272">
        <f>VLOOKUP(B272,Nuclides!A:C,3,FALSE)</f>
        <v>42</v>
      </c>
      <c r="O272" s="1">
        <v>39102</v>
      </c>
      <c r="P272" s="1">
        <v>6.2177800000000003E-6</v>
      </c>
      <c r="Q272" t="s">
        <v>990</v>
      </c>
      <c r="R272">
        <v>63</v>
      </c>
      <c r="S272">
        <v>39</v>
      </c>
      <c r="T272">
        <f>VLOOKUP(O272,Nuclides!A:D,4,FALSE)</f>
        <v>0.36</v>
      </c>
    </row>
    <row r="273" spans="2:20" x14ac:dyDescent="0.2">
      <c r="B273" s="8">
        <v>42102</v>
      </c>
      <c r="C273" s="9">
        <v>1.28553E-5</v>
      </c>
      <c r="D273" s="8" t="s">
        <v>1088</v>
      </c>
      <c r="E273" s="1">
        <v>678</v>
      </c>
      <c r="F273" s="1">
        <f t="shared" si="12"/>
        <v>1.0223409742772054E-3</v>
      </c>
      <c r="G273" s="1">
        <f t="shared" si="13"/>
        <v>163934586.28351265</v>
      </c>
      <c r="H273" s="1">
        <f t="shared" si="14"/>
        <v>0</v>
      </c>
      <c r="K273">
        <f>VLOOKUP(B273,Nuclides!A:C,2,FALSE)</f>
        <v>60</v>
      </c>
      <c r="L273">
        <f>VLOOKUP(B273,Nuclides!A:C,3,FALSE)</f>
        <v>42</v>
      </c>
      <c r="O273" s="1">
        <v>40081</v>
      </c>
      <c r="P273" s="1">
        <v>4.1241299999999996E-6</v>
      </c>
      <c r="Q273" t="s">
        <v>1001</v>
      </c>
      <c r="R273">
        <v>41</v>
      </c>
      <c r="S273">
        <v>40</v>
      </c>
      <c r="T273">
        <f>VLOOKUP(O273,Nuclides!A:D,4,FALSE)</f>
        <v>5.5</v>
      </c>
    </row>
    <row r="274" spans="2:20" x14ac:dyDescent="0.2">
      <c r="B274" s="8">
        <v>42103</v>
      </c>
      <c r="C274" s="9">
        <v>2.0372699999999999E-5</v>
      </c>
      <c r="D274" s="8" t="s">
        <v>1089</v>
      </c>
      <c r="E274" s="1">
        <v>67.5</v>
      </c>
      <c r="F274" s="1">
        <f t="shared" si="12"/>
        <v>1.0268847119406597E-2</v>
      </c>
      <c r="G274" s="1">
        <f t="shared" si="13"/>
        <v>2597508156.0677466</v>
      </c>
      <c r="H274" s="1">
        <f t="shared" si="14"/>
        <v>0</v>
      </c>
      <c r="K274">
        <f>VLOOKUP(B274,Nuclides!A:C,2,FALSE)</f>
        <v>61</v>
      </c>
      <c r="L274">
        <f>VLOOKUP(B274,Nuclides!A:C,3,FALSE)</f>
        <v>42</v>
      </c>
      <c r="O274" s="1">
        <v>40082</v>
      </c>
      <c r="P274" s="1">
        <v>5.1135500000000002E-7</v>
      </c>
      <c r="Q274" t="s">
        <v>1002</v>
      </c>
      <c r="R274">
        <v>42</v>
      </c>
      <c r="S274">
        <v>40</v>
      </c>
      <c r="T274">
        <f>VLOOKUP(O274,Nuclides!A:D,4,FALSE)</f>
        <v>32</v>
      </c>
    </row>
    <row r="275" spans="2:20" x14ac:dyDescent="0.2">
      <c r="B275" s="8">
        <v>42104</v>
      </c>
      <c r="C275" s="9">
        <v>2.5771599999999999E-5</v>
      </c>
      <c r="D275" s="8" t="s">
        <v>1090</v>
      </c>
      <c r="E275" s="1">
        <v>60</v>
      </c>
      <c r="F275" s="1">
        <f t="shared" si="12"/>
        <v>1.1552453009332421E-2</v>
      </c>
      <c r="G275" s="1">
        <f t="shared" si="13"/>
        <v>3694230671.9548039</v>
      </c>
      <c r="H275" s="1">
        <f t="shared" si="14"/>
        <v>0</v>
      </c>
      <c r="K275">
        <f>VLOOKUP(B275,Nuclides!A:C,2,FALSE)</f>
        <v>62</v>
      </c>
      <c r="L275">
        <f>VLOOKUP(B275,Nuclides!A:C,3,FALSE)</f>
        <v>42</v>
      </c>
      <c r="O275" s="1">
        <v>40083</v>
      </c>
      <c r="P275" s="1">
        <v>2.3711100000000001E-7</v>
      </c>
      <c r="Q275" t="s">
        <v>1003</v>
      </c>
      <c r="R275">
        <v>43</v>
      </c>
      <c r="S275">
        <v>40</v>
      </c>
      <c r="T275">
        <f>VLOOKUP(O275,Nuclides!A:D,4,FALSE)</f>
        <v>42</v>
      </c>
    </row>
    <row r="276" spans="2:20" x14ac:dyDescent="0.2">
      <c r="B276" s="8">
        <v>42105</v>
      </c>
      <c r="C276" s="9">
        <v>2.09034E-5</v>
      </c>
      <c r="D276" s="8" t="s">
        <v>1091</v>
      </c>
      <c r="E276" s="1">
        <v>35.6</v>
      </c>
      <c r="F276" s="1">
        <f t="shared" si="12"/>
        <v>1.9470426420223182E-2</v>
      </c>
      <c r="G276" s="1">
        <f t="shared" si="13"/>
        <v>5030207381.2411051</v>
      </c>
      <c r="H276" s="1">
        <f t="shared" si="14"/>
        <v>0</v>
      </c>
      <c r="K276">
        <f>VLOOKUP(B276,Nuclides!A:C,2,FALSE)</f>
        <v>63</v>
      </c>
      <c r="L276">
        <f>VLOOKUP(B276,Nuclides!A:C,3,FALSE)</f>
        <v>42</v>
      </c>
      <c r="O276" s="1">
        <v>40084</v>
      </c>
      <c r="P276" s="1">
        <v>3.9576600000000002E-8</v>
      </c>
      <c r="Q276" t="s">
        <v>1004</v>
      </c>
      <c r="R276">
        <v>44</v>
      </c>
      <c r="S276">
        <v>40</v>
      </c>
      <c r="T276">
        <f>VLOOKUP(O276,Nuclides!A:D,4,FALSE)</f>
        <v>1548</v>
      </c>
    </row>
    <row r="277" spans="2:20" x14ac:dyDescent="0.2">
      <c r="B277" s="8">
        <v>42106</v>
      </c>
      <c r="C277" s="9">
        <v>1.37088E-5</v>
      </c>
      <c r="D277" s="8" t="s">
        <v>1092</v>
      </c>
      <c r="E277" s="1">
        <v>8.73</v>
      </c>
      <c r="F277" s="1">
        <f t="shared" si="12"/>
        <v>7.9398302469638637E-2</v>
      </c>
      <c r="G277" s="1">
        <f t="shared" si="13"/>
        <v>13058647268.940451</v>
      </c>
      <c r="H277" s="1">
        <f t="shared" si="14"/>
        <v>0</v>
      </c>
      <c r="K277">
        <f>VLOOKUP(B277,Nuclides!A:C,2,FALSE)</f>
        <v>64</v>
      </c>
      <c r="L277">
        <f>VLOOKUP(B277,Nuclides!A:C,3,FALSE)</f>
        <v>42</v>
      </c>
      <c r="O277" s="1">
        <v>40085</v>
      </c>
      <c r="P277" s="1">
        <v>1.34016E-8</v>
      </c>
      <c r="Q277" t="s">
        <v>1005</v>
      </c>
      <c r="R277">
        <v>45</v>
      </c>
      <c r="S277">
        <v>40</v>
      </c>
      <c r="T277">
        <f>VLOOKUP(O277,Nuclides!A:D,4,FALSE)</f>
        <v>471.6</v>
      </c>
    </row>
    <row r="278" spans="2:20" x14ac:dyDescent="0.2">
      <c r="B278" s="8">
        <v>42107</v>
      </c>
      <c r="C278" s="9">
        <v>6.7137099999999996E-6</v>
      </c>
      <c r="D278" s="8" t="s">
        <v>1093</v>
      </c>
      <c r="E278" s="1">
        <v>3.5</v>
      </c>
      <c r="F278" s="1">
        <f t="shared" si="12"/>
        <v>0.19804205158855578</v>
      </c>
      <c r="G278" s="1">
        <f t="shared" si="13"/>
        <v>15053579636.384153</v>
      </c>
      <c r="H278" s="1">
        <f t="shared" si="14"/>
        <v>0</v>
      </c>
      <c r="K278">
        <f>VLOOKUP(B278,Nuclides!A:C,2,FALSE)</f>
        <v>65</v>
      </c>
      <c r="L278">
        <f>VLOOKUP(B278,Nuclides!A:C,3,FALSE)</f>
        <v>42</v>
      </c>
      <c r="O278" s="1">
        <v>40086</v>
      </c>
      <c r="P278" s="1">
        <v>1.8845999999999999E-9</v>
      </c>
      <c r="Q278" t="s">
        <v>1006</v>
      </c>
      <c r="R278">
        <v>46</v>
      </c>
      <c r="S278">
        <v>40</v>
      </c>
      <c r="T278">
        <f>VLOOKUP(O278,Nuclides!A:D,4,FALSE)</f>
        <v>59400</v>
      </c>
    </row>
    <row r="279" spans="2:20" x14ac:dyDescent="0.2">
      <c r="B279" s="8">
        <v>42108</v>
      </c>
      <c r="C279" s="9">
        <v>3.2891200000000001E-6</v>
      </c>
      <c r="D279" s="8" t="s">
        <v>1094</v>
      </c>
      <c r="E279" s="1">
        <v>1.0900000000000001</v>
      </c>
      <c r="F279" s="1">
        <f t="shared" si="12"/>
        <v>0.63591484455040848</v>
      </c>
      <c r="G279" s="1">
        <f t="shared" si="13"/>
        <v>19315201790.051006</v>
      </c>
      <c r="H279" s="1">
        <f t="shared" si="14"/>
        <v>0</v>
      </c>
      <c r="K279">
        <f>VLOOKUP(B279,Nuclides!A:C,2,FALSE)</f>
        <v>66</v>
      </c>
      <c r="L279">
        <f>VLOOKUP(B279,Nuclides!A:C,3,FALSE)</f>
        <v>42</v>
      </c>
      <c r="O279" s="1">
        <v>40087</v>
      </c>
      <c r="P279" s="1">
        <v>2.7919999999999998E-10</v>
      </c>
      <c r="Q279" t="s">
        <v>1007</v>
      </c>
      <c r="R279">
        <v>47</v>
      </c>
      <c r="S279">
        <v>40</v>
      </c>
      <c r="T279">
        <f>VLOOKUP(O279,Nuclides!A:D,4,FALSE)</f>
        <v>6048</v>
      </c>
    </row>
    <row r="280" spans="2:20" x14ac:dyDescent="0.2">
      <c r="B280" s="8">
        <v>43090</v>
      </c>
      <c r="C280" s="9">
        <v>1.40403E-6</v>
      </c>
      <c r="D280" s="8" t="s">
        <v>1110</v>
      </c>
      <c r="E280" s="1">
        <v>8.6999999999999993</v>
      </c>
      <c r="F280" s="1">
        <f t="shared" si="12"/>
        <v>7.9672089719533948E-2</v>
      </c>
      <c r="G280" s="1">
        <f t="shared" si="13"/>
        <v>1341873156.4990284</v>
      </c>
      <c r="H280" s="1">
        <f t="shared" si="14"/>
        <v>0</v>
      </c>
      <c r="K280">
        <f>VLOOKUP(B280,Nuclides!A:C,2,FALSE)</f>
        <v>47</v>
      </c>
      <c r="L280">
        <f>VLOOKUP(B280,Nuclides!A:C,3,FALSE)</f>
        <v>43</v>
      </c>
      <c r="O280" s="1">
        <v>40091</v>
      </c>
      <c r="P280" s="1">
        <v>1.3959999999999999E-10</v>
      </c>
      <c r="Q280" t="s">
        <v>1011</v>
      </c>
      <c r="R280">
        <v>51</v>
      </c>
      <c r="S280">
        <v>40</v>
      </c>
      <c r="T280" t="str">
        <f>VLOOKUP(O280,Nuclides!A:D,4,FALSE)</f>
        <v>STABLE</v>
      </c>
    </row>
    <row r="281" spans="2:20" x14ac:dyDescent="0.2">
      <c r="B281" s="8">
        <v>43091</v>
      </c>
      <c r="C281" s="9">
        <v>6.1542699999999997E-7</v>
      </c>
      <c r="D281" s="8" t="s">
        <v>1111</v>
      </c>
      <c r="E281" s="1">
        <v>188.4</v>
      </c>
      <c r="F281" s="1">
        <f t="shared" si="12"/>
        <v>3.6791251622077773E-3</v>
      </c>
      <c r="G281" s="1">
        <f t="shared" si="13"/>
        <v>28205709.372322932</v>
      </c>
      <c r="H281" s="1">
        <f t="shared" si="14"/>
        <v>0</v>
      </c>
      <c r="K281">
        <f>VLOOKUP(B281,Nuclides!A:C,2,FALSE)</f>
        <v>48</v>
      </c>
      <c r="L281">
        <f>VLOOKUP(B281,Nuclides!A:C,3,FALSE)</f>
        <v>43</v>
      </c>
      <c r="O281" s="1">
        <v>40092</v>
      </c>
      <c r="P281" s="1">
        <v>9.0739999999999999E-10</v>
      </c>
      <c r="Q281" t="s">
        <v>1012</v>
      </c>
      <c r="R281">
        <v>52</v>
      </c>
      <c r="S281">
        <v>40</v>
      </c>
      <c r="T281" t="str">
        <f>VLOOKUP(O281,Nuclides!A:D,4,FALSE)</f>
        <v>STABLE</v>
      </c>
    </row>
    <row r="282" spans="2:20" x14ac:dyDescent="0.2">
      <c r="B282" s="8">
        <v>43092</v>
      </c>
      <c r="C282" s="9">
        <v>2.05352E-7</v>
      </c>
      <c r="D282" s="8" t="s">
        <v>1112</v>
      </c>
      <c r="E282" s="1">
        <v>255</v>
      </c>
      <c r="F282" s="1">
        <f t="shared" si="12"/>
        <v>2.7182242374899817E-3</v>
      </c>
      <c r="G282" s="1">
        <f t="shared" si="13"/>
        <v>6956786.6030692048</v>
      </c>
      <c r="H282" s="1">
        <f t="shared" si="14"/>
        <v>0</v>
      </c>
      <c r="K282">
        <f>VLOOKUP(B282,Nuclides!A:C,2,FALSE)</f>
        <v>49</v>
      </c>
      <c r="L282">
        <f>VLOOKUP(B282,Nuclides!A:C,3,FALSE)</f>
        <v>43</v>
      </c>
      <c r="O282" s="1">
        <v>40093</v>
      </c>
      <c r="P282" s="1">
        <v>6.631E-9</v>
      </c>
      <c r="Q282" t="s">
        <v>1013</v>
      </c>
      <c r="R282">
        <v>53</v>
      </c>
      <c r="S282">
        <v>40</v>
      </c>
      <c r="T282">
        <f>VLOOKUP(O282,Nuclides!A:D,4,FALSE)</f>
        <v>50807736000000</v>
      </c>
    </row>
    <row r="283" spans="2:20" x14ac:dyDescent="0.2">
      <c r="B283" s="8">
        <v>43093</v>
      </c>
      <c r="C283" s="9">
        <v>6.3866999999999999E-8</v>
      </c>
      <c r="D283" s="8" t="s">
        <v>1113</v>
      </c>
      <c r="E283" s="1">
        <v>9900</v>
      </c>
      <c r="F283" s="1">
        <f t="shared" si="12"/>
        <v>7.0014866723226796E-5</v>
      </c>
      <c r="G283" s="1">
        <f t="shared" si="13"/>
        <v>55804.107291450353</v>
      </c>
      <c r="H283" s="1">
        <f t="shared" si="14"/>
        <v>0</v>
      </c>
      <c r="K283">
        <f>VLOOKUP(B283,Nuclides!A:C,2,FALSE)</f>
        <v>50</v>
      </c>
      <c r="L283">
        <f>VLOOKUP(B283,Nuclides!A:C,3,FALSE)</f>
        <v>43</v>
      </c>
      <c r="O283" s="1">
        <v>40094</v>
      </c>
      <c r="P283" s="1">
        <v>6.4215999999999997E-8</v>
      </c>
      <c r="Q283" t="s">
        <v>1014</v>
      </c>
      <c r="R283">
        <v>54</v>
      </c>
      <c r="S283">
        <v>40</v>
      </c>
      <c r="T283" t="str">
        <f>VLOOKUP(O283,Nuclides!A:D,4,FALSE)</f>
        <v>STABLE</v>
      </c>
    </row>
    <row r="284" spans="2:20" x14ac:dyDescent="0.2">
      <c r="B284" s="8">
        <v>43094</v>
      </c>
      <c r="C284" s="9">
        <v>1.5355999999999999E-8</v>
      </c>
      <c r="D284" s="8" t="s">
        <v>1114</v>
      </c>
      <c r="E284" s="1">
        <v>17580</v>
      </c>
      <c r="F284" s="1">
        <f t="shared" si="12"/>
        <v>3.9428167267346149E-5</v>
      </c>
      <c r="G284" s="1">
        <f t="shared" si="13"/>
        <v>7555.9785680708019</v>
      </c>
      <c r="H284" s="1">
        <f t="shared" si="14"/>
        <v>0</v>
      </c>
      <c r="K284">
        <f>VLOOKUP(B284,Nuclides!A:C,2,FALSE)</f>
        <v>51</v>
      </c>
      <c r="L284">
        <f>VLOOKUP(B284,Nuclides!A:C,3,FALSE)</f>
        <v>43</v>
      </c>
      <c r="O284" s="1">
        <v>40095</v>
      </c>
      <c r="P284" s="1">
        <v>3.2059100000000002E-7</v>
      </c>
      <c r="Q284" t="s">
        <v>1015</v>
      </c>
      <c r="R284">
        <v>55</v>
      </c>
      <c r="S284">
        <v>40</v>
      </c>
      <c r="T284">
        <f>VLOOKUP(O284,Nuclides!A:D,4,FALSE)</f>
        <v>5532364.7999999998</v>
      </c>
    </row>
    <row r="285" spans="2:20" x14ac:dyDescent="0.2">
      <c r="B285" s="8">
        <v>43095</v>
      </c>
      <c r="C285" s="9">
        <v>5.1652000000000003E-9</v>
      </c>
      <c r="D285" s="8" t="s">
        <v>1115</v>
      </c>
      <c r="E285" s="1">
        <v>72000</v>
      </c>
      <c r="F285" s="1">
        <f t="shared" si="12"/>
        <v>9.6270441744436842E-6</v>
      </c>
      <c r="G285" s="1">
        <f t="shared" si="13"/>
        <v>620.57260780519607</v>
      </c>
      <c r="H285" s="1">
        <f t="shared" si="14"/>
        <v>8.7428796671281686E-130</v>
      </c>
      <c r="K285">
        <f>VLOOKUP(B285,Nuclides!A:C,2,FALSE)</f>
        <v>52</v>
      </c>
      <c r="L285">
        <f>VLOOKUP(B285,Nuclides!A:C,3,FALSE)</f>
        <v>43</v>
      </c>
      <c r="O285" s="1">
        <v>40096</v>
      </c>
      <c r="P285" s="1">
        <v>1.9395299999999998E-6</v>
      </c>
      <c r="Q285" t="s">
        <v>1016</v>
      </c>
      <c r="R285">
        <v>56</v>
      </c>
      <c r="S285">
        <v>40</v>
      </c>
      <c r="T285">
        <f>VLOOKUP(O285,Nuclides!A:D,4,FALSE)</f>
        <v>7.4160360000000004E+26</v>
      </c>
    </row>
    <row r="286" spans="2:20" x14ac:dyDescent="0.2">
      <c r="B286" s="8">
        <v>43096</v>
      </c>
      <c r="C286" s="9">
        <v>9.772000000000001E-10</v>
      </c>
      <c r="D286" s="8" t="s">
        <v>1116</v>
      </c>
      <c r="E286" s="1">
        <v>369792</v>
      </c>
      <c r="F286" s="1">
        <f t="shared" si="12"/>
        <v>1.8744244887935522E-6</v>
      </c>
      <c r="G286" s="1">
        <f t="shared" si="13"/>
        <v>22.859439953857862</v>
      </c>
      <c r="H286" s="1">
        <f t="shared" si="14"/>
        <v>4.8653604598890948E-25</v>
      </c>
      <c r="K286">
        <f>VLOOKUP(B286,Nuclides!A:C,2,FALSE)</f>
        <v>53</v>
      </c>
      <c r="L286">
        <f>VLOOKUP(B286,Nuclides!A:C,3,FALSE)</f>
        <v>43</v>
      </c>
      <c r="O286" s="1">
        <v>40097</v>
      </c>
      <c r="P286" s="1">
        <v>5.0529600000000003E-6</v>
      </c>
      <c r="Q286" t="s">
        <v>1017</v>
      </c>
      <c r="R286">
        <v>57</v>
      </c>
      <c r="S286">
        <v>40</v>
      </c>
      <c r="T286">
        <f>VLOOKUP(O286,Nuclides!A:D,4,FALSE)</f>
        <v>60296.3999999999</v>
      </c>
    </row>
    <row r="287" spans="2:20" x14ac:dyDescent="0.2">
      <c r="B287" s="8">
        <v>43097</v>
      </c>
      <c r="C287" s="9">
        <v>3.4899999999999998E-10</v>
      </c>
      <c r="D287" s="8" t="s">
        <v>1117</v>
      </c>
      <c r="E287" s="1">
        <v>132857496000000</v>
      </c>
      <c r="F287" s="1">
        <f t="shared" si="12"/>
        <v>5.2172229752090563E-15</v>
      </c>
      <c r="G287" s="1">
        <f t="shared" si="13"/>
        <v>2.2727313364612201E-8</v>
      </c>
      <c r="H287" s="1">
        <f t="shared" si="14"/>
        <v>2.2727309625279826E-8</v>
      </c>
      <c r="K287">
        <f>VLOOKUP(B287,Nuclides!A:C,2,FALSE)</f>
        <v>54</v>
      </c>
      <c r="L287">
        <f>VLOOKUP(B287,Nuclides!A:C,3,FALSE)</f>
        <v>43</v>
      </c>
      <c r="O287" s="1">
        <v>40098</v>
      </c>
      <c r="P287" s="1">
        <v>1.28967E-5</v>
      </c>
      <c r="Q287" t="s">
        <v>1018</v>
      </c>
      <c r="R287">
        <v>58</v>
      </c>
      <c r="S287">
        <v>40</v>
      </c>
      <c r="T287">
        <f>VLOOKUP(O287,Nuclides!A:D,4,FALSE)</f>
        <v>30.7</v>
      </c>
    </row>
    <row r="288" spans="2:20" x14ac:dyDescent="0.2">
      <c r="B288" s="8">
        <v>43098</v>
      </c>
      <c r="C288" s="9">
        <v>4.1879999999999999E-10</v>
      </c>
      <c r="D288" s="8" t="s">
        <v>1118</v>
      </c>
      <c r="E288" s="1">
        <v>132541920000000</v>
      </c>
      <c r="F288" s="1">
        <f t="shared" si="12"/>
        <v>5.2296449346738394E-15</v>
      </c>
      <c r="G288" s="1">
        <f t="shared" si="13"/>
        <v>2.7272776037534641E-8</v>
      </c>
      <c r="H288" s="1">
        <f t="shared" si="14"/>
        <v>2.7272771539651985E-8</v>
      </c>
      <c r="K288">
        <f>VLOOKUP(B288,Nuclides!A:C,2,FALSE)</f>
        <v>55</v>
      </c>
      <c r="L288">
        <f>VLOOKUP(B288,Nuclides!A:C,3,FALSE)</f>
        <v>43</v>
      </c>
      <c r="O288" s="1">
        <v>40099</v>
      </c>
      <c r="P288" s="1">
        <v>1.52091E-5</v>
      </c>
      <c r="Q288" t="s">
        <v>1019</v>
      </c>
      <c r="R288">
        <v>59</v>
      </c>
      <c r="S288">
        <v>40</v>
      </c>
      <c r="T288">
        <f>VLOOKUP(O288,Nuclides!A:D,4,FALSE)</f>
        <v>2.1</v>
      </c>
    </row>
    <row r="289" spans="2:20" x14ac:dyDescent="0.2">
      <c r="B289" s="8">
        <v>43099</v>
      </c>
      <c r="C289" s="9">
        <v>3.8389999999999997E-9</v>
      </c>
      <c r="D289" s="8" t="s">
        <v>1119</v>
      </c>
      <c r="E289" s="1">
        <v>6661809360000</v>
      </c>
      <c r="F289" s="1">
        <f t="shared" si="12"/>
        <v>1.040478859575089E-13</v>
      </c>
      <c r="G289" s="1">
        <f t="shared" si="13"/>
        <v>4.9840514648735726E-6</v>
      </c>
      <c r="H289" s="1">
        <f t="shared" si="14"/>
        <v>4.9840351109609425E-6</v>
      </c>
      <c r="K289">
        <f>VLOOKUP(B289,Nuclides!A:C,2,FALSE)</f>
        <v>56</v>
      </c>
      <c r="L289">
        <f>VLOOKUP(B289,Nuclides!A:C,3,FALSE)</f>
        <v>43</v>
      </c>
      <c r="O289" s="1">
        <v>40100</v>
      </c>
      <c r="P289" s="1">
        <v>2.7160200000000001E-5</v>
      </c>
      <c r="Q289" t="s">
        <v>1020</v>
      </c>
      <c r="R289">
        <v>60</v>
      </c>
      <c r="S289">
        <v>40</v>
      </c>
      <c r="T289">
        <f>VLOOKUP(O289,Nuclides!A:D,4,FALSE)</f>
        <v>7.1</v>
      </c>
    </row>
    <row r="290" spans="2:20" x14ac:dyDescent="0.2">
      <c r="B290" s="8">
        <v>43100</v>
      </c>
      <c r="C290" s="9">
        <v>1.75198E-8</v>
      </c>
      <c r="D290" s="8" t="s">
        <v>1120</v>
      </c>
      <c r="E290" s="1">
        <v>15.46</v>
      </c>
      <c r="F290" s="1">
        <f t="shared" si="12"/>
        <v>4.4834875844757129E-2</v>
      </c>
      <c r="G290" s="1">
        <f t="shared" si="13"/>
        <v>9586505.061070608</v>
      </c>
      <c r="H290" s="1">
        <f t="shared" si="14"/>
        <v>0</v>
      </c>
      <c r="K290">
        <f>VLOOKUP(B290,Nuclides!A:C,2,FALSE)</f>
        <v>57</v>
      </c>
      <c r="L290">
        <f>VLOOKUP(B290,Nuclides!A:C,3,FALSE)</f>
        <v>43</v>
      </c>
      <c r="O290" s="1">
        <v>40101</v>
      </c>
      <c r="P290" s="1">
        <v>1.9953300000000001E-5</v>
      </c>
      <c r="Q290" t="s">
        <v>1021</v>
      </c>
      <c r="R290">
        <v>61</v>
      </c>
      <c r="S290">
        <v>40</v>
      </c>
      <c r="T290">
        <f>VLOOKUP(O290,Nuclides!A:D,4,FALSE)</f>
        <v>2.2999999999999998</v>
      </c>
    </row>
    <row r="291" spans="2:20" x14ac:dyDescent="0.2">
      <c r="B291" s="8">
        <v>43101</v>
      </c>
      <c r="C291" s="9">
        <v>8.9204400000000004E-8</v>
      </c>
      <c r="D291" s="8" t="s">
        <v>1121</v>
      </c>
      <c r="E291" s="1">
        <v>841.19999999999902</v>
      </c>
      <c r="F291" s="1">
        <f t="shared" si="12"/>
        <v>8.239980748453948E-4</v>
      </c>
      <c r="G291" s="1">
        <f t="shared" si="13"/>
        <v>916955.25170600985</v>
      </c>
      <c r="H291" s="1">
        <f t="shared" si="14"/>
        <v>0</v>
      </c>
      <c r="K291">
        <f>VLOOKUP(B291,Nuclides!A:C,2,FALSE)</f>
        <v>58</v>
      </c>
      <c r="L291">
        <f>VLOOKUP(B291,Nuclides!A:C,3,FALSE)</f>
        <v>43</v>
      </c>
      <c r="O291" s="1">
        <v>40102</v>
      </c>
      <c r="P291" s="1">
        <v>1.7580100000000001E-5</v>
      </c>
      <c r="Q291" t="s">
        <v>1022</v>
      </c>
      <c r="R291">
        <v>62</v>
      </c>
      <c r="S291">
        <v>40</v>
      </c>
      <c r="T291">
        <f>VLOOKUP(O291,Nuclides!A:D,4,FALSE)</f>
        <v>2.9</v>
      </c>
    </row>
    <row r="292" spans="2:20" x14ac:dyDescent="0.2">
      <c r="B292" s="8">
        <v>43102</v>
      </c>
      <c r="C292" s="9">
        <v>3.5444399999999999E-7</v>
      </c>
      <c r="D292" s="8" t="s">
        <v>1122</v>
      </c>
      <c r="E292" s="1">
        <v>5.28</v>
      </c>
      <c r="F292" s="1">
        <f t="shared" si="12"/>
        <v>0.13127787510605024</v>
      </c>
      <c r="G292" s="1">
        <f t="shared" si="13"/>
        <v>544200500.94580591</v>
      </c>
      <c r="H292" s="1">
        <f t="shared" si="14"/>
        <v>0</v>
      </c>
      <c r="K292">
        <f>VLOOKUP(B292,Nuclides!A:C,2,FALSE)</f>
        <v>59</v>
      </c>
      <c r="L292">
        <f>VLOOKUP(B292,Nuclides!A:C,3,FALSE)</f>
        <v>43</v>
      </c>
      <c r="O292" s="1">
        <v>41084</v>
      </c>
      <c r="P292" s="1">
        <v>8.6783699999999994E-6</v>
      </c>
      <c r="Q292" t="s">
        <v>1035</v>
      </c>
      <c r="R292">
        <v>43</v>
      </c>
      <c r="S292">
        <v>41</v>
      </c>
      <c r="T292">
        <f>VLOOKUP(O292,Nuclides!A:D,4,FALSE)</f>
        <v>9.8000000000000007</v>
      </c>
    </row>
    <row r="293" spans="2:20" x14ac:dyDescent="0.2">
      <c r="B293" s="8">
        <v>43103</v>
      </c>
      <c r="C293" s="9">
        <v>1.2004899999999999E-6</v>
      </c>
      <c r="D293" s="8" t="s">
        <v>1123</v>
      </c>
      <c r="E293" s="1">
        <v>54.2</v>
      </c>
      <c r="F293" s="1">
        <f t="shared" si="12"/>
        <v>1.2788693368264673E-2</v>
      </c>
      <c r="G293" s="1">
        <f t="shared" si="13"/>
        <v>190381715.85947081</v>
      </c>
      <c r="H293" s="1">
        <f t="shared" si="14"/>
        <v>0</v>
      </c>
      <c r="K293">
        <f>VLOOKUP(B293,Nuclides!A:C,2,FALSE)</f>
        <v>60</v>
      </c>
      <c r="L293">
        <f>VLOOKUP(B293,Nuclides!A:C,3,FALSE)</f>
        <v>43</v>
      </c>
      <c r="O293" s="1">
        <v>41085</v>
      </c>
      <c r="P293" s="1">
        <v>6.61243E-6</v>
      </c>
      <c r="Q293" t="s">
        <v>1036</v>
      </c>
      <c r="R293">
        <v>44</v>
      </c>
      <c r="S293">
        <v>41</v>
      </c>
      <c r="T293">
        <f>VLOOKUP(O293,Nuclides!A:D,4,FALSE)</f>
        <v>20.5</v>
      </c>
    </row>
    <row r="294" spans="2:20" x14ac:dyDescent="0.2">
      <c r="B294" s="8">
        <v>43104</v>
      </c>
      <c r="C294" s="9">
        <v>2.31192E-6</v>
      </c>
      <c r="D294" s="8" t="s">
        <v>1124</v>
      </c>
      <c r="E294" s="1">
        <v>1098</v>
      </c>
      <c r="F294" s="1">
        <f t="shared" si="12"/>
        <v>6.3128158520942197E-4</v>
      </c>
      <c r="G294" s="1">
        <f t="shared" si="13"/>
        <v>18208469.140189689</v>
      </c>
      <c r="H294" s="1">
        <f t="shared" si="14"/>
        <v>0</v>
      </c>
      <c r="K294">
        <f>VLOOKUP(B294,Nuclides!A:C,2,FALSE)</f>
        <v>61</v>
      </c>
      <c r="L294">
        <f>VLOOKUP(B294,Nuclides!A:C,3,FALSE)</f>
        <v>43</v>
      </c>
      <c r="O294" s="1">
        <v>41086</v>
      </c>
      <c r="P294" s="1">
        <v>3.0097799999999998E-6</v>
      </c>
      <c r="Q294" t="s">
        <v>1037</v>
      </c>
      <c r="R294">
        <v>45</v>
      </c>
      <c r="S294">
        <v>41</v>
      </c>
      <c r="T294">
        <f>VLOOKUP(O294,Nuclides!A:D,4,FALSE)</f>
        <v>88</v>
      </c>
    </row>
    <row r="295" spans="2:20" x14ac:dyDescent="0.2">
      <c r="B295" s="8">
        <v>43105</v>
      </c>
      <c r="C295" s="9">
        <v>4.2495599999999997E-6</v>
      </c>
      <c r="D295" s="8" t="s">
        <v>1125</v>
      </c>
      <c r="E295" s="1">
        <v>456</v>
      </c>
      <c r="F295" s="1">
        <f t="shared" si="12"/>
        <v>1.520059606491108E-3</v>
      </c>
      <c r="G295" s="1">
        <f t="shared" si="13"/>
        <v>80554375.340316236</v>
      </c>
      <c r="H295" s="1">
        <f t="shared" si="14"/>
        <v>0</v>
      </c>
      <c r="K295">
        <f>VLOOKUP(B295,Nuclides!A:C,2,FALSE)</f>
        <v>62</v>
      </c>
      <c r="L295">
        <f>VLOOKUP(B295,Nuclides!A:C,3,FALSE)</f>
        <v>43</v>
      </c>
      <c r="O295" s="1">
        <v>41087</v>
      </c>
      <c r="P295" s="1">
        <v>7.1314700000000003E-7</v>
      </c>
      <c r="Q295" t="s">
        <v>1038</v>
      </c>
      <c r="R295">
        <v>46</v>
      </c>
      <c r="S295">
        <v>41</v>
      </c>
      <c r="T295">
        <f>VLOOKUP(O295,Nuclides!A:D,4,FALSE)</f>
        <v>222</v>
      </c>
    </row>
    <row r="296" spans="2:20" x14ac:dyDescent="0.2">
      <c r="B296" s="8">
        <v>43106</v>
      </c>
      <c r="C296" s="9">
        <v>3.7151100000000001E-6</v>
      </c>
      <c r="D296" s="8" t="s">
        <v>1126</v>
      </c>
      <c r="E296" s="1">
        <v>35.6</v>
      </c>
      <c r="F296" s="1">
        <f t="shared" si="12"/>
        <v>1.9470426420223182E-2</v>
      </c>
      <c r="G296" s="1">
        <f t="shared" si="13"/>
        <v>894006417.33510542</v>
      </c>
      <c r="H296" s="1">
        <f t="shared" si="14"/>
        <v>0</v>
      </c>
      <c r="K296">
        <f>VLOOKUP(B296,Nuclides!A:C,2,FALSE)</f>
        <v>63</v>
      </c>
      <c r="L296">
        <f>VLOOKUP(B296,Nuclides!A:C,3,FALSE)</f>
        <v>43</v>
      </c>
      <c r="O296" s="1">
        <v>41088</v>
      </c>
      <c r="P296" s="1">
        <v>1.3701699999999999E-7</v>
      </c>
      <c r="Q296" t="s">
        <v>1039</v>
      </c>
      <c r="R296">
        <v>47</v>
      </c>
      <c r="S296">
        <v>41</v>
      </c>
      <c r="T296">
        <f>VLOOKUP(O296,Nuclides!A:D,4,FALSE)</f>
        <v>873</v>
      </c>
    </row>
    <row r="297" spans="2:20" x14ac:dyDescent="0.2">
      <c r="B297" s="8">
        <v>43107</v>
      </c>
      <c r="C297" s="9">
        <v>3.5595899999999999E-6</v>
      </c>
      <c r="D297" s="8" t="s">
        <v>1127</v>
      </c>
      <c r="E297" s="1">
        <v>21.2</v>
      </c>
      <c r="F297" s="1">
        <f t="shared" si="12"/>
        <v>3.2695621724525725E-2</v>
      </c>
      <c r="G297" s="1">
        <f t="shared" si="13"/>
        <v>1428972080.4522796</v>
      </c>
      <c r="H297" s="1">
        <f t="shared" si="14"/>
        <v>0</v>
      </c>
      <c r="K297">
        <f>VLOOKUP(B297,Nuclides!A:C,2,FALSE)</f>
        <v>64</v>
      </c>
      <c r="L297">
        <f>VLOOKUP(B297,Nuclides!A:C,3,FALSE)</f>
        <v>43</v>
      </c>
      <c r="O297" s="1">
        <v>41089</v>
      </c>
      <c r="P297" s="1">
        <v>6.3797199999999996E-8</v>
      </c>
      <c r="Q297" t="s">
        <v>1040</v>
      </c>
      <c r="R297">
        <v>48</v>
      </c>
      <c r="S297">
        <v>41</v>
      </c>
      <c r="T297">
        <f>VLOOKUP(O297,Nuclides!A:D,4,FALSE)</f>
        <v>7307.99999999999</v>
      </c>
    </row>
    <row r="298" spans="2:20" x14ac:dyDescent="0.2">
      <c r="B298" s="8">
        <v>43108</v>
      </c>
      <c r="C298" s="9">
        <v>1.99942E-6</v>
      </c>
      <c r="D298" s="8" t="s">
        <v>1128</v>
      </c>
      <c r="E298" s="1">
        <v>5.17</v>
      </c>
      <c r="F298" s="1">
        <f t="shared" si="12"/>
        <v>0.13407102138490237</v>
      </c>
      <c r="G298" s="1">
        <f t="shared" si="13"/>
        <v>3130874095.9326377</v>
      </c>
      <c r="H298" s="1">
        <f t="shared" si="14"/>
        <v>0</v>
      </c>
      <c r="K298">
        <f>VLOOKUP(B298,Nuclides!A:C,2,FALSE)</f>
        <v>65</v>
      </c>
      <c r="L298">
        <f>VLOOKUP(B298,Nuclides!A:C,3,FALSE)</f>
        <v>43</v>
      </c>
      <c r="O298" s="1">
        <v>41090</v>
      </c>
      <c r="P298" s="1">
        <v>7.6082000000000003E-9</v>
      </c>
      <c r="Q298" t="s">
        <v>1041</v>
      </c>
      <c r="R298">
        <v>49</v>
      </c>
      <c r="S298">
        <v>41</v>
      </c>
      <c r="T298">
        <f>VLOOKUP(O298,Nuclides!A:D,4,FALSE)</f>
        <v>52560</v>
      </c>
    </row>
    <row r="299" spans="2:20" x14ac:dyDescent="0.2">
      <c r="B299" s="8">
        <v>43109</v>
      </c>
      <c r="C299" s="9">
        <v>1.4637799999999999E-6</v>
      </c>
      <c r="D299" s="8" t="s">
        <v>1129</v>
      </c>
      <c r="E299" s="1">
        <v>0.86</v>
      </c>
      <c r="F299" s="1">
        <f t="shared" si="12"/>
        <v>0.805985093674355</v>
      </c>
      <c r="G299" s="1">
        <f t="shared" si="13"/>
        <v>10108625286.518581</v>
      </c>
      <c r="H299" s="1">
        <f t="shared" si="14"/>
        <v>0</v>
      </c>
      <c r="K299">
        <f>VLOOKUP(B299,Nuclides!A:C,2,FALSE)</f>
        <v>66</v>
      </c>
      <c r="L299">
        <f>VLOOKUP(B299,Nuclides!A:C,3,FALSE)</f>
        <v>43</v>
      </c>
      <c r="O299" s="1">
        <v>41091</v>
      </c>
      <c r="P299" s="1">
        <v>2.9316000000000001E-9</v>
      </c>
      <c r="Q299" t="s">
        <v>1042</v>
      </c>
      <c r="R299">
        <v>50</v>
      </c>
      <c r="S299">
        <v>41</v>
      </c>
      <c r="T299">
        <f>VLOOKUP(O299,Nuclides!A:D,4,FALSE)</f>
        <v>21459168000</v>
      </c>
    </row>
    <row r="300" spans="2:20" x14ac:dyDescent="0.2">
      <c r="B300" s="8">
        <v>43110</v>
      </c>
      <c r="C300" s="9">
        <v>8.9113699999999999E-7</v>
      </c>
      <c r="D300" s="8" t="s">
        <v>1130</v>
      </c>
      <c r="E300" s="1">
        <v>0.92</v>
      </c>
      <c r="F300" s="1">
        <f t="shared" si="12"/>
        <v>0.75342084843472312</v>
      </c>
      <c r="G300" s="1">
        <f t="shared" si="13"/>
        <v>5885957505.620472</v>
      </c>
      <c r="H300" s="1">
        <f t="shared" si="14"/>
        <v>0</v>
      </c>
      <c r="K300">
        <f>VLOOKUP(B300,Nuclides!A:C,2,FALSE)</f>
        <v>67</v>
      </c>
      <c r="L300">
        <f>VLOOKUP(B300,Nuclides!A:C,3,FALSE)</f>
        <v>43</v>
      </c>
      <c r="O300" s="1">
        <v>41092</v>
      </c>
      <c r="P300" s="1">
        <v>4.1879999999999999E-10</v>
      </c>
      <c r="Q300" t="s">
        <v>1043</v>
      </c>
      <c r="R300">
        <v>51</v>
      </c>
      <c r="S300">
        <v>41</v>
      </c>
      <c r="T300">
        <f>VLOOKUP(O300,Nuclides!A:D,4,FALSE)</f>
        <v>1095048720000000</v>
      </c>
    </row>
    <row r="301" spans="2:20" x14ac:dyDescent="0.2">
      <c r="B301" s="8">
        <v>44092</v>
      </c>
      <c r="C301" s="9">
        <v>6.6379800000000005E-7</v>
      </c>
      <c r="D301" s="8" t="s">
        <v>1149</v>
      </c>
      <c r="E301" s="1">
        <v>219</v>
      </c>
      <c r="F301" s="1">
        <f t="shared" si="12"/>
        <v>3.1650556189951841E-3</v>
      </c>
      <c r="G301" s="1">
        <f t="shared" si="13"/>
        <v>26178500.661360487</v>
      </c>
      <c r="H301" s="1">
        <f t="shared" si="14"/>
        <v>0</v>
      </c>
      <c r="K301">
        <f>VLOOKUP(B301,Nuclides!A:C,2,FALSE)</f>
        <v>48</v>
      </c>
      <c r="L301">
        <f>VLOOKUP(B301,Nuclides!A:C,3,FALSE)</f>
        <v>44</v>
      </c>
      <c r="O301" s="1">
        <v>41093</v>
      </c>
      <c r="P301" s="1">
        <v>2.094E-10</v>
      </c>
      <c r="Q301" t="s">
        <v>1044</v>
      </c>
      <c r="R301">
        <v>52</v>
      </c>
      <c r="S301">
        <v>41</v>
      </c>
      <c r="T301" t="str">
        <f>VLOOKUP(O301,Nuclides!A:D,4,FALSE)</f>
        <v>STABLE</v>
      </c>
    </row>
    <row r="302" spans="2:20" x14ac:dyDescent="0.2">
      <c r="B302" s="8">
        <v>44093</v>
      </c>
      <c r="C302" s="9">
        <v>3.0753899999999999E-7</v>
      </c>
      <c r="D302" s="8" t="s">
        <v>1150</v>
      </c>
      <c r="E302" s="1">
        <v>59.7</v>
      </c>
      <c r="F302" s="1">
        <f t="shared" si="12"/>
        <v>1.1610505537017509E-2</v>
      </c>
      <c r="G302" s="1">
        <f t="shared" si="13"/>
        <v>44304430.993932098</v>
      </c>
      <c r="H302" s="1">
        <f t="shared" si="14"/>
        <v>0</v>
      </c>
      <c r="K302">
        <f>VLOOKUP(B302,Nuclides!A:C,2,FALSE)</f>
        <v>49</v>
      </c>
      <c r="L302">
        <f>VLOOKUP(B302,Nuclides!A:C,3,FALSE)</f>
        <v>44</v>
      </c>
      <c r="O302" s="1">
        <v>41095</v>
      </c>
      <c r="P302" s="1">
        <v>1.6054000000000001E-9</v>
      </c>
      <c r="Q302" t="s">
        <v>1046</v>
      </c>
      <c r="R302">
        <v>54</v>
      </c>
      <c r="S302">
        <v>41</v>
      </c>
      <c r="T302">
        <f>VLOOKUP(O302,Nuclides!A:D,4,FALSE)</f>
        <v>3023222.4</v>
      </c>
    </row>
    <row r="303" spans="2:20" x14ac:dyDescent="0.2">
      <c r="B303" s="8">
        <v>44094</v>
      </c>
      <c r="C303" s="9">
        <v>1.8629599999999999E-7</v>
      </c>
      <c r="D303" s="8" t="s">
        <v>1151</v>
      </c>
      <c r="E303" s="1">
        <v>3108</v>
      </c>
      <c r="F303" s="1">
        <f t="shared" si="12"/>
        <v>2.2302032836549077E-4</v>
      </c>
      <c r="G303" s="1">
        <f t="shared" si="13"/>
        <v>518458.66720292217</v>
      </c>
      <c r="H303" s="1">
        <f t="shared" si="14"/>
        <v>0</v>
      </c>
      <c r="K303">
        <f>VLOOKUP(B303,Nuclides!A:C,2,FALSE)</f>
        <v>50</v>
      </c>
      <c r="L303">
        <f>VLOOKUP(B303,Nuclides!A:C,3,FALSE)</f>
        <v>44</v>
      </c>
      <c r="O303" s="1">
        <v>41096</v>
      </c>
      <c r="P303" s="1">
        <v>1.5844599999999999E-8</v>
      </c>
      <c r="Q303" t="s">
        <v>1047</v>
      </c>
      <c r="R303">
        <v>55</v>
      </c>
      <c r="S303">
        <v>41</v>
      </c>
      <c r="T303">
        <f>VLOOKUP(O303,Nuclides!A:D,4,FALSE)</f>
        <v>84060</v>
      </c>
    </row>
    <row r="304" spans="2:20" x14ac:dyDescent="0.2">
      <c r="B304" s="8">
        <v>44095</v>
      </c>
      <c r="C304" s="9">
        <v>5.24896E-8</v>
      </c>
      <c r="D304" s="8" t="s">
        <v>1152</v>
      </c>
      <c r="E304" s="1">
        <v>5914.8</v>
      </c>
      <c r="F304" s="1">
        <f t="shared" si="12"/>
        <v>1.171886083316334E-4</v>
      </c>
      <c r="G304" s="1">
        <f t="shared" si="13"/>
        <v>76762.268115513172</v>
      </c>
      <c r="H304" s="1">
        <f t="shared" si="14"/>
        <v>0</v>
      </c>
      <c r="K304">
        <f>VLOOKUP(B304,Nuclides!A:C,2,FALSE)</f>
        <v>51</v>
      </c>
      <c r="L304">
        <f>VLOOKUP(B304,Nuclides!A:C,3,FALSE)</f>
        <v>44</v>
      </c>
      <c r="O304" s="1">
        <v>41097</v>
      </c>
      <c r="P304" s="1">
        <v>1.4406699999999999E-7</v>
      </c>
      <c r="Q304" t="s">
        <v>1048</v>
      </c>
      <c r="R304">
        <v>56</v>
      </c>
      <c r="S304">
        <v>41</v>
      </c>
      <c r="T304">
        <f>VLOOKUP(O304,Nuclides!A:D,4,FALSE)</f>
        <v>4326</v>
      </c>
    </row>
    <row r="305" spans="2:20" x14ac:dyDescent="0.2">
      <c r="B305" s="8">
        <v>44097</v>
      </c>
      <c r="C305" s="9">
        <v>5.2350000000000002E-9</v>
      </c>
      <c r="D305" s="8" t="s">
        <v>1154</v>
      </c>
      <c r="E305" s="1">
        <v>244512</v>
      </c>
      <c r="F305" s="1">
        <f t="shared" si="12"/>
        <v>2.8348186614969625E-6</v>
      </c>
      <c r="G305" s="1">
        <f t="shared" si="13"/>
        <v>185.20637813170265</v>
      </c>
      <c r="H305" s="1">
        <f t="shared" si="14"/>
        <v>2.7684231345109945E-37</v>
      </c>
      <c r="K305">
        <f>VLOOKUP(B305,Nuclides!A:C,2,FALSE)</f>
        <v>53</v>
      </c>
      <c r="L305">
        <f>VLOOKUP(B305,Nuclides!A:C,3,FALSE)</f>
        <v>44</v>
      </c>
      <c r="O305" s="1">
        <v>41098</v>
      </c>
      <c r="P305" s="1">
        <v>5.4011200000000004E-7</v>
      </c>
      <c r="Q305" t="s">
        <v>1049</v>
      </c>
      <c r="R305">
        <v>57</v>
      </c>
      <c r="S305">
        <v>41</v>
      </c>
      <c r="T305">
        <f>VLOOKUP(O305,Nuclides!A:D,4,FALSE)</f>
        <v>2.86</v>
      </c>
    </row>
    <row r="306" spans="2:20" x14ac:dyDescent="0.2">
      <c r="B306" s="8">
        <v>44103</v>
      </c>
      <c r="C306" s="9">
        <v>1.0190799999999999E-8</v>
      </c>
      <c r="D306" s="8" t="s">
        <v>1160</v>
      </c>
      <c r="E306" s="1">
        <v>3390940.8</v>
      </c>
      <c r="F306" s="1">
        <f t="shared" si="12"/>
        <v>2.0441146615120656E-7</v>
      </c>
      <c r="G306" s="1">
        <f t="shared" si="13"/>
        <v>25.997289625579622</v>
      </c>
      <c r="H306" s="1">
        <f t="shared" si="14"/>
        <v>4.1240779884909692E-2</v>
      </c>
      <c r="K306">
        <f>VLOOKUP(B306,Nuclides!A:C,2,FALSE)</f>
        <v>59</v>
      </c>
      <c r="L306">
        <f>VLOOKUP(B306,Nuclides!A:C,3,FALSE)</f>
        <v>44</v>
      </c>
      <c r="O306" s="1">
        <v>41099</v>
      </c>
      <c r="P306" s="1">
        <v>2.3530300000000002E-6</v>
      </c>
      <c r="Q306" t="s">
        <v>1050</v>
      </c>
      <c r="R306">
        <v>58</v>
      </c>
      <c r="S306">
        <v>41</v>
      </c>
      <c r="T306">
        <f>VLOOKUP(O306,Nuclides!A:D,4,FALSE)</f>
        <v>15</v>
      </c>
    </row>
    <row r="307" spans="2:20" x14ac:dyDescent="0.2">
      <c r="B307" s="8">
        <v>44105</v>
      </c>
      <c r="C307" s="9">
        <v>1.02676E-7</v>
      </c>
      <c r="D307" s="8" t="s">
        <v>1162</v>
      </c>
      <c r="E307" s="1">
        <v>15984</v>
      </c>
      <c r="F307" s="1">
        <f t="shared" si="12"/>
        <v>4.3365063848845423E-5</v>
      </c>
      <c r="G307" s="1">
        <f t="shared" si="13"/>
        <v>55566.635336847226</v>
      </c>
      <c r="H307" s="1">
        <f t="shared" si="14"/>
        <v>0</v>
      </c>
      <c r="K307">
        <f>VLOOKUP(B307,Nuclides!A:C,2,FALSE)</f>
        <v>61</v>
      </c>
      <c r="L307">
        <f>VLOOKUP(B307,Nuclides!A:C,3,FALSE)</f>
        <v>44</v>
      </c>
      <c r="O307" s="1">
        <v>41100</v>
      </c>
      <c r="P307" s="1">
        <v>5.5206899999999997E-6</v>
      </c>
      <c r="Q307" t="s">
        <v>1051</v>
      </c>
      <c r="R307">
        <v>59</v>
      </c>
      <c r="S307">
        <v>41</v>
      </c>
      <c r="T307">
        <f>VLOOKUP(O307,Nuclides!A:D,4,FALSE)</f>
        <v>1.5</v>
      </c>
    </row>
    <row r="308" spans="2:20" x14ac:dyDescent="0.2">
      <c r="B308" s="8">
        <v>44106</v>
      </c>
      <c r="C308" s="9">
        <v>2.7277799999999998E-7</v>
      </c>
      <c r="D308" s="8" t="s">
        <v>1163</v>
      </c>
      <c r="E308" s="1">
        <v>32123520</v>
      </c>
      <c r="F308" s="1">
        <f t="shared" si="12"/>
        <v>2.1577560010856383E-8</v>
      </c>
      <c r="G308" s="1">
        <f t="shared" si="13"/>
        <v>73.455827209157576</v>
      </c>
      <c r="H308" s="1">
        <f t="shared" si="14"/>
        <v>37.196486306725056</v>
      </c>
      <c r="K308">
        <f>VLOOKUP(B308,Nuclides!A:C,2,FALSE)</f>
        <v>62</v>
      </c>
      <c r="L308">
        <f>VLOOKUP(B308,Nuclides!A:C,3,FALSE)</f>
        <v>44</v>
      </c>
      <c r="O308" s="1">
        <v>41101</v>
      </c>
      <c r="P308" s="1">
        <v>1.2611300000000001E-5</v>
      </c>
      <c r="Q308" t="s">
        <v>1052</v>
      </c>
      <c r="R308">
        <v>60</v>
      </c>
      <c r="S308">
        <v>41</v>
      </c>
      <c r="T308">
        <f>VLOOKUP(O308,Nuclides!A:D,4,FALSE)</f>
        <v>7.1</v>
      </c>
    </row>
    <row r="309" spans="2:20" x14ac:dyDescent="0.2">
      <c r="B309" s="8">
        <v>44107</v>
      </c>
      <c r="C309" s="9">
        <v>4.65915E-7</v>
      </c>
      <c r="D309" s="8" t="s">
        <v>1164</v>
      </c>
      <c r="E309" s="1">
        <v>225</v>
      </c>
      <c r="F309" s="1">
        <f t="shared" si="12"/>
        <v>3.080654135821979E-3</v>
      </c>
      <c r="G309" s="1">
        <f t="shared" si="13"/>
        <v>17885267.380343255</v>
      </c>
      <c r="H309" s="1">
        <f t="shared" si="14"/>
        <v>0</v>
      </c>
      <c r="K309">
        <f>VLOOKUP(B309,Nuclides!A:C,2,FALSE)</f>
        <v>63</v>
      </c>
      <c r="L309">
        <f>VLOOKUP(B309,Nuclides!A:C,3,FALSE)</f>
        <v>44</v>
      </c>
      <c r="O309" s="1">
        <v>41102</v>
      </c>
      <c r="P309" s="1">
        <v>1.44658E-5</v>
      </c>
      <c r="Q309" t="s">
        <v>1053</v>
      </c>
      <c r="R309">
        <v>61</v>
      </c>
      <c r="S309">
        <v>41</v>
      </c>
      <c r="T309">
        <f>VLOOKUP(O309,Nuclides!A:D,4,FALSE)</f>
        <v>4.3</v>
      </c>
    </row>
    <row r="310" spans="2:20" x14ac:dyDescent="0.2">
      <c r="B310" s="8">
        <v>44108</v>
      </c>
      <c r="C310" s="9">
        <v>8.6021500000000003E-7</v>
      </c>
      <c r="D310" s="8" t="s">
        <v>1165</v>
      </c>
      <c r="E310" s="1">
        <v>273</v>
      </c>
      <c r="F310" s="1">
        <f t="shared" si="12"/>
        <v>2.5390006613917409E-3</v>
      </c>
      <c r="G310" s="1">
        <f t="shared" si="13"/>
        <v>27222824.935520224</v>
      </c>
      <c r="H310" s="1">
        <f t="shared" si="14"/>
        <v>0</v>
      </c>
      <c r="K310">
        <f>VLOOKUP(B310,Nuclides!A:C,2,FALSE)</f>
        <v>64</v>
      </c>
      <c r="L310">
        <f>VLOOKUP(B310,Nuclides!A:C,3,FALSE)</f>
        <v>44</v>
      </c>
      <c r="O310" s="1">
        <v>41103</v>
      </c>
      <c r="P310" s="1">
        <v>1.8581699999999999E-5</v>
      </c>
      <c r="Q310" t="s">
        <v>1054</v>
      </c>
      <c r="R310">
        <v>62</v>
      </c>
      <c r="S310">
        <v>41</v>
      </c>
      <c r="T310">
        <f>VLOOKUP(O310,Nuclides!A:D,4,FALSE)</f>
        <v>1.5</v>
      </c>
    </row>
    <row r="311" spans="2:20" x14ac:dyDescent="0.2">
      <c r="B311" s="8">
        <v>44109</v>
      </c>
      <c r="C311" s="9">
        <v>9.19057E-7</v>
      </c>
      <c r="D311" s="8" t="s">
        <v>1166</v>
      </c>
      <c r="E311" s="1">
        <v>34.5</v>
      </c>
      <c r="F311" s="1">
        <f t="shared" si="12"/>
        <v>2.009122262492595E-2</v>
      </c>
      <c r="G311" s="1">
        <f t="shared" si="13"/>
        <v>228143420.93383709</v>
      </c>
      <c r="H311" s="1">
        <f t="shared" si="14"/>
        <v>0</v>
      </c>
      <c r="K311">
        <f>VLOOKUP(B311,Nuclides!A:C,2,FALSE)</f>
        <v>65</v>
      </c>
      <c r="L311">
        <f>VLOOKUP(B311,Nuclides!A:C,3,FALSE)</f>
        <v>44</v>
      </c>
      <c r="O311" s="1">
        <v>41104</v>
      </c>
      <c r="P311" s="1">
        <v>1.14173E-5</v>
      </c>
      <c r="Q311" t="s">
        <v>1055</v>
      </c>
      <c r="R311">
        <v>63</v>
      </c>
      <c r="S311">
        <v>41</v>
      </c>
      <c r="T311">
        <f>VLOOKUP(O311,Nuclides!A:D,4,FALSE)</f>
        <v>4.9000000000000004</v>
      </c>
    </row>
    <row r="312" spans="2:20" x14ac:dyDescent="0.2">
      <c r="B312" s="8">
        <v>44110</v>
      </c>
      <c r="C312" s="9">
        <v>1.2280600000000001E-6</v>
      </c>
      <c r="D312" s="8" t="s">
        <v>1167</v>
      </c>
      <c r="E312" s="1">
        <v>11.6</v>
      </c>
      <c r="F312" s="1">
        <f t="shared" si="12"/>
        <v>5.9754067289650457E-2</v>
      </c>
      <c r="G312" s="1">
        <f t="shared" si="13"/>
        <v>888977607.23173356</v>
      </c>
      <c r="H312" s="1">
        <f t="shared" si="14"/>
        <v>0</v>
      </c>
      <c r="K312">
        <f>VLOOKUP(B312,Nuclides!A:C,2,FALSE)</f>
        <v>66</v>
      </c>
      <c r="L312">
        <f>VLOOKUP(B312,Nuclides!A:C,3,FALSE)</f>
        <v>44</v>
      </c>
      <c r="O312" s="1">
        <v>41105</v>
      </c>
      <c r="P312" s="1">
        <v>9.5032000000000008E-6</v>
      </c>
      <c r="Q312" t="s">
        <v>1056</v>
      </c>
      <c r="R312">
        <v>64</v>
      </c>
      <c r="S312">
        <v>41</v>
      </c>
      <c r="T312">
        <f>VLOOKUP(O312,Nuclides!A:D,4,FALSE)</f>
        <v>2.95</v>
      </c>
    </row>
    <row r="313" spans="2:20" x14ac:dyDescent="0.2">
      <c r="B313" s="8">
        <v>44111</v>
      </c>
      <c r="C313" s="9">
        <v>1.0775000000000001E-6</v>
      </c>
      <c r="D313" s="8" t="s">
        <v>1168</v>
      </c>
      <c r="E313" s="1">
        <v>2.12</v>
      </c>
      <c r="F313" s="1">
        <f t="shared" si="12"/>
        <v>0.3269562172452572</v>
      </c>
      <c r="G313" s="1">
        <f t="shared" si="13"/>
        <v>3750218139.4881458</v>
      </c>
      <c r="H313" s="1">
        <f t="shared" si="14"/>
        <v>0</v>
      </c>
      <c r="K313">
        <f>VLOOKUP(B313,Nuclides!A:C,2,FALSE)</f>
        <v>67</v>
      </c>
      <c r="L313">
        <f>VLOOKUP(B313,Nuclides!A:C,3,FALSE)</f>
        <v>44</v>
      </c>
      <c r="O313" s="1">
        <v>41106</v>
      </c>
      <c r="P313" s="1">
        <v>3.67253E-6</v>
      </c>
      <c r="Q313" t="s">
        <v>1057</v>
      </c>
      <c r="R313">
        <v>65</v>
      </c>
      <c r="S313">
        <v>41</v>
      </c>
      <c r="T313">
        <f>VLOOKUP(O313,Nuclides!A:D,4,FALSE)</f>
        <v>1.02</v>
      </c>
    </row>
    <row r="314" spans="2:20" x14ac:dyDescent="0.2">
      <c r="B314" s="8">
        <v>44112</v>
      </c>
      <c r="C314" s="9">
        <v>1.1597300000000001E-6</v>
      </c>
      <c r="D314" s="8" t="s">
        <v>1169</v>
      </c>
      <c r="E314" s="1">
        <v>1.75</v>
      </c>
      <c r="F314" s="1">
        <f t="shared" si="12"/>
        <v>0.39608410317711157</v>
      </c>
      <c r="G314" s="1">
        <f t="shared" si="13"/>
        <v>4733534018.2945004</v>
      </c>
      <c r="H314" s="1">
        <f t="shared" si="14"/>
        <v>0</v>
      </c>
      <c r="K314">
        <f>VLOOKUP(B314,Nuclides!A:C,2,FALSE)</f>
        <v>68</v>
      </c>
      <c r="L314">
        <f>VLOOKUP(B314,Nuclides!A:C,3,FALSE)</f>
        <v>44</v>
      </c>
      <c r="O314" s="1">
        <v>42087</v>
      </c>
      <c r="P314" s="1">
        <v>2.77825E-6</v>
      </c>
      <c r="Q314" t="s">
        <v>1073</v>
      </c>
      <c r="R314">
        <v>45</v>
      </c>
      <c r="S314">
        <v>42</v>
      </c>
      <c r="T314">
        <f>VLOOKUP(O314,Nuclides!A:D,4,FALSE)</f>
        <v>14.02</v>
      </c>
    </row>
    <row r="315" spans="2:20" x14ac:dyDescent="0.2">
      <c r="B315" s="8">
        <v>44113</v>
      </c>
      <c r="C315" s="9">
        <v>8.3808899999999998E-7</v>
      </c>
      <c r="D315" s="8" t="s">
        <v>1170</v>
      </c>
      <c r="E315" s="1">
        <v>0.8</v>
      </c>
      <c r="F315" s="1">
        <f t="shared" si="12"/>
        <v>0.86643397569993152</v>
      </c>
      <c r="G315" s="1">
        <f t="shared" si="13"/>
        <v>6061735456.8353205</v>
      </c>
      <c r="H315" s="1">
        <f t="shared" si="14"/>
        <v>0</v>
      </c>
      <c r="K315">
        <f>VLOOKUP(B315,Nuclides!A:C,2,FALSE)</f>
        <v>69</v>
      </c>
      <c r="L315">
        <f>VLOOKUP(B315,Nuclides!A:C,3,FALSE)</f>
        <v>44</v>
      </c>
      <c r="O315" s="1">
        <v>42088</v>
      </c>
      <c r="P315" s="1">
        <v>1.35824E-6</v>
      </c>
      <c r="Q315" t="s">
        <v>1074</v>
      </c>
      <c r="R315">
        <v>46</v>
      </c>
      <c r="S315">
        <v>42</v>
      </c>
      <c r="T315">
        <f>VLOOKUP(O315,Nuclides!A:D,4,FALSE)</f>
        <v>480</v>
      </c>
    </row>
    <row r="316" spans="2:20" x14ac:dyDescent="0.2">
      <c r="B316" s="8">
        <v>45094</v>
      </c>
      <c r="C316" s="9">
        <v>6.1375099999999997E-7</v>
      </c>
      <c r="D316" s="8" t="s">
        <v>1187</v>
      </c>
      <c r="E316" s="1">
        <v>66</v>
      </c>
      <c r="F316" s="1">
        <f t="shared" si="12"/>
        <v>1.050223000848402E-2</v>
      </c>
      <c r="G316" s="1">
        <f t="shared" si="13"/>
        <v>80022071.427123189</v>
      </c>
      <c r="H316" s="1">
        <f t="shared" si="14"/>
        <v>0</v>
      </c>
      <c r="K316">
        <f>VLOOKUP(B316,Nuclides!A:C,2,FALSE)</f>
        <v>49</v>
      </c>
      <c r="L316">
        <f>VLOOKUP(B316,Nuclides!A:C,3,FALSE)</f>
        <v>45</v>
      </c>
      <c r="O316" s="1">
        <v>42089</v>
      </c>
      <c r="P316" s="1">
        <v>2.7221999999999999E-7</v>
      </c>
      <c r="Q316" t="s">
        <v>1075</v>
      </c>
      <c r="R316">
        <v>47</v>
      </c>
      <c r="S316">
        <v>42</v>
      </c>
      <c r="T316">
        <f>VLOOKUP(O316,Nuclides!A:D,4,FALSE)</f>
        <v>126.6</v>
      </c>
    </row>
    <row r="317" spans="2:20" x14ac:dyDescent="0.2">
      <c r="B317" s="8">
        <v>45095</v>
      </c>
      <c r="C317" s="9">
        <v>3.2254599999999998E-7</v>
      </c>
      <c r="D317" s="8" t="s">
        <v>1188</v>
      </c>
      <c r="E317" s="1">
        <v>301.2</v>
      </c>
      <c r="F317" s="1">
        <f t="shared" si="12"/>
        <v>2.3012854600263787E-3</v>
      </c>
      <c r="G317" s="1">
        <f t="shared" si="13"/>
        <v>9252883.9942316022</v>
      </c>
      <c r="H317" s="1">
        <f t="shared" si="14"/>
        <v>0</v>
      </c>
      <c r="K317">
        <f>VLOOKUP(B317,Nuclides!A:C,2,FALSE)</f>
        <v>50</v>
      </c>
      <c r="L317">
        <f>VLOOKUP(B317,Nuclides!A:C,3,FALSE)</f>
        <v>45</v>
      </c>
      <c r="O317" s="1">
        <v>42090</v>
      </c>
      <c r="P317" s="1">
        <v>5.5909799999999998E-8</v>
      </c>
      <c r="Q317" t="s">
        <v>1076</v>
      </c>
      <c r="R317">
        <v>48</v>
      </c>
      <c r="S317">
        <v>42</v>
      </c>
      <c r="T317">
        <f>VLOOKUP(O317,Nuclides!A:D,4,FALSE)</f>
        <v>20016</v>
      </c>
    </row>
    <row r="318" spans="2:20" x14ac:dyDescent="0.2">
      <c r="B318" s="8">
        <v>45096</v>
      </c>
      <c r="C318" s="9">
        <v>1.3143300000000001E-7</v>
      </c>
      <c r="D318" s="8" t="s">
        <v>1189</v>
      </c>
      <c r="E318" s="1">
        <v>594</v>
      </c>
      <c r="F318" s="1">
        <f t="shared" si="12"/>
        <v>1.1669144453871133E-3</v>
      </c>
      <c r="G318" s="1">
        <f t="shared" si="13"/>
        <v>1912954.5632037243</v>
      </c>
      <c r="H318" s="1">
        <f t="shared" si="14"/>
        <v>0</v>
      </c>
      <c r="K318">
        <f>VLOOKUP(B318,Nuclides!A:C,2,FALSE)</f>
        <v>51</v>
      </c>
      <c r="L318">
        <f>VLOOKUP(B318,Nuclides!A:C,3,FALSE)</f>
        <v>45</v>
      </c>
      <c r="O318" s="1">
        <v>42091</v>
      </c>
      <c r="P318" s="1">
        <v>2.10098E-8</v>
      </c>
      <c r="Q318" t="s">
        <v>1077</v>
      </c>
      <c r="R318">
        <v>49</v>
      </c>
      <c r="S318">
        <v>42</v>
      </c>
      <c r="T318">
        <f>VLOOKUP(O318,Nuclides!A:D,4,FALSE)</f>
        <v>929.4</v>
      </c>
    </row>
    <row r="319" spans="2:20" x14ac:dyDescent="0.2">
      <c r="B319" s="8">
        <v>45097</v>
      </c>
      <c r="C319" s="9">
        <v>4.3485399999999997E-8</v>
      </c>
      <c r="D319" s="8" t="s">
        <v>1190</v>
      </c>
      <c r="E319" s="1">
        <v>1842</v>
      </c>
      <c r="F319" s="1">
        <f t="shared" si="12"/>
        <v>3.7630140095545346E-4</v>
      </c>
      <c r="G319" s="1">
        <f t="shared" si="13"/>
        <v>204179.52049588645</v>
      </c>
      <c r="H319" s="1">
        <f t="shared" si="14"/>
        <v>0</v>
      </c>
      <c r="K319">
        <f>VLOOKUP(B319,Nuclides!A:C,2,FALSE)</f>
        <v>52</v>
      </c>
      <c r="L319">
        <f>VLOOKUP(B319,Nuclides!A:C,3,FALSE)</f>
        <v>45</v>
      </c>
      <c r="O319" s="1">
        <v>42092</v>
      </c>
      <c r="P319" s="1">
        <v>3.6296E-9</v>
      </c>
      <c r="Q319" t="s">
        <v>1078</v>
      </c>
      <c r="R319">
        <v>50</v>
      </c>
      <c r="S319">
        <v>42</v>
      </c>
      <c r="T319" t="str">
        <f>VLOOKUP(O319,Nuclides!A:D,4,FALSE)</f>
        <v>STABLE</v>
      </c>
    </row>
    <row r="320" spans="2:20" x14ac:dyDescent="0.2">
      <c r="B320" s="8">
        <v>45098</v>
      </c>
      <c r="C320" s="9">
        <v>1.40996E-8</v>
      </c>
      <c r="D320" s="8" t="s">
        <v>1191</v>
      </c>
      <c r="E320" s="1">
        <v>523.20000000000005</v>
      </c>
      <c r="F320" s="1">
        <f t="shared" si="12"/>
        <v>1.3248225928133509E-3</v>
      </c>
      <c r="G320" s="1">
        <f t="shared" si="13"/>
        <v>232965.41550069072</v>
      </c>
      <c r="H320" s="1">
        <f t="shared" si="14"/>
        <v>0</v>
      </c>
      <c r="K320">
        <f>VLOOKUP(B320,Nuclides!A:C,2,FALSE)</f>
        <v>53</v>
      </c>
      <c r="L320">
        <f>VLOOKUP(B320,Nuclides!A:C,3,FALSE)</f>
        <v>45</v>
      </c>
      <c r="O320" s="1">
        <v>42093</v>
      </c>
      <c r="P320" s="1">
        <v>7.6779999999999997E-10</v>
      </c>
      <c r="Q320" t="s">
        <v>1079</v>
      </c>
      <c r="R320">
        <v>51</v>
      </c>
      <c r="S320">
        <v>42</v>
      </c>
      <c r="T320">
        <f>VLOOKUP(O320,Nuclides!A:D,4,FALSE)</f>
        <v>126230400000</v>
      </c>
    </row>
    <row r="321" spans="2:20" x14ac:dyDescent="0.2">
      <c r="B321" s="8">
        <v>45099</v>
      </c>
      <c r="C321" s="9">
        <v>2.5826000000000002E-9</v>
      </c>
      <c r="D321" s="8" t="s">
        <v>1192</v>
      </c>
      <c r="E321" s="1">
        <v>1391040</v>
      </c>
      <c r="F321" s="1">
        <f t="shared" si="12"/>
        <v>4.9829421192772694E-7</v>
      </c>
      <c r="G321" s="1">
        <f t="shared" si="13"/>
        <v>16.060441002199983</v>
      </c>
      <c r="H321" s="1">
        <f t="shared" si="14"/>
        <v>2.4052731149426475E-6</v>
      </c>
      <c r="K321">
        <f>VLOOKUP(B321,Nuclides!A:C,2,FALSE)</f>
        <v>54</v>
      </c>
      <c r="L321">
        <f>VLOOKUP(B321,Nuclides!A:C,3,FALSE)</f>
        <v>45</v>
      </c>
      <c r="O321" s="1">
        <v>42097</v>
      </c>
      <c r="P321" s="1">
        <v>3.4899999999999998E-10</v>
      </c>
      <c r="Q321" t="s">
        <v>1083</v>
      </c>
      <c r="R321">
        <v>55</v>
      </c>
      <c r="S321">
        <v>42</v>
      </c>
      <c r="T321" t="str">
        <f>VLOOKUP(O321,Nuclides!A:D,4,FALSE)</f>
        <v>STABLE</v>
      </c>
    </row>
    <row r="322" spans="2:20" x14ac:dyDescent="0.2">
      <c r="B322" s="8">
        <v>45100</v>
      </c>
      <c r="C322" s="9">
        <v>5.5839999999999995E-10</v>
      </c>
      <c r="D322" s="8" t="s">
        <v>1193</v>
      </c>
      <c r="E322" s="1">
        <v>74880</v>
      </c>
      <c r="F322" s="1">
        <f t="shared" si="12"/>
        <v>9.2567732446573882E-6</v>
      </c>
      <c r="G322" s="1">
        <f t="shared" si="13"/>
        <v>64.508599032913466</v>
      </c>
      <c r="H322" s="1">
        <f t="shared" si="14"/>
        <v>1.07072299225907E-125</v>
      </c>
      <c r="K322">
        <f>VLOOKUP(B322,Nuclides!A:C,2,FALSE)</f>
        <v>55</v>
      </c>
      <c r="L322">
        <f>VLOOKUP(B322,Nuclides!A:C,3,FALSE)</f>
        <v>45</v>
      </c>
      <c r="O322" s="1">
        <v>42098</v>
      </c>
      <c r="P322" s="1">
        <v>6.631E-9</v>
      </c>
      <c r="Q322" t="s">
        <v>1084</v>
      </c>
      <c r="R322">
        <v>56</v>
      </c>
      <c r="S322">
        <v>42</v>
      </c>
      <c r="T322" t="str">
        <f>VLOOKUP(O322,Nuclides!A:D,4,FALSE)</f>
        <v>STABLE</v>
      </c>
    </row>
    <row r="323" spans="2:20" x14ac:dyDescent="0.2">
      <c r="B323" s="8">
        <v>45101</v>
      </c>
      <c r="C323" s="9">
        <v>6.9799999999999994E-11</v>
      </c>
      <c r="D323" s="8" t="s">
        <v>1194</v>
      </c>
      <c r="E323" s="1">
        <v>104140080</v>
      </c>
      <c r="F323" s="1">
        <f t="shared" si="12"/>
        <v>6.6559117350394321E-9</v>
      </c>
      <c r="G323" s="1">
        <f t="shared" si="13"/>
        <v>5.7979913148145093E-3</v>
      </c>
      <c r="H323" s="1">
        <f t="shared" si="14"/>
        <v>4.7002265047736587E-3</v>
      </c>
      <c r="K323">
        <f>VLOOKUP(B323,Nuclides!A:C,2,FALSE)</f>
        <v>56</v>
      </c>
      <c r="L323">
        <f>VLOOKUP(B323,Nuclides!A:C,3,FALSE)</f>
        <v>45</v>
      </c>
      <c r="O323" s="1">
        <v>42099</v>
      </c>
      <c r="P323" s="1">
        <v>3.77618E-8</v>
      </c>
      <c r="Q323" t="s">
        <v>1085</v>
      </c>
      <c r="R323">
        <v>57</v>
      </c>
      <c r="S323">
        <v>42</v>
      </c>
      <c r="T323">
        <f>VLOOKUP(O323,Nuclides!A:D,4,FALSE)</f>
        <v>237513.60000000001</v>
      </c>
    </row>
    <row r="324" spans="2:20" x14ac:dyDescent="0.2">
      <c r="B324" s="8">
        <v>45104</v>
      </c>
      <c r="C324" s="9">
        <v>6.9799999999999994E-11</v>
      </c>
      <c r="D324" s="8" t="s">
        <v>1197</v>
      </c>
      <c r="E324" s="1">
        <v>42.3</v>
      </c>
      <c r="F324" s="1">
        <f t="shared" ref="F324:F387" si="15">LN(2)/E324</f>
        <v>1.6386458169265847E-2</v>
      </c>
      <c r="G324" s="1">
        <f t="shared" ref="G324:G387" si="16">2*6240000000000000*C324*(1-EXP(-F324))</f>
        <v>14157.992776323834</v>
      </c>
      <c r="H324" s="1">
        <f t="shared" ref="H324:H387" si="17">G324*EXP(-F324*365*24*3600)</f>
        <v>0</v>
      </c>
      <c r="K324">
        <f>VLOOKUP(B324,Nuclides!A:C,2,FALSE)</f>
        <v>59</v>
      </c>
      <c r="L324">
        <f>VLOOKUP(B324,Nuclides!A:C,3,FALSE)</f>
        <v>45</v>
      </c>
      <c r="O324" s="1">
        <v>42100</v>
      </c>
      <c r="P324" s="1">
        <v>2.7940900000000001E-7</v>
      </c>
      <c r="Q324" t="s">
        <v>1086</v>
      </c>
      <c r="R324">
        <v>58</v>
      </c>
      <c r="S324">
        <v>42</v>
      </c>
      <c r="T324">
        <f>VLOOKUP(O324,Nuclides!A:D,4,FALSE)</f>
        <v>2.3037048000000002E+26</v>
      </c>
    </row>
    <row r="325" spans="2:20" x14ac:dyDescent="0.2">
      <c r="B325" s="8">
        <v>45105</v>
      </c>
      <c r="C325" s="9">
        <v>6.2819999999999996E-10</v>
      </c>
      <c r="D325" s="8" t="s">
        <v>1198</v>
      </c>
      <c r="E325" s="1">
        <v>127296</v>
      </c>
      <c r="F325" s="1">
        <f t="shared" si="15"/>
        <v>5.4451607321514057E-6</v>
      </c>
      <c r="G325" s="1">
        <f t="shared" si="16"/>
        <v>42.689595423729834</v>
      </c>
      <c r="H325" s="1">
        <f t="shared" si="17"/>
        <v>1.132104356315705E-73</v>
      </c>
      <c r="K325">
        <f>VLOOKUP(B325,Nuclides!A:C,2,FALSE)</f>
        <v>60</v>
      </c>
      <c r="L325">
        <f>VLOOKUP(B325,Nuclides!A:C,3,FALSE)</f>
        <v>45</v>
      </c>
      <c r="O325" s="1">
        <v>42101</v>
      </c>
      <c r="P325" s="1">
        <v>7.329E-7</v>
      </c>
      <c r="Q325" t="s">
        <v>1087</v>
      </c>
      <c r="R325">
        <v>59</v>
      </c>
      <c r="S325">
        <v>42</v>
      </c>
      <c r="T325">
        <f>VLOOKUP(O325,Nuclides!A:D,4,FALSE)</f>
        <v>876.599999999999</v>
      </c>
    </row>
    <row r="326" spans="2:20" x14ac:dyDescent="0.2">
      <c r="B326" s="8">
        <v>45106</v>
      </c>
      <c r="C326" s="9">
        <v>2.0242000000000001E-9</v>
      </c>
      <c r="D326" s="8" t="s">
        <v>1199</v>
      </c>
      <c r="E326" s="1">
        <v>30.07</v>
      </c>
      <c r="F326" s="1">
        <f t="shared" si="15"/>
        <v>2.3051120071830571E-2</v>
      </c>
      <c r="G326" s="1">
        <f t="shared" si="16"/>
        <v>575657.49939602753</v>
      </c>
      <c r="H326" s="1">
        <f t="shared" si="17"/>
        <v>0</v>
      </c>
      <c r="K326">
        <f>VLOOKUP(B326,Nuclides!A:C,2,FALSE)</f>
        <v>61</v>
      </c>
      <c r="L326">
        <f>VLOOKUP(B326,Nuclides!A:C,3,FALSE)</f>
        <v>45</v>
      </c>
      <c r="O326" s="1">
        <v>42102</v>
      </c>
      <c r="P326" s="1">
        <v>3.9265999999999998E-6</v>
      </c>
      <c r="Q326" t="s">
        <v>1088</v>
      </c>
      <c r="R326">
        <v>60</v>
      </c>
      <c r="S326">
        <v>42</v>
      </c>
      <c r="T326">
        <f>VLOOKUP(O326,Nuclides!A:D,4,FALSE)</f>
        <v>678</v>
      </c>
    </row>
    <row r="327" spans="2:20" x14ac:dyDescent="0.2">
      <c r="B327" s="8">
        <v>45107</v>
      </c>
      <c r="C327" s="9">
        <v>1.1307599999999999E-8</v>
      </c>
      <c r="D327" s="8" t="s">
        <v>1200</v>
      </c>
      <c r="E327" s="1">
        <v>1302</v>
      </c>
      <c r="F327" s="1">
        <f t="shared" si="15"/>
        <v>5.3237110642084893E-4</v>
      </c>
      <c r="G327" s="1">
        <f t="shared" si="16"/>
        <v>75107.602913846073</v>
      </c>
      <c r="H327" s="1">
        <f t="shared" si="17"/>
        <v>0</v>
      </c>
      <c r="K327">
        <f>VLOOKUP(B327,Nuclides!A:C,2,FALSE)</f>
        <v>62</v>
      </c>
      <c r="L327">
        <f>VLOOKUP(B327,Nuclides!A:C,3,FALSE)</f>
        <v>45</v>
      </c>
      <c r="O327" s="1">
        <v>42103</v>
      </c>
      <c r="P327" s="1">
        <v>5.9638499999999997E-6</v>
      </c>
      <c r="Q327" t="s">
        <v>1089</v>
      </c>
      <c r="R327">
        <v>61</v>
      </c>
      <c r="S327">
        <v>42</v>
      </c>
      <c r="T327">
        <f>VLOOKUP(O327,Nuclides!A:D,4,FALSE)</f>
        <v>67.5</v>
      </c>
    </row>
    <row r="328" spans="2:20" x14ac:dyDescent="0.2">
      <c r="B328" s="8">
        <v>45108</v>
      </c>
      <c r="C328" s="9">
        <v>3.5458400000000001E-8</v>
      </c>
      <c r="D328" s="8" t="s">
        <v>1201</v>
      </c>
      <c r="E328" s="1">
        <v>16.8</v>
      </c>
      <c r="F328" s="1">
        <f t="shared" si="15"/>
        <v>4.1258760747615787E-2</v>
      </c>
      <c r="G328" s="1">
        <f t="shared" si="16"/>
        <v>17886339.793709192</v>
      </c>
      <c r="H328" s="1">
        <f t="shared" si="17"/>
        <v>0</v>
      </c>
      <c r="K328">
        <f>VLOOKUP(B328,Nuclides!A:C,2,FALSE)</f>
        <v>63</v>
      </c>
      <c r="L328">
        <f>VLOOKUP(B328,Nuclides!A:C,3,FALSE)</f>
        <v>45</v>
      </c>
      <c r="O328" s="1">
        <v>42104</v>
      </c>
      <c r="P328" s="1">
        <v>1.07374E-5</v>
      </c>
      <c r="Q328" t="s">
        <v>1090</v>
      </c>
      <c r="R328">
        <v>62</v>
      </c>
      <c r="S328">
        <v>42</v>
      </c>
      <c r="T328">
        <f>VLOOKUP(O328,Nuclides!A:D,4,FALSE)</f>
        <v>60</v>
      </c>
    </row>
    <row r="329" spans="2:20" x14ac:dyDescent="0.2">
      <c r="B329" s="8">
        <v>45109</v>
      </c>
      <c r="C329" s="9">
        <v>1.1845100000000001E-7</v>
      </c>
      <c r="D329" s="8" t="s">
        <v>1202</v>
      </c>
      <c r="E329" s="1">
        <v>80</v>
      </c>
      <c r="F329" s="1">
        <f t="shared" si="15"/>
        <v>8.6643397569993157E-3</v>
      </c>
      <c r="G329" s="1">
        <f t="shared" si="16"/>
        <v>12752892.883663498</v>
      </c>
      <c r="H329" s="1">
        <f t="shared" si="17"/>
        <v>0</v>
      </c>
      <c r="K329">
        <f>VLOOKUP(B329,Nuclides!A:C,2,FALSE)</f>
        <v>64</v>
      </c>
      <c r="L329">
        <f>VLOOKUP(B329,Nuclides!A:C,3,FALSE)</f>
        <v>45</v>
      </c>
      <c r="O329" s="1">
        <v>42105</v>
      </c>
      <c r="P329" s="1">
        <v>8.3656E-6</v>
      </c>
      <c r="Q329" t="s">
        <v>1091</v>
      </c>
      <c r="R329">
        <v>63</v>
      </c>
      <c r="S329">
        <v>42</v>
      </c>
      <c r="T329">
        <f>VLOOKUP(O329,Nuclides!A:D,4,FALSE)</f>
        <v>35.6</v>
      </c>
    </row>
    <row r="330" spans="2:20" x14ac:dyDescent="0.2">
      <c r="B330" s="8">
        <v>45110</v>
      </c>
      <c r="C330" s="9">
        <v>2.3075900000000001E-7</v>
      </c>
      <c r="D330" s="8" t="s">
        <v>1203</v>
      </c>
      <c r="E330" s="1">
        <v>28.5</v>
      </c>
      <c r="F330" s="1">
        <f t="shared" si="15"/>
        <v>2.4320953703857728E-2</v>
      </c>
      <c r="G330" s="1">
        <f t="shared" si="16"/>
        <v>69196369.694390193</v>
      </c>
      <c r="H330" s="1">
        <f t="shared" si="17"/>
        <v>0</v>
      </c>
      <c r="K330">
        <f>VLOOKUP(B330,Nuclides!A:C,2,FALSE)</f>
        <v>65</v>
      </c>
      <c r="L330">
        <f>VLOOKUP(B330,Nuclides!A:C,3,FALSE)</f>
        <v>45</v>
      </c>
      <c r="O330" s="1">
        <v>42106</v>
      </c>
      <c r="P330" s="1">
        <v>9.7631399999999992E-6</v>
      </c>
      <c r="Q330" t="s">
        <v>1092</v>
      </c>
      <c r="R330">
        <v>64</v>
      </c>
      <c r="S330">
        <v>42</v>
      </c>
      <c r="T330">
        <f>VLOOKUP(O330,Nuclides!A:D,4,FALSE)</f>
        <v>8.73</v>
      </c>
    </row>
    <row r="331" spans="2:20" x14ac:dyDescent="0.2">
      <c r="B331" s="8">
        <v>45111</v>
      </c>
      <c r="C331" s="9">
        <v>5.2454700000000004E-7</v>
      </c>
      <c r="D331" s="8" t="s">
        <v>1204</v>
      </c>
      <c r="E331" s="1">
        <v>11</v>
      </c>
      <c r="F331" s="1">
        <f t="shared" si="15"/>
        <v>6.3013380050904122E-2</v>
      </c>
      <c r="G331" s="1">
        <f t="shared" si="16"/>
        <v>399779422.91207165</v>
      </c>
      <c r="H331" s="1">
        <f t="shared" si="17"/>
        <v>0</v>
      </c>
      <c r="K331">
        <f>VLOOKUP(B331,Nuclides!A:C,2,FALSE)</f>
        <v>66</v>
      </c>
      <c r="L331">
        <f>VLOOKUP(B331,Nuclides!A:C,3,FALSE)</f>
        <v>45</v>
      </c>
      <c r="O331" s="1">
        <v>42107</v>
      </c>
      <c r="P331" s="1">
        <v>4.9592900000000003E-6</v>
      </c>
      <c r="Q331" t="s">
        <v>1093</v>
      </c>
      <c r="R331">
        <v>65</v>
      </c>
      <c r="S331">
        <v>42</v>
      </c>
      <c r="T331">
        <f>VLOOKUP(O331,Nuclides!A:D,4,FALSE)</f>
        <v>3.5</v>
      </c>
    </row>
    <row r="332" spans="2:20" x14ac:dyDescent="0.2">
      <c r="B332" s="8">
        <v>45112</v>
      </c>
      <c r="C332" s="9">
        <v>7.0169899999999996E-7</v>
      </c>
      <c r="D332" s="8" t="s">
        <v>1205</v>
      </c>
      <c r="E332" s="1">
        <v>3.6</v>
      </c>
      <c r="F332" s="1">
        <f t="shared" si="15"/>
        <v>0.19254088348887369</v>
      </c>
      <c r="G332" s="1">
        <f t="shared" si="16"/>
        <v>1533731419.7775962</v>
      </c>
      <c r="H332" s="1">
        <f t="shared" si="17"/>
        <v>0</v>
      </c>
      <c r="K332">
        <f>VLOOKUP(B332,Nuclides!A:C,2,FALSE)</f>
        <v>67</v>
      </c>
      <c r="L332">
        <f>VLOOKUP(B332,Nuclides!A:C,3,FALSE)</f>
        <v>45</v>
      </c>
      <c r="O332" s="1">
        <v>42108</v>
      </c>
      <c r="P332" s="1">
        <v>3.6742700000000001E-6</v>
      </c>
      <c r="Q332" t="s">
        <v>1094</v>
      </c>
      <c r="R332">
        <v>66</v>
      </c>
      <c r="S332">
        <v>42</v>
      </c>
      <c r="T332">
        <f>VLOOKUP(O332,Nuclides!A:D,4,FALSE)</f>
        <v>1.0900000000000001</v>
      </c>
    </row>
    <row r="333" spans="2:20" x14ac:dyDescent="0.2">
      <c r="B333" s="8">
        <v>45113</v>
      </c>
      <c r="C333" s="9">
        <v>1.12546E-6</v>
      </c>
      <c r="D333" s="8" t="s">
        <v>1206</v>
      </c>
      <c r="E333" s="1">
        <v>2.8</v>
      </c>
      <c r="F333" s="1">
        <f t="shared" si="15"/>
        <v>0.24755256448569476</v>
      </c>
      <c r="G333" s="1">
        <f t="shared" si="16"/>
        <v>3080101987.2609115</v>
      </c>
      <c r="H333" s="1">
        <f t="shared" si="17"/>
        <v>0</v>
      </c>
      <c r="K333">
        <f>VLOOKUP(B333,Nuclides!A:C,2,FALSE)</f>
        <v>68</v>
      </c>
      <c r="L333">
        <f>VLOOKUP(B333,Nuclides!A:C,3,FALSE)</f>
        <v>45</v>
      </c>
      <c r="O333" s="1">
        <v>43090</v>
      </c>
      <c r="P333" s="1">
        <v>1.3644499999999999E-6</v>
      </c>
      <c r="Q333" t="s">
        <v>1110</v>
      </c>
      <c r="R333">
        <v>47</v>
      </c>
      <c r="S333">
        <v>43</v>
      </c>
      <c r="T333">
        <f>VLOOKUP(O333,Nuclides!A:D,4,FALSE)</f>
        <v>8.6999999999999993</v>
      </c>
    </row>
    <row r="334" spans="2:20" x14ac:dyDescent="0.2">
      <c r="B334" s="8">
        <v>45114</v>
      </c>
      <c r="C334" s="9">
        <v>9.5535299999999997E-7</v>
      </c>
      <c r="D334" s="8" t="s">
        <v>1207</v>
      </c>
      <c r="E334" s="1">
        <v>1.85</v>
      </c>
      <c r="F334" s="1">
        <f t="shared" si="15"/>
        <v>0.37467415165402446</v>
      </c>
      <c r="G334" s="1">
        <f t="shared" si="16"/>
        <v>3725718515.8856587</v>
      </c>
      <c r="H334" s="1">
        <f t="shared" si="17"/>
        <v>0</v>
      </c>
      <c r="K334">
        <f>VLOOKUP(B334,Nuclides!A:C,2,FALSE)</f>
        <v>69</v>
      </c>
      <c r="L334">
        <f>VLOOKUP(B334,Nuclides!A:C,3,FALSE)</f>
        <v>45</v>
      </c>
      <c r="O334" s="1">
        <v>43091</v>
      </c>
      <c r="P334" s="1">
        <v>9.4041500000000002E-7</v>
      </c>
      <c r="Q334" t="s">
        <v>1111</v>
      </c>
      <c r="R334">
        <v>48</v>
      </c>
      <c r="S334">
        <v>43</v>
      </c>
      <c r="T334">
        <f>VLOOKUP(O334,Nuclides!A:D,4,FALSE)</f>
        <v>188.4</v>
      </c>
    </row>
    <row r="335" spans="2:20" x14ac:dyDescent="0.2">
      <c r="B335" s="8">
        <v>46096</v>
      </c>
      <c r="C335" s="9">
        <v>1.01678E-6</v>
      </c>
      <c r="D335" s="8" t="s">
        <v>1226</v>
      </c>
      <c r="E335" s="1">
        <v>122</v>
      </c>
      <c r="F335" s="1">
        <f t="shared" si="15"/>
        <v>5.6815342668847975E-3</v>
      </c>
      <c r="G335" s="1">
        <f t="shared" si="16"/>
        <v>71890923.980791226</v>
      </c>
      <c r="H335" s="1">
        <f t="shared" si="17"/>
        <v>0</v>
      </c>
      <c r="K335">
        <f>VLOOKUP(B335,Nuclides!A:C,2,FALSE)</f>
        <v>50</v>
      </c>
      <c r="L335">
        <f>VLOOKUP(B335,Nuclides!A:C,3,FALSE)</f>
        <v>46</v>
      </c>
      <c r="O335" s="1">
        <v>43092</v>
      </c>
      <c r="P335" s="1">
        <v>3.5381600000000002E-7</v>
      </c>
      <c r="Q335" t="s">
        <v>1112</v>
      </c>
      <c r="R335">
        <v>49</v>
      </c>
      <c r="S335">
        <v>43</v>
      </c>
      <c r="T335">
        <f>VLOOKUP(O335,Nuclides!A:D,4,FALSE)</f>
        <v>255</v>
      </c>
    </row>
    <row r="336" spans="2:20" x14ac:dyDescent="0.2">
      <c r="B336" s="8">
        <v>46097</v>
      </c>
      <c r="C336" s="9">
        <v>6.3483099999999995E-7</v>
      </c>
      <c r="D336" s="8" t="s">
        <v>1227</v>
      </c>
      <c r="E336" s="1">
        <v>186</v>
      </c>
      <c r="F336" s="1">
        <f t="shared" si="15"/>
        <v>3.7265977449459425E-3</v>
      </c>
      <c r="G336" s="1">
        <f t="shared" si="16"/>
        <v>29469736.934561141</v>
      </c>
      <c r="H336" s="1">
        <f t="shared" si="17"/>
        <v>0</v>
      </c>
      <c r="K336">
        <f>VLOOKUP(B336,Nuclides!A:C,2,FALSE)</f>
        <v>51</v>
      </c>
      <c r="L336">
        <f>VLOOKUP(B336,Nuclides!A:C,3,FALSE)</f>
        <v>46</v>
      </c>
      <c r="O336" s="1">
        <v>43093</v>
      </c>
      <c r="P336" s="1">
        <v>6.4355600000000002E-8</v>
      </c>
      <c r="Q336" t="s">
        <v>1113</v>
      </c>
      <c r="R336">
        <v>50</v>
      </c>
      <c r="S336">
        <v>43</v>
      </c>
      <c r="T336">
        <f>VLOOKUP(O336,Nuclides!A:D,4,FALSE)</f>
        <v>9900</v>
      </c>
    </row>
    <row r="337" spans="2:20" x14ac:dyDescent="0.2">
      <c r="B337" s="8">
        <v>46098</v>
      </c>
      <c r="C337" s="9">
        <v>4.7254599999999998E-7</v>
      </c>
      <c r="D337" s="8" t="s">
        <v>1228</v>
      </c>
      <c r="E337" s="1">
        <v>1062</v>
      </c>
      <c r="F337" s="1">
        <f t="shared" si="15"/>
        <v>6.5268096097923281E-4</v>
      </c>
      <c r="G337" s="1">
        <f t="shared" si="16"/>
        <v>3847847.9366475656</v>
      </c>
      <c r="H337" s="1">
        <f t="shared" si="17"/>
        <v>0</v>
      </c>
      <c r="K337">
        <f>VLOOKUP(B337,Nuclides!A:C,2,FALSE)</f>
        <v>52</v>
      </c>
      <c r="L337">
        <f>VLOOKUP(B337,Nuclides!A:C,3,FALSE)</f>
        <v>46</v>
      </c>
      <c r="O337" s="1">
        <v>43094</v>
      </c>
      <c r="P337" s="1">
        <v>1.1935799999999999E-8</v>
      </c>
      <c r="Q337" t="s">
        <v>1114</v>
      </c>
      <c r="R337">
        <v>51</v>
      </c>
      <c r="S337">
        <v>43</v>
      </c>
      <c r="T337">
        <f>VLOOKUP(O337,Nuclides!A:D,4,FALSE)</f>
        <v>17580</v>
      </c>
    </row>
    <row r="338" spans="2:20" x14ac:dyDescent="0.2">
      <c r="B338" s="8">
        <v>46099</v>
      </c>
      <c r="C338" s="9">
        <v>2.3006100000000001E-7</v>
      </c>
      <c r="D338" s="8" t="s">
        <v>1229</v>
      </c>
      <c r="E338" s="1">
        <v>1284</v>
      </c>
      <c r="F338" s="1">
        <f t="shared" si="15"/>
        <v>5.3983425277254302E-4</v>
      </c>
      <c r="G338" s="1">
        <f t="shared" si="16"/>
        <v>1549532.9210744873</v>
      </c>
      <c r="H338" s="1">
        <f t="shared" si="17"/>
        <v>0</v>
      </c>
      <c r="K338">
        <f>VLOOKUP(B338,Nuclides!A:C,2,FALSE)</f>
        <v>53</v>
      </c>
      <c r="L338">
        <f>VLOOKUP(B338,Nuclides!A:C,3,FALSE)</f>
        <v>46</v>
      </c>
      <c r="O338" s="1">
        <v>43095</v>
      </c>
      <c r="P338" s="1">
        <v>4.0484000000000002E-9</v>
      </c>
      <c r="Q338" t="s">
        <v>1115</v>
      </c>
      <c r="R338">
        <v>52</v>
      </c>
      <c r="S338">
        <v>43</v>
      </c>
      <c r="T338">
        <f>VLOOKUP(O338,Nuclides!A:D,4,FALSE)</f>
        <v>72000</v>
      </c>
    </row>
    <row r="339" spans="2:20" x14ac:dyDescent="0.2">
      <c r="B339" s="8">
        <v>46100</v>
      </c>
      <c r="C339" s="9">
        <v>1.0449100000000001E-7</v>
      </c>
      <c r="D339" s="8" t="s">
        <v>1230</v>
      </c>
      <c r="E339" s="1">
        <v>313632</v>
      </c>
      <c r="F339" s="1">
        <f t="shared" si="15"/>
        <v>2.2100652374755931E-6</v>
      </c>
      <c r="G339" s="1">
        <f t="shared" si="16"/>
        <v>2882.0272609004678</v>
      </c>
      <c r="H339" s="1">
        <f t="shared" si="17"/>
        <v>1.5518215234098429E-27</v>
      </c>
      <c r="K339">
        <f>VLOOKUP(B339,Nuclides!A:C,2,FALSE)</f>
        <v>54</v>
      </c>
      <c r="L339">
        <f>VLOOKUP(B339,Nuclides!A:C,3,FALSE)</f>
        <v>46</v>
      </c>
      <c r="O339" s="1">
        <v>43096</v>
      </c>
      <c r="P339" s="1">
        <v>6.2819999999999996E-10</v>
      </c>
      <c r="Q339" t="s">
        <v>1116</v>
      </c>
      <c r="R339">
        <v>53</v>
      </c>
      <c r="S339">
        <v>43</v>
      </c>
      <c r="T339">
        <f>VLOOKUP(O339,Nuclides!A:D,4,FALSE)</f>
        <v>369792</v>
      </c>
    </row>
    <row r="340" spans="2:20" x14ac:dyDescent="0.2">
      <c r="B340" s="8">
        <v>46101</v>
      </c>
      <c r="C340" s="9">
        <v>3.1898599999999998E-8</v>
      </c>
      <c r="D340" s="8" t="s">
        <v>1231</v>
      </c>
      <c r="E340" s="1">
        <v>30492</v>
      </c>
      <c r="F340" s="1">
        <f t="shared" si="15"/>
        <v>2.2732099585463247E-5</v>
      </c>
      <c r="G340" s="1">
        <f t="shared" si="16"/>
        <v>9049.4215983651884</v>
      </c>
      <c r="H340" s="1">
        <f t="shared" si="17"/>
        <v>4.1668995157810493E-308</v>
      </c>
      <c r="K340">
        <f>VLOOKUP(B340,Nuclides!A:C,2,FALSE)</f>
        <v>55</v>
      </c>
      <c r="L340">
        <f>VLOOKUP(B340,Nuclides!A:C,3,FALSE)</f>
        <v>46</v>
      </c>
      <c r="O340" s="1">
        <v>43097</v>
      </c>
      <c r="P340" s="1">
        <v>1.3959999999999999E-10</v>
      </c>
      <c r="Q340" t="s">
        <v>1117</v>
      </c>
      <c r="R340">
        <v>54</v>
      </c>
      <c r="S340">
        <v>43</v>
      </c>
      <c r="T340">
        <f>VLOOKUP(O340,Nuclides!A:D,4,FALSE)</f>
        <v>132857496000000</v>
      </c>
    </row>
    <row r="341" spans="2:20" x14ac:dyDescent="0.2">
      <c r="B341" s="8">
        <v>46103</v>
      </c>
      <c r="C341" s="9">
        <v>2.094E-9</v>
      </c>
      <c r="D341" s="8" t="s">
        <v>1233</v>
      </c>
      <c r="E341" s="1">
        <v>1468022.4</v>
      </c>
      <c r="F341" s="1">
        <f t="shared" si="15"/>
        <v>4.7216389924291711E-7</v>
      </c>
      <c r="G341" s="1">
        <f t="shared" si="16"/>
        <v>12.33911292452639</v>
      </c>
      <c r="H341" s="1">
        <f t="shared" si="17"/>
        <v>4.212785050450881E-6</v>
      </c>
      <c r="K341">
        <f>VLOOKUP(B341,Nuclides!A:C,2,FALSE)</f>
        <v>57</v>
      </c>
      <c r="L341">
        <f>VLOOKUP(B341,Nuclides!A:C,3,FALSE)</f>
        <v>46</v>
      </c>
      <c r="O341" s="1">
        <v>43098</v>
      </c>
      <c r="P341" s="1">
        <v>1.3959999999999999E-10</v>
      </c>
      <c r="Q341" t="s">
        <v>1118</v>
      </c>
      <c r="R341">
        <v>55</v>
      </c>
      <c r="S341">
        <v>43</v>
      </c>
      <c r="T341">
        <f>VLOOKUP(O341,Nuclides!A:D,4,FALSE)</f>
        <v>132541920000000</v>
      </c>
    </row>
    <row r="342" spans="2:20" x14ac:dyDescent="0.2">
      <c r="B342" s="8">
        <v>46107</v>
      </c>
      <c r="C342" s="9">
        <v>6.9799999999999994E-11</v>
      </c>
      <c r="D342" s="8" t="s">
        <v>1237</v>
      </c>
      <c r="E342" s="1">
        <v>205124400000000</v>
      </c>
      <c r="F342" s="1">
        <f t="shared" si="15"/>
        <v>3.3791551885584809E-15</v>
      </c>
      <c r="G342" s="1">
        <f t="shared" si="16"/>
        <v>2.9013591529292167E-9</v>
      </c>
      <c r="H342" s="1">
        <f t="shared" si="17"/>
        <v>2.9013588437457846E-9</v>
      </c>
      <c r="K342">
        <f>VLOOKUP(B342,Nuclides!A:C,2,FALSE)</f>
        <v>61</v>
      </c>
      <c r="L342">
        <f>VLOOKUP(B342,Nuclides!A:C,3,FALSE)</f>
        <v>46</v>
      </c>
      <c r="O342" s="1">
        <v>43099</v>
      </c>
      <c r="P342" s="1">
        <v>6.9799999999999994E-11</v>
      </c>
      <c r="Q342" t="s">
        <v>1119</v>
      </c>
      <c r="R342">
        <v>56</v>
      </c>
      <c r="S342">
        <v>43</v>
      </c>
      <c r="T342">
        <f>VLOOKUP(O342,Nuclides!A:D,4,FALSE)</f>
        <v>6661809360000</v>
      </c>
    </row>
    <row r="343" spans="2:20" x14ac:dyDescent="0.2">
      <c r="B343" s="8">
        <v>46109</v>
      </c>
      <c r="C343" s="9">
        <v>2.094E-9</v>
      </c>
      <c r="D343" s="8" t="s">
        <v>1239</v>
      </c>
      <c r="E343" s="1">
        <v>49324.32</v>
      </c>
      <c r="F343" s="1">
        <f t="shared" si="15"/>
        <v>1.4052848180369142E-5</v>
      </c>
      <c r="G343" s="1">
        <f t="shared" si="16"/>
        <v>367.24218743376065</v>
      </c>
      <c r="H343" s="1">
        <f t="shared" si="17"/>
        <v>1.254289145800662E-190</v>
      </c>
      <c r="K343">
        <f>VLOOKUP(B343,Nuclides!A:C,2,FALSE)</f>
        <v>63</v>
      </c>
      <c r="L343">
        <f>VLOOKUP(B343,Nuclides!A:C,3,FALSE)</f>
        <v>46</v>
      </c>
      <c r="O343" s="1">
        <v>43100</v>
      </c>
      <c r="P343" s="1">
        <v>9.772000000000001E-10</v>
      </c>
      <c r="Q343" t="s">
        <v>1120</v>
      </c>
      <c r="R343">
        <v>57</v>
      </c>
      <c r="S343">
        <v>43</v>
      </c>
      <c r="T343">
        <f>VLOOKUP(O343,Nuclides!A:D,4,FALSE)</f>
        <v>15.46</v>
      </c>
    </row>
    <row r="344" spans="2:20" x14ac:dyDescent="0.2">
      <c r="B344" s="8">
        <v>46111</v>
      </c>
      <c r="C344" s="9">
        <v>4.62774E-8</v>
      </c>
      <c r="D344" s="8" t="s">
        <v>1241</v>
      </c>
      <c r="E344" s="1">
        <v>1404</v>
      </c>
      <c r="F344" s="1">
        <f t="shared" si="15"/>
        <v>4.9369457304839404E-4</v>
      </c>
      <c r="G344" s="1">
        <f t="shared" si="16"/>
        <v>285058.95559057558</v>
      </c>
      <c r="H344" s="1">
        <f t="shared" si="17"/>
        <v>0</v>
      </c>
      <c r="K344">
        <f>VLOOKUP(B344,Nuclides!A:C,2,FALSE)</f>
        <v>65</v>
      </c>
      <c r="L344">
        <f>VLOOKUP(B344,Nuclides!A:C,3,FALSE)</f>
        <v>46</v>
      </c>
      <c r="O344" s="1">
        <v>43101</v>
      </c>
      <c r="P344" s="1">
        <v>1.04002E-8</v>
      </c>
      <c r="Q344" t="s">
        <v>1121</v>
      </c>
      <c r="R344">
        <v>58</v>
      </c>
      <c r="S344">
        <v>43</v>
      </c>
      <c r="T344">
        <f>VLOOKUP(O344,Nuclides!A:D,4,FALSE)</f>
        <v>841.19999999999902</v>
      </c>
    </row>
    <row r="345" spans="2:20" x14ac:dyDescent="0.2">
      <c r="B345" s="8">
        <v>46112</v>
      </c>
      <c r="C345" s="9">
        <v>1.7121899999999999E-7</v>
      </c>
      <c r="D345" s="8" t="s">
        <v>1242</v>
      </c>
      <c r="E345" s="1">
        <v>75744</v>
      </c>
      <c r="F345" s="1">
        <f t="shared" si="15"/>
        <v>9.151182675326696E-6</v>
      </c>
      <c r="G345" s="1">
        <f t="shared" si="16"/>
        <v>19554.277731574159</v>
      </c>
      <c r="H345" s="1">
        <f t="shared" si="17"/>
        <v>9.0669310800392601E-122</v>
      </c>
      <c r="K345">
        <f>VLOOKUP(B345,Nuclides!A:C,2,FALSE)</f>
        <v>66</v>
      </c>
      <c r="L345">
        <f>VLOOKUP(B345,Nuclides!A:C,3,FALSE)</f>
        <v>46</v>
      </c>
      <c r="O345" s="1">
        <v>43102</v>
      </c>
      <c r="P345" s="1">
        <v>4.5579400000000002E-8</v>
      </c>
      <c r="Q345" t="s">
        <v>1122</v>
      </c>
      <c r="R345">
        <v>59</v>
      </c>
      <c r="S345">
        <v>43</v>
      </c>
      <c r="T345">
        <f>VLOOKUP(O345,Nuclides!A:D,4,FALSE)</f>
        <v>5.28</v>
      </c>
    </row>
    <row r="346" spans="2:20" x14ac:dyDescent="0.2">
      <c r="B346" s="8">
        <v>46113</v>
      </c>
      <c r="C346" s="9">
        <v>3.0083799999999998E-7</v>
      </c>
      <c r="D346" s="8" t="s">
        <v>1243</v>
      </c>
      <c r="E346" s="1">
        <v>93</v>
      </c>
      <c r="F346" s="1">
        <f t="shared" si="15"/>
        <v>7.453195489891885E-3</v>
      </c>
      <c r="G346" s="1">
        <f t="shared" si="16"/>
        <v>27878689.504648883</v>
      </c>
      <c r="H346" s="1">
        <f t="shared" si="17"/>
        <v>0</v>
      </c>
      <c r="K346">
        <f>VLOOKUP(B346,Nuclides!A:C,2,FALSE)</f>
        <v>67</v>
      </c>
      <c r="L346">
        <f>VLOOKUP(B346,Nuclides!A:C,3,FALSE)</f>
        <v>46</v>
      </c>
      <c r="O346" s="1">
        <v>43103</v>
      </c>
      <c r="P346" s="1">
        <v>2.8548199999999999E-7</v>
      </c>
      <c r="Q346" t="s">
        <v>1123</v>
      </c>
      <c r="R346">
        <v>60</v>
      </c>
      <c r="S346">
        <v>43</v>
      </c>
      <c r="T346">
        <f>VLOOKUP(O346,Nuclides!A:D,4,FALSE)</f>
        <v>54.2</v>
      </c>
    </row>
    <row r="347" spans="2:20" x14ac:dyDescent="0.2">
      <c r="B347" s="8">
        <v>46114</v>
      </c>
      <c r="C347" s="9">
        <v>6.9681299999999998E-7</v>
      </c>
      <c r="D347" s="8" t="s">
        <v>1244</v>
      </c>
      <c r="E347" s="1">
        <v>145.19999999999999</v>
      </c>
      <c r="F347" s="1">
        <f t="shared" si="15"/>
        <v>4.7737409129472823E-3</v>
      </c>
      <c r="G347" s="1">
        <f t="shared" si="16"/>
        <v>41414601.054034501</v>
      </c>
      <c r="H347" s="1">
        <f t="shared" si="17"/>
        <v>0</v>
      </c>
      <c r="K347">
        <f>VLOOKUP(B347,Nuclides!A:C,2,FALSE)</f>
        <v>68</v>
      </c>
      <c r="L347">
        <f>VLOOKUP(B347,Nuclides!A:C,3,FALSE)</f>
        <v>46</v>
      </c>
      <c r="O347" s="1">
        <v>43104</v>
      </c>
      <c r="P347" s="1">
        <v>8.6649700000000001E-7</v>
      </c>
      <c r="Q347" t="s">
        <v>1124</v>
      </c>
      <c r="R347">
        <v>61</v>
      </c>
      <c r="S347">
        <v>43</v>
      </c>
      <c r="T347">
        <f>VLOOKUP(O347,Nuclides!A:D,4,FALSE)</f>
        <v>1098</v>
      </c>
    </row>
    <row r="348" spans="2:20" x14ac:dyDescent="0.2">
      <c r="B348" s="8">
        <v>46115</v>
      </c>
      <c r="C348" s="9">
        <v>8.6586900000000004E-7</v>
      </c>
      <c r="D348" s="8" t="s">
        <v>1245</v>
      </c>
      <c r="E348" s="1">
        <v>25</v>
      </c>
      <c r="F348" s="1">
        <f t="shared" si="15"/>
        <v>2.7725887222397813E-2</v>
      </c>
      <c r="G348" s="1">
        <f t="shared" si="16"/>
        <v>295491872.07161534</v>
      </c>
      <c r="H348" s="1">
        <f t="shared" si="17"/>
        <v>0</v>
      </c>
      <c r="K348">
        <f>VLOOKUP(B348,Nuclides!A:C,2,FALSE)</f>
        <v>69</v>
      </c>
      <c r="L348">
        <f>VLOOKUP(B348,Nuclides!A:C,3,FALSE)</f>
        <v>46</v>
      </c>
      <c r="O348" s="1">
        <v>43105</v>
      </c>
      <c r="P348" s="1">
        <v>3.0029399999999999E-6</v>
      </c>
      <c r="Q348" t="s">
        <v>1125</v>
      </c>
      <c r="R348">
        <v>62</v>
      </c>
      <c r="S348">
        <v>43</v>
      </c>
      <c r="T348">
        <f>VLOOKUP(O348,Nuclides!A:D,4,FALSE)</f>
        <v>456</v>
      </c>
    </row>
    <row r="349" spans="2:20" x14ac:dyDescent="0.2">
      <c r="B349" s="8">
        <v>46116</v>
      </c>
      <c r="C349" s="9">
        <v>1.26596E-6</v>
      </c>
      <c r="D349" s="8" t="s">
        <v>1246</v>
      </c>
      <c r="E349" s="1">
        <v>11.8</v>
      </c>
      <c r="F349" s="1">
        <f t="shared" si="15"/>
        <v>5.8741286488130956E-2</v>
      </c>
      <c r="G349" s="1">
        <f t="shared" si="16"/>
        <v>901332336.5413202</v>
      </c>
      <c r="H349" s="1">
        <f t="shared" si="17"/>
        <v>0</v>
      </c>
      <c r="K349">
        <f>VLOOKUP(B349,Nuclides!A:C,2,FALSE)</f>
        <v>70</v>
      </c>
      <c r="L349">
        <f>VLOOKUP(B349,Nuclides!A:C,3,FALSE)</f>
        <v>46</v>
      </c>
      <c r="O349" s="1">
        <v>43106</v>
      </c>
      <c r="P349" s="1">
        <v>3.7869300000000001E-6</v>
      </c>
      <c r="Q349" t="s">
        <v>1126</v>
      </c>
      <c r="R349">
        <v>63</v>
      </c>
      <c r="S349">
        <v>43</v>
      </c>
      <c r="T349">
        <f>VLOOKUP(O349,Nuclides!A:D,4,FALSE)</f>
        <v>35.6</v>
      </c>
    </row>
    <row r="350" spans="2:20" x14ac:dyDescent="0.2">
      <c r="B350" s="8">
        <v>46117</v>
      </c>
      <c r="C350" s="9">
        <v>1.0788299999999999E-6</v>
      </c>
      <c r="D350" s="8" t="s">
        <v>1247</v>
      </c>
      <c r="E350" s="1">
        <v>4.3</v>
      </c>
      <c r="F350" s="1">
        <f t="shared" si="15"/>
        <v>0.16119701873487099</v>
      </c>
      <c r="G350" s="1">
        <f t="shared" si="16"/>
        <v>2004431507.4826264</v>
      </c>
      <c r="H350" s="1">
        <f t="shared" si="17"/>
        <v>0</v>
      </c>
      <c r="K350">
        <f>VLOOKUP(B350,Nuclides!A:C,2,FALSE)</f>
        <v>71</v>
      </c>
      <c r="L350">
        <f>VLOOKUP(B350,Nuclides!A:C,3,FALSE)</f>
        <v>46</v>
      </c>
      <c r="O350" s="1">
        <v>43107</v>
      </c>
      <c r="P350" s="1">
        <v>6.2084999999999999E-6</v>
      </c>
      <c r="Q350" t="s">
        <v>1127</v>
      </c>
      <c r="R350">
        <v>64</v>
      </c>
      <c r="S350">
        <v>43</v>
      </c>
      <c r="T350">
        <f>VLOOKUP(O350,Nuclides!A:D,4,FALSE)</f>
        <v>21.2</v>
      </c>
    </row>
    <row r="351" spans="2:20" x14ac:dyDescent="0.2">
      <c r="B351" s="8">
        <v>46118</v>
      </c>
      <c r="C351" s="9">
        <v>1.07506E-6</v>
      </c>
      <c r="D351" s="8" t="s">
        <v>1248</v>
      </c>
      <c r="E351" s="1">
        <v>1.9</v>
      </c>
      <c r="F351" s="1">
        <f t="shared" si="15"/>
        <v>0.36481430555786598</v>
      </c>
      <c r="G351" s="1">
        <f t="shared" si="16"/>
        <v>4101157024.3530917</v>
      </c>
      <c r="H351" s="1">
        <f t="shared" si="17"/>
        <v>0</v>
      </c>
      <c r="K351">
        <f>VLOOKUP(B351,Nuclides!A:C,2,FALSE)</f>
        <v>72</v>
      </c>
      <c r="L351">
        <f>VLOOKUP(B351,Nuclides!A:C,3,FALSE)</f>
        <v>46</v>
      </c>
      <c r="O351" s="1">
        <v>43108</v>
      </c>
      <c r="P351" s="1">
        <v>4.3597099999999998E-6</v>
      </c>
      <c r="Q351" t="s">
        <v>1128</v>
      </c>
      <c r="R351">
        <v>65</v>
      </c>
      <c r="S351">
        <v>43</v>
      </c>
      <c r="T351">
        <f>VLOOKUP(O351,Nuclides!A:D,4,FALSE)</f>
        <v>5.17</v>
      </c>
    </row>
    <row r="352" spans="2:20" x14ac:dyDescent="0.2">
      <c r="B352" s="8">
        <v>47096</v>
      </c>
      <c r="C352" s="9">
        <v>6.9409100000000002E-7</v>
      </c>
      <c r="D352" s="8" t="s">
        <v>1261</v>
      </c>
      <c r="E352" s="1">
        <v>4.4000000000000004</v>
      </c>
      <c r="F352" s="1">
        <f t="shared" si="15"/>
        <v>0.15753345012726028</v>
      </c>
      <c r="G352" s="1">
        <f t="shared" si="16"/>
        <v>1262539024.6313174</v>
      </c>
      <c r="H352" s="1">
        <f t="shared" si="17"/>
        <v>0</v>
      </c>
      <c r="K352">
        <f>VLOOKUP(B352,Nuclides!A:C,2,FALSE)</f>
        <v>49</v>
      </c>
      <c r="L352">
        <f>VLOOKUP(B352,Nuclides!A:C,3,FALSE)</f>
        <v>47</v>
      </c>
      <c r="O352" s="1">
        <v>43109</v>
      </c>
      <c r="P352" s="1">
        <v>4.1331399999999997E-6</v>
      </c>
      <c r="Q352" t="s">
        <v>1129</v>
      </c>
      <c r="R352">
        <v>66</v>
      </c>
      <c r="S352">
        <v>43</v>
      </c>
      <c r="T352">
        <f>VLOOKUP(O352,Nuclides!A:D,4,FALSE)</f>
        <v>0.86</v>
      </c>
    </row>
    <row r="353" spans="2:20" x14ac:dyDescent="0.2">
      <c r="B353" s="8">
        <v>47097</v>
      </c>
      <c r="C353" s="9">
        <v>4.5321099999999999E-7</v>
      </c>
      <c r="D353" s="8" t="s">
        <v>1262</v>
      </c>
      <c r="E353" s="1">
        <v>25.5</v>
      </c>
      <c r="F353" s="1">
        <f t="shared" si="15"/>
        <v>2.7182242374899815E-2</v>
      </c>
      <c r="G353" s="1">
        <f t="shared" si="16"/>
        <v>151673996.23682913</v>
      </c>
      <c r="H353" s="1">
        <f t="shared" si="17"/>
        <v>0</v>
      </c>
      <c r="K353">
        <f>VLOOKUP(B353,Nuclides!A:C,2,FALSE)</f>
        <v>50</v>
      </c>
      <c r="L353">
        <f>VLOOKUP(B353,Nuclides!A:C,3,FALSE)</f>
        <v>47</v>
      </c>
      <c r="O353" s="1">
        <v>43110</v>
      </c>
      <c r="P353" s="1">
        <v>2.3925299999999999E-6</v>
      </c>
      <c r="Q353" t="s">
        <v>1130</v>
      </c>
      <c r="R353">
        <v>67</v>
      </c>
      <c r="S353">
        <v>43</v>
      </c>
      <c r="T353">
        <f>VLOOKUP(O353,Nuclides!A:D,4,FALSE)</f>
        <v>0.92</v>
      </c>
    </row>
    <row r="354" spans="2:20" x14ac:dyDescent="0.2">
      <c r="B354" s="8">
        <v>47098</v>
      </c>
      <c r="C354" s="9">
        <v>1.9509100000000001E-7</v>
      </c>
      <c r="D354" s="8" t="s">
        <v>1263</v>
      </c>
      <c r="E354" s="1">
        <v>47.5</v>
      </c>
      <c r="F354" s="1">
        <f t="shared" si="15"/>
        <v>1.4592572222314637E-2</v>
      </c>
      <c r="G354" s="1">
        <f t="shared" si="16"/>
        <v>35271082.451195315</v>
      </c>
      <c r="H354" s="1">
        <f t="shared" si="17"/>
        <v>0</v>
      </c>
      <c r="K354">
        <f>VLOOKUP(B354,Nuclides!A:C,2,FALSE)</f>
        <v>51</v>
      </c>
      <c r="L354">
        <f>VLOOKUP(B354,Nuclides!A:C,3,FALSE)</f>
        <v>47</v>
      </c>
      <c r="O354" s="1">
        <v>44092</v>
      </c>
      <c r="P354" s="1">
        <v>1.8192000000000001E-6</v>
      </c>
      <c r="Q354" t="s">
        <v>1149</v>
      </c>
      <c r="R354">
        <v>48</v>
      </c>
      <c r="S354">
        <v>44</v>
      </c>
      <c r="T354">
        <f>VLOOKUP(O354,Nuclides!A:D,4,FALSE)</f>
        <v>219</v>
      </c>
    </row>
    <row r="355" spans="2:20" x14ac:dyDescent="0.2">
      <c r="B355" s="8">
        <v>47099</v>
      </c>
      <c r="C355" s="9">
        <v>7.4057800000000003E-8</v>
      </c>
      <c r="D355" s="8" t="s">
        <v>1264</v>
      </c>
      <c r="E355" s="1">
        <v>124</v>
      </c>
      <c r="F355" s="1">
        <f t="shared" si="15"/>
        <v>5.5898966174189133E-3</v>
      </c>
      <c r="G355" s="1">
        <f t="shared" si="16"/>
        <v>5152000.5718702497</v>
      </c>
      <c r="H355" s="1">
        <f t="shared" si="17"/>
        <v>0</v>
      </c>
      <c r="K355">
        <f>VLOOKUP(B355,Nuclides!A:C,2,FALSE)</f>
        <v>52</v>
      </c>
      <c r="L355">
        <f>VLOOKUP(B355,Nuclides!A:C,3,FALSE)</f>
        <v>47</v>
      </c>
      <c r="O355" s="1">
        <v>44093</v>
      </c>
      <c r="P355" s="1">
        <v>7.3422599999999997E-7</v>
      </c>
      <c r="Q355" t="s">
        <v>1150</v>
      </c>
      <c r="R355">
        <v>49</v>
      </c>
      <c r="S355">
        <v>44</v>
      </c>
      <c r="T355">
        <f>VLOOKUP(O355,Nuclides!A:D,4,FALSE)</f>
        <v>59.7</v>
      </c>
    </row>
    <row r="356" spans="2:20" x14ac:dyDescent="0.2">
      <c r="B356" s="8">
        <v>47100</v>
      </c>
      <c r="C356" s="9">
        <v>2.0940000000000001E-8</v>
      </c>
      <c r="D356" s="8" t="s">
        <v>1265</v>
      </c>
      <c r="E356" s="1">
        <v>120.6</v>
      </c>
      <c r="F356" s="1">
        <f t="shared" si="15"/>
        <v>5.7474890593693642E-3</v>
      </c>
      <c r="G356" s="1">
        <f t="shared" si="16"/>
        <v>1497690.1112645818</v>
      </c>
      <c r="H356" s="1">
        <f t="shared" si="17"/>
        <v>0</v>
      </c>
      <c r="K356">
        <f>VLOOKUP(B356,Nuclides!A:C,2,FALSE)</f>
        <v>53</v>
      </c>
      <c r="L356">
        <f>VLOOKUP(B356,Nuclides!A:C,3,FALSE)</f>
        <v>47</v>
      </c>
      <c r="O356" s="1">
        <v>44094</v>
      </c>
      <c r="P356" s="1">
        <v>5.9595200000000004E-7</v>
      </c>
      <c r="Q356" t="s">
        <v>1151</v>
      </c>
      <c r="R356">
        <v>50</v>
      </c>
      <c r="S356">
        <v>44</v>
      </c>
      <c r="T356">
        <f>VLOOKUP(O356,Nuclides!A:D,4,FALSE)</f>
        <v>3108</v>
      </c>
    </row>
    <row r="357" spans="2:20" x14ac:dyDescent="0.2">
      <c r="B357" s="8">
        <v>47101</v>
      </c>
      <c r="C357" s="9">
        <v>5.7934000000000003E-9</v>
      </c>
      <c r="D357" s="8" t="s">
        <v>1266</v>
      </c>
      <c r="E357" s="1">
        <v>666</v>
      </c>
      <c r="F357" s="1">
        <f t="shared" si="15"/>
        <v>1.0407615323722902E-3</v>
      </c>
      <c r="G357" s="1">
        <f t="shared" si="16"/>
        <v>75209.612888534204</v>
      </c>
      <c r="H357" s="1">
        <f t="shared" si="17"/>
        <v>0</v>
      </c>
      <c r="K357">
        <f>VLOOKUP(B357,Nuclides!A:C,2,FALSE)</f>
        <v>54</v>
      </c>
      <c r="L357">
        <f>VLOOKUP(B357,Nuclides!A:C,3,FALSE)</f>
        <v>47</v>
      </c>
      <c r="O357" s="1">
        <v>44095</v>
      </c>
      <c r="P357" s="1">
        <v>6.5961000000000004E-8</v>
      </c>
      <c r="Q357" t="s">
        <v>1152</v>
      </c>
      <c r="R357">
        <v>51</v>
      </c>
      <c r="S357">
        <v>44</v>
      </c>
      <c r="T357">
        <f>VLOOKUP(O357,Nuclides!A:D,4,FALSE)</f>
        <v>5914.8</v>
      </c>
    </row>
    <row r="358" spans="2:20" x14ac:dyDescent="0.2">
      <c r="B358" s="8">
        <v>47102</v>
      </c>
      <c r="C358" s="9">
        <v>1.1866E-9</v>
      </c>
      <c r="D358" s="8" t="s">
        <v>1267</v>
      </c>
      <c r="E358" s="1">
        <v>774</v>
      </c>
      <c r="F358" s="1">
        <f t="shared" si="15"/>
        <v>8.9553899297150556E-4</v>
      </c>
      <c r="G358" s="1">
        <f t="shared" si="16"/>
        <v>13255.892711539549</v>
      </c>
      <c r="H358" s="1">
        <f t="shared" si="17"/>
        <v>0</v>
      </c>
      <c r="K358">
        <f>VLOOKUP(B358,Nuclides!A:C,2,FALSE)</f>
        <v>55</v>
      </c>
      <c r="L358">
        <f>VLOOKUP(B358,Nuclides!A:C,3,FALSE)</f>
        <v>47</v>
      </c>
      <c r="O358" s="1">
        <v>44096</v>
      </c>
      <c r="P358" s="1">
        <v>2.9595199999999999E-8</v>
      </c>
      <c r="Q358" t="s">
        <v>1153</v>
      </c>
      <c r="R358">
        <v>52</v>
      </c>
      <c r="S358">
        <v>44</v>
      </c>
      <c r="T358" t="str">
        <f>VLOOKUP(O358,Nuclides!A:D,4,FALSE)</f>
        <v>STABLE</v>
      </c>
    </row>
    <row r="359" spans="2:20" x14ac:dyDescent="0.2">
      <c r="B359" s="8">
        <v>47103</v>
      </c>
      <c r="C359" s="9">
        <v>2.7919999999999998E-10</v>
      </c>
      <c r="D359" s="8" t="s">
        <v>1268</v>
      </c>
      <c r="E359" s="1">
        <v>3942</v>
      </c>
      <c r="F359" s="1">
        <f t="shared" si="15"/>
        <v>1.7583642327751023E-4</v>
      </c>
      <c r="G359" s="1">
        <f t="shared" si="16"/>
        <v>612.63338344107524</v>
      </c>
      <c r="H359" s="1">
        <f t="shared" si="17"/>
        <v>0</v>
      </c>
      <c r="K359">
        <f>VLOOKUP(B359,Nuclides!A:C,2,FALSE)</f>
        <v>56</v>
      </c>
      <c r="L359">
        <f>VLOOKUP(B359,Nuclides!A:C,3,FALSE)</f>
        <v>47</v>
      </c>
      <c r="O359" s="1">
        <v>44097</v>
      </c>
      <c r="P359" s="1">
        <v>5.3048000000000001E-9</v>
      </c>
      <c r="Q359" t="s">
        <v>1154</v>
      </c>
      <c r="R359">
        <v>53</v>
      </c>
      <c r="S359">
        <v>44</v>
      </c>
      <c r="T359">
        <f>VLOOKUP(O359,Nuclides!A:D,4,FALSE)</f>
        <v>244512</v>
      </c>
    </row>
    <row r="360" spans="2:20" x14ac:dyDescent="0.2">
      <c r="B360" s="8">
        <v>47111</v>
      </c>
      <c r="C360" s="9">
        <v>4.8860000000000005E-10</v>
      </c>
      <c r="D360" s="8" t="s">
        <v>1276</v>
      </c>
      <c r="E360" s="1">
        <v>643680</v>
      </c>
      <c r="F360" s="1">
        <f t="shared" si="15"/>
        <v>1.0768505787968328E-6</v>
      </c>
      <c r="G360" s="1">
        <f t="shared" si="16"/>
        <v>6.5663383903904284</v>
      </c>
      <c r="H360" s="1">
        <f t="shared" si="17"/>
        <v>1.1718548126561522E-14</v>
      </c>
      <c r="K360">
        <f>VLOOKUP(B360,Nuclides!A:C,2,FALSE)</f>
        <v>64</v>
      </c>
      <c r="L360">
        <f>VLOOKUP(B360,Nuclides!A:C,3,FALSE)</f>
        <v>47</v>
      </c>
      <c r="O360" s="1">
        <v>44098</v>
      </c>
      <c r="P360" s="1">
        <v>2.3732E-9</v>
      </c>
      <c r="Q360" t="s">
        <v>1155</v>
      </c>
      <c r="R360">
        <v>54</v>
      </c>
      <c r="S360">
        <v>44</v>
      </c>
      <c r="T360" t="str">
        <f>VLOOKUP(O360,Nuclides!A:D,4,FALSE)</f>
        <v>STABLE</v>
      </c>
    </row>
    <row r="361" spans="2:20" x14ac:dyDescent="0.2">
      <c r="B361" s="8">
        <v>47112</v>
      </c>
      <c r="C361" s="9">
        <v>3.3503999999999999E-9</v>
      </c>
      <c r="D361" s="8" t="s">
        <v>1277</v>
      </c>
      <c r="E361" s="1">
        <v>11268</v>
      </c>
      <c r="F361" s="1">
        <f t="shared" si="15"/>
        <v>6.1514659261620983E-5</v>
      </c>
      <c r="G361" s="1">
        <f t="shared" si="16"/>
        <v>2572.0328459143484</v>
      </c>
      <c r="H361" s="1">
        <f t="shared" si="17"/>
        <v>0</v>
      </c>
      <c r="K361">
        <f>VLOOKUP(B361,Nuclides!A:C,2,FALSE)</f>
        <v>65</v>
      </c>
      <c r="L361">
        <f>VLOOKUP(B361,Nuclides!A:C,3,FALSE)</f>
        <v>47</v>
      </c>
      <c r="O361" s="1">
        <v>44099</v>
      </c>
      <c r="P361" s="1">
        <v>4.1879999999999999E-10</v>
      </c>
      <c r="Q361" t="s">
        <v>1156</v>
      </c>
      <c r="R361">
        <v>55</v>
      </c>
      <c r="S361">
        <v>44</v>
      </c>
      <c r="T361" t="str">
        <f>VLOOKUP(O361,Nuclides!A:D,4,FALSE)</f>
        <v>STABLE</v>
      </c>
    </row>
    <row r="362" spans="2:20" x14ac:dyDescent="0.2">
      <c r="B362" s="8">
        <v>47113</v>
      </c>
      <c r="C362" s="9">
        <v>2.3801799999999999E-8</v>
      </c>
      <c r="D362" s="8" t="s">
        <v>1278</v>
      </c>
      <c r="E362" s="1">
        <v>19332</v>
      </c>
      <c r="F362" s="1">
        <f t="shared" si="15"/>
        <v>3.5854913126419684E-5</v>
      </c>
      <c r="G362" s="1">
        <f t="shared" si="16"/>
        <v>10650.384225784706</v>
      </c>
      <c r="H362" s="1">
        <f t="shared" si="17"/>
        <v>0</v>
      </c>
      <c r="K362">
        <f>VLOOKUP(B362,Nuclides!A:C,2,FALSE)</f>
        <v>66</v>
      </c>
      <c r="L362">
        <f>VLOOKUP(B362,Nuclides!A:C,3,FALSE)</f>
        <v>47</v>
      </c>
      <c r="O362" s="1">
        <v>44100</v>
      </c>
      <c r="P362" s="1">
        <v>6.9799999999999994E-11</v>
      </c>
      <c r="Q362" t="s">
        <v>1157</v>
      </c>
      <c r="R362">
        <v>56</v>
      </c>
      <c r="S362">
        <v>44</v>
      </c>
      <c r="T362" t="str">
        <f>VLOOKUP(O362,Nuclides!A:D,4,FALSE)</f>
        <v>STABLE</v>
      </c>
    </row>
    <row r="363" spans="2:20" x14ac:dyDescent="0.2">
      <c r="B363" s="8">
        <v>47114</v>
      </c>
      <c r="C363" s="9">
        <v>5.8562200000000003E-8</v>
      </c>
      <c r="D363" s="8" t="s">
        <v>1279</v>
      </c>
      <c r="E363" s="1">
        <v>4.5999999999999996</v>
      </c>
      <c r="F363" s="1">
        <f t="shared" si="15"/>
        <v>0.15068416968694465</v>
      </c>
      <c r="G363" s="1">
        <f t="shared" si="16"/>
        <v>102232679.19557987</v>
      </c>
      <c r="H363" s="1">
        <f t="shared" si="17"/>
        <v>0</v>
      </c>
      <c r="K363">
        <f>VLOOKUP(B363,Nuclides!A:C,2,FALSE)</f>
        <v>67</v>
      </c>
      <c r="L363">
        <f>VLOOKUP(B363,Nuclides!A:C,3,FALSE)</f>
        <v>47</v>
      </c>
      <c r="O363" s="1">
        <v>44101</v>
      </c>
      <c r="P363" s="1">
        <v>1.3959999999999999E-10</v>
      </c>
      <c r="Q363" t="s">
        <v>1158</v>
      </c>
      <c r="R363">
        <v>57</v>
      </c>
      <c r="S363">
        <v>44</v>
      </c>
      <c r="T363" t="str">
        <f>VLOOKUP(O363,Nuclides!A:D,4,FALSE)</f>
        <v>STABLE</v>
      </c>
    </row>
    <row r="364" spans="2:20" x14ac:dyDescent="0.2">
      <c r="B364" s="8">
        <v>47115</v>
      </c>
      <c r="C364" s="9">
        <v>2.05421E-7</v>
      </c>
      <c r="D364" s="8" t="s">
        <v>1280</v>
      </c>
      <c r="E364" s="1">
        <v>1200</v>
      </c>
      <c r="F364" s="1">
        <f t="shared" si="15"/>
        <v>5.7762265046662107E-4</v>
      </c>
      <c r="G364" s="1">
        <f t="shared" si="16"/>
        <v>1480397.0679691068</v>
      </c>
      <c r="H364" s="1">
        <f t="shared" si="17"/>
        <v>0</v>
      </c>
      <c r="K364">
        <f>VLOOKUP(B364,Nuclides!A:C,2,FALSE)</f>
        <v>68</v>
      </c>
      <c r="L364">
        <f>VLOOKUP(B364,Nuclides!A:C,3,FALSE)</f>
        <v>47</v>
      </c>
      <c r="O364" s="1">
        <v>44102</v>
      </c>
      <c r="P364" s="1">
        <v>4.8860000000000005E-10</v>
      </c>
      <c r="Q364" t="s">
        <v>1159</v>
      </c>
      <c r="R364">
        <v>58</v>
      </c>
      <c r="S364">
        <v>44</v>
      </c>
      <c r="T364" t="str">
        <f>VLOOKUP(O364,Nuclides!A:D,4,FALSE)</f>
        <v>STABLE</v>
      </c>
    </row>
    <row r="365" spans="2:20" x14ac:dyDescent="0.2">
      <c r="B365" s="8">
        <v>47116</v>
      </c>
      <c r="C365" s="9">
        <v>3.3845999999999997E-7</v>
      </c>
      <c r="D365" s="8" t="s">
        <v>1281</v>
      </c>
      <c r="E365" s="1">
        <v>237</v>
      </c>
      <c r="F365" s="1">
        <f t="shared" si="15"/>
        <v>2.9246716479322584E-3</v>
      </c>
      <c r="G365" s="1">
        <f t="shared" si="16"/>
        <v>12335709.14477439</v>
      </c>
      <c r="H365" s="1">
        <f t="shared" si="17"/>
        <v>0</v>
      </c>
      <c r="K365">
        <f>VLOOKUP(B365,Nuclides!A:C,2,FALSE)</f>
        <v>69</v>
      </c>
      <c r="L365">
        <f>VLOOKUP(B365,Nuclides!A:C,3,FALSE)</f>
        <v>47</v>
      </c>
      <c r="O365" s="1">
        <v>44103</v>
      </c>
      <c r="P365" s="1">
        <v>1.7450000000000001E-9</v>
      </c>
      <c r="Q365" t="s">
        <v>1160</v>
      </c>
      <c r="R365">
        <v>59</v>
      </c>
      <c r="S365">
        <v>44</v>
      </c>
      <c r="T365">
        <f>VLOOKUP(O365,Nuclides!A:D,4,FALSE)</f>
        <v>3390940.8</v>
      </c>
    </row>
    <row r="366" spans="2:20" x14ac:dyDescent="0.2">
      <c r="B366" s="8">
        <v>47117</v>
      </c>
      <c r="C366" s="9">
        <v>7.5090799999999999E-7</v>
      </c>
      <c r="D366" s="8" t="s">
        <v>1282</v>
      </c>
      <c r="E366" s="1">
        <v>72.8</v>
      </c>
      <c r="F366" s="1">
        <f t="shared" si="15"/>
        <v>9.5212524802190286E-3</v>
      </c>
      <c r="G366" s="1">
        <f t="shared" si="16"/>
        <v>88803385.929283038</v>
      </c>
      <c r="H366" s="1">
        <f t="shared" si="17"/>
        <v>0</v>
      </c>
      <c r="K366">
        <f>VLOOKUP(B366,Nuclides!A:C,2,FALSE)</f>
        <v>70</v>
      </c>
      <c r="L366">
        <f>VLOOKUP(B366,Nuclides!A:C,3,FALSE)</f>
        <v>47</v>
      </c>
      <c r="O366" s="1">
        <v>44104</v>
      </c>
      <c r="P366" s="1">
        <v>1.9055399999999999E-8</v>
      </c>
      <c r="Q366" t="s">
        <v>1161</v>
      </c>
      <c r="R366">
        <v>60</v>
      </c>
      <c r="S366">
        <v>44</v>
      </c>
      <c r="T366" t="str">
        <f>VLOOKUP(O366,Nuclides!A:D,4,FALSE)</f>
        <v>STABLE</v>
      </c>
    </row>
    <row r="367" spans="2:20" x14ac:dyDescent="0.2">
      <c r="B367" s="8">
        <v>47118</v>
      </c>
      <c r="C367" s="9">
        <v>8.1540399999999996E-7</v>
      </c>
      <c r="D367" s="8" t="s">
        <v>1283</v>
      </c>
      <c r="E367" s="1">
        <v>3.76</v>
      </c>
      <c r="F367" s="1">
        <f t="shared" si="15"/>
        <v>0.18434765440424078</v>
      </c>
      <c r="G367" s="1">
        <f t="shared" si="16"/>
        <v>1713204642.0288522</v>
      </c>
      <c r="H367" s="1">
        <f t="shared" si="17"/>
        <v>0</v>
      </c>
      <c r="K367">
        <f>VLOOKUP(B367,Nuclides!A:C,2,FALSE)</f>
        <v>71</v>
      </c>
      <c r="L367">
        <f>VLOOKUP(B367,Nuclides!A:C,3,FALSE)</f>
        <v>47</v>
      </c>
      <c r="O367" s="1">
        <v>44105</v>
      </c>
      <c r="P367" s="1">
        <v>7.1475199999999994E-8</v>
      </c>
      <c r="Q367" t="s">
        <v>1162</v>
      </c>
      <c r="R367">
        <v>61</v>
      </c>
      <c r="S367">
        <v>44</v>
      </c>
      <c r="T367">
        <f>VLOOKUP(O367,Nuclides!A:D,4,FALSE)</f>
        <v>15984</v>
      </c>
    </row>
    <row r="368" spans="2:20" x14ac:dyDescent="0.2">
      <c r="B368" s="8">
        <v>47119</v>
      </c>
      <c r="C368" s="9">
        <v>1.1639800000000001E-6</v>
      </c>
      <c r="D368" s="8" t="s">
        <v>1284</v>
      </c>
      <c r="E368" s="1">
        <v>6</v>
      </c>
      <c r="F368" s="1">
        <f t="shared" si="15"/>
        <v>0.11552453009332421</v>
      </c>
      <c r="G368" s="1">
        <f t="shared" si="16"/>
        <v>1584856541.5364187</v>
      </c>
      <c r="H368" s="1">
        <f t="shared" si="17"/>
        <v>0</v>
      </c>
      <c r="K368">
        <f>VLOOKUP(B368,Nuclides!A:C,2,FALSE)</f>
        <v>72</v>
      </c>
      <c r="L368">
        <f>VLOOKUP(B368,Nuclides!A:C,3,FALSE)</f>
        <v>47</v>
      </c>
      <c r="O368" s="1">
        <v>44106</v>
      </c>
      <c r="P368" s="1">
        <v>4.52793E-7</v>
      </c>
      <c r="Q368" t="s">
        <v>1163</v>
      </c>
      <c r="R368">
        <v>62</v>
      </c>
      <c r="S368">
        <v>44</v>
      </c>
      <c r="T368">
        <f>VLOOKUP(O368,Nuclides!A:D,4,FALSE)</f>
        <v>32123520</v>
      </c>
    </row>
    <row r="369" spans="2:20" x14ac:dyDescent="0.2">
      <c r="B369" s="8">
        <v>47120</v>
      </c>
      <c r="C369" s="9">
        <v>8.9993099999999996E-7</v>
      </c>
      <c r="D369" s="8" t="s">
        <v>1285</v>
      </c>
      <c r="E369" s="1">
        <v>1.23</v>
      </c>
      <c r="F369" s="1">
        <f t="shared" si="15"/>
        <v>0.56353429313816694</v>
      </c>
      <c r="G369" s="1">
        <f t="shared" si="16"/>
        <v>4838444184.7770147</v>
      </c>
      <c r="H369" s="1">
        <f t="shared" si="17"/>
        <v>0</v>
      </c>
      <c r="K369">
        <f>VLOOKUP(B369,Nuclides!A:C,2,FALSE)</f>
        <v>73</v>
      </c>
      <c r="L369">
        <f>VLOOKUP(B369,Nuclides!A:C,3,FALSE)</f>
        <v>47</v>
      </c>
      <c r="O369" s="1">
        <v>44107</v>
      </c>
      <c r="P369" s="1">
        <v>8.3411000000000005E-7</v>
      </c>
      <c r="Q369" t="s">
        <v>1164</v>
      </c>
      <c r="R369">
        <v>63</v>
      </c>
      <c r="S369">
        <v>44</v>
      </c>
      <c r="T369">
        <f>VLOOKUP(O369,Nuclides!A:D,4,FALSE)</f>
        <v>225</v>
      </c>
    </row>
    <row r="370" spans="2:20" x14ac:dyDescent="0.2">
      <c r="B370" s="8">
        <v>47121</v>
      </c>
      <c r="C370" s="9">
        <v>8.7536200000000003E-7</v>
      </c>
      <c r="D370" s="8" t="s">
        <v>1286</v>
      </c>
      <c r="E370" s="1">
        <v>0.78</v>
      </c>
      <c r="F370" s="1">
        <f t="shared" si="15"/>
        <v>0.88865023148710931</v>
      </c>
      <c r="G370" s="1">
        <f t="shared" si="16"/>
        <v>6432242254.1235313</v>
      </c>
      <c r="H370" s="1">
        <f t="shared" si="17"/>
        <v>0</v>
      </c>
      <c r="K370">
        <f>VLOOKUP(B370,Nuclides!A:C,2,FALSE)</f>
        <v>74</v>
      </c>
      <c r="L370">
        <f>VLOOKUP(B370,Nuclides!A:C,3,FALSE)</f>
        <v>47</v>
      </c>
      <c r="O370" s="1">
        <v>44108</v>
      </c>
      <c r="P370" s="1">
        <v>2.1219200000000001E-6</v>
      </c>
      <c r="Q370" t="s">
        <v>1165</v>
      </c>
      <c r="R370">
        <v>64</v>
      </c>
      <c r="S370">
        <v>44</v>
      </c>
      <c r="T370">
        <f>VLOOKUP(O370,Nuclides!A:D,4,FALSE)</f>
        <v>273</v>
      </c>
    </row>
    <row r="371" spans="2:20" x14ac:dyDescent="0.2">
      <c r="B371" s="8">
        <v>47122</v>
      </c>
      <c r="C371" s="9">
        <v>4.9013600000000002E-7</v>
      </c>
      <c r="D371" s="8" t="s">
        <v>1287</v>
      </c>
      <c r="E371" s="1">
        <v>0.52900000000000003</v>
      </c>
      <c r="F371" s="1">
        <f t="shared" si="15"/>
        <v>1.3102971277125619</v>
      </c>
      <c r="G371" s="1">
        <f t="shared" si="16"/>
        <v>4466926036.0335436</v>
      </c>
      <c r="H371" s="1">
        <f t="shared" si="17"/>
        <v>0</v>
      </c>
      <c r="K371">
        <f>VLOOKUP(B371,Nuclides!A:C,2,FALSE)</f>
        <v>75</v>
      </c>
      <c r="L371">
        <f>VLOOKUP(B371,Nuclides!A:C,3,FALSE)</f>
        <v>47</v>
      </c>
      <c r="O371" s="1">
        <v>44109</v>
      </c>
      <c r="P371" s="1">
        <v>2.1755300000000002E-6</v>
      </c>
      <c r="Q371" t="s">
        <v>1166</v>
      </c>
      <c r="R371">
        <v>65</v>
      </c>
      <c r="S371">
        <v>44</v>
      </c>
      <c r="T371">
        <f>VLOOKUP(O371,Nuclides!A:D,4,FALSE)</f>
        <v>34.5</v>
      </c>
    </row>
    <row r="372" spans="2:20" x14ac:dyDescent="0.2">
      <c r="B372" s="8">
        <v>47123</v>
      </c>
      <c r="C372" s="9">
        <v>3.1395999999999999E-7</v>
      </c>
      <c r="D372" s="8" t="s">
        <v>1288</v>
      </c>
      <c r="E372" s="1">
        <v>0.3</v>
      </c>
      <c r="F372" s="1">
        <f t="shared" si="15"/>
        <v>2.3104906018664844</v>
      </c>
      <c r="G372" s="1">
        <f t="shared" si="16"/>
        <v>3529484061.26477</v>
      </c>
      <c r="H372" s="1">
        <f t="shared" si="17"/>
        <v>0</v>
      </c>
      <c r="K372">
        <f>VLOOKUP(B372,Nuclides!A:C,2,FALSE)</f>
        <v>76</v>
      </c>
      <c r="L372">
        <f>VLOOKUP(B372,Nuclides!A:C,3,FALSE)</f>
        <v>47</v>
      </c>
      <c r="O372" s="1">
        <v>44110</v>
      </c>
      <c r="P372" s="1">
        <v>3.2726400000000001E-6</v>
      </c>
      <c r="Q372" t="s">
        <v>1167</v>
      </c>
      <c r="R372">
        <v>66</v>
      </c>
      <c r="S372">
        <v>44</v>
      </c>
      <c r="T372">
        <f>VLOOKUP(O372,Nuclides!A:D,4,FALSE)</f>
        <v>11.6</v>
      </c>
    </row>
    <row r="373" spans="2:20" x14ac:dyDescent="0.2">
      <c r="B373" s="8">
        <v>48097</v>
      </c>
      <c r="C373" s="9">
        <v>1.47627E-7</v>
      </c>
      <c r="D373" s="8" t="s">
        <v>1299</v>
      </c>
      <c r="E373" s="1">
        <v>1.1000000000000001</v>
      </c>
      <c r="F373" s="1">
        <f t="shared" si="15"/>
        <v>0.63013380050904111</v>
      </c>
      <c r="G373" s="1">
        <f t="shared" si="16"/>
        <v>861277117.51689899</v>
      </c>
      <c r="H373" s="1">
        <f t="shared" si="17"/>
        <v>0</v>
      </c>
      <c r="K373">
        <f>VLOOKUP(B373,Nuclides!A:C,2,FALSE)</f>
        <v>49</v>
      </c>
      <c r="L373">
        <f>VLOOKUP(B373,Nuclides!A:C,3,FALSE)</f>
        <v>48</v>
      </c>
      <c r="O373" s="1">
        <v>44111</v>
      </c>
      <c r="P373" s="1">
        <v>1.89996E-6</v>
      </c>
      <c r="Q373" t="s">
        <v>1168</v>
      </c>
      <c r="R373">
        <v>67</v>
      </c>
      <c r="S373">
        <v>44</v>
      </c>
      <c r="T373">
        <f>VLOOKUP(O373,Nuclides!A:D,4,FALSE)</f>
        <v>2.12</v>
      </c>
    </row>
    <row r="374" spans="2:20" x14ac:dyDescent="0.2">
      <c r="B374" s="8">
        <v>48098</v>
      </c>
      <c r="C374" s="9">
        <v>8.3550599999999996E-8</v>
      </c>
      <c r="D374" s="8" t="s">
        <v>1300</v>
      </c>
      <c r="E374" s="1">
        <v>9.1999999999999993</v>
      </c>
      <c r="F374" s="1">
        <f t="shared" si="15"/>
        <v>7.5342084843472323E-2</v>
      </c>
      <c r="G374" s="1">
        <f t="shared" si="16"/>
        <v>75673562.494253442</v>
      </c>
      <c r="H374" s="1">
        <f t="shared" si="17"/>
        <v>0</v>
      </c>
      <c r="K374">
        <f>VLOOKUP(B374,Nuclides!A:C,2,FALSE)</f>
        <v>50</v>
      </c>
      <c r="L374">
        <f>VLOOKUP(B374,Nuclides!A:C,3,FALSE)</f>
        <v>48</v>
      </c>
      <c r="O374" s="1">
        <v>44112</v>
      </c>
      <c r="P374" s="1">
        <v>2.14042E-6</v>
      </c>
      <c r="Q374" t="s">
        <v>1169</v>
      </c>
      <c r="R374">
        <v>68</v>
      </c>
      <c r="S374">
        <v>44</v>
      </c>
      <c r="T374">
        <f>VLOOKUP(O374,Nuclides!A:D,4,FALSE)</f>
        <v>1.75</v>
      </c>
    </row>
    <row r="375" spans="2:20" x14ac:dyDescent="0.2">
      <c r="B375" s="8">
        <v>48099</v>
      </c>
      <c r="C375" s="9">
        <v>2.4220600000000001E-8</v>
      </c>
      <c r="D375" s="8" t="s">
        <v>1301</v>
      </c>
      <c r="E375" s="1">
        <v>16</v>
      </c>
      <c r="F375" s="1">
        <f t="shared" si="15"/>
        <v>4.332169878499658E-2</v>
      </c>
      <c r="G375" s="1">
        <f t="shared" si="16"/>
        <v>12815387.26431133</v>
      </c>
      <c r="H375" s="1">
        <f t="shared" si="17"/>
        <v>0</v>
      </c>
      <c r="K375">
        <f>VLOOKUP(B375,Nuclides!A:C,2,FALSE)</f>
        <v>51</v>
      </c>
      <c r="L375">
        <f>VLOOKUP(B375,Nuclides!A:C,3,FALSE)</f>
        <v>48</v>
      </c>
      <c r="O375" s="1">
        <v>44113</v>
      </c>
      <c r="P375" s="1">
        <v>9.75315E-7</v>
      </c>
      <c r="Q375" t="s">
        <v>1170</v>
      </c>
      <c r="R375">
        <v>69</v>
      </c>
      <c r="S375">
        <v>44</v>
      </c>
      <c r="T375">
        <f>VLOOKUP(O375,Nuclides!A:D,4,FALSE)</f>
        <v>0.8</v>
      </c>
    </row>
    <row r="376" spans="2:20" x14ac:dyDescent="0.2">
      <c r="B376" s="8">
        <v>48100</v>
      </c>
      <c r="C376" s="9">
        <v>1.10982E-8</v>
      </c>
      <c r="D376" s="8" t="s">
        <v>1302</v>
      </c>
      <c r="E376" s="1">
        <v>49.1</v>
      </c>
      <c r="F376" s="1">
        <f t="shared" si="15"/>
        <v>1.4117050520569149E-2</v>
      </c>
      <c r="G376" s="1">
        <f t="shared" si="16"/>
        <v>1941552.9044569856</v>
      </c>
      <c r="H376" s="1">
        <f t="shared" si="17"/>
        <v>0</v>
      </c>
      <c r="K376">
        <f>VLOOKUP(B376,Nuclides!A:C,2,FALSE)</f>
        <v>52</v>
      </c>
      <c r="L376">
        <f>VLOOKUP(B376,Nuclides!A:C,3,FALSE)</f>
        <v>48</v>
      </c>
      <c r="O376" s="1">
        <v>45094</v>
      </c>
      <c r="P376" s="1">
        <v>8.05352E-7</v>
      </c>
      <c r="Q376" t="s">
        <v>1187</v>
      </c>
      <c r="R376">
        <v>49</v>
      </c>
      <c r="S376">
        <v>45</v>
      </c>
      <c r="T376">
        <f>VLOOKUP(O376,Nuclides!A:D,4,FALSE)</f>
        <v>66</v>
      </c>
    </row>
    <row r="377" spans="2:20" x14ac:dyDescent="0.2">
      <c r="B377" s="8">
        <v>48101</v>
      </c>
      <c r="C377" s="9">
        <v>2.8618000000000002E-9</v>
      </c>
      <c r="D377" s="8" t="s">
        <v>1303</v>
      </c>
      <c r="E377" s="1">
        <v>81.599999999999994</v>
      </c>
      <c r="F377" s="1">
        <f t="shared" si="15"/>
        <v>8.494450742156193E-3</v>
      </c>
      <c r="G377" s="1">
        <f t="shared" si="16"/>
        <v>302096.66168774042</v>
      </c>
      <c r="H377" s="1">
        <f t="shared" si="17"/>
        <v>0</v>
      </c>
      <c r="K377">
        <f>VLOOKUP(B377,Nuclides!A:C,2,FALSE)</f>
        <v>53</v>
      </c>
      <c r="L377">
        <f>VLOOKUP(B377,Nuclides!A:C,3,FALSE)</f>
        <v>48</v>
      </c>
      <c r="O377" s="1">
        <v>45095</v>
      </c>
      <c r="P377" s="1">
        <v>3.7461700000000003E-7</v>
      </c>
      <c r="Q377" t="s">
        <v>1188</v>
      </c>
      <c r="R377">
        <v>50</v>
      </c>
      <c r="S377">
        <v>45</v>
      </c>
      <c r="T377">
        <f>VLOOKUP(O377,Nuclides!A:D,4,FALSE)</f>
        <v>301.2</v>
      </c>
    </row>
    <row r="378" spans="2:20" x14ac:dyDescent="0.2">
      <c r="B378" s="8">
        <v>48102</v>
      </c>
      <c r="C378" s="9">
        <v>8.3759999999999998E-10</v>
      </c>
      <c r="D378" s="8" t="s">
        <v>1304</v>
      </c>
      <c r="E378" s="1">
        <v>330</v>
      </c>
      <c r="F378" s="1">
        <f t="shared" si="15"/>
        <v>2.1004460016968039E-3</v>
      </c>
      <c r="G378" s="1">
        <f t="shared" si="16"/>
        <v>21933.439899312845</v>
      </c>
      <c r="H378" s="1">
        <f t="shared" si="17"/>
        <v>0</v>
      </c>
      <c r="K378">
        <f>VLOOKUP(B378,Nuclides!A:C,2,FALSE)</f>
        <v>54</v>
      </c>
      <c r="L378">
        <f>VLOOKUP(B378,Nuclides!A:C,3,FALSE)</f>
        <v>48</v>
      </c>
      <c r="O378" s="1">
        <v>45096</v>
      </c>
      <c r="P378" s="1">
        <v>1.0100100000000001E-7</v>
      </c>
      <c r="Q378" t="s">
        <v>1189</v>
      </c>
      <c r="R378">
        <v>51</v>
      </c>
      <c r="S378">
        <v>45</v>
      </c>
      <c r="T378">
        <f>VLOOKUP(O378,Nuclides!A:D,4,FALSE)</f>
        <v>594</v>
      </c>
    </row>
    <row r="379" spans="2:20" x14ac:dyDescent="0.2">
      <c r="B379" s="8">
        <v>48103</v>
      </c>
      <c r="C379" s="9">
        <v>2.094E-10</v>
      </c>
      <c r="D379" s="8" t="s">
        <v>1305</v>
      </c>
      <c r="E379" s="1">
        <v>438</v>
      </c>
      <c r="F379" s="1">
        <f t="shared" si="15"/>
        <v>1.582527809497592E-3</v>
      </c>
      <c r="G379" s="1">
        <f t="shared" si="16"/>
        <v>4132.3682586263831</v>
      </c>
      <c r="H379" s="1">
        <f t="shared" si="17"/>
        <v>0</v>
      </c>
      <c r="K379">
        <f>VLOOKUP(B379,Nuclides!A:C,2,FALSE)</f>
        <v>55</v>
      </c>
      <c r="L379">
        <f>VLOOKUP(B379,Nuclides!A:C,3,FALSE)</f>
        <v>48</v>
      </c>
      <c r="O379" s="1">
        <v>45097</v>
      </c>
      <c r="P379" s="1">
        <v>2.25454E-8</v>
      </c>
      <c r="Q379" t="s">
        <v>1190</v>
      </c>
      <c r="R379">
        <v>52</v>
      </c>
      <c r="S379">
        <v>45</v>
      </c>
      <c r="T379">
        <f>VLOOKUP(O379,Nuclides!A:D,4,FALSE)</f>
        <v>1842</v>
      </c>
    </row>
    <row r="380" spans="2:20" x14ac:dyDescent="0.2">
      <c r="B380" s="8">
        <v>48104</v>
      </c>
      <c r="C380" s="9">
        <v>6.9799999999999994E-11</v>
      </c>
      <c r="D380" s="8" t="s">
        <v>1306</v>
      </c>
      <c r="E380" s="1">
        <v>3462</v>
      </c>
      <c r="F380" s="1">
        <f t="shared" si="15"/>
        <v>2.002158233853106E-4</v>
      </c>
      <c r="G380" s="1">
        <f t="shared" si="16"/>
        <v>174.39134607823149</v>
      </c>
      <c r="H380" s="1">
        <f t="shared" si="17"/>
        <v>0</v>
      </c>
      <c r="K380">
        <f>VLOOKUP(B380,Nuclides!A:C,2,FALSE)</f>
        <v>56</v>
      </c>
      <c r="L380">
        <f>VLOOKUP(B380,Nuclides!A:C,3,FALSE)</f>
        <v>48</v>
      </c>
      <c r="O380" s="1">
        <v>45098</v>
      </c>
      <c r="P380" s="1">
        <v>1.1307599999999999E-8</v>
      </c>
      <c r="Q380" t="s">
        <v>1191</v>
      </c>
      <c r="R380">
        <v>53</v>
      </c>
      <c r="S380">
        <v>45</v>
      </c>
      <c r="T380">
        <f>VLOOKUP(O380,Nuclides!A:D,4,FALSE)</f>
        <v>523.20000000000005</v>
      </c>
    </row>
    <row r="381" spans="2:20" x14ac:dyDescent="0.2">
      <c r="B381" s="8">
        <v>48113</v>
      </c>
      <c r="C381" s="9">
        <v>1.3959999999999999E-10</v>
      </c>
      <c r="D381" s="8" t="s">
        <v>1315</v>
      </c>
      <c r="E381" s="1">
        <v>2.5246080000000001E+23</v>
      </c>
      <c r="F381" s="1">
        <f t="shared" si="15"/>
        <v>2.7455635907037657E-24</v>
      </c>
      <c r="G381" s="1">
        <f t="shared" si="16"/>
        <v>0</v>
      </c>
      <c r="H381" s="1">
        <f t="shared" si="17"/>
        <v>0</v>
      </c>
      <c r="K381">
        <f>VLOOKUP(B381,Nuclides!A:C,2,FALSE)</f>
        <v>65</v>
      </c>
      <c r="L381">
        <f>VLOOKUP(B381,Nuclides!A:C,3,FALSE)</f>
        <v>48</v>
      </c>
      <c r="O381" s="1">
        <v>45099</v>
      </c>
      <c r="P381" s="1">
        <v>2.1637999999999999E-9</v>
      </c>
      <c r="Q381" t="s">
        <v>1192</v>
      </c>
      <c r="R381">
        <v>54</v>
      </c>
      <c r="S381">
        <v>45</v>
      </c>
      <c r="T381">
        <f>VLOOKUP(O381,Nuclides!A:D,4,FALSE)</f>
        <v>1391040</v>
      </c>
    </row>
    <row r="382" spans="2:20" x14ac:dyDescent="0.2">
      <c r="B382" s="8">
        <v>48114</v>
      </c>
      <c r="C382" s="9">
        <v>2.3732E-9</v>
      </c>
      <c r="D382" s="8" t="s">
        <v>1316</v>
      </c>
      <c r="E382" s="1">
        <v>6.627096E+25</v>
      </c>
      <c r="F382" s="1">
        <f t="shared" si="15"/>
        <v>1.045928986934768E-26</v>
      </c>
      <c r="G382" s="1">
        <f t="shared" si="16"/>
        <v>0</v>
      </c>
      <c r="H382" s="1">
        <f t="shared" si="17"/>
        <v>0</v>
      </c>
      <c r="K382">
        <f>VLOOKUP(B382,Nuclides!A:C,2,FALSE)</f>
        <v>66</v>
      </c>
      <c r="L382">
        <f>VLOOKUP(B382,Nuclides!A:C,3,FALSE)</f>
        <v>48</v>
      </c>
      <c r="O382" s="1">
        <v>45100</v>
      </c>
      <c r="P382" s="1">
        <v>1.4658E-9</v>
      </c>
      <c r="Q382" t="s">
        <v>1193</v>
      </c>
      <c r="R382">
        <v>55</v>
      </c>
      <c r="S382">
        <v>45</v>
      </c>
      <c r="T382">
        <f>VLOOKUP(O382,Nuclides!A:D,4,FALSE)</f>
        <v>74880</v>
      </c>
    </row>
    <row r="383" spans="2:20" x14ac:dyDescent="0.2">
      <c r="B383" s="8">
        <v>48115</v>
      </c>
      <c r="C383" s="9">
        <v>8.3061999999999993E-9</v>
      </c>
      <c r="D383" s="8" t="s">
        <v>1317</v>
      </c>
      <c r="E383" s="1">
        <v>192456</v>
      </c>
      <c r="F383" s="1">
        <f t="shared" si="15"/>
        <v>3.6015877944046708E-6</v>
      </c>
      <c r="G383" s="1">
        <f t="shared" si="16"/>
        <v>373.34487424019125</v>
      </c>
      <c r="H383" s="1">
        <f t="shared" si="17"/>
        <v>1.7582680721864862E-47</v>
      </c>
      <c r="K383">
        <f>VLOOKUP(B383,Nuclides!A:C,2,FALSE)</f>
        <v>67</v>
      </c>
      <c r="L383">
        <f>VLOOKUP(B383,Nuclides!A:C,3,FALSE)</f>
        <v>48</v>
      </c>
      <c r="O383" s="1">
        <v>45101</v>
      </c>
      <c r="P383" s="1">
        <v>4.1879999999999999E-10</v>
      </c>
      <c r="Q383" t="s">
        <v>1194</v>
      </c>
      <c r="R383">
        <v>56</v>
      </c>
      <c r="S383">
        <v>45</v>
      </c>
      <c r="T383">
        <f>VLOOKUP(O383,Nuclides!A:D,4,FALSE)</f>
        <v>104140080</v>
      </c>
    </row>
    <row r="384" spans="2:20" x14ac:dyDescent="0.2">
      <c r="B384" s="8">
        <v>48116</v>
      </c>
      <c r="C384" s="9">
        <v>4.6975399999999997E-8</v>
      </c>
      <c r="D384" s="8" t="s">
        <v>1318</v>
      </c>
      <c r="E384" s="1">
        <v>1.0414008E+27</v>
      </c>
      <c r="F384" s="1">
        <f t="shared" si="15"/>
        <v>6.6559117350394328E-28</v>
      </c>
      <c r="G384" s="1">
        <f t="shared" si="16"/>
        <v>0</v>
      </c>
      <c r="H384" s="1">
        <f t="shared" si="17"/>
        <v>0</v>
      </c>
      <c r="K384">
        <f>VLOOKUP(B384,Nuclides!A:C,2,FALSE)</f>
        <v>68</v>
      </c>
      <c r="L384">
        <f>VLOOKUP(B384,Nuclides!A:C,3,FALSE)</f>
        <v>48</v>
      </c>
      <c r="O384" s="1">
        <v>45105</v>
      </c>
      <c r="P384" s="1">
        <v>2.094E-10</v>
      </c>
      <c r="Q384" t="s">
        <v>1198</v>
      </c>
      <c r="R384">
        <v>60</v>
      </c>
      <c r="S384">
        <v>45</v>
      </c>
      <c r="T384">
        <f>VLOOKUP(O384,Nuclides!A:D,4,FALSE)</f>
        <v>127296</v>
      </c>
    </row>
    <row r="385" spans="2:20" x14ac:dyDescent="0.2">
      <c r="B385" s="8">
        <v>48117</v>
      </c>
      <c r="C385" s="9">
        <v>1.03513E-7</v>
      </c>
      <c r="D385" s="8" t="s">
        <v>1319</v>
      </c>
      <c r="E385" s="1">
        <v>8964</v>
      </c>
      <c r="F385" s="1">
        <f t="shared" si="15"/>
        <v>7.7325656019627993E-5</v>
      </c>
      <c r="G385" s="1">
        <f t="shared" si="16"/>
        <v>99888.686652915072</v>
      </c>
      <c r="H385" s="1">
        <f t="shared" si="17"/>
        <v>0</v>
      </c>
      <c r="K385">
        <f>VLOOKUP(B385,Nuclides!A:C,2,FALSE)</f>
        <v>69</v>
      </c>
      <c r="L385">
        <f>VLOOKUP(B385,Nuclides!A:C,3,FALSE)</f>
        <v>48</v>
      </c>
      <c r="O385" s="1">
        <v>45106</v>
      </c>
      <c r="P385" s="1">
        <v>1.3959999999999999E-9</v>
      </c>
      <c r="Q385" t="s">
        <v>1199</v>
      </c>
      <c r="R385">
        <v>61</v>
      </c>
      <c r="S385">
        <v>45</v>
      </c>
      <c r="T385">
        <f>VLOOKUP(O385,Nuclides!A:D,4,FALSE)</f>
        <v>30.07</v>
      </c>
    </row>
    <row r="386" spans="2:20" x14ac:dyDescent="0.2">
      <c r="B386" s="8">
        <v>48118</v>
      </c>
      <c r="C386" s="9">
        <v>3.1500699999999998E-7</v>
      </c>
      <c r="D386" s="8" t="s">
        <v>1320</v>
      </c>
      <c r="E386" s="1">
        <v>3018</v>
      </c>
      <c r="F386" s="1">
        <f t="shared" si="15"/>
        <v>2.2967103398275192E-4</v>
      </c>
      <c r="G386" s="1">
        <f t="shared" si="16"/>
        <v>902799.1554785039</v>
      </c>
      <c r="H386" s="1">
        <f t="shared" si="17"/>
        <v>0</v>
      </c>
      <c r="K386">
        <f>VLOOKUP(B386,Nuclides!A:C,2,FALSE)</f>
        <v>70</v>
      </c>
      <c r="L386">
        <f>VLOOKUP(B386,Nuclides!A:C,3,FALSE)</f>
        <v>48</v>
      </c>
      <c r="O386" s="1">
        <v>45107</v>
      </c>
      <c r="P386" s="1">
        <v>1.5705000000000001E-8</v>
      </c>
      <c r="Q386" t="s">
        <v>1200</v>
      </c>
      <c r="R386">
        <v>62</v>
      </c>
      <c r="S386">
        <v>45</v>
      </c>
      <c r="T386">
        <f>VLOOKUP(O386,Nuclides!A:D,4,FALSE)</f>
        <v>1302</v>
      </c>
    </row>
    <row r="387" spans="2:20" x14ac:dyDescent="0.2">
      <c r="B387" s="8">
        <v>48119</v>
      </c>
      <c r="C387" s="9">
        <v>4.4804599999999999E-7</v>
      </c>
      <c r="D387" s="8" t="s">
        <v>1321</v>
      </c>
      <c r="E387" s="1">
        <v>161.4</v>
      </c>
      <c r="F387" s="1">
        <f t="shared" si="15"/>
        <v>4.2945921967778517E-3</v>
      </c>
      <c r="G387" s="1">
        <f t="shared" si="16"/>
        <v>23962211.40335279</v>
      </c>
      <c r="H387" s="1">
        <f t="shared" si="17"/>
        <v>0</v>
      </c>
      <c r="K387">
        <f>VLOOKUP(B387,Nuclides!A:C,2,FALSE)</f>
        <v>71</v>
      </c>
      <c r="L387">
        <f>VLOOKUP(B387,Nuclides!A:C,3,FALSE)</f>
        <v>48</v>
      </c>
      <c r="O387" s="1">
        <v>45108</v>
      </c>
      <c r="P387" s="1">
        <v>5.73058E-8</v>
      </c>
      <c r="Q387" t="s">
        <v>1201</v>
      </c>
      <c r="R387">
        <v>63</v>
      </c>
      <c r="S387">
        <v>45</v>
      </c>
      <c r="T387">
        <f>VLOOKUP(O387,Nuclides!A:D,4,FALSE)</f>
        <v>16.8</v>
      </c>
    </row>
    <row r="388" spans="2:20" x14ac:dyDescent="0.2">
      <c r="B388" s="8">
        <v>48120</v>
      </c>
      <c r="C388" s="9">
        <v>9.0083900000000004E-7</v>
      </c>
      <c r="D388" s="8" t="s">
        <v>1322</v>
      </c>
      <c r="E388" s="1">
        <v>50.8</v>
      </c>
      <c r="F388" s="1">
        <f t="shared" ref="F388:F451" si="18">LN(2)/E388</f>
        <v>1.3644629538581601E-2</v>
      </c>
      <c r="G388" s="1">
        <f t="shared" ref="G388:G451" si="19">2*6240000000000000*C388*(1-EXP(-F388))</f>
        <v>152357553.11964935</v>
      </c>
      <c r="H388" s="1">
        <f t="shared" ref="H388:H451" si="20">G388*EXP(-F388*365*24*3600)</f>
        <v>0</v>
      </c>
      <c r="K388">
        <f>VLOOKUP(B388,Nuclides!A:C,2,FALSE)</f>
        <v>72</v>
      </c>
      <c r="L388">
        <f>VLOOKUP(B388,Nuclides!A:C,3,FALSE)</f>
        <v>48</v>
      </c>
      <c r="O388" s="1">
        <v>45109</v>
      </c>
      <c r="P388" s="1">
        <v>2.6607800000000001E-7</v>
      </c>
      <c r="Q388" t="s">
        <v>1202</v>
      </c>
      <c r="R388">
        <v>64</v>
      </c>
      <c r="S388">
        <v>45</v>
      </c>
      <c r="T388">
        <f>VLOOKUP(O388,Nuclides!A:D,4,FALSE)</f>
        <v>80</v>
      </c>
    </row>
    <row r="389" spans="2:20" x14ac:dyDescent="0.2">
      <c r="B389" s="8">
        <v>48121</v>
      </c>
      <c r="C389" s="9">
        <v>9.6463599999999998E-7</v>
      </c>
      <c r="D389" s="8" t="s">
        <v>1323</v>
      </c>
      <c r="E389" s="1">
        <v>13.5</v>
      </c>
      <c r="F389" s="1">
        <f t="shared" si="18"/>
        <v>5.1344235597032988E-2</v>
      </c>
      <c r="G389" s="1">
        <f t="shared" si="19"/>
        <v>602515449.73533213</v>
      </c>
      <c r="H389" s="1">
        <f t="shared" si="20"/>
        <v>0</v>
      </c>
      <c r="K389">
        <f>VLOOKUP(B389,Nuclides!A:C,2,FALSE)</f>
        <v>73</v>
      </c>
      <c r="L389">
        <f>VLOOKUP(B389,Nuclides!A:C,3,FALSE)</f>
        <v>48</v>
      </c>
      <c r="O389" s="1">
        <v>45110</v>
      </c>
      <c r="P389" s="1">
        <v>5.1610100000000005E-7</v>
      </c>
      <c r="Q389" t="s">
        <v>1203</v>
      </c>
      <c r="R389">
        <v>65</v>
      </c>
      <c r="S389">
        <v>45</v>
      </c>
      <c r="T389">
        <f>VLOOKUP(O389,Nuclides!A:D,4,FALSE)</f>
        <v>28.5</v>
      </c>
    </row>
    <row r="390" spans="2:20" x14ac:dyDescent="0.2">
      <c r="B390" s="8">
        <v>48122</v>
      </c>
      <c r="C390" s="9">
        <v>1.2531900000000001E-6</v>
      </c>
      <c r="D390" s="8" t="s">
        <v>1324</v>
      </c>
      <c r="E390" s="1">
        <v>5.24</v>
      </c>
      <c r="F390" s="1">
        <f t="shared" si="18"/>
        <v>0.1322799962900659</v>
      </c>
      <c r="G390" s="1">
        <f t="shared" si="19"/>
        <v>1937840528.2463052</v>
      </c>
      <c r="H390" s="1">
        <f t="shared" si="20"/>
        <v>0</v>
      </c>
      <c r="K390">
        <f>VLOOKUP(B390,Nuclides!A:C,2,FALSE)</f>
        <v>74</v>
      </c>
      <c r="L390">
        <f>VLOOKUP(B390,Nuclides!A:C,3,FALSE)</f>
        <v>48</v>
      </c>
      <c r="O390" s="1">
        <v>45111</v>
      </c>
      <c r="P390" s="1">
        <v>1.0692000000000001E-6</v>
      </c>
      <c r="Q390" t="s">
        <v>1204</v>
      </c>
      <c r="R390">
        <v>66</v>
      </c>
      <c r="S390">
        <v>45</v>
      </c>
      <c r="T390">
        <f>VLOOKUP(O390,Nuclides!A:D,4,FALSE)</f>
        <v>11</v>
      </c>
    </row>
    <row r="391" spans="2:20" x14ac:dyDescent="0.2">
      <c r="B391" s="8">
        <v>48123</v>
      </c>
      <c r="C391" s="9">
        <v>1.0122400000000001E-6</v>
      </c>
      <c r="D391" s="8" t="s">
        <v>1325</v>
      </c>
      <c r="E391" s="1">
        <v>2.1</v>
      </c>
      <c r="F391" s="1">
        <f t="shared" si="18"/>
        <v>0.3300700859809263</v>
      </c>
      <c r="G391" s="1">
        <f t="shared" si="19"/>
        <v>3551404165.7843113</v>
      </c>
      <c r="H391" s="1">
        <f t="shared" si="20"/>
        <v>0</v>
      </c>
      <c r="K391">
        <f>VLOOKUP(B391,Nuclides!A:C,2,FALSE)</f>
        <v>75</v>
      </c>
      <c r="L391">
        <f>VLOOKUP(B391,Nuclides!A:C,3,FALSE)</f>
        <v>48</v>
      </c>
      <c r="O391" s="1">
        <v>45112</v>
      </c>
      <c r="P391" s="1">
        <v>1.32885E-6</v>
      </c>
      <c r="Q391" t="s">
        <v>1205</v>
      </c>
      <c r="R391">
        <v>67</v>
      </c>
      <c r="S391">
        <v>45</v>
      </c>
      <c r="T391">
        <f>VLOOKUP(O391,Nuclides!A:D,4,FALSE)</f>
        <v>3.6</v>
      </c>
    </row>
    <row r="392" spans="2:20" x14ac:dyDescent="0.2">
      <c r="B392" s="8">
        <v>48124</v>
      </c>
      <c r="C392" s="9">
        <v>9.6309999999999994E-7</v>
      </c>
      <c r="D392" s="8" t="s">
        <v>1326</v>
      </c>
      <c r="E392" s="1">
        <v>1.25</v>
      </c>
      <c r="F392" s="1">
        <f t="shared" si="18"/>
        <v>0.55451774444795621</v>
      </c>
      <c r="G392" s="1">
        <f t="shared" si="19"/>
        <v>5116104953.2466984</v>
      </c>
      <c r="H392" s="1">
        <f t="shared" si="20"/>
        <v>0</v>
      </c>
      <c r="K392">
        <f>VLOOKUP(B392,Nuclides!A:C,2,FALSE)</f>
        <v>76</v>
      </c>
      <c r="L392">
        <f>VLOOKUP(B392,Nuclides!A:C,3,FALSE)</f>
        <v>48</v>
      </c>
      <c r="O392" s="1">
        <v>45113</v>
      </c>
      <c r="P392" s="1">
        <v>1.9180999999999999E-6</v>
      </c>
      <c r="Q392" t="s">
        <v>1206</v>
      </c>
      <c r="R392">
        <v>68</v>
      </c>
      <c r="S392">
        <v>45</v>
      </c>
      <c r="T392">
        <f>VLOOKUP(O392,Nuclides!A:D,4,FALSE)</f>
        <v>2.8</v>
      </c>
    </row>
    <row r="393" spans="2:20" x14ac:dyDescent="0.2">
      <c r="B393" s="8">
        <v>48125</v>
      </c>
      <c r="C393" s="9">
        <v>6.6617100000000002E-7</v>
      </c>
      <c r="D393" s="8" t="s">
        <v>1327</v>
      </c>
      <c r="E393" s="1">
        <v>0.68</v>
      </c>
      <c r="F393" s="1">
        <f t="shared" si="18"/>
        <v>1.019334089058743</v>
      </c>
      <c r="G393" s="1">
        <f t="shared" si="19"/>
        <v>5313897777.1132565</v>
      </c>
      <c r="H393" s="1">
        <f t="shared" si="20"/>
        <v>0</v>
      </c>
      <c r="K393">
        <f>VLOOKUP(B393,Nuclides!A:C,2,FALSE)</f>
        <v>77</v>
      </c>
      <c r="L393">
        <f>VLOOKUP(B393,Nuclides!A:C,3,FALSE)</f>
        <v>48</v>
      </c>
      <c r="O393" s="1">
        <v>45114</v>
      </c>
      <c r="P393" s="1">
        <v>1.32948E-6</v>
      </c>
      <c r="Q393" t="s">
        <v>1207</v>
      </c>
      <c r="R393">
        <v>69</v>
      </c>
      <c r="S393">
        <v>45</v>
      </c>
      <c r="T393">
        <f>VLOOKUP(O393,Nuclides!A:D,4,FALSE)</f>
        <v>1.85</v>
      </c>
    </row>
    <row r="394" spans="2:20" x14ac:dyDescent="0.2">
      <c r="B394" s="8">
        <v>48126</v>
      </c>
      <c r="C394" s="9">
        <v>5.5749299999999997E-7</v>
      </c>
      <c r="D394" s="8" t="s">
        <v>1328</v>
      </c>
      <c r="E394" s="1">
        <v>0.51500000000000001</v>
      </c>
      <c r="F394" s="1">
        <f t="shared" si="18"/>
        <v>1.3459168554562044</v>
      </c>
      <c r="G394" s="1">
        <f t="shared" si="19"/>
        <v>5146465559.1772547</v>
      </c>
      <c r="H394" s="1">
        <f t="shared" si="20"/>
        <v>0</v>
      </c>
      <c r="K394">
        <f>VLOOKUP(B394,Nuclides!A:C,2,FALSE)</f>
        <v>78</v>
      </c>
      <c r="L394">
        <f>VLOOKUP(B394,Nuclides!A:C,3,FALSE)</f>
        <v>48</v>
      </c>
      <c r="O394" s="1">
        <v>46096</v>
      </c>
      <c r="P394" s="1">
        <v>1.2134000000000001E-6</v>
      </c>
      <c r="Q394" t="s">
        <v>1226</v>
      </c>
      <c r="R394">
        <v>50</v>
      </c>
      <c r="S394">
        <v>46</v>
      </c>
      <c r="T394">
        <f>VLOOKUP(O394,Nuclides!A:D,4,FALSE)</f>
        <v>122</v>
      </c>
    </row>
    <row r="395" spans="2:20" x14ac:dyDescent="0.2">
      <c r="B395" s="8">
        <v>49100</v>
      </c>
      <c r="C395" s="9">
        <v>3.8620299999999998E-7</v>
      </c>
      <c r="D395" s="8" t="s">
        <v>1339</v>
      </c>
      <c r="E395" s="1">
        <v>5.8</v>
      </c>
      <c r="F395" s="1">
        <f t="shared" si="18"/>
        <v>0.11950813457930091</v>
      </c>
      <c r="G395" s="1">
        <f t="shared" si="19"/>
        <v>542919259.81784987</v>
      </c>
      <c r="H395" s="1">
        <f t="shared" si="20"/>
        <v>0</v>
      </c>
      <c r="K395">
        <f>VLOOKUP(B395,Nuclides!A:C,2,FALSE)</f>
        <v>51</v>
      </c>
      <c r="L395">
        <f>VLOOKUP(B395,Nuclides!A:C,3,FALSE)</f>
        <v>49</v>
      </c>
      <c r="O395" s="1">
        <v>46097</v>
      </c>
      <c r="P395" s="1">
        <v>6.0237399999999996E-7</v>
      </c>
      <c r="Q395" t="s">
        <v>1227</v>
      </c>
      <c r="R395">
        <v>51</v>
      </c>
      <c r="S395">
        <v>46</v>
      </c>
      <c r="T395">
        <f>VLOOKUP(O395,Nuclides!A:D,4,FALSE)</f>
        <v>186</v>
      </c>
    </row>
    <row r="396" spans="2:20" x14ac:dyDescent="0.2">
      <c r="B396" s="8">
        <v>49101</v>
      </c>
      <c r="C396" s="9">
        <v>2.7843199999999999E-7</v>
      </c>
      <c r="D396" s="8" t="s">
        <v>1340</v>
      </c>
      <c r="E396" s="1">
        <v>15.1</v>
      </c>
      <c r="F396" s="1">
        <f t="shared" si="18"/>
        <v>4.5903786792049359E-2</v>
      </c>
      <c r="G396" s="1">
        <f t="shared" si="19"/>
        <v>155902290.21214506</v>
      </c>
      <c r="H396" s="1">
        <f t="shared" si="20"/>
        <v>0</v>
      </c>
      <c r="K396">
        <f>VLOOKUP(B396,Nuclides!A:C,2,FALSE)</f>
        <v>52</v>
      </c>
      <c r="L396">
        <f>VLOOKUP(B396,Nuclides!A:C,3,FALSE)</f>
        <v>49</v>
      </c>
      <c r="O396" s="1">
        <v>46098</v>
      </c>
      <c r="P396" s="1">
        <v>4.8413300000000001E-7</v>
      </c>
      <c r="Q396" t="s">
        <v>1228</v>
      </c>
      <c r="R396">
        <v>52</v>
      </c>
      <c r="S396">
        <v>46</v>
      </c>
      <c r="T396">
        <f>VLOOKUP(O396,Nuclides!A:D,4,FALSE)</f>
        <v>1062</v>
      </c>
    </row>
    <row r="397" spans="2:20" x14ac:dyDescent="0.2">
      <c r="B397" s="8">
        <v>49102</v>
      </c>
      <c r="C397" s="9">
        <v>1.26129E-7</v>
      </c>
      <c r="D397" s="8" t="s">
        <v>1341</v>
      </c>
      <c r="E397" s="1">
        <v>23.3</v>
      </c>
      <c r="F397" s="1">
        <f t="shared" si="18"/>
        <v>2.9748806032615677E-2</v>
      </c>
      <c r="G397" s="1">
        <f t="shared" si="19"/>
        <v>46137623.534591846</v>
      </c>
      <c r="H397" s="1">
        <f t="shared" si="20"/>
        <v>0</v>
      </c>
      <c r="K397">
        <f>VLOOKUP(B397,Nuclides!A:C,2,FALSE)</f>
        <v>53</v>
      </c>
      <c r="L397">
        <f>VLOOKUP(B397,Nuclides!A:C,3,FALSE)</f>
        <v>49</v>
      </c>
      <c r="O397" s="1">
        <v>46099</v>
      </c>
      <c r="P397" s="1">
        <v>2.46324E-7</v>
      </c>
      <c r="Q397" t="s">
        <v>1229</v>
      </c>
      <c r="R397">
        <v>53</v>
      </c>
      <c r="S397">
        <v>46</v>
      </c>
      <c r="T397">
        <f>VLOOKUP(O397,Nuclides!A:D,4,FALSE)</f>
        <v>1284</v>
      </c>
    </row>
    <row r="398" spans="2:20" x14ac:dyDescent="0.2">
      <c r="B398" s="8">
        <v>49103</v>
      </c>
      <c r="C398" s="9">
        <v>5.5281600000000003E-8</v>
      </c>
      <c r="D398" s="8" t="s">
        <v>1342</v>
      </c>
      <c r="E398" s="1">
        <v>65</v>
      </c>
      <c r="F398" s="1">
        <f t="shared" si="18"/>
        <v>1.0663802777845312E-2</v>
      </c>
      <c r="G398" s="1">
        <f t="shared" si="19"/>
        <v>7318022.4316770686</v>
      </c>
      <c r="H398" s="1">
        <f t="shared" si="20"/>
        <v>0</v>
      </c>
      <c r="K398">
        <f>VLOOKUP(B398,Nuclides!A:C,2,FALSE)</f>
        <v>54</v>
      </c>
      <c r="L398">
        <f>VLOOKUP(B398,Nuclides!A:C,3,FALSE)</f>
        <v>49</v>
      </c>
      <c r="O398" s="1">
        <v>46100</v>
      </c>
      <c r="P398" s="1">
        <v>9.0391000000000005E-8</v>
      </c>
      <c r="Q398" t="s">
        <v>1230</v>
      </c>
      <c r="R398">
        <v>54</v>
      </c>
      <c r="S398">
        <v>46</v>
      </c>
      <c r="T398">
        <f>VLOOKUP(O398,Nuclides!A:D,4,FALSE)</f>
        <v>313632</v>
      </c>
    </row>
    <row r="399" spans="2:20" x14ac:dyDescent="0.2">
      <c r="B399" s="8">
        <v>49104</v>
      </c>
      <c r="C399" s="9">
        <v>1.3052599999999999E-8</v>
      </c>
      <c r="D399" s="8" t="s">
        <v>1343</v>
      </c>
      <c r="E399" s="1">
        <v>108</v>
      </c>
      <c r="F399" s="1">
        <f t="shared" si="18"/>
        <v>6.4180294496291234E-3</v>
      </c>
      <c r="G399" s="1">
        <f t="shared" si="19"/>
        <v>1042126.4242711806</v>
      </c>
      <c r="H399" s="1">
        <f t="shared" si="20"/>
        <v>0</v>
      </c>
      <c r="K399">
        <f>VLOOKUP(B399,Nuclides!A:C,2,FALSE)</f>
        <v>55</v>
      </c>
      <c r="L399">
        <f>VLOOKUP(B399,Nuclides!A:C,3,FALSE)</f>
        <v>49</v>
      </c>
      <c r="O399" s="1">
        <v>46101</v>
      </c>
      <c r="P399" s="1">
        <v>2.4569599999999999E-8</v>
      </c>
      <c r="Q399" t="s">
        <v>1231</v>
      </c>
      <c r="R399">
        <v>55</v>
      </c>
      <c r="S399">
        <v>46</v>
      </c>
      <c r="T399">
        <f>VLOOKUP(O399,Nuclides!A:D,4,FALSE)</f>
        <v>30492</v>
      </c>
    </row>
    <row r="400" spans="2:20" x14ac:dyDescent="0.2">
      <c r="B400" s="8">
        <v>49105</v>
      </c>
      <c r="C400" s="9">
        <v>3.4201999999999998E-9</v>
      </c>
      <c r="D400" s="8" t="s">
        <v>1344</v>
      </c>
      <c r="E400" s="1">
        <v>304.2</v>
      </c>
      <c r="F400" s="1">
        <f t="shared" si="18"/>
        <v>2.2785903371464341E-3</v>
      </c>
      <c r="G400" s="1">
        <f t="shared" si="19"/>
        <v>97148.845452323323</v>
      </c>
      <c r="H400" s="1">
        <f t="shared" si="20"/>
        <v>0</v>
      </c>
      <c r="K400">
        <f>VLOOKUP(B400,Nuclides!A:C,2,FALSE)</f>
        <v>56</v>
      </c>
      <c r="L400">
        <f>VLOOKUP(B400,Nuclides!A:C,3,FALSE)</f>
        <v>49</v>
      </c>
      <c r="O400" s="1">
        <v>46102</v>
      </c>
      <c r="P400" s="1">
        <v>1.5076799999999999E-8</v>
      </c>
      <c r="Q400" t="s">
        <v>1232</v>
      </c>
      <c r="R400">
        <v>56</v>
      </c>
      <c r="S400">
        <v>46</v>
      </c>
      <c r="T400" t="str">
        <f>VLOOKUP(O400,Nuclides!A:D,4,FALSE)</f>
        <v>STABLE</v>
      </c>
    </row>
    <row r="401" spans="2:20" x14ac:dyDescent="0.2">
      <c r="B401" s="8">
        <v>49106</v>
      </c>
      <c r="C401" s="9">
        <v>6.2819999999999996E-10</v>
      </c>
      <c r="D401" s="8" t="s">
        <v>1345</v>
      </c>
      <c r="E401" s="1">
        <v>372</v>
      </c>
      <c r="F401" s="1">
        <f t="shared" si="18"/>
        <v>1.8632988724729713E-3</v>
      </c>
      <c r="G401" s="1">
        <f t="shared" si="19"/>
        <v>14594.542689046873</v>
      </c>
      <c r="H401" s="1">
        <f t="shared" si="20"/>
        <v>0</v>
      </c>
      <c r="K401">
        <f>VLOOKUP(B401,Nuclides!A:C,2,FALSE)</f>
        <v>57</v>
      </c>
      <c r="L401">
        <f>VLOOKUP(B401,Nuclides!A:C,3,FALSE)</f>
        <v>49</v>
      </c>
      <c r="O401" s="1">
        <v>46103</v>
      </c>
      <c r="P401" s="1">
        <v>3.0014E-9</v>
      </c>
      <c r="Q401" t="s">
        <v>1233</v>
      </c>
      <c r="R401">
        <v>57</v>
      </c>
      <c r="S401">
        <v>46</v>
      </c>
      <c r="T401">
        <f>VLOOKUP(O401,Nuclides!A:D,4,FALSE)</f>
        <v>1468022.4</v>
      </c>
    </row>
    <row r="402" spans="2:20" x14ac:dyDescent="0.2">
      <c r="B402" s="8">
        <v>49107</v>
      </c>
      <c r="C402" s="9">
        <v>1.3959999999999999E-10</v>
      </c>
      <c r="D402" s="8" t="s">
        <v>1346</v>
      </c>
      <c r="E402" s="1">
        <v>1944</v>
      </c>
      <c r="F402" s="1">
        <f t="shared" si="18"/>
        <v>3.5655719164606238E-4</v>
      </c>
      <c r="G402" s="1">
        <f t="shared" si="19"/>
        <v>621.08605881282176</v>
      </c>
      <c r="H402" s="1">
        <f t="shared" si="20"/>
        <v>0</v>
      </c>
      <c r="K402">
        <f>VLOOKUP(B402,Nuclides!A:C,2,FALSE)</f>
        <v>58</v>
      </c>
      <c r="L402">
        <f>VLOOKUP(B402,Nuclides!A:C,3,FALSE)</f>
        <v>49</v>
      </c>
      <c r="O402" s="1">
        <v>46104</v>
      </c>
      <c r="P402" s="1">
        <v>1.8148E-9</v>
      </c>
      <c r="Q402" t="s">
        <v>1234</v>
      </c>
      <c r="R402">
        <v>58</v>
      </c>
      <c r="S402">
        <v>46</v>
      </c>
      <c r="T402" t="str">
        <f>VLOOKUP(O402,Nuclides!A:D,4,FALSE)</f>
        <v>STABLE</v>
      </c>
    </row>
    <row r="403" spans="2:20" x14ac:dyDescent="0.2">
      <c r="B403" s="8">
        <v>49108</v>
      </c>
      <c r="C403" s="9">
        <v>6.9799999999999994E-11</v>
      </c>
      <c r="D403" s="8" t="s">
        <v>1347</v>
      </c>
      <c r="E403" s="1">
        <v>3480</v>
      </c>
      <c r="F403" s="1">
        <f t="shared" si="18"/>
        <v>1.9918022429883485E-4</v>
      </c>
      <c r="G403" s="1">
        <f t="shared" si="19"/>
        <v>173.48941170412499</v>
      </c>
      <c r="H403" s="1">
        <f t="shared" si="20"/>
        <v>0</v>
      </c>
      <c r="K403">
        <f>VLOOKUP(B403,Nuclides!A:C,2,FALSE)</f>
        <v>59</v>
      </c>
      <c r="L403">
        <f>VLOOKUP(B403,Nuclides!A:C,3,FALSE)</f>
        <v>49</v>
      </c>
      <c r="O403" s="1">
        <v>46105</v>
      </c>
      <c r="P403" s="1">
        <v>3.4899999999999998E-10</v>
      </c>
      <c r="Q403" t="s">
        <v>1235</v>
      </c>
      <c r="R403">
        <v>59</v>
      </c>
      <c r="S403">
        <v>46</v>
      </c>
      <c r="T403" t="str">
        <f>VLOOKUP(O403,Nuclides!A:D,4,FALSE)</f>
        <v>STABLE</v>
      </c>
    </row>
    <row r="404" spans="2:20" x14ac:dyDescent="0.2">
      <c r="B404" s="8">
        <v>49116</v>
      </c>
      <c r="C404" s="9">
        <v>5.5839999999999995E-10</v>
      </c>
      <c r="D404" s="8" t="s">
        <v>1355</v>
      </c>
      <c r="E404" s="1">
        <v>14.1</v>
      </c>
      <c r="F404" s="1">
        <f t="shared" si="18"/>
        <v>4.9159374507797539E-2</v>
      </c>
      <c r="G404" s="1">
        <f t="shared" si="19"/>
        <v>334299.13323483535</v>
      </c>
      <c r="H404" s="1">
        <f t="shared" si="20"/>
        <v>0</v>
      </c>
      <c r="K404">
        <f>VLOOKUP(B404,Nuclides!A:C,2,FALSE)</f>
        <v>67</v>
      </c>
      <c r="L404">
        <f>VLOOKUP(B404,Nuclides!A:C,3,FALSE)</f>
        <v>49</v>
      </c>
      <c r="O404" s="1">
        <v>46106</v>
      </c>
      <c r="P404" s="1">
        <v>6.9799999999999994E-11</v>
      </c>
      <c r="Q404" t="s">
        <v>1236</v>
      </c>
      <c r="R404">
        <v>60</v>
      </c>
      <c r="S404">
        <v>46</v>
      </c>
      <c r="T404" t="str">
        <f>VLOOKUP(O404,Nuclides!A:D,4,FALSE)</f>
        <v>STABLE</v>
      </c>
    </row>
    <row r="405" spans="2:20" x14ac:dyDescent="0.2">
      <c r="B405" s="8">
        <v>49117</v>
      </c>
      <c r="C405" s="9">
        <v>4.0484000000000002E-9</v>
      </c>
      <c r="D405" s="8" t="s">
        <v>1356</v>
      </c>
      <c r="E405" s="1">
        <v>2592</v>
      </c>
      <c r="F405" s="1">
        <f t="shared" si="18"/>
        <v>2.6741789373454681E-4</v>
      </c>
      <c r="G405" s="1">
        <f t="shared" si="19"/>
        <v>13509.223835821142</v>
      </c>
      <c r="H405" s="1">
        <f t="shared" si="20"/>
        <v>0</v>
      </c>
      <c r="K405">
        <f>VLOOKUP(B405,Nuclides!A:C,2,FALSE)</f>
        <v>68</v>
      </c>
      <c r="L405">
        <f>VLOOKUP(B405,Nuclides!A:C,3,FALSE)</f>
        <v>49</v>
      </c>
      <c r="O405" s="1">
        <v>46107</v>
      </c>
      <c r="P405" s="1">
        <v>6.9799999999999994E-11</v>
      </c>
      <c r="Q405" t="s">
        <v>1237</v>
      </c>
      <c r="R405">
        <v>61</v>
      </c>
      <c r="S405">
        <v>46</v>
      </c>
      <c r="T405">
        <f>VLOOKUP(O405,Nuclides!A:D,4,FALSE)</f>
        <v>205124400000000</v>
      </c>
    </row>
    <row r="406" spans="2:20" x14ac:dyDescent="0.2">
      <c r="B406" s="8">
        <v>49118</v>
      </c>
      <c r="C406" s="9">
        <v>1.3820400000000001E-8</v>
      </c>
      <c r="D406" s="8" t="s">
        <v>1357</v>
      </c>
      <c r="E406" s="1">
        <v>5</v>
      </c>
      <c r="F406" s="1">
        <f t="shared" si="18"/>
        <v>0.13862943611198905</v>
      </c>
      <c r="G406" s="1">
        <f t="shared" si="19"/>
        <v>22327256.577877633</v>
      </c>
      <c r="H406" s="1">
        <f t="shared" si="20"/>
        <v>0</v>
      </c>
      <c r="K406">
        <f>VLOOKUP(B406,Nuclides!A:C,2,FALSE)</f>
        <v>69</v>
      </c>
      <c r="L406">
        <f>VLOOKUP(B406,Nuclides!A:C,3,FALSE)</f>
        <v>49</v>
      </c>
      <c r="O406" s="1">
        <v>46108</v>
      </c>
      <c r="P406" s="1">
        <v>5.5839999999999995E-10</v>
      </c>
      <c r="Q406" t="s">
        <v>1238</v>
      </c>
      <c r="R406">
        <v>62</v>
      </c>
      <c r="S406">
        <v>46</v>
      </c>
      <c r="T406" t="str">
        <f>VLOOKUP(O406,Nuclides!A:D,4,FALSE)</f>
        <v>STABLE</v>
      </c>
    </row>
    <row r="407" spans="2:20" x14ac:dyDescent="0.2">
      <c r="B407" s="8">
        <v>49119</v>
      </c>
      <c r="C407" s="9">
        <v>5.8911200000000001E-8</v>
      </c>
      <c r="D407" s="8" t="s">
        <v>1358</v>
      </c>
      <c r="E407" s="1">
        <v>144</v>
      </c>
      <c r="F407" s="1">
        <f t="shared" si="18"/>
        <v>4.8135220872218424E-3</v>
      </c>
      <c r="G407" s="1">
        <f t="shared" si="19"/>
        <v>3530454.3458609078</v>
      </c>
      <c r="H407" s="1">
        <f t="shared" si="20"/>
        <v>0</v>
      </c>
      <c r="K407">
        <f>VLOOKUP(B407,Nuclides!A:C,2,FALSE)</f>
        <v>70</v>
      </c>
      <c r="L407">
        <f>VLOOKUP(B407,Nuclides!A:C,3,FALSE)</f>
        <v>49</v>
      </c>
      <c r="O407" s="1">
        <v>46109</v>
      </c>
      <c r="P407" s="1">
        <v>3.6296E-9</v>
      </c>
      <c r="Q407" t="s">
        <v>1239</v>
      </c>
      <c r="R407">
        <v>63</v>
      </c>
      <c r="S407">
        <v>46</v>
      </c>
      <c r="T407">
        <f>VLOOKUP(O407,Nuclides!A:D,4,FALSE)</f>
        <v>49324.32</v>
      </c>
    </row>
    <row r="408" spans="2:20" x14ac:dyDescent="0.2">
      <c r="B408" s="8">
        <v>49120</v>
      </c>
      <c r="C408" s="9">
        <v>1.2466300000000001E-7</v>
      </c>
      <c r="D408" s="8" t="s">
        <v>1359</v>
      </c>
      <c r="E408" s="1">
        <v>3.08</v>
      </c>
      <c r="F408" s="1">
        <f t="shared" si="18"/>
        <v>0.22504778589608612</v>
      </c>
      <c r="G408" s="1">
        <f t="shared" si="19"/>
        <v>313526670.5949406</v>
      </c>
      <c r="H408" s="1">
        <f t="shared" si="20"/>
        <v>0</v>
      </c>
      <c r="K408">
        <f>VLOOKUP(B408,Nuclides!A:C,2,FALSE)</f>
        <v>71</v>
      </c>
      <c r="L408">
        <f>VLOOKUP(B408,Nuclides!A:C,3,FALSE)</f>
        <v>49</v>
      </c>
      <c r="O408" s="1">
        <v>46110</v>
      </c>
      <c r="P408" s="1">
        <v>2.8408600000000001E-8</v>
      </c>
      <c r="Q408" t="s">
        <v>1240</v>
      </c>
      <c r="R408">
        <v>64</v>
      </c>
      <c r="S408">
        <v>46</v>
      </c>
      <c r="T408" t="str">
        <f>VLOOKUP(O408,Nuclides!A:D,4,FALSE)</f>
        <v>STABLE</v>
      </c>
    </row>
    <row r="409" spans="2:20" x14ac:dyDescent="0.2">
      <c r="B409" s="8">
        <v>49121</v>
      </c>
      <c r="C409" s="9">
        <v>3.4516099999999998E-7</v>
      </c>
      <c r="D409" s="8" t="s">
        <v>1360</v>
      </c>
      <c r="E409" s="1">
        <v>23.1</v>
      </c>
      <c r="F409" s="1">
        <f t="shared" si="18"/>
        <v>3.0006371452811483E-2</v>
      </c>
      <c r="G409" s="1">
        <f t="shared" si="19"/>
        <v>127335728.45241773</v>
      </c>
      <c r="H409" s="1">
        <f t="shared" si="20"/>
        <v>0</v>
      </c>
      <c r="K409">
        <f>VLOOKUP(B409,Nuclides!A:C,2,FALSE)</f>
        <v>72</v>
      </c>
      <c r="L409">
        <f>VLOOKUP(B409,Nuclides!A:C,3,FALSE)</f>
        <v>49</v>
      </c>
      <c r="O409" s="1">
        <v>46111</v>
      </c>
      <c r="P409" s="1">
        <v>7.5314200000000006E-8</v>
      </c>
      <c r="Q409" t="s">
        <v>1241</v>
      </c>
      <c r="R409">
        <v>65</v>
      </c>
      <c r="S409">
        <v>46</v>
      </c>
      <c r="T409">
        <f>VLOOKUP(O409,Nuclides!A:D,4,FALSE)</f>
        <v>1404</v>
      </c>
    </row>
    <row r="410" spans="2:20" x14ac:dyDescent="0.2">
      <c r="B410" s="8">
        <v>49122</v>
      </c>
      <c r="C410" s="9">
        <v>4.7289499999999997E-7</v>
      </c>
      <c r="D410" s="8" t="s">
        <v>1361</v>
      </c>
      <c r="E410" s="1">
        <v>1.5</v>
      </c>
      <c r="F410" s="1">
        <f t="shared" si="18"/>
        <v>0.46209812037329684</v>
      </c>
      <c r="G410" s="1">
        <f t="shared" si="19"/>
        <v>2183872923.086175</v>
      </c>
      <c r="H410" s="1">
        <f t="shared" si="20"/>
        <v>0</v>
      </c>
      <c r="K410">
        <f>VLOOKUP(B410,Nuclides!A:C,2,FALSE)</f>
        <v>73</v>
      </c>
      <c r="L410">
        <f>VLOOKUP(B410,Nuclides!A:C,3,FALSE)</f>
        <v>49</v>
      </c>
      <c r="O410" s="1">
        <v>46112</v>
      </c>
      <c r="P410" s="1">
        <v>3.0181500000000001E-7</v>
      </c>
      <c r="Q410" t="s">
        <v>1242</v>
      </c>
      <c r="R410">
        <v>66</v>
      </c>
      <c r="S410">
        <v>46</v>
      </c>
      <c r="T410">
        <f>VLOOKUP(O410,Nuclides!A:D,4,FALSE)</f>
        <v>75744</v>
      </c>
    </row>
    <row r="411" spans="2:20" x14ac:dyDescent="0.2">
      <c r="B411" s="8">
        <v>49123</v>
      </c>
      <c r="C411" s="9">
        <v>9.5437500000000007E-7</v>
      </c>
      <c r="D411" s="8" t="s">
        <v>1362</v>
      </c>
      <c r="E411" s="1">
        <v>6.17</v>
      </c>
      <c r="F411" s="1">
        <f t="shared" si="18"/>
        <v>0.11234152035007217</v>
      </c>
      <c r="G411" s="1">
        <f t="shared" si="19"/>
        <v>1265632560.4873784</v>
      </c>
      <c r="H411" s="1">
        <f t="shared" si="20"/>
        <v>0</v>
      </c>
      <c r="K411">
        <f>VLOOKUP(B411,Nuclides!A:C,2,FALSE)</f>
        <v>74</v>
      </c>
      <c r="L411">
        <f>VLOOKUP(B411,Nuclides!A:C,3,FALSE)</f>
        <v>49</v>
      </c>
      <c r="O411" s="1">
        <v>46113</v>
      </c>
      <c r="P411" s="1">
        <v>4.3967000000000002E-7</v>
      </c>
      <c r="Q411" t="s">
        <v>1243</v>
      </c>
      <c r="R411">
        <v>67</v>
      </c>
      <c r="S411">
        <v>46</v>
      </c>
      <c r="T411">
        <f>VLOOKUP(O411,Nuclides!A:D,4,FALSE)</f>
        <v>93</v>
      </c>
    </row>
    <row r="412" spans="2:20" x14ac:dyDescent="0.2">
      <c r="B412" s="8">
        <v>49124</v>
      </c>
      <c r="C412" s="9">
        <v>9.8082999999999998E-7</v>
      </c>
      <c r="D412" s="8" t="s">
        <v>1363</v>
      </c>
      <c r="E412" s="1">
        <v>3.12</v>
      </c>
      <c r="F412" s="1">
        <f t="shared" si="18"/>
        <v>0.22216255787177733</v>
      </c>
      <c r="G412" s="1">
        <f t="shared" si="19"/>
        <v>2438540483.5337825</v>
      </c>
      <c r="H412" s="1">
        <f t="shared" si="20"/>
        <v>0</v>
      </c>
      <c r="K412">
        <f>VLOOKUP(B412,Nuclides!A:C,2,FALSE)</f>
        <v>75</v>
      </c>
      <c r="L412">
        <f>VLOOKUP(B412,Nuclides!A:C,3,FALSE)</f>
        <v>49</v>
      </c>
      <c r="O412" s="1">
        <v>46114</v>
      </c>
      <c r="P412" s="1">
        <v>1.04833E-6</v>
      </c>
      <c r="Q412" t="s">
        <v>1244</v>
      </c>
      <c r="R412">
        <v>68</v>
      </c>
      <c r="S412">
        <v>46</v>
      </c>
      <c r="T412">
        <f>VLOOKUP(O412,Nuclides!A:D,4,FALSE)</f>
        <v>145.19999999999999</v>
      </c>
    </row>
    <row r="413" spans="2:20" x14ac:dyDescent="0.2">
      <c r="B413" s="8">
        <v>49125</v>
      </c>
      <c r="C413" s="9">
        <v>1.4791299999999999E-6</v>
      </c>
      <c r="D413" s="8" t="s">
        <v>1364</v>
      </c>
      <c r="E413" s="1">
        <v>2.36</v>
      </c>
      <c r="F413" s="1">
        <f t="shared" si="18"/>
        <v>0.29370643244065481</v>
      </c>
      <c r="G413" s="1">
        <f t="shared" si="19"/>
        <v>4698040068.7653399</v>
      </c>
      <c r="H413" s="1">
        <f t="shared" si="20"/>
        <v>0</v>
      </c>
      <c r="K413">
        <f>VLOOKUP(B413,Nuclides!A:C,2,FALSE)</f>
        <v>76</v>
      </c>
      <c r="L413">
        <f>VLOOKUP(B413,Nuclides!A:C,3,FALSE)</f>
        <v>49</v>
      </c>
      <c r="O413" s="1">
        <v>46115</v>
      </c>
      <c r="P413" s="1">
        <v>9.4181100000000002E-7</v>
      </c>
      <c r="Q413" t="s">
        <v>1245</v>
      </c>
      <c r="R413">
        <v>69</v>
      </c>
      <c r="S413">
        <v>46</v>
      </c>
      <c r="T413">
        <f>VLOOKUP(O413,Nuclides!A:D,4,FALSE)</f>
        <v>25</v>
      </c>
    </row>
    <row r="414" spans="2:20" x14ac:dyDescent="0.2">
      <c r="B414" s="8">
        <v>49126</v>
      </c>
      <c r="C414" s="9">
        <v>1.58404E-6</v>
      </c>
      <c r="D414" s="8" t="s">
        <v>1365</v>
      </c>
      <c r="E414" s="1">
        <v>1.53</v>
      </c>
      <c r="F414" s="1">
        <f t="shared" si="18"/>
        <v>0.45303737291499691</v>
      </c>
      <c r="G414" s="1">
        <f t="shared" si="19"/>
        <v>7201892025.6554756</v>
      </c>
      <c r="H414" s="1">
        <f t="shared" si="20"/>
        <v>0</v>
      </c>
      <c r="K414">
        <f>VLOOKUP(B414,Nuclides!A:C,2,FALSE)</f>
        <v>77</v>
      </c>
      <c r="L414">
        <f>VLOOKUP(B414,Nuclides!A:C,3,FALSE)</f>
        <v>49</v>
      </c>
      <c r="O414" s="1">
        <v>46116</v>
      </c>
      <c r="P414" s="1">
        <v>1.4684500000000001E-6</v>
      </c>
      <c r="Q414" t="s">
        <v>1246</v>
      </c>
      <c r="R414">
        <v>70</v>
      </c>
      <c r="S414">
        <v>46</v>
      </c>
      <c r="T414">
        <f>VLOOKUP(O414,Nuclides!A:D,4,FALSE)</f>
        <v>11.8</v>
      </c>
    </row>
    <row r="415" spans="2:20" x14ac:dyDescent="0.2">
      <c r="B415" s="8">
        <v>49127</v>
      </c>
      <c r="C415" s="9">
        <v>2.5987199999999999E-6</v>
      </c>
      <c r="D415" s="8" t="s">
        <v>1366</v>
      </c>
      <c r="E415" s="1">
        <v>1.0900000000000001</v>
      </c>
      <c r="F415" s="1">
        <f t="shared" si="18"/>
        <v>0.63591484455040848</v>
      </c>
      <c r="G415" s="1">
        <f t="shared" si="19"/>
        <v>15260860411.247187</v>
      </c>
      <c r="H415" s="1">
        <f t="shared" si="20"/>
        <v>0</v>
      </c>
      <c r="K415">
        <f>VLOOKUP(B415,Nuclides!A:C,2,FALSE)</f>
        <v>78</v>
      </c>
      <c r="L415">
        <f>VLOOKUP(B415,Nuclides!A:C,3,FALSE)</f>
        <v>49</v>
      </c>
      <c r="O415" s="1">
        <v>46117</v>
      </c>
      <c r="P415" s="1">
        <v>8.7878199999999999E-7</v>
      </c>
      <c r="Q415" t="s">
        <v>1247</v>
      </c>
      <c r="R415">
        <v>71</v>
      </c>
      <c r="S415">
        <v>46</v>
      </c>
      <c r="T415">
        <f>VLOOKUP(O415,Nuclides!A:D,4,FALSE)</f>
        <v>4.3</v>
      </c>
    </row>
    <row r="416" spans="2:20" x14ac:dyDescent="0.2">
      <c r="B416" s="8">
        <v>49128</v>
      </c>
      <c r="C416" s="9">
        <v>2.9635699999999999E-6</v>
      </c>
      <c r="D416" s="8" t="s">
        <v>1367</v>
      </c>
      <c r="E416" s="1">
        <v>0.84</v>
      </c>
      <c r="F416" s="1">
        <f t="shared" si="18"/>
        <v>0.82517521495231583</v>
      </c>
      <c r="G416" s="1">
        <f t="shared" si="19"/>
        <v>20779917127.339577</v>
      </c>
      <c r="H416" s="1">
        <f t="shared" si="20"/>
        <v>0</v>
      </c>
      <c r="K416">
        <f>VLOOKUP(B416,Nuclides!A:C,2,FALSE)</f>
        <v>79</v>
      </c>
      <c r="L416">
        <f>VLOOKUP(B416,Nuclides!A:C,3,FALSE)</f>
        <v>49</v>
      </c>
      <c r="O416" s="1">
        <v>46118</v>
      </c>
      <c r="P416" s="1">
        <v>1.05203E-6</v>
      </c>
      <c r="Q416" t="s">
        <v>1248</v>
      </c>
      <c r="R416">
        <v>72</v>
      </c>
      <c r="S416">
        <v>46</v>
      </c>
      <c r="T416">
        <f>VLOOKUP(O416,Nuclides!A:D,4,FALSE)</f>
        <v>1.9</v>
      </c>
    </row>
    <row r="417" spans="2:20" x14ac:dyDescent="0.2">
      <c r="B417" s="8">
        <v>49129</v>
      </c>
      <c r="C417" s="9">
        <v>3.9897000000000001E-6</v>
      </c>
      <c r="D417" s="8" t="s">
        <v>1368</v>
      </c>
      <c r="E417" s="1">
        <v>0.61099999999999999</v>
      </c>
      <c r="F417" s="1">
        <f t="shared" si="18"/>
        <v>1.1344471040260971</v>
      </c>
      <c r="G417" s="1">
        <f t="shared" si="19"/>
        <v>33778529552.665276</v>
      </c>
      <c r="H417" s="1">
        <f t="shared" si="20"/>
        <v>0</v>
      </c>
      <c r="K417">
        <f>VLOOKUP(B417,Nuclides!A:C,2,FALSE)</f>
        <v>80</v>
      </c>
      <c r="L417">
        <f>VLOOKUP(B417,Nuclides!A:C,3,FALSE)</f>
        <v>49</v>
      </c>
      <c r="O417" s="1">
        <v>47096</v>
      </c>
      <c r="P417" s="1">
        <v>4.92997E-7</v>
      </c>
      <c r="Q417" t="s">
        <v>1261</v>
      </c>
      <c r="R417">
        <v>49</v>
      </c>
      <c r="S417">
        <v>47</v>
      </c>
      <c r="T417">
        <f>VLOOKUP(O417,Nuclides!A:D,4,FALSE)</f>
        <v>4.4000000000000004</v>
      </c>
    </row>
    <row r="418" spans="2:20" x14ac:dyDescent="0.2">
      <c r="B418" s="8">
        <v>49130</v>
      </c>
      <c r="C418" s="9">
        <v>2.80645E-6</v>
      </c>
      <c r="D418" s="8" t="s">
        <v>1369</v>
      </c>
      <c r="E418" s="1">
        <v>0.28999999999999998</v>
      </c>
      <c r="F418" s="1">
        <f t="shared" si="18"/>
        <v>2.3901626915860184</v>
      </c>
      <c r="G418" s="1">
        <f t="shared" si="19"/>
        <v>31815734584.502846</v>
      </c>
      <c r="H418" s="1">
        <f t="shared" si="20"/>
        <v>0</v>
      </c>
      <c r="K418">
        <f>VLOOKUP(B418,Nuclides!A:C,2,FALSE)</f>
        <v>81</v>
      </c>
      <c r="L418">
        <f>VLOOKUP(B418,Nuclides!A:C,3,FALSE)</f>
        <v>49</v>
      </c>
      <c r="O418" s="1">
        <v>47097</v>
      </c>
      <c r="P418" s="1">
        <v>4.5802799999999998E-7</v>
      </c>
      <c r="Q418" t="s">
        <v>1262</v>
      </c>
      <c r="R418">
        <v>50</v>
      </c>
      <c r="S418">
        <v>47</v>
      </c>
      <c r="T418">
        <f>VLOOKUP(O418,Nuclides!A:D,4,FALSE)</f>
        <v>25.5</v>
      </c>
    </row>
    <row r="419" spans="2:20" x14ac:dyDescent="0.2">
      <c r="B419" s="8">
        <v>49131</v>
      </c>
      <c r="C419" s="9">
        <v>1.9545399999999999E-6</v>
      </c>
      <c r="D419" s="8" t="s">
        <v>1370</v>
      </c>
      <c r="E419" s="1">
        <v>0.28000000000000003</v>
      </c>
      <c r="F419" s="1">
        <f t="shared" si="18"/>
        <v>2.4755256448569471</v>
      </c>
      <c r="G419" s="1">
        <f t="shared" si="19"/>
        <v>22340778905.244038</v>
      </c>
      <c r="H419" s="1">
        <f t="shared" si="20"/>
        <v>0</v>
      </c>
      <c r="K419">
        <f>VLOOKUP(B419,Nuclides!A:C,2,FALSE)</f>
        <v>82</v>
      </c>
      <c r="L419">
        <f>VLOOKUP(B419,Nuclides!A:C,3,FALSE)</f>
        <v>49</v>
      </c>
      <c r="O419" s="1">
        <v>47098</v>
      </c>
      <c r="P419" s="1">
        <v>1.8629599999999999E-7</v>
      </c>
      <c r="Q419" t="s">
        <v>1263</v>
      </c>
      <c r="R419">
        <v>51</v>
      </c>
      <c r="S419">
        <v>47</v>
      </c>
      <c r="T419">
        <f>VLOOKUP(O419,Nuclides!A:D,4,FALSE)</f>
        <v>47.5</v>
      </c>
    </row>
    <row r="420" spans="2:20" x14ac:dyDescent="0.2">
      <c r="B420" s="8">
        <v>49132</v>
      </c>
      <c r="C420" s="9">
        <v>5.43114E-7</v>
      </c>
      <c r="D420" s="8" t="s">
        <v>1371</v>
      </c>
      <c r="E420" s="1">
        <v>0.20699999999999999</v>
      </c>
      <c r="F420" s="1">
        <f t="shared" si="18"/>
        <v>3.348537104154325</v>
      </c>
      <c r="G420" s="1">
        <f t="shared" si="19"/>
        <v>6539910630.4174633</v>
      </c>
      <c r="H420" s="1">
        <f t="shared" si="20"/>
        <v>0</v>
      </c>
      <c r="K420">
        <f>VLOOKUP(B420,Nuclides!A:C,2,FALSE)</f>
        <v>83</v>
      </c>
      <c r="L420">
        <f>VLOOKUP(B420,Nuclides!A:C,3,FALSE)</f>
        <v>49</v>
      </c>
      <c r="O420" s="1">
        <v>47099</v>
      </c>
      <c r="P420" s="1">
        <v>1.06585E-7</v>
      </c>
      <c r="Q420" t="s">
        <v>1264</v>
      </c>
      <c r="R420">
        <v>52</v>
      </c>
      <c r="S420">
        <v>47</v>
      </c>
      <c r="T420">
        <f>VLOOKUP(O420,Nuclides!A:D,4,FALSE)</f>
        <v>124</v>
      </c>
    </row>
    <row r="421" spans="2:20" x14ac:dyDescent="0.2">
      <c r="B421" s="8">
        <v>50103</v>
      </c>
      <c r="C421" s="9">
        <v>1.7791999999999999E-7</v>
      </c>
      <c r="D421" s="8" t="s">
        <v>1380</v>
      </c>
      <c r="E421" s="1">
        <v>7</v>
      </c>
      <c r="F421" s="1">
        <f t="shared" si="18"/>
        <v>9.9021025794277892E-2</v>
      </c>
      <c r="G421" s="1">
        <f t="shared" si="19"/>
        <v>209335097.76398817</v>
      </c>
      <c r="H421" s="1">
        <f t="shared" si="20"/>
        <v>0</v>
      </c>
      <c r="K421">
        <f>VLOOKUP(B421,Nuclides!A:C,2,FALSE)</f>
        <v>53</v>
      </c>
      <c r="L421">
        <f>VLOOKUP(B421,Nuclides!A:C,3,FALSE)</f>
        <v>50</v>
      </c>
      <c r="O421" s="1">
        <v>47100</v>
      </c>
      <c r="P421" s="1">
        <v>2.9874400000000002E-8</v>
      </c>
      <c r="Q421" t="s">
        <v>1265</v>
      </c>
      <c r="R421">
        <v>53</v>
      </c>
      <c r="S421">
        <v>47</v>
      </c>
      <c r="T421">
        <f>VLOOKUP(O421,Nuclides!A:D,4,FALSE)</f>
        <v>120.6</v>
      </c>
    </row>
    <row r="422" spans="2:20" x14ac:dyDescent="0.2">
      <c r="B422" s="8">
        <v>50104</v>
      </c>
      <c r="C422" s="9">
        <v>3.5458400000000001E-8</v>
      </c>
      <c r="D422" s="8" t="s">
        <v>1381</v>
      </c>
      <c r="E422" s="1">
        <v>20.8</v>
      </c>
      <c r="F422" s="1">
        <f t="shared" si="18"/>
        <v>3.3324383680766602E-2</v>
      </c>
      <c r="G422" s="1">
        <f t="shared" si="19"/>
        <v>14503727.903674103</v>
      </c>
      <c r="H422" s="1">
        <f t="shared" si="20"/>
        <v>0</v>
      </c>
      <c r="K422">
        <f>VLOOKUP(B422,Nuclides!A:C,2,FALSE)</f>
        <v>54</v>
      </c>
      <c r="L422">
        <f>VLOOKUP(B422,Nuclides!A:C,3,FALSE)</f>
        <v>50</v>
      </c>
      <c r="O422" s="1">
        <v>47101</v>
      </c>
      <c r="P422" s="1">
        <v>1.82876E-8</v>
      </c>
      <c r="Q422" t="s">
        <v>1266</v>
      </c>
      <c r="R422">
        <v>54</v>
      </c>
      <c r="S422">
        <v>47</v>
      </c>
      <c r="T422">
        <f>VLOOKUP(O422,Nuclides!A:D,4,FALSE)</f>
        <v>666</v>
      </c>
    </row>
    <row r="423" spans="2:20" x14ac:dyDescent="0.2">
      <c r="B423" s="8">
        <v>50105</v>
      </c>
      <c r="C423" s="9">
        <v>5.6537999999999996E-9</v>
      </c>
      <c r="D423" s="8" t="s">
        <v>1382</v>
      </c>
      <c r="E423" s="1">
        <v>32.700000000000003</v>
      </c>
      <c r="F423" s="1">
        <f t="shared" si="18"/>
        <v>2.1197161485013615E-2</v>
      </c>
      <c r="G423" s="1">
        <f t="shared" si="19"/>
        <v>1479919.0506223456</v>
      </c>
      <c r="H423" s="1">
        <f t="shared" si="20"/>
        <v>0</v>
      </c>
      <c r="K423">
        <f>VLOOKUP(B423,Nuclides!A:C,2,FALSE)</f>
        <v>55</v>
      </c>
      <c r="L423">
        <f>VLOOKUP(B423,Nuclides!A:C,3,FALSE)</f>
        <v>50</v>
      </c>
      <c r="O423" s="1">
        <v>47102</v>
      </c>
      <c r="P423" s="1">
        <v>4.188E-9</v>
      </c>
      <c r="Q423" t="s">
        <v>1267</v>
      </c>
      <c r="R423">
        <v>55</v>
      </c>
      <c r="S423">
        <v>47</v>
      </c>
      <c r="T423">
        <f>VLOOKUP(O423,Nuclides!A:D,4,FALSE)</f>
        <v>774</v>
      </c>
    </row>
    <row r="424" spans="2:20" x14ac:dyDescent="0.2">
      <c r="B424" s="8">
        <v>50106</v>
      </c>
      <c r="C424" s="9">
        <v>6.9799999999999997E-10</v>
      </c>
      <c r="D424" s="8" t="s">
        <v>1383</v>
      </c>
      <c r="E424" s="1">
        <v>115</v>
      </c>
      <c r="F424" s="1">
        <f t="shared" si="18"/>
        <v>6.0273667874777854E-3</v>
      </c>
      <c r="G424" s="1">
        <f t="shared" si="19"/>
        <v>52346.71826893901</v>
      </c>
      <c r="H424" s="1">
        <f t="shared" si="20"/>
        <v>0</v>
      </c>
      <c r="K424">
        <f>VLOOKUP(B424,Nuclides!A:C,2,FALSE)</f>
        <v>56</v>
      </c>
      <c r="L424">
        <f>VLOOKUP(B424,Nuclides!A:C,3,FALSE)</f>
        <v>50</v>
      </c>
      <c r="O424" s="1">
        <v>47103</v>
      </c>
      <c r="P424" s="1">
        <v>1.8845999999999999E-9</v>
      </c>
      <c r="Q424" t="s">
        <v>1268</v>
      </c>
      <c r="R424">
        <v>56</v>
      </c>
      <c r="S424">
        <v>47</v>
      </c>
      <c r="T424">
        <f>VLOOKUP(O424,Nuclides!A:D,4,FALSE)</f>
        <v>3942</v>
      </c>
    </row>
    <row r="425" spans="2:20" x14ac:dyDescent="0.2">
      <c r="B425" s="8">
        <v>50121</v>
      </c>
      <c r="C425" s="9">
        <v>3.3364400000000002E-8</v>
      </c>
      <c r="D425" s="8" t="s">
        <v>1397</v>
      </c>
      <c r="E425" s="1">
        <v>97308</v>
      </c>
      <c r="F425" s="1">
        <f t="shared" si="18"/>
        <v>7.1232291338835997E-6</v>
      </c>
      <c r="G425" s="1">
        <f t="shared" si="19"/>
        <v>2966.0145172876091</v>
      </c>
      <c r="H425" s="1">
        <f t="shared" si="20"/>
        <v>8.1858273383250659E-95</v>
      </c>
      <c r="K425">
        <f>VLOOKUP(B425,Nuclides!A:C,2,FALSE)</f>
        <v>71</v>
      </c>
      <c r="L425">
        <f>VLOOKUP(B425,Nuclides!A:C,3,FALSE)</f>
        <v>50</v>
      </c>
      <c r="O425" s="1">
        <v>47104</v>
      </c>
      <c r="P425" s="1">
        <v>4.1879999999999999E-10</v>
      </c>
      <c r="Q425" t="s">
        <v>1269</v>
      </c>
      <c r="R425">
        <v>57</v>
      </c>
      <c r="S425">
        <v>47</v>
      </c>
      <c r="T425">
        <f>VLOOKUP(O425,Nuclides!A:D,4,FALSE)</f>
        <v>4152</v>
      </c>
    </row>
    <row r="426" spans="2:20" x14ac:dyDescent="0.2">
      <c r="B426" s="8">
        <v>50123</v>
      </c>
      <c r="C426" s="9">
        <v>2.9993099999999999E-7</v>
      </c>
      <c r="D426" s="8" t="s">
        <v>1399</v>
      </c>
      <c r="E426" s="1">
        <v>11162879.999999899</v>
      </c>
      <c r="F426" s="1">
        <f t="shared" si="18"/>
        <v>6.2093938173656935E-8</v>
      </c>
      <c r="G426" s="1">
        <f t="shared" si="19"/>
        <v>232.4262268587384</v>
      </c>
      <c r="H426" s="1">
        <f t="shared" si="20"/>
        <v>32.798357456750111</v>
      </c>
      <c r="K426">
        <f>VLOOKUP(B426,Nuclides!A:C,2,FALSE)</f>
        <v>73</v>
      </c>
      <c r="L426">
        <f>VLOOKUP(B426,Nuclides!A:C,3,FALSE)</f>
        <v>50</v>
      </c>
      <c r="O426" s="1">
        <v>47105</v>
      </c>
      <c r="P426" s="1">
        <v>6.9799999999999994E-11</v>
      </c>
      <c r="Q426" t="s">
        <v>1270</v>
      </c>
      <c r="R426">
        <v>58</v>
      </c>
      <c r="S426">
        <v>47</v>
      </c>
      <c r="T426">
        <f>VLOOKUP(O426,Nuclides!A:D,4,FALSE)</f>
        <v>3567456</v>
      </c>
    </row>
    <row r="427" spans="2:20" x14ac:dyDescent="0.2">
      <c r="B427" s="8">
        <v>50124</v>
      </c>
      <c r="C427" s="9">
        <v>8.3606399999999999E-7</v>
      </c>
      <c r="D427" s="8" t="s">
        <v>1400</v>
      </c>
      <c r="E427" s="1">
        <v>3.786912E+28</v>
      </c>
      <c r="F427" s="1">
        <f t="shared" si="18"/>
        <v>1.8303757271358439E-29</v>
      </c>
      <c r="G427" s="1">
        <f t="shared" si="19"/>
        <v>0</v>
      </c>
      <c r="H427" s="1">
        <f t="shared" si="20"/>
        <v>0</v>
      </c>
      <c r="K427">
        <f>VLOOKUP(B427,Nuclides!A:C,2,FALSE)</f>
        <v>74</v>
      </c>
      <c r="L427">
        <f>VLOOKUP(B427,Nuclides!A:C,3,FALSE)</f>
        <v>50</v>
      </c>
      <c r="O427" s="1">
        <v>47110</v>
      </c>
      <c r="P427" s="1">
        <v>6.9799999999999994E-11</v>
      </c>
      <c r="Q427" t="s">
        <v>1275</v>
      </c>
      <c r="R427">
        <v>63</v>
      </c>
      <c r="S427">
        <v>47</v>
      </c>
      <c r="T427">
        <f>VLOOKUP(O427,Nuclides!A:D,4,FALSE)</f>
        <v>24.6</v>
      </c>
    </row>
    <row r="428" spans="2:20" x14ac:dyDescent="0.2">
      <c r="B428" s="8">
        <v>50125</v>
      </c>
      <c r="C428" s="9">
        <v>1.4695700000000001E-6</v>
      </c>
      <c r="D428" s="8" t="s">
        <v>1401</v>
      </c>
      <c r="E428" s="1">
        <v>832896</v>
      </c>
      <c r="F428" s="1">
        <f t="shared" si="18"/>
        <v>8.3221336224444019E-7</v>
      </c>
      <c r="G428" s="1">
        <f t="shared" si="19"/>
        <v>15262.981117380508</v>
      </c>
      <c r="H428" s="1">
        <f t="shared" si="20"/>
        <v>6.1054742878715146E-8</v>
      </c>
      <c r="K428">
        <f>VLOOKUP(B428,Nuclides!A:C,2,FALSE)</f>
        <v>75</v>
      </c>
      <c r="L428">
        <f>VLOOKUP(B428,Nuclides!A:C,3,FALSE)</f>
        <v>50</v>
      </c>
      <c r="O428" s="1">
        <v>47111</v>
      </c>
      <c r="P428" s="1">
        <v>8.3759999999999998E-10</v>
      </c>
      <c r="Q428" t="s">
        <v>1276</v>
      </c>
      <c r="R428">
        <v>64</v>
      </c>
      <c r="S428">
        <v>47</v>
      </c>
      <c r="T428">
        <f>VLOOKUP(O428,Nuclides!A:D,4,FALSE)</f>
        <v>643680</v>
      </c>
    </row>
    <row r="429" spans="2:20" x14ac:dyDescent="0.2">
      <c r="B429" s="8">
        <v>50126</v>
      </c>
      <c r="C429" s="9">
        <v>3.19907E-6</v>
      </c>
      <c r="D429" s="8" t="s">
        <v>1402</v>
      </c>
      <c r="E429" s="1">
        <v>7258248000000</v>
      </c>
      <c r="F429" s="1">
        <f t="shared" si="18"/>
        <v>9.5497864024478811E-14</v>
      </c>
      <c r="G429" s="1">
        <f t="shared" si="19"/>
        <v>3.8119483676268828E-3</v>
      </c>
      <c r="H429" s="1">
        <f t="shared" si="20"/>
        <v>3.8119368875017875E-3</v>
      </c>
      <c r="K429">
        <f>VLOOKUP(B429,Nuclides!A:C,2,FALSE)</f>
        <v>76</v>
      </c>
      <c r="L429">
        <f>VLOOKUP(B429,Nuclides!A:C,3,FALSE)</f>
        <v>50</v>
      </c>
      <c r="O429" s="1">
        <v>47112</v>
      </c>
      <c r="P429" s="1">
        <v>4.7464000000000001E-9</v>
      </c>
      <c r="Q429" t="s">
        <v>1277</v>
      </c>
      <c r="R429">
        <v>65</v>
      </c>
      <c r="S429">
        <v>47</v>
      </c>
      <c r="T429">
        <f>VLOOKUP(O429,Nuclides!A:D,4,FALSE)</f>
        <v>11268</v>
      </c>
    </row>
    <row r="430" spans="2:20" x14ac:dyDescent="0.2">
      <c r="B430" s="8">
        <v>50127</v>
      </c>
      <c r="C430" s="9">
        <v>5.3452799999999998E-6</v>
      </c>
      <c r="D430" s="8" t="s">
        <v>1403</v>
      </c>
      <c r="E430" s="1">
        <v>7560</v>
      </c>
      <c r="F430" s="1">
        <f t="shared" si="18"/>
        <v>9.1686134994701753E-5</v>
      </c>
      <c r="G430" s="1">
        <f t="shared" si="19"/>
        <v>6116018.6531954175</v>
      </c>
      <c r="H430" s="1">
        <f t="shared" si="20"/>
        <v>0</v>
      </c>
      <c r="K430">
        <f>VLOOKUP(B430,Nuclides!A:C,2,FALSE)</f>
        <v>77</v>
      </c>
      <c r="L430">
        <f>VLOOKUP(B430,Nuclides!A:C,3,FALSE)</f>
        <v>50</v>
      </c>
      <c r="O430" s="1">
        <v>47113</v>
      </c>
      <c r="P430" s="1">
        <v>3.07818E-8</v>
      </c>
      <c r="Q430" t="s">
        <v>1278</v>
      </c>
      <c r="R430">
        <v>66</v>
      </c>
      <c r="S430">
        <v>47</v>
      </c>
      <c r="T430">
        <f>VLOOKUP(O430,Nuclides!A:D,4,FALSE)</f>
        <v>19332</v>
      </c>
    </row>
    <row r="431" spans="2:20" x14ac:dyDescent="0.2">
      <c r="B431" s="8">
        <v>50128</v>
      </c>
      <c r="C431" s="9">
        <v>1.02392E-5</v>
      </c>
      <c r="D431" s="8" t="s">
        <v>1404</v>
      </c>
      <c r="E431" s="1">
        <v>3544.2</v>
      </c>
      <c r="F431" s="1">
        <f t="shared" si="18"/>
        <v>1.9557225341683464E-4</v>
      </c>
      <c r="G431" s="1">
        <f t="shared" si="19"/>
        <v>24988799.008957457</v>
      </c>
      <c r="H431" s="1">
        <f t="shared" si="20"/>
        <v>0</v>
      </c>
      <c r="K431">
        <f>VLOOKUP(B431,Nuclides!A:C,2,FALSE)</f>
        <v>78</v>
      </c>
      <c r="L431">
        <f>VLOOKUP(B431,Nuclides!A:C,3,FALSE)</f>
        <v>50</v>
      </c>
      <c r="O431" s="1">
        <v>47114</v>
      </c>
      <c r="P431" s="1">
        <v>7.8385400000000005E-8</v>
      </c>
      <c r="Q431" t="s">
        <v>1279</v>
      </c>
      <c r="R431">
        <v>67</v>
      </c>
      <c r="S431">
        <v>47</v>
      </c>
      <c r="T431">
        <f>VLOOKUP(O431,Nuclides!A:D,4,FALSE)</f>
        <v>4.5999999999999996</v>
      </c>
    </row>
    <row r="432" spans="2:20" x14ac:dyDescent="0.2">
      <c r="B432" s="8">
        <v>50129</v>
      </c>
      <c r="C432" s="9">
        <v>1.5143000000000001E-5</v>
      </c>
      <c r="D432" s="8" t="s">
        <v>1405</v>
      </c>
      <c r="E432" s="1">
        <v>133.80000000000001</v>
      </c>
      <c r="F432" s="1">
        <f t="shared" si="18"/>
        <v>5.1804722014943587E-3</v>
      </c>
      <c r="G432" s="1">
        <f t="shared" si="19"/>
        <v>976498129.44271934</v>
      </c>
      <c r="H432" s="1">
        <f t="shared" si="20"/>
        <v>0</v>
      </c>
      <c r="K432">
        <f>VLOOKUP(B432,Nuclides!A:C,2,FALSE)</f>
        <v>79</v>
      </c>
      <c r="L432">
        <f>VLOOKUP(B432,Nuclides!A:C,3,FALSE)</f>
        <v>50</v>
      </c>
      <c r="O432" s="1">
        <v>47115</v>
      </c>
      <c r="P432" s="1">
        <v>2.8590100000000001E-7</v>
      </c>
      <c r="Q432" t="s">
        <v>1280</v>
      </c>
      <c r="R432">
        <v>68</v>
      </c>
      <c r="S432">
        <v>47</v>
      </c>
      <c r="T432">
        <f>VLOOKUP(O432,Nuclides!A:D,4,FALSE)</f>
        <v>1200</v>
      </c>
    </row>
    <row r="433" spans="2:20" x14ac:dyDescent="0.2">
      <c r="B433" s="8">
        <v>50130</v>
      </c>
      <c r="C433" s="9">
        <v>2.2957200000000001E-5</v>
      </c>
      <c r="D433" s="8" t="s">
        <v>1406</v>
      </c>
      <c r="E433" s="1">
        <v>223.2</v>
      </c>
      <c r="F433" s="1">
        <f t="shared" si="18"/>
        <v>3.1054981207882856E-3</v>
      </c>
      <c r="G433" s="1">
        <f t="shared" si="19"/>
        <v>888363278.20069957</v>
      </c>
      <c r="H433" s="1">
        <f t="shared" si="20"/>
        <v>0</v>
      </c>
      <c r="K433">
        <f>VLOOKUP(B433,Nuclides!A:C,2,FALSE)</f>
        <v>80</v>
      </c>
      <c r="L433">
        <f>VLOOKUP(B433,Nuclides!A:C,3,FALSE)</f>
        <v>50</v>
      </c>
      <c r="O433" s="1">
        <v>47116</v>
      </c>
      <c r="P433" s="1">
        <v>4.50908E-7</v>
      </c>
      <c r="Q433" t="s">
        <v>1281</v>
      </c>
      <c r="R433">
        <v>69</v>
      </c>
      <c r="S433">
        <v>47</v>
      </c>
      <c r="T433">
        <f>VLOOKUP(O433,Nuclides!A:D,4,FALSE)</f>
        <v>237</v>
      </c>
    </row>
    <row r="434" spans="2:20" x14ac:dyDescent="0.2">
      <c r="B434" s="8">
        <v>50131</v>
      </c>
      <c r="C434" s="9">
        <v>2.2952800000000002E-5</v>
      </c>
      <c r="D434" s="8" t="s">
        <v>1407</v>
      </c>
      <c r="E434" s="1">
        <v>56</v>
      </c>
      <c r="F434" s="1">
        <f t="shared" si="18"/>
        <v>1.2377628224284737E-2</v>
      </c>
      <c r="G434" s="1">
        <f t="shared" si="19"/>
        <v>3523730587.8906665</v>
      </c>
      <c r="H434" s="1">
        <f t="shared" si="20"/>
        <v>0</v>
      </c>
      <c r="K434">
        <f>VLOOKUP(B434,Nuclides!A:C,2,FALSE)</f>
        <v>81</v>
      </c>
      <c r="L434">
        <f>VLOOKUP(B434,Nuclides!A:C,3,FALSE)</f>
        <v>50</v>
      </c>
      <c r="O434" s="1">
        <v>47117</v>
      </c>
      <c r="P434" s="1">
        <v>9.8180700000000005E-7</v>
      </c>
      <c r="Q434" t="s">
        <v>1282</v>
      </c>
      <c r="R434">
        <v>70</v>
      </c>
      <c r="S434">
        <v>47</v>
      </c>
      <c r="T434">
        <f>VLOOKUP(O434,Nuclides!A:D,4,FALSE)</f>
        <v>72.8</v>
      </c>
    </row>
    <row r="435" spans="2:20" x14ac:dyDescent="0.2">
      <c r="B435" s="8">
        <v>50132</v>
      </c>
      <c r="C435" s="9">
        <v>2.00485E-5</v>
      </c>
      <c r="D435" s="8" t="s">
        <v>1408</v>
      </c>
      <c r="E435" s="1">
        <v>39.700000000000003</v>
      </c>
      <c r="F435" s="1">
        <f t="shared" si="18"/>
        <v>1.7459626714356302E-2</v>
      </c>
      <c r="G435" s="1">
        <f t="shared" si="19"/>
        <v>4330575663.5090914</v>
      </c>
      <c r="H435" s="1">
        <f t="shared" si="20"/>
        <v>0</v>
      </c>
      <c r="K435">
        <f>VLOOKUP(B435,Nuclides!A:C,2,FALSE)</f>
        <v>82</v>
      </c>
      <c r="L435">
        <f>VLOOKUP(B435,Nuclides!A:C,3,FALSE)</f>
        <v>50</v>
      </c>
      <c r="O435" s="1">
        <v>47118</v>
      </c>
      <c r="P435" s="1">
        <v>9.9367300000000001E-7</v>
      </c>
      <c r="Q435" t="s">
        <v>1283</v>
      </c>
      <c r="R435">
        <v>71</v>
      </c>
      <c r="S435">
        <v>47</v>
      </c>
      <c r="T435">
        <f>VLOOKUP(O435,Nuclides!A:D,4,FALSE)</f>
        <v>3.76</v>
      </c>
    </row>
    <row r="436" spans="2:20" x14ac:dyDescent="0.2">
      <c r="B436" s="8">
        <v>50133</v>
      </c>
      <c r="C436" s="9">
        <v>7.7809599999999994E-6</v>
      </c>
      <c r="D436" s="8" t="s">
        <v>1409</v>
      </c>
      <c r="E436" s="1">
        <v>1.46</v>
      </c>
      <c r="F436" s="1">
        <f t="shared" si="18"/>
        <v>0.47475834284927759</v>
      </c>
      <c r="G436" s="1">
        <f t="shared" si="19"/>
        <v>36702778494.239792</v>
      </c>
      <c r="H436" s="1">
        <f t="shared" si="20"/>
        <v>0</v>
      </c>
      <c r="K436">
        <f>VLOOKUP(B436,Nuclides!A:C,2,FALSE)</f>
        <v>83</v>
      </c>
      <c r="L436">
        <f>VLOOKUP(B436,Nuclides!A:C,3,FALSE)</f>
        <v>50</v>
      </c>
      <c r="O436" s="1">
        <v>47119</v>
      </c>
      <c r="P436" s="1">
        <v>1.52045E-6</v>
      </c>
      <c r="Q436" t="s">
        <v>1284</v>
      </c>
      <c r="R436">
        <v>72</v>
      </c>
      <c r="S436">
        <v>47</v>
      </c>
      <c r="T436">
        <f>VLOOKUP(O436,Nuclides!A:D,4,FALSE)</f>
        <v>6</v>
      </c>
    </row>
    <row r="437" spans="2:20" x14ac:dyDescent="0.2">
      <c r="B437" s="8">
        <v>50134</v>
      </c>
      <c r="C437" s="9">
        <v>2.86354E-6</v>
      </c>
      <c r="D437" s="8" t="s">
        <v>1410</v>
      </c>
      <c r="E437" s="1">
        <v>1.05</v>
      </c>
      <c r="F437" s="1">
        <f t="shared" si="18"/>
        <v>0.6601401719618526</v>
      </c>
      <c r="G437" s="1">
        <f t="shared" si="19"/>
        <v>17268862703.339867</v>
      </c>
      <c r="H437" s="1">
        <f t="shared" si="20"/>
        <v>0</v>
      </c>
      <c r="K437">
        <f>VLOOKUP(B437,Nuclides!A:C,2,FALSE)</f>
        <v>84</v>
      </c>
      <c r="L437">
        <f>VLOOKUP(B437,Nuclides!A:C,3,FALSE)</f>
        <v>50</v>
      </c>
      <c r="O437" s="1">
        <v>47120</v>
      </c>
      <c r="P437" s="1">
        <v>1.26903E-6</v>
      </c>
      <c r="Q437" t="s">
        <v>1285</v>
      </c>
      <c r="R437">
        <v>73</v>
      </c>
      <c r="S437">
        <v>47</v>
      </c>
      <c r="T437">
        <f>VLOOKUP(O437,Nuclides!A:D,4,FALSE)</f>
        <v>1.23</v>
      </c>
    </row>
    <row r="438" spans="2:20" x14ac:dyDescent="0.2">
      <c r="B438" s="8">
        <v>51108</v>
      </c>
      <c r="C438" s="9">
        <v>5.9937300000000003E-7</v>
      </c>
      <c r="D438" s="8" t="s">
        <v>1421</v>
      </c>
      <c r="E438" s="1">
        <v>7.4</v>
      </c>
      <c r="F438" s="1">
        <f t="shared" si="18"/>
        <v>9.3668537913506114E-2</v>
      </c>
      <c r="G438" s="1">
        <f t="shared" si="19"/>
        <v>668843318.44947767</v>
      </c>
      <c r="H438" s="1">
        <f t="shared" si="20"/>
        <v>0</v>
      </c>
      <c r="K438">
        <f>VLOOKUP(B438,Nuclides!A:C,2,FALSE)</f>
        <v>57</v>
      </c>
      <c r="L438">
        <f>VLOOKUP(B438,Nuclides!A:C,3,FALSE)</f>
        <v>51</v>
      </c>
      <c r="O438" s="1">
        <v>47121</v>
      </c>
      <c r="P438" s="1">
        <v>1.5272899999999999E-6</v>
      </c>
      <c r="Q438" t="s">
        <v>1286</v>
      </c>
      <c r="R438">
        <v>74</v>
      </c>
      <c r="S438">
        <v>47</v>
      </c>
      <c r="T438">
        <f>VLOOKUP(O438,Nuclides!A:D,4,FALSE)</f>
        <v>0.78</v>
      </c>
    </row>
    <row r="439" spans="2:20" x14ac:dyDescent="0.2">
      <c r="B439" s="8">
        <v>51109</v>
      </c>
      <c r="C439" s="9">
        <v>1.1126100000000001E-7</v>
      </c>
      <c r="D439" s="8" t="s">
        <v>1422</v>
      </c>
      <c r="E439" s="1">
        <v>17</v>
      </c>
      <c r="F439" s="1">
        <f t="shared" si="18"/>
        <v>4.0773363562349722E-2</v>
      </c>
      <c r="G439" s="1">
        <f t="shared" si="19"/>
        <v>55476664.761633672</v>
      </c>
      <c r="H439" s="1">
        <f t="shared" si="20"/>
        <v>0</v>
      </c>
      <c r="K439">
        <f>VLOOKUP(B439,Nuclides!A:C,2,FALSE)</f>
        <v>58</v>
      </c>
      <c r="L439">
        <f>VLOOKUP(B439,Nuclides!A:C,3,FALSE)</f>
        <v>51</v>
      </c>
      <c r="O439" s="1">
        <v>47122</v>
      </c>
      <c r="P439" s="1">
        <v>7.83435E-7</v>
      </c>
      <c r="Q439" t="s">
        <v>1287</v>
      </c>
      <c r="R439">
        <v>75</v>
      </c>
      <c r="S439">
        <v>47</v>
      </c>
      <c r="T439">
        <f>VLOOKUP(O439,Nuclides!A:D,4,FALSE)</f>
        <v>0.52900000000000003</v>
      </c>
    </row>
    <row r="440" spans="2:20" x14ac:dyDescent="0.2">
      <c r="B440" s="8">
        <v>51110</v>
      </c>
      <c r="C440" s="9">
        <v>1.34016E-8</v>
      </c>
      <c r="D440" s="8" t="s">
        <v>1423</v>
      </c>
      <c r="E440" s="1">
        <v>23</v>
      </c>
      <c r="F440" s="1">
        <f t="shared" si="18"/>
        <v>3.0136833937388925E-2</v>
      </c>
      <c r="G440" s="1">
        <f t="shared" si="19"/>
        <v>4965250.5270988541</v>
      </c>
      <c r="H440" s="1">
        <f t="shared" si="20"/>
        <v>0</v>
      </c>
      <c r="K440">
        <f>VLOOKUP(B440,Nuclides!A:C,2,FALSE)</f>
        <v>59</v>
      </c>
      <c r="L440">
        <f>VLOOKUP(B440,Nuclides!A:C,3,FALSE)</f>
        <v>51</v>
      </c>
      <c r="O440" s="1">
        <v>47123</v>
      </c>
      <c r="P440" s="1">
        <v>6.77758E-7</v>
      </c>
      <c r="Q440" t="s">
        <v>1288</v>
      </c>
      <c r="R440">
        <v>76</v>
      </c>
      <c r="S440">
        <v>47</v>
      </c>
      <c r="T440">
        <f>VLOOKUP(O440,Nuclides!A:D,4,FALSE)</f>
        <v>0.3</v>
      </c>
    </row>
    <row r="441" spans="2:20" x14ac:dyDescent="0.2">
      <c r="B441" s="8">
        <v>51111</v>
      </c>
      <c r="C441" s="9">
        <v>1.6054000000000001E-9</v>
      </c>
      <c r="D441" s="8" t="s">
        <v>1424</v>
      </c>
      <c r="E441" s="1">
        <v>75</v>
      </c>
      <c r="F441" s="1">
        <f t="shared" si="18"/>
        <v>9.2419624074659371E-3</v>
      </c>
      <c r="G441" s="1">
        <f t="shared" si="19"/>
        <v>184313.3193907314</v>
      </c>
      <c r="H441" s="1">
        <f t="shared" si="20"/>
        <v>0</v>
      </c>
      <c r="K441">
        <f>VLOOKUP(B441,Nuclides!A:C,2,FALSE)</f>
        <v>60</v>
      </c>
      <c r="L441">
        <f>VLOOKUP(B441,Nuclides!A:C,3,FALSE)</f>
        <v>51</v>
      </c>
      <c r="O441" s="1">
        <v>48097</v>
      </c>
      <c r="P441" s="1">
        <v>2.81503E-7</v>
      </c>
      <c r="Q441" t="s">
        <v>1299</v>
      </c>
      <c r="R441">
        <v>49</v>
      </c>
      <c r="S441">
        <v>48</v>
      </c>
      <c r="T441">
        <f>VLOOKUP(O441,Nuclides!A:D,4,FALSE)</f>
        <v>1.1000000000000001</v>
      </c>
    </row>
    <row r="442" spans="2:20" x14ac:dyDescent="0.2">
      <c r="B442" s="8">
        <v>51119</v>
      </c>
      <c r="C442" s="9">
        <v>1.3959999999999999E-10</v>
      </c>
      <c r="D442" s="8" t="s">
        <v>1432</v>
      </c>
      <c r="E442" s="1">
        <v>137484</v>
      </c>
      <c r="F442" s="1">
        <f t="shared" si="18"/>
        <v>5.0416570696222494E-6</v>
      </c>
      <c r="G442" s="1">
        <f t="shared" si="19"/>
        <v>8.7835931379087508</v>
      </c>
      <c r="H442" s="1">
        <f t="shared" si="20"/>
        <v>7.8268461172885798E-69</v>
      </c>
      <c r="K442">
        <f>VLOOKUP(B442,Nuclides!A:C,2,FALSE)</f>
        <v>68</v>
      </c>
      <c r="L442">
        <f>VLOOKUP(B442,Nuclides!A:C,3,FALSE)</f>
        <v>51</v>
      </c>
      <c r="O442" s="1">
        <v>48098</v>
      </c>
      <c r="P442" s="1">
        <v>1.9460200000000001E-7</v>
      </c>
      <c r="Q442" t="s">
        <v>1300</v>
      </c>
      <c r="R442">
        <v>50</v>
      </c>
      <c r="S442">
        <v>48</v>
      </c>
      <c r="T442">
        <f>VLOOKUP(O442,Nuclides!A:D,4,FALSE)</f>
        <v>9.1999999999999993</v>
      </c>
    </row>
    <row r="443" spans="2:20" x14ac:dyDescent="0.2">
      <c r="B443" s="8">
        <v>51120</v>
      </c>
      <c r="C443" s="9">
        <v>4.8860000000000005E-10</v>
      </c>
      <c r="D443" s="8" t="s">
        <v>1433</v>
      </c>
      <c r="E443" s="1">
        <v>953.4</v>
      </c>
      <c r="F443" s="1">
        <f t="shared" si="18"/>
        <v>7.2702662110336197E-4</v>
      </c>
      <c r="G443" s="1">
        <f t="shared" si="19"/>
        <v>4431.5994436627634</v>
      </c>
      <c r="H443" s="1">
        <f t="shared" si="20"/>
        <v>0</v>
      </c>
      <c r="K443">
        <f>VLOOKUP(B443,Nuclides!A:C,2,FALSE)</f>
        <v>69</v>
      </c>
      <c r="L443">
        <f>VLOOKUP(B443,Nuclides!A:C,3,FALSE)</f>
        <v>51</v>
      </c>
      <c r="O443" s="1">
        <v>48099</v>
      </c>
      <c r="P443" s="1">
        <v>5.8911200000000001E-8</v>
      </c>
      <c r="Q443" t="s">
        <v>1301</v>
      </c>
      <c r="R443">
        <v>51</v>
      </c>
      <c r="S443">
        <v>48</v>
      </c>
      <c r="T443">
        <f>VLOOKUP(O443,Nuclides!A:D,4,FALSE)</f>
        <v>16</v>
      </c>
    </row>
    <row r="444" spans="2:20" x14ac:dyDescent="0.2">
      <c r="B444" s="8">
        <v>51122</v>
      </c>
      <c r="C444" s="9">
        <v>5.3746E-9</v>
      </c>
      <c r="D444" s="8" t="s">
        <v>1435</v>
      </c>
      <c r="E444" s="1">
        <v>235336.32000000001</v>
      </c>
      <c r="F444" s="1">
        <f t="shared" si="18"/>
        <v>2.9453472398988192E-6</v>
      </c>
      <c r="G444" s="1">
        <f t="shared" si="19"/>
        <v>197.55889873784272</v>
      </c>
      <c r="H444" s="1">
        <f t="shared" si="20"/>
        <v>9.0465623132396747E-39</v>
      </c>
      <c r="K444">
        <f>VLOOKUP(B444,Nuclides!A:C,2,FALSE)</f>
        <v>71</v>
      </c>
      <c r="L444">
        <f>VLOOKUP(B444,Nuclides!A:C,3,FALSE)</f>
        <v>51</v>
      </c>
      <c r="O444" s="1">
        <v>48100</v>
      </c>
      <c r="P444" s="1">
        <v>3.2107999999999999E-8</v>
      </c>
      <c r="Q444" t="s">
        <v>1302</v>
      </c>
      <c r="R444">
        <v>52</v>
      </c>
      <c r="S444">
        <v>48</v>
      </c>
      <c r="T444">
        <f>VLOOKUP(O444,Nuclides!A:D,4,FALSE)</f>
        <v>49.1</v>
      </c>
    </row>
    <row r="445" spans="2:20" x14ac:dyDescent="0.2">
      <c r="B445" s="8">
        <v>51124</v>
      </c>
      <c r="C445" s="9">
        <v>7.28014E-8</v>
      </c>
      <c r="D445" s="8" t="s">
        <v>1437</v>
      </c>
      <c r="E445" s="1">
        <v>5201280</v>
      </c>
      <c r="F445" s="1">
        <f t="shared" si="18"/>
        <v>1.3326473109695023E-7</v>
      </c>
      <c r="G445" s="1">
        <f t="shared" si="19"/>
        <v>121.07919221984255</v>
      </c>
      <c r="H445" s="1">
        <f t="shared" si="20"/>
        <v>1.810871557384981</v>
      </c>
      <c r="K445">
        <f>VLOOKUP(B445,Nuclides!A:C,2,FALSE)</f>
        <v>73</v>
      </c>
      <c r="L445">
        <f>VLOOKUP(B445,Nuclides!A:C,3,FALSE)</f>
        <v>51</v>
      </c>
      <c r="O445" s="1">
        <v>48101</v>
      </c>
      <c r="P445" s="1">
        <v>6.9800000000000003E-9</v>
      </c>
      <c r="Q445" t="s">
        <v>1303</v>
      </c>
      <c r="R445">
        <v>53</v>
      </c>
      <c r="S445">
        <v>48</v>
      </c>
      <c r="T445">
        <f>VLOOKUP(O445,Nuclides!A:D,4,FALSE)</f>
        <v>81.599999999999994</v>
      </c>
    </row>
    <row r="446" spans="2:20" x14ac:dyDescent="0.2">
      <c r="B446" s="8">
        <v>51125</v>
      </c>
      <c r="C446" s="9">
        <v>2.6831100000000003E-7</v>
      </c>
      <c r="D446" s="8" t="s">
        <v>1438</v>
      </c>
      <c r="E446" s="1">
        <v>87053533.055999994</v>
      </c>
      <c r="F446" s="1">
        <f t="shared" si="18"/>
        <v>7.9623095838517667E-9</v>
      </c>
      <c r="G446" s="1">
        <f t="shared" si="19"/>
        <v>26.661963098180092</v>
      </c>
      <c r="H446" s="1">
        <f t="shared" si="20"/>
        <v>20.741542051277239</v>
      </c>
      <c r="K446">
        <f>VLOOKUP(B446,Nuclides!A:C,2,FALSE)</f>
        <v>74</v>
      </c>
      <c r="L446">
        <f>VLOOKUP(B446,Nuclides!A:C,3,FALSE)</f>
        <v>51</v>
      </c>
      <c r="O446" s="1">
        <v>48102</v>
      </c>
      <c r="P446" s="1">
        <v>3.2806E-9</v>
      </c>
      <c r="Q446" t="s">
        <v>1304</v>
      </c>
      <c r="R446">
        <v>54</v>
      </c>
      <c r="S446">
        <v>48</v>
      </c>
      <c r="T446">
        <f>VLOOKUP(O446,Nuclides!A:D,4,FALSE)</f>
        <v>330</v>
      </c>
    </row>
    <row r="447" spans="2:20" x14ac:dyDescent="0.2">
      <c r="B447" s="8">
        <v>51126</v>
      </c>
      <c r="C447" s="9">
        <v>5.6084300000000001E-7</v>
      </c>
      <c r="D447" s="8" t="s">
        <v>1439</v>
      </c>
      <c r="E447" s="1">
        <v>1067040</v>
      </c>
      <c r="F447" s="1">
        <f t="shared" si="18"/>
        <v>6.4959812243209751E-7</v>
      </c>
      <c r="G447" s="1">
        <f t="shared" si="19"/>
        <v>4546.7440693954459</v>
      </c>
      <c r="H447" s="1">
        <f t="shared" si="20"/>
        <v>5.7658399171573556E-6</v>
      </c>
      <c r="K447">
        <f>VLOOKUP(B447,Nuclides!A:C,2,FALSE)</f>
        <v>75</v>
      </c>
      <c r="L447">
        <f>VLOOKUP(B447,Nuclides!A:C,3,FALSE)</f>
        <v>51</v>
      </c>
      <c r="O447" s="1">
        <v>48103</v>
      </c>
      <c r="P447" s="1">
        <v>3.4899999999999998E-10</v>
      </c>
      <c r="Q447" t="s">
        <v>1305</v>
      </c>
      <c r="R447">
        <v>55</v>
      </c>
      <c r="S447">
        <v>48</v>
      </c>
      <c r="T447">
        <f>VLOOKUP(O447,Nuclides!A:D,4,FALSE)</f>
        <v>438</v>
      </c>
    </row>
    <row r="448" spans="2:20" x14ac:dyDescent="0.2">
      <c r="B448" s="8">
        <v>51127</v>
      </c>
      <c r="C448" s="9">
        <v>1.5382500000000001E-6</v>
      </c>
      <c r="D448" s="8" t="s">
        <v>1440</v>
      </c>
      <c r="E448" s="1">
        <v>332640</v>
      </c>
      <c r="F448" s="1">
        <f t="shared" si="18"/>
        <v>2.083775795334131E-6</v>
      </c>
      <c r="G448" s="1">
        <f t="shared" si="19"/>
        <v>40002.952424524556</v>
      </c>
      <c r="H448" s="1">
        <f t="shared" si="20"/>
        <v>1.155805254606681E-24</v>
      </c>
      <c r="K448">
        <f>VLOOKUP(B448,Nuclides!A:C,2,FALSE)</f>
        <v>76</v>
      </c>
      <c r="L448">
        <f>VLOOKUP(B448,Nuclides!A:C,3,FALSE)</f>
        <v>51</v>
      </c>
      <c r="O448" s="1">
        <v>48113</v>
      </c>
      <c r="P448" s="1">
        <v>6.9799999999999994E-11</v>
      </c>
      <c r="Q448" t="s">
        <v>1315</v>
      </c>
      <c r="R448">
        <v>65</v>
      </c>
      <c r="S448">
        <v>48</v>
      </c>
      <c r="T448">
        <f>VLOOKUP(O448,Nuclides!A:D,4,FALSE)</f>
        <v>2.5246080000000001E+23</v>
      </c>
    </row>
    <row r="449" spans="2:20" x14ac:dyDescent="0.2">
      <c r="B449" s="8">
        <v>51128</v>
      </c>
      <c r="C449" s="9">
        <v>2.82515E-6</v>
      </c>
      <c r="D449" s="8" t="s">
        <v>1441</v>
      </c>
      <c r="E449" s="1">
        <v>32580</v>
      </c>
      <c r="F449" s="1">
        <f t="shared" si="18"/>
        <v>2.1275235744626926E-5</v>
      </c>
      <c r="G449" s="1">
        <f t="shared" si="19"/>
        <v>750111.55922496004</v>
      </c>
      <c r="H449" s="1">
        <f t="shared" si="20"/>
        <v>3.1002395224927322E-286</v>
      </c>
      <c r="K449">
        <f>VLOOKUP(B449,Nuclides!A:C,2,FALSE)</f>
        <v>77</v>
      </c>
      <c r="L449">
        <f>VLOOKUP(B449,Nuclides!A:C,3,FALSE)</f>
        <v>51</v>
      </c>
      <c r="O449" s="1">
        <v>48114</v>
      </c>
      <c r="P449" s="1">
        <v>2.3034000000000001E-9</v>
      </c>
      <c r="Q449" t="s">
        <v>1316</v>
      </c>
      <c r="R449">
        <v>66</v>
      </c>
      <c r="S449">
        <v>48</v>
      </c>
      <c r="T449">
        <f>VLOOKUP(O449,Nuclides!A:D,4,FALSE)</f>
        <v>6.627096E+25</v>
      </c>
    </row>
    <row r="450" spans="2:20" x14ac:dyDescent="0.2">
      <c r="B450" s="8">
        <v>51129</v>
      </c>
      <c r="C450" s="9">
        <v>6.9429400000000003E-6</v>
      </c>
      <c r="D450" s="8" t="s">
        <v>1442</v>
      </c>
      <c r="E450" s="1">
        <v>15717.5999999999</v>
      </c>
      <c r="F450" s="1">
        <f t="shared" si="18"/>
        <v>4.4100064931029528E-5</v>
      </c>
      <c r="G450" s="1">
        <f t="shared" si="19"/>
        <v>3821093.3722029906</v>
      </c>
      <c r="H450" s="1">
        <f t="shared" si="20"/>
        <v>0</v>
      </c>
      <c r="K450">
        <f>VLOOKUP(B450,Nuclides!A:C,2,FALSE)</f>
        <v>78</v>
      </c>
      <c r="L450">
        <f>VLOOKUP(B450,Nuclides!A:C,3,FALSE)</f>
        <v>51</v>
      </c>
      <c r="O450" s="1">
        <v>48115</v>
      </c>
      <c r="P450" s="1">
        <v>1.05398E-8</v>
      </c>
      <c r="Q450" t="s">
        <v>1317</v>
      </c>
      <c r="R450">
        <v>67</v>
      </c>
      <c r="S450">
        <v>48</v>
      </c>
      <c r="T450">
        <f>VLOOKUP(O450,Nuclides!A:D,4,FALSE)</f>
        <v>192456</v>
      </c>
    </row>
    <row r="451" spans="2:20" x14ac:dyDescent="0.2">
      <c r="B451" s="8">
        <v>51130</v>
      </c>
      <c r="C451" s="9">
        <v>1.3030999999999999E-5</v>
      </c>
      <c r="D451" s="8" t="s">
        <v>1443</v>
      </c>
      <c r="E451" s="1">
        <v>2370</v>
      </c>
      <c r="F451" s="1">
        <f t="shared" si="18"/>
        <v>2.9246716479322586E-4</v>
      </c>
      <c r="G451" s="1">
        <f t="shared" si="19"/>
        <v>47556067.87962193</v>
      </c>
      <c r="H451" s="1">
        <f t="shared" si="20"/>
        <v>0</v>
      </c>
      <c r="K451">
        <f>VLOOKUP(B451,Nuclides!A:C,2,FALSE)</f>
        <v>79</v>
      </c>
      <c r="L451">
        <f>VLOOKUP(B451,Nuclides!A:C,3,FALSE)</f>
        <v>51</v>
      </c>
      <c r="O451" s="1">
        <v>48116</v>
      </c>
      <c r="P451" s="1">
        <v>6.1005199999999994E-8</v>
      </c>
      <c r="Q451" t="s">
        <v>1318</v>
      </c>
      <c r="R451">
        <v>68</v>
      </c>
      <c r="S451">
        <v>48</v>
      </c>
      <c r="T451">
        <f>VLOOKUP(O451,Nuclides!A:D,4,FALSE)</f>
        <v>1.0414008E+27</v>
      </c>
    </row>
    <row r="452" spans="2:20" x14ac:dyDescent="0.2">
      <c r="B452" s="8">
        <v>51131</v>
      </c>
      <c r="C452" s="9">
        <v>2.8943100000000001E-5</v>
      </c>
      <c r="D452" s="8" t="s">
        <v>1444</v>
      </c>
      <c r="E452" s="1">
        <v>1381.8</v>
      </c>
      <c r="F452" s="1">
        <f t="shared" ref="F452:F515" si="21">LN(2)/E452</f>
        <v>5.0162627048773E-4</v>
      </c>
      <c r="G452" s="1">
        <f t="shared" ref="G452:G515" si="22">2*6240000000000000*C452*(1-EXP(-F452))</f>
        <v>181146931.1525102</v>
      </c>
      <c r="H452" s="1">
        <f t="shared" ref="H452:H515" si="23">G452*EXP(-F452*365*24*3600)</f>
        <v>0</v>
      </c>
      <c r="K452">
        <f>VLOOKUP(B452,Nuclides!A:C,2,FALSE)</f>
        <v>80</v>
      </c>
      <c r="L452">
        <f>VLOOKUP(B452,Nuclides!A:C,3,FALSE)</f>
        <v>51</v>
      </c>
      <c r="O452" s="1">
        <v>48117</v>
      </c>
      <c r="P452" s="1">
        <v>1.35203E-7</v>
      </c>
      <c r="Q452" t="s">
        <v>1319</v>
      </c>
      <c r="R452">
        <v>69</v>
      </c>
      <c r="S452">
        <v>48</v>
      </c>
      <c r="T452">
        <f>VLOOKUP(O452,Nuclides!A:D,4,FALSE)</f>
        <v>8964</v>
      </c>
    </row>
    <row r="453" spans="2:20" x14ac:dyDescent="0.2">
      <c r="B453" s="8">
        <v>51132</v>
      </c>
      <c r="C453" s="9">
        <v>4.0145699999999997E-5</v>
      </c>
      <c r="D453" s="8" t="s">
        <v>1445</v>
      </c>
      <c r="E453" s="1">
        <v>167.4</v>
      </c>
      <c r="F453" s="1">
        <f t="shared" si="21"/>
        <v>4.1406641610510471E-3</v>
      </c>
      <c r="G453" s="1">
        <f t="shared" si="22"/>
        <v>2070259585.1707277</v>
      </c>
      <c r="H453" s="1">
        <f t="shared" si="23"/>
        <v>0</v>
      </c>
      <c r="K453">
        <f>VLOOKUP(B453,Nuclides!A:C,2,FALSE)</f>
        <v>81</v>
      </c>
      <c r="L453">
        <f>VLOOKUP(B453,Nuclides!A:C,3,FALSE)</f>
        <v>51</v>
      </c>
      <c r="O453" s="1">
        <v>48118</v>
      </c>
      <c r="P453" s="1">
        <v>4.9048500000000001E-7</v>
      </c>
      <c r="Q453" t="s">
        <v>1320</v>
      </c>
      <c r="R453">
        <v>70</v>
      </c>
      <c r="S453">
        <v>48</v>
      </c>
      <c r="T453">
        <f>VLOOKUP(O453,Nuclides!A:D,4,FALSE)</f>
        <v>3018</v>
      </c>
    </row>
    <row r="454" spans="2:20" x14ac:dyDescent="0.2">
      <c r="B454" s="8">
        <v>51133</v>
      </c>
      <c r="C454" s="9">
        <v>5.31325E-5</v>
      </c>
      <c r="D454" s="8" t="s">
        <v>1446</v>
      </c>
      <c r="E454" s="1">
        <v>140.39999999999901</v>
      </c>
      <c r="F454" s="1">
        <f t="shared" si="21"/>
        <v>4.9369457304839753E-3</v>
      </c>
      <c r="G454" s="1">
        <f t="shared" si="22"/>
        <v>3265589465.6467466</v>
      </c>
      <c r="H454" s="1">
        <f t="shared" si="23"/>
        <v>0</v>
      </c>
      <c r="K454">
        <f>VLOOKUP(B454,Nuclides!A:C,2,FALSE)</f>
        <v>82</v>
      </c>
      <c r="L454">
        <f>VLOOKUP(B454,Nuclides!A:C,3,FALSE)</f>
        <v>51</v>
      </c>
      <c r="O454" s="1">
        <v>48119</v>
      </c>
      <c r="P454" s="1">
        <v>6.4481199999999996E-7</v>
      </c>
      <c r="Q454" t="s">
        <v>1321</v>
      </c>
      <c r="R454">
        <v>71</v>
      </c>
      <c r="S454">
        <v>48</v>
      </c>
      <c r="T454">
        <f>VLOOKUP(O454,Nuclides!A:D,4,FALSE)</f>
        <v>161.4</v>
      </c>
    </row>
    <row r="455" spans="2:20" x14ac:dyDescent="0.2">
      <c r="B455" s="8">
        <v>51134</v>
      </c>
      <c r="C455" s="9">
        <v>2.96874E-5</v>
      </c>
      <c r="D455" s="8" t="s">
        <v>1447</v>
      </c>
      <c r="E455" s="1">
        <v>0.78</v>
      </c>
      <c r="F455" s="1">
        <f t="shared" si="21"/>
        <v>0.88865023148710931</v>
      </c>
      <c r="G455" s="1">
        <f t="shared" si="22"/>
        <v>218145805615.35333</v>
      </c>
      <c r="H455" s="1">
        <f t="shared" si="23"/>
        <v>0</v>
      </c>
      <c r="K455">
        <f>VLOOKUP(B455,Nuclides!A:C,2,FALSE)</f>
        <v>83</v>
      </c>
      <c r="L455">
        <f>VLOOKUP(B455,Nuclides!A:C,3,FALSE)</f>
        <v>51</v>
      </c>
      <c r="O455" s="1">
        <v>48120</v>
      </c>
      <c r="P455" s="1">
        <v>1.5927E-6</v>
      </c>
      <c r="Q455" t="s">
        <v>1322</v>
      </c>
      <c r="R455">
        <v>72</v>
      </c>
      <c r="S455">
        <v>48</v>
      </c>
      <c r="T455">
        <f>VLOOKUP(O455,Nuclides!A:D,4,FALSE)</f>
        <v>50.8</v>
      </c>
    </row>
    <row r="456" spans="2:20" x14ac:dyDescent="0.2">
      <c r="B456" s="8">
        <v>51135</v>
      </c>
      <c r="C456" s="9">
        <v>1.80646E-5</v>
      </c>
      <c r="D456" s="8" t="s">
        <v>1448</v>
      </c>
      <c r="E456" s="1">
        <v>1.679</v>
      </c>
      <c r="F456" s="1">
        <f t="shared" si="21"/>
        <v>0.41283334160806745</v>
      </c>
      <c r="G456" s="1">
        <f t="shared" si="22"/>
        <v>76252092980.362717</v>
      </c>
      <c r="H456" s="1">
        <f t="shared" si="23"/>
        <v>0</v>
      </c>
      <c r="K456">
        <f>VLOOKUP(B456,Nuclides!A:C,2,FALSE)</f>
        <v>84</v>
      </c>
      <c r="L456">
        <f>VLOOKUP(B456,Nuclides!A:C,3,FALSE)</f>
        <v>51</v>
      </c>
      <c r="O456" s="1">
        <v>48121</v>
      </c>
      <c r="P456" s="1">
        <v>1.5565400000000001E-6</v>
      </c>
      <c r="Q456" t="s">
        <v>1323</v>
      </c>
      <c r="R456">
        <v>73</v>
      </c>
      <c r="S456">
        <v>48</v>
      </c>
      <c r="T456">
        <f>VLOOKUP(O456,Nuclides!A:D,4,FALSE)</f>
        <v>13.5</v>
      </c>
    </row>
    <row r="457" spans="2:20" x14ac:dyDescent="0.2">
      <c r="B457" s="8">
        <v>51136</v>
      </c>
      <c r="C457" s="9">
        <v>5.6405399999999999E-6</v>
      </c>
      <c r="D457" s="8" t="s">
        <v>1449</v>
      </c>
      <c r="E457" s="1">
        <v>0.92300000000000004</v>
      </c>
      <c r="F457" s="1">
        <f t="shared" si="21"/>
        <v>0.75097202660882478</v>
      </c>
      <c r="G457" s="1">
        <f t="shared" si="22"/>
        <v>37174502681.003349</v>
      </c>
      <c r="H457" s="1">
        <f t="shared" si="23"/>
        <v>0</v>
      </c>
      <c r="K457">
        <f>VLOOKUP(B457,Nuclides!A:C,2,FALSE)</f>
        <v>85</v>
      </c>
      <c r="L457">
        <f>VLOOKUP(B457,Nuclides!A:C,3,FALSE)</f>
        <v>51</v>
      </c>
      <c r="O457" s="1">
        <v>48122</v>
      </c>
      <c r="P457" s="1">
        <v>2.84798E-6</v>
      </c>
      <c r="Q457" t="s">
        <v>1324</v>
      </c>
      <c r="R457">
        <v>74</v>
      </c>
      <c r="S457">
        <v>48</v>
      </c>
      <c r="T457">
        <f>VLOOKUP(O457,Nuclides!A:D,4,FALSE)</f>
        <v>5.24</v>
      </c>
    </row>
    <row r="458" spans="2:20" x14ac:dyDescent="0.2">
      <c r="B458" s="8">
        <v>52106</v>
      </c>
      <c r="C458" s="9">
        <v>1.8392300000000001E-6</v>
      </c>
      <c r="D458" s="8" t="s">
        <v>1455</v>
      </c>
      <c r="E458" s="1">
        <v>6.9999999999999994E-5</v>
      </c>
      <c r="F458" s="1">
        <f t="shared" si="21"/>
        <v>9902.1025794277903</v>
      </c>
      <c r="G458" s="1">
        <f t="shared" si="22"/>
        <v>22953590400</v>
      </c>
      <c r="H458" s="1">
        <f t="shared" si="23"/>
        <v>0</v>
      </c>
      <c r="K458">
        <f>VLOOKUP(B458,Nuclides!A:C,2,FALSE)</f>
        <v>54</v>
      </c>
      <c r="L458">
        <f>VLOOKUP(B458,Nuclides!A:C,3,FALSE)</f>
        <v>52</v>
      </c>
      <c r="O458" s="1">
        <v>48123</v>
      </c>
      <c r="P458" s="1">
        <v>2.0535899999999998E-6</v>
      </c>
      <c r="Q458" t="s">
        <v>1325</v>
      </c>
      <c r="R458">
        <v>75</v>
      </c>
      <c r="S458">
        <v>48</v>
      </c>
      <c r="T458">
        <f>VLOOKUP(O458,Nuclides!A:D,4,FALSE)</f>
        <v>2.1</v>
      </c>
    </row>
    <row r="459" spans="2:20" x14ac:dyDescent="0.2">
      <c r="B459" s="8">
        <v>52107</v>
      </c>
      <c r="C459" s="9">
        <v>3.4209000000000001E-7</v>
      </c>
      <c r="D459" s="8" t="s">
        <v>1456</v>
      </c>
      <c r="E459" s="1">
        <v>3.0999999999999999E-3</v>
      </c>
      <c r="F459" s="1">
        <f t="shared" si="21"/>
        <v>223.59586469675656</v>
      </c>
      <c r="G459" s="1">
        <f t="shared" si="22"/>
        <v>4269283200</v>
      </c>
      <c r="H459" s="1">
        <f t="shared" si="23"/>
        <v>0</v>
      </c>
      <c r="K459">
        <f>VLOOKUP(B459,Nuclides!A:C,2,FALSE)</f>
        <v>55</v>
      </c>
      <c r="L459">
        <f>VLOOKUP(B459,Nuclides!A:C,3,FALSE)</f>
        <v>52</v>
      </c>
      <c r="O459" s="1">
        <v>48124</v>
      </c>
      <c r="P459" s="1">
        <v>2.6906499999999998E-6</v>
      </c>
      <c r="Q459" t="s">
        <v>1326</v>
      </c>
      <c r="R459">
        <v>76</v>
      </c>
      <c r="S459">
        <v>48</v>
      </c>
      <c r="T459">
        <f>VLOOKUP(O459,Nuclides!A:D,4,FALSE)</f>
        <v>1.25</v>
      </c>
    </row>
    <row r="460" spans="2:20" x14ac:dyDescent="0.2">
      <c r="B460" s="8">
        <v>52108</v>
      </c>
      <c r="C460" s="9">
        <v>6.2122000000000005E-8</v>
      </c>
      <c r="D460" s="8" t="s">
        <v>1457</v>
      </c>
      <c r="E460" s="1">
        <v>2.1</v>
      </c>
      <c r="F460" s="1">
        <f t="shared" si="21"/>
        <v>0.3300700859809263</v>
      </c>
      <c r="G460" s="1">
        <f t="shared" si="22"/>
        <v>217952589.88664055</v>
      </c>
      <c r="H460" s="1">
        <f t="shared" si="23"/>
        <v>0</v>
      </c>
      <c r="K460">
        <f>VLOOKUP(B460,Nuclides!A:C,2,FALSE)</f>
        <v>56</v>
      </c>
      <c r="L460">
        <f>VLOOKUP(B460,Nuclides!A:C,3,FALSE)</f>
        <v>52</v>
      </c>
      <c r="O460" s="1">
        <v>48125</v>
      </c>
      <c r="P460" s="1">
        <v>1.3319900000000001E-6</v>
      </c>
      <c r="Q460" t="s">
        <v>1327</v>
      </c>
      <c r="R460">
        <v>77</v>
      </c>
      <c r="S460">
        <v>48</v>
      </c>
      <c r="T460">
        <f>VLOOKUP(O460,Nuclides!A:D,4,FALSE)</f>
        <v>0.68</v>
      </c>
    </row>
    <row r="461" spans="2:20" x14ac:dyDescent="0.2">
      <c r="B461" s="8">
        <v>52109</v>
      </c>
      <c r="C461" s="9">
        <v>7.1196000000000001E-9</v>
      </c>
      <c r="D461" s="8" t="s">
        <v>1458</v>
      </c>
      <c r="E461" s="1">
        <v>4.5999999999999996</v>
      </c>
      <c r="F461" s="1">
        <f t="shared" si="21"/>
        <v>0.15068416968694465</v>
      </c>
      <c r="G461" s="1">
        <f t="shared" si="22"/>
        <v>12428764.336053811</v>
      </c>
      <c r="H461" s="1">
        <f t="shared" si="23"/>
        <v>0</v>
      </c>
      <c r="K461">
        <f>VLOOKUP(B461,Nuclides!A:C,2,FALSE)</f>
        <v>57</v>
      </c>
      <c r="L461">
        <f>VLOOKUP(B461,Nuclides!A:C,3,FALSE)</f>
        <v>52</v>
      </c>
      <c r="O461" s="1">
        <v>48126</v>
      </c>
      <c r="P461" s="1">
        <v>1.1639800000000001E-6</v>
      </c>
      <c r="Q461" t="s">
        <v>1328</v>
      </c>
      <c r="R461">
        <v>78</v>
      </c>
      <c r="S461">
        <v>48</v>
      </c>
      <c r="T461">
        <f>VLOOKUP(O461,Nuclides!A:D,4,FALSE)</f>
        <v>0.51500000000000001</v>
      </c>
    </row>
    <row r="462" spans="2:20" x14ac:dyDescent="0.2">
      <c r="B462" s="8">
        <v>52110</v>
      </c>
      <c r="C462" s="9">
        <v>7.6779999999999997E-10</v>
      </c>
      <c r="D462" s="8" t="s">
        <v>1459</v>
      </c>
      <c r="E462" s="1">
        <v>18.600000000000001</v>
      </c>
      <c r="F462" s="1">
        <f t="shared" si="21"/>
        <v>3.726597744945942E-2</v>
      </c>
      <c r="G462" s="1">
        <f t="shared" si="22"/>
        <v>350516.23309978505</v>
      </c>
      <c r="H462" s="1">
        <f t="shared" si="23"/>
        <v>0</v>
      </c>
      <c r="K462">
        <f>VLOOKUP(B462,Nuclides!A:C,2,FALSE)</f>
        <v>58</v>
      </c>
      <c r="L462">
        <f>VLOOKUP(B462,Nuclides!A:C,3,FALSE)</f>
        <v>52</v>
      </c>
      <c r="O462" s="1">
        <v>49100</v>
      </c>
      <c r="P462" s="1">
        <v>4.0358400000000002E-7</v>
      </c>
      <c r="Q462" t="s">
        <v>1339</v>
      </c>
      <c r="R462">
        <v>51</v>
      </c>
      <c r="S462">
        <v>49</v>
      </c>
      <c r="T462">
        <f>VLOOKUP(O462,Nuclides!A:D,4,FALSE)</f>
        <v>5.8</v>
      </c>
    </row>
    <row r="463" spans="2:20" x14ac:dyDescent="0.2">
      <c r="B463" s="8">
        <v>52121</v>
      </c>
      <c r="C463" s="9">
        <v>1.3959999999999999E-10</v>
      </c>
      <c r="D463" s="8" t="s">
        <v>1470</v>
      </c>
      <c r="E463" s="1">
        <v>1656288</v>
      </c>
      <c r="F463" s="1">
        <f t="shared" si="21"/>
        <v>4.1849435639209198E-7</v>
      </c>
      <c r="G463" s="1">
        <f t="shared" si="22"/>
        <v>0.72910406304808351</v>
      </c>
      <c r="H463" s="1">
        <f t="shared" si="23"/>
        <v>1.3524715890737174E-6</v>
      </c>
      <c r="K463">
        <f>VLOOKUP(B463,Nuclides!A:C,2,FALSE)</f>
        <v>69</v>
      </c>
      <c r="L463">
        <f>VLOOKUP(B463,Nuclides!A:C,3,FALSE)</f>
        <v>52</v>
      </c>
      <c r="O463" s="1">
        <v>49101</v>
      </c>
      <c r="P463" s="1">
        <v>2.4960499999999999E-7</v>
      </c>
      <c r="Q463" t="s">
        <v>1340</v>
      </c>
      <c r="R463">
        <v>52</v>
      </c>
      <c r="S463">
        <v>49</v>
      </c>
      <c r="T463">
        <f>VLOOKUP(O463,Nuclides!A:D,4,FALSE)</f>
        <v>15.1</v>
      </c>
    </row>
    <row r="464" spans="2:20" x14ac:dyDescent="0.2">
      <c r="B464" s="8">
        <v>52123</v>
      </c>
      <c r="C464" s="9">
        <v>3.4899999999999998E-10</v>
      </c>
      <c r="D464" s="8" t="s">
        <v>1472</v>
      </c>
      <c r="E464" s="1">
        <v>2.9032991999999999E+24</v>
      </c>
      <c r="F464" s="1">
        <f t="shared" si="21"/>
        <v>2.3874466006119702E-25</v>
      </c>
      <c r="G464" s="1">
        <f t="shared" si="22"/>
        <v>0</v>
      </c>
      <c r="H464" s="1">
        <f t="shared" si="23"/>
        <v>0</v>
      </c>
      <c r="K464">
        <f>VLOOKUP(B464,Nuclides!A:C,2,FALSE)</f>
        <v>71</v>
      </c>
      <c r="L464">
        <f>VLOOKUP(B464,Nuclides!A:C,3,FALSE)</f>
        <v>52</v>
      </c>
      <c r="O464" s="1">
        <v>49102</v>
      </c>
      <c r="P464" s="1">
        <v>4.12518E-8</v>
      </c>
      <c r="Q464" t="s">
        <v>1341</v>
      </c>
      <c r="R464">
        <v>53</v>
      </c>
      <c r="S464">
        <v>49</v>
      </c>
      <c r="T464">
        <f>VLOOKUP(O464,Nuclides!A:D,4,FALSE)</f>
        <v>23.3</v>
      </c>
    </row>
    <row r="465" spans="2:20" x14ac:dyDescent="0.2">
      <c r="B465" s="8">
        <v>52127</v>
      </c>
      <c r="C465" s="9">
        <v>1.2982799999999999E-7</v>
      </c>
      <c r="D465" s="8" t="s">
        <v>1476</v>
      </c>
      <c r="E465" s="1">
        <v>33660</v>
      </c>
      <c r="F465" s="1">
        <f t="shared" si="21"/>
        <v>2.0592607859772586E-5</v>
      </c>
      <c r="G465" s="1">
        <f t="shared" si="22"/>
        <v>33364.900187100131</v>
      </c>
      <c r="H465" s="1">
        <f t="shared" si="23"/>
        <v>3.0815543240097744E-278</v>
      </c>
      <c r="K465">
        <f>VLOOKUP(B465,Nuclides!A:C,2,FALSE)</f>
        <v>75</v>
      </c>
      <c r="L465">
        <f>VLOOKUP(B465,Nuclides!A:C,3,FALSE)</f>
        <v>52</v>
      </c>
      <c r="O465" s="1">
        <v>49104</v>
      </c>
      <c r="P465" s="1">
        <v>6.3518000000000003E-9</v>
      </c>
      <c r="Q465" t="s">
        <v>1343</v>
      </c>
      <c r="R465">
        <v>55</v>
      </c>
      <c r="S465">
        <v>49</v>
      </c>
      <c r="T465">
        <f>VLOOKUP(O465,Nuclides!A:D,4,FALSE)</f>
        <v>108</v>
      </c>
    </row>
    <row r="466" spans="2:20" x14ac:dyDescent="0.2">
      <c r="B466" s="8">
        <v>52128</v>
      </c>
      <c r="C466" s="9">
        <v>5.3620399999999995E-7</v>
      </c>
      <c r="D466" s="8" t="s">
        <v>1477</v>
      </c>
      <c r="E466" s="1">
        <v>7.6053815999999996E+31</v>
      </c>
      <c r="F466" s="1">
        <f t="shared" si="21"/>
        <v>9.1139040355311737E-33</v>
      </c>
      <c r="G466" s="1">
        <f t="shared" si="22"/>
        <v>0</v>
      </c>
      <c r="H466" s="1">
        <f t="shared" si="23"/>
        <v>0</v>
      </c>
      <c r="K466">
        <f>VLOOKUP(B466,Nuclides!A:C,2,FALSE)</f>
        <v>76</v>
      </c>
      <c r="L466">
        <f>VLOOKUP(B466,Nuclides!A:C,3,FALSE)</f>
        <v>52</v>
      </c>
      <c r="O466" s="1">
        <v>49105</v>
      </c>
      <c r="P466" s="1">
        <v>2.4429999999999999E-9</v>
      </c>
      <c r="Q466" t="s">
        <v>1344</v>
      </c>
      <c r="R466">
        <v>56</v>
      </c>
      <c r="S466">
        <v>49</v>
      </c>
      <c r="T466">
        <f>VLOOKUP(O466,Nuclides!A:D,4,FALSE)</f>
        <v>304.2</v>
      </c>
    </row>
    <row r="467" spans="2:20" x14ac:dyDescent="0.2">
      <c r="B467" s="8">
        <v>52129</v>
      </c>
      <c r="C467" s="9">
        <v>1.3836500000000001E-6</v>
      </c>
      <c r="D467" s="8" t="s">
        <v>1478</v>
      </c>
      <c r="E467" s="1">
        <v>4194</v>
      </c>
      <c r="F467" s="1">
        <f t="shared" si="21"/>
        <v>1.6527114462564266E-4</v>
      </c>
      <c r="G467" s="1">
        <f t="shared" si="22"/>
        <v>2853658.3721922282</v>
      </c>
      <c r="H467" s="1">
        <f t="shared" si="23"/>
        <v>0</v>
      </c>
      <c r="K467">
        <f>VLOOKUP(B467,Nuclides!A:C,2,FALSE)</f>
        <v>77</v>
      </c>
      <c r="L467">
        <f>VLOOKUP(B467,Nuclides!A:C,3,FALSE)</f>
        <v>52</v>
      </c>
      <c r="O467" s="1">
        <v>49106</v>
      </c>
      <c r="P467" s="1">
        <v>3.4899999999999998E-10</v>
      </c>
      <c r="Q467" t="s">
        <v>1345</v>
      </c>
      <c r="R467">
        <v>57</v>
      </c>
      <c r="S467">
        <v>49</v>
      </c>
      <c r="T467">
        <f>VLOOKUP(O467,Nuclides!A:D,4,FALSE)</f>
        <v>372</v>
      </c>
    </row>
    <row r="468" spans="2:20" x14ac:dyDescent="0.2">
      <c r="B468" s="8">
        <v>52130</v>
      </c>
      <c r="C468" s="9">
        <v>4.09768E-6</v>
      </c>
      <c r="D468" s="8" t="s">
        <v>1479</v>
      </c>
      <c r="E468" s="1">
        <v>9.46728E+31</v>
      </c>
      <c r="F468" s="1">
        <f t="shared" si="21"/>
        <v>7.321502908543376E-33</v>
      </c>
      <c r="G468" s="1">
        <f t="shared" si="22"/>
        <v>0</v>
      </c>
      <c r="H468" s="1">
        <f t="shared" si="23"/>
        <v>0</v>
      </c>
      <c r="K468">
        <f>VLOOKUP(B468,Nuclides!A:C,2,FALSE)</f>
        <v>78</v>
      </c>
      <c r="L468">
        <f>VLOOKUP(B468,Nuclides!A:C,3,FALSE)</f>
        <v>52</v>
      </c>
      <c r="O468" s="1">
        <v>49107</v>
      </c>
      <c r="P468" s="1">
        <v>2.094E-10</v>
      </c>
      <c r="Q468" t="s">
        <v>1346</v>
      </c>
      <c r="R468">
        <v>58</v>
      </c>
      <c r="S468">
        <v>49</v>
      </c>
      <c r="T468">
        <f>VLOOKUP(O468,Nuclides!A:D,4,FALSE)</f>
        <v>1944</v>
      </c>
    </row>
    <row r="469" spans="2:20" x14ac:dyDescent="0.2">
      <c r="B469" s="8">
        <v>52131</v>
      </c>
      <c r="C469" s="9">
        <v>9.6286999999999998E-6</v>
      </c>
      <c r="D469" s="8" t="s">
        <v>1480</v>
      </c>
      <c r="E469" s="1">
        <v>1500</v>
      </c>
      <c r="F469" s="1">
        <f t="shared" si="21"/>
        <v>4.6209812037329687E-4</v>
      </c>
      <c r="G469" s="1">
        <f t="shared" si="22"/>
        <v>55515736.215494402</v>
      </c>
      <c r="H469" s="1">
        <f t="shared" si="23"/>
        <v>0</v>
      </c>
      <c r="K469">
        <f>VLOOKUP(B469,Nuclides!A:C,2,FALSE)</f>
        <v>79</v>
      </c>
      <c r="L469">
        <f>VLOOKUP(B469,Nuclides!A:C,3,FALSE)</f>
        <v>52</v>
      </c>
      <c r="O469" s="1">
        <v>49116</v>
      </c>
      <c r="P469" s="1">
        <v>2.7919999999999998E-10</v>
      </c>
      <c r="Q469" t="s">
        <v>1355</v>
      </c>
      <c r="R469">
        <v>67</v>
      </c>
      <c r="S469">
        <v>49</v>
      </c>
      <c r="T469">
        <f>VLOOKUP(O469,Nuclides!A:D,4,FALSE)</f>
        <v>14.1</v>
      </c>
    </row>
    <row r="470" spans="2:20" x14ac:dyDescent="0.2">
      <c r="B470" s="8">
        <v>52132</v>
      </c>
      <c r="C470" s="9">
        <v>2.2436400000000001E-5</v>
      </c>
      <c r="D470" s="8" t="s">
        <v>1481</v>
      </c>
      <c r="E470" s="1">
        <v>276825.59999999998</v>
      </c>
      <c r="F470" s="1">
        <f t="shared" si="21"/>
        <v>2.5039128626830225E-6</v>
      </c>
      <c r="G470" s="1">
        <f t="shared" si="22"/>
        <v>701110.42833133892</v>
      </c>
      <c r="H470" s="1">
        <f t="shared" si="23"/>
        <v>3.5679540725164571E-29</v>
      </c>
      <c r="K470">
        <f>VLOOKUP(B470,Nuclides!A:C,2,FALSE)</f>
        <v>80</v>
      </c>
      <c r="L470">
        <f>VLOOKUP(B470,Nuclides!A:C,3,FALSE)</f>
        <v>52</v>
      </c>
      <c r="O470" s="1">
        <v>49117</v>
      </c>
      <c r="P470" s="1">
        <v>4.9557999999999998E-9</v>
      </c>
      <c r="Q470" t="s">
        <v>1356</v>
      </c>
      <c r="R470">
        <v>68</v>
      </c>
      <c r="S470">
        <v>49</v>
      </c>
      <c r="T470">
        <f>VLOOKUP(O470,Nuclides!A:D,4,FALSE)</f>
        <v>2592</v>
      </c>
    </row>
    <row r="471" spans="2:20" x14ac:dyDescent="0.2">
      <c r="B471" s="8">
        <v>52133</v>
      </c>
      <c r="C471" s="9">
        <v>4.2425999999999997E-5</v>
      </c>
      <c r="D471" s="8" t="s">
        <v>1482</v>
      </c>
      <c r="E471" s="1">
        <v>750</v>
      </c>
      <c r="F471" s="1">
        <f t="shared" si="21"/>
        <v>9.2419624074659373E-4</v>
      </c>
      <c r="G471" s="1">
        <f t="shared" si="22"/>
        <v>489114118.85050434</v>
      </c>
      <c r="H471" s="1">
        <f t="shared" si="23"/>
        <v>0</v>
      </c>
      <c r="K471">
        <f>VLOOKUP(B471,Nuclides!A:C,2,FALSE)</f>
        <v>81</v>
      </c>
      <c r="L471">
        <f>VLOOKUP(B471,Nuclides!A:C,3,FALSE)</f>
        <v>52</v>
      </c>
      <c r="O471" s="1">
        <v>49118</v>
      </c>
      <c r="P471" s="1">
        <v>1.8078199999999999E-8</v>
      </c>
      <c r="Q471" t="s">
        <v>1357</v>
      </c>
      <c r="R471">
        <v>69</v>
      </c>
      <c r="S471">
        <v>49</v>
      </c>
      <c r="T471">
        <f>VLOOKUP(O471,Nuclides!A:D,4,FALSE)</f>
        <v>5</v>
      </c>
    </row>
    <row r="472" spans="2:20" x14ac:dyDescent="0.2">
      <c r="B472" s="8">
        <v>52134</v>
      </c>
      <c r="C472" s="9">
        <v>7.2801799999999998E-5</v>
      </c>
      <c r="D472" s="8" t="s">
        <v>1483</v>
      </c>
      <c r="E472" s="1">
        <v>2508</v>
      </c>
      <c r="F472" s="1">
        <f t="shared" si="21"/>
        <v>2.7637447390747421E-4</v>
      </c>
      <c r="G472" s="1">
        <f t="shared" si="22"/>
        <v>251069882.24650848</v>
      </c>
      <c r="H472" s="1">
        <f t="shared" si="23"/>
        <v>0</v>
      </c>
      <c r="K472">
        <f>VLOOKUP(B472,Nuclides!A:C,2,FALSE)</f>
        <v>82</v>
      </c>
      <c r="L472">
        <f>VLOOKUP(B472,Nuclides!A:C,3,FALSE)</f>
        <v>52</v>
      </c>
      <c r="O472" s="1">
        <v>49119</v>
      </c>
      <c r="P472" s="1">
        <v>8.8994999999999997E-8</v>
      </c>
      <c r="Q472" t="s">
        <v>1358</v>
      </c>
      <c r="R472">
        <v>70</v>
      </c>
      <c r="S472">
        <v>49</v>
      </c>
      <c r="T472">
        <f>VLOOKUP(O472,Nuclides!A:D,4,FALSE)</f>
        <v>144</v>
      </c>
    </row>
    <row r="473" spans="2:20" x14ac:dyDescent="0.2">
      <c r="B473" s="8">
        <v>52135</v>
      </c>
      <c r="C473" s="9">
        <v>6.9629100000000001E-5</v>
      </c>
      <c r="D473" s="8" t="s">
        <v>1484</v>
      </c>
      <c r="E473" s="1">
        <v>19</v>
      </c>
      <c r="F473" s="1">
        <f t="shared" si="21"/>
        <v>3.6481430555786593E-2</v>
      </c>
      <c r="G473" s="1">
        <f t="shared" si="22"/>
        <v>31130024910.344444</v>
      </c>
      <c r="H473" s="1">
        <f t="shared" si="23"/>
        <v>0</v>
      </c>
      <c r="K473">
        <f>VLOOKUP(B473,Nuclides!A:C,2,FALSE)</f>
        <v>83</v>
      </c>
      <c r="L473">
        <f>VLOOKUP(B473,Nuclides!A:C,3,FALSE)</f>
        <v>52</v>
      </c>
      <c r="O473" s="1">
        <v>49120</v>
      </c>
      <c r="P473" s="1">
        <v>2.11983E-7</v>
      </c>
      <c r="Q473" t="s">
        <v>1359</v>
      </c>
      <c r="R473">
        <v>71</v>
      </c>
      <c r="S473">
        <v>49</v>
      </c>
      <c r="T473">
        <f>VLOOKUP(O473,Nuclides!A:D,4,FALSE)</f>
        <v>3.08</v>
      </c>
    </row>
    <row r="474" spans="2:20" x14ac:dyDescent="0.2">
      <c r="B474" s="8">
        <v>52136</v>
      </c>
      <c r="C474" s="9">
        <v>5.66803E-5</v>
      </c>
      <c r="D474" s="8" t="s">
        <v>1485</v>
      </c>
      <c r="E474" s="1">
        <v>17.63</v>
      </c>
      <c r="F474" s="1">
        <f t="shared" si="21"/>
        <v>3.9316346032895369E-2</v>
      </c>
      <c r="G474" s="1">
        <f t="shared" si="22"/>
        <v>27271586893.507469</v>
      </c>
      <c r="H474" s="1">
        <f t="shared" si="23"/>
        <v>0</v>
      </c>
      <c r="K474">
        <f>VLOOKUP(B474,Nuclides!A:C,2,FALSE)</f>
        <v>84</v>
      </c>
      <c r="L474">
        <f>VLOOKUP(B474,Nuclides!A:C,3,FALSE)</f>
        <v>52</v>
      </c>
      <c r="O474" s="1">
        <v>49121</v>
      </c>
      <c r="P474" s="1">
        <v>7.48745E-7</v>
      </c>
      <c r="Q474" t="s">
        <v>1360</v>
      </c>
      <c r="R474">
        <v>72</v>
      </c>
      <c r="S474">
        <v>49</v>
      </c>
      <c r="T474">
        <f>VLOOKUP(O474,Nuclides!A:D,4,FALSE)</f>
        <v>23.1</v>
      </c>
    </row>
    <row r="475" spans="2:20" x14ac:dyDescent="0.2">
      <c r="B475" s="8">
        <v>52137</v>
      </c>
      <c r="C475" s="9">
        <v>2.8348200000000001E-5</v>
      </c>
      <c r="D475" s="8" t="s">
        <v>1486</v>
      </c>
      <c r="E475" s="1">
        <v>2.4900000000000002</v>
      </c>
      <c r="F475" s="1">
        <f t="shared" si="21"/>
        <v>0.27837236167066071</v>
      </c>
      <c r="G475" s="1">
        <f t="shared" si="22"/>
        <v>85964618903.002792</v>
      </c>
      <c r="H475" s="1">
        <f t="shared" si="23"/>
        <v>0</v>
      </c>
      <c r="K475">
        <f>VLOOKUP(B475,Nuclides!A:C,2,FALSE)</f>
        <v>85</v>
      </c>
      <c r="L475">
        <f>VLOOKUP(B475,Nuclides!A:C,3,FALSE)</f>
        <v>52</v>
      </c>
      <c r="O475" s="1">
        <v>49122</v>
      </c>
      <c r="P475" s="1">
        <v>1.18772E-6</v>
      </c>
      <c r="Q475" t="s">
        <v>1361</v>
      </c>
      <c r="R475">
        <v>73</v>
      </c>
      <c r="S475">
        <v>49</v>
      </c>
      <c r="T475">
        <f>VLOOKUP(O475,Nuclides!A:D,4,FALSE)</f>
        <v>1.5</v>
      </c>
    </row>
    <row r="476" spans="2:20" x14ac:dyDescent="0.2">
      <c r="B476" s="8">
        <v>52138</v>
      </c>
      <c r="C476" s="9">
        <v>1.2497099999999999E-5</v>
      </c>
      <c r="D476" s="8" t="s">
        <v>1487</v>
      </c>
      <c r="E476" s="1">
        <v>1.4</v>
      </c>
      <c r="F476" s="1">
        <f t="shared" si="21"/>
        <v>0.49510512897138953</v>
      </c>
      <c r="G476" s="1">
        <f t="shared" si="22"/>
        <v>60902802243.137405</v>
      </c>
      <c r="H476" s="1">
        <f t="shared" si="23"/>
        <v>0</v>
      </c>
      <c r="K476">
        <f>VLOOKUP(B476,Nuclides!A:C,2,FALSE)</f>
        <v>86</v>
      </c>
      <c r="L476">
        <f>VLOOKUP(B476,Nuclides!A:C,3,FALSE)</f>
        <v>52</v>
      </c>
      <c r="O476" s="1">
        <v>49123</v>
      </c>
      <c r="P476" s="1">
        <v>2.8019799999999999E-6</v>
      </c>
      <c r="Q476" t="s">
        <v>1362</v>
      </c>
      <c r="R476">
        <v>74</v>
      </c>
      <c r="S476">
        <v>49</v>
      </c>
      <c r="T476">
        <f>VLOOKUP(O476,Nuclides!A:D,4,FALSE)</f>
        <v>6.17</v>
      </c>
    </row>
    <row r="477" spans="2:20" x14ac:dyDescent="0.2">
      <c r="B477" s="8">
        <v>53110</v>
      </c>
      <c r="C477" s="9">
        <v>2.92804E-6</v>
      </c>
      <c r="D477" s="8" t="s">
        <v>1494</v>
      </c>
      <c r="E477" s="1">
        <v>0.65</v>
      </c>
      <c r="F477" s="1">
        <f t="shared" si="21"/>
        <v>1.0663802777845313</v>
      </c>
      <c r="G477" s="1">
        <f t="shared" si="22"/>
        <v>23962290289.158409</v>
      </c>
      <c r="H477" s="1">
        <f t="shared" si="23"/>
        <v>0</v>
      </c>
      <c r="K477">
        <f>VLOOKUP(B477,Nuclides!A:C,2,FALSE)</f>
        <v>57</v>
      </c>
      <c r="L477">
        <f>VLOOKUP(B477,Nuclides!A:C,3,FALSE)</f>
        <v>53</v>
      </c>
      <c r="O477" s="1">
        <v>49124</v>
      </c>
      <c r="P477" s="1">
        <v>3.2506599999999998E-6</v>
      </c>
      <c r="Q477" t="s">
        <v>1363</v>
      </c>
      <c r="R477">
        <v>75</v>
      </c>
      <c r="S477">
        <v>49</v>
      </c>
      <c r="T477">
        <f>VLOOKUP(O477,Nuclides!A:D,4,FALSE)</f>
        <v>3.12</v>
      </c>
    </row>
    <row r="478" spans="2:20" x14ac:dyDescent="0.2">
      <c r="B478" s="8">
        <v>53111</v>
      </c>
      <c r="C478" s="9">
        <v>7.1195999999999998E-7</v>
      </c>
      <c r="D478" s="8" t="s">
        <v>1495</v>
      </c>
      <c r="E478" s="1">
        <v>2.5</v>
      </c>
      <c r="F478" s="1">
        <f t="shared" si="21"/>
        <v>0.2772588722239781</v>
      </c>
      <c r="G478" s="1">
        <f t="shared" si="22"/>
        <v>2151492303.8372831</v>
      </c>
      <c r="H478" s="1">
        <f t="shared" si="23"/>
        <v>0</v>
      </c>
      <c r="K478">
        <f>VLOOKUP(B478,Nuclides!A:C,2,FALSE)</f>
        <v>58</v>
      </c>
      <c r="L478">
        <f>VLOOKUP(B478,Nuclides!A:C,3,FALSE)</f>
        <v>53</v>
      </c>
      <c r="O478" s="1">
        <v>49125</v>
      </c>
      <c r="P478" s="1">
        <v>5.6286699999999996E-6</v>
      </c>
      <c r="Q478" t="s">
        <v>1364</v>
      </c>
      <c r="R478">
        <v>76</v>
      </c>
      <c r="S478">
        <v>49</v>
      </c>
      <c r="T478">
        <f>VLOOKUP(O478,Nuclides!A:D,4,FALSE)</f>
        <v>2.36</v>
      </c>
    </row>
    <row r="479" spans="2:20" x14ac:dyDescent="0.2">
      <c r="B479" s="8">
        <v>53112</v>
      </c>
      <c r="C479" s="9">
        <v>9.6742799999999997E-8</v>
      </c>
      <c r="D479" s="8" t="s">
        <v>1496</v>
      </c>
      <c r="E479" s="1">
        <v>3.34</v>
      </c>
      <c r="F479" s="1">
        <f t="shared" si="21"/>
        <v>0.20752909597603153</v>
      </c>
      <c r="G479" s="1">
        <f t="shared" si="22"/>
        <v>226269975.42929691</v>
      </c>
      <c r="H479" s="1">
        <f t="shared" si="23"/>
        <v>0</v>
      </c>
      <c r="K479">
        <f>VLOOKUP(B479,Nuclides!A:C,2,FALSE)</f>
        <v>59</v>
      </c>
      <c r="L479">
        <f>VLOOKUP(B479,Nuclides!A:C,3,FALSE)</f>
        <v>53</v>
      </c>
      <c r="O479" s="1">
        <v>49126</v>
      </c>
      <c r="P479" s="1">
        <v>4.4563099999999999E-6</v>
      </c>
      <c r="Q479" t="s">
        <v>1365</v>
      </c>
      <c r="R479">
        <v>77</v>
      </c>
      <c r="S479">
        <v>49</v>
      </c>
      <c r="T479">
        <f>VLOOKUP(O479,Nuclides!A:D,4,FALSE)</f>
        <v>1.53</v>
      </c>
    </row>
    <row r="480" spans="2:20" x14ac:dyDescent="0.2">
      <c r="B480" s="8">
        <v>53113</v>
      </c>
      <c r="C480" s="9">
        <v>1.1167999999999999E-8</v>
      </c>
      <c r="D480" s="8" t="s">
        <v>1497</v>
      </c>
      <c r="E480" s="1">
        <v>6.6</v>
      </c>
      <c r="F480" s="1">
        <f t="shared" si="21"/>
        <v>0.1050223000848402</v>
      </c>
      <c r="G480" s="1">
        <f t="shared" si="22"/>
        <v>13895231.409580413</v>
      </c>
      <c r="H480" s="1">
        <f t="shared" si="23"/>
        <v>0</v>
      </c>
      <c r="K480">
        <f>VLOOKUP(B480,Nuclides!A:C,2,FALSE)</f>
        <v>60</v>
      </c>
      <c r="L480">
        <f>VLOOKUP(B480,Nuclides!A:C,3,FALSE)</f>
        <v>53</v>
      </c>
      <c r="O480" s="1">
        <v>49127</v>
      </c>
      <c r="P480" s="1">
        <v>4.80734E-6</v>
      </c>
      <c r="Q480" t="s">
        <v>1366</v>
      </c>
      <c r="R480">
        <v>78</v>
      </c>
      <c r="S480">
        <v>49</v>
      </c>
      <c r="T480">
        <f>VLOOKUP(O480,Nuclides!A:D,4,FALSE)</f>
        <v>1.0900000000000001</v>
      </c>
    </row>
    <row r="481" spans="2:20" x14ac:dyDescent="0.2">
      <c r="B481" s="8">
        <v>53114</v>
      </c>
      <c r="C481" s="9">
        <v>5.5839999999999995E-10</v>
      </c>
      <c r="D481" s="8" t="s">
        <v>1498</v>
      </c>
      <c r="E481" s="1">
        <v>2.1</v>
      </c>
      <c r="F481" s="1">
        <f t="shared" si="21"/>
        <v>0.3300700859809263</v>
      </c>
      <c r="G481" s="1">
        <f t="shared" si="22"/>
        <v>1959124.4034754201</v>
      </c>
      <c r="H481" s="1">
        <f t="shared" si="23"/>
        <v>0</v>
      </c>
      <c r="K481">
        <f>VLOOKUP(B481,Nuclides!A:C,2,FALSE)</f>
        <v>61</v>
      </c>
      <c r="L481">
        <f>VLOOKUP(B481,Nuclides!A:C,3,FALSE)</f>
        <v>53</v>
      </c>
      <c r="O481" s="1">
        <v>49128</v>
      </c>
      <c r="P481" s="1">
        <v>2.69951E-6</v>
      </c>
      <c r="Q481" t="s">
        <v>1367</v>
      </c>
      <c r="R481">
        <v>79</v>
      </c>
      <c r="S481">
        <v>49</v>
      </c>
      <c r="T481">
        <f>VLOOKUP(O481,Nuclides!A:D,4,FALSE)</f>
        <v>0.84</v>
      </c>
    </row>
    <row r="482" spans="2:20" x14ac:dyDescent="0.2">
      <c r="B482" s="8">
        <v>53126</v>
      </c>
      <c r="C482" s="9">
        <v>2.094E-10</v>
      </c>
      <c r="D482" s="8" t="s">
        <v>1510</v>
      </c>
      <c r="E482" s="1">
        <v>1117152</v>
      </c>
      <c r="F482" s="1">
        <f t="shared" si="21"/>
        <v>6.2045915019616423E-7</v>
      </c>
      <c r="G482" s="1">
        <f t="shared" si="22"/>
        <v>1.6214528395509333</v>
      </c>
      <c r="H482" s="1">
        <f t="shared" si="23"/>
        <v>5.1540800216974571E-9</v>
      </c>
      <c r="K482">
        <f>VLOOKUP(B482,Nuclides!A:C,2,FALSE)</f>
        <v>73</v>
      </c>
      <c r="L482">
        <f>VLOOKUP(B482,Nuclides!A:C,3,FALSE)</f>
        <v>53</v>
      </c>
      <c r="O482" s="1">
        <v>49129</v>
      </c>
      <c r="P482" s="1">
        <v>1.7629399999999999E-6</v>
      </c>
      <c r="Q482" t="s">
        <v>1368</v>
      </c>
      <c r="R482">
        <v>80</v>
      </c>
      <c r="S482">
        <v>49</v>
      </c>
      <c r="T482">
        <f>VLOOKUP(O482,Nuclides!A:D,4,FALSE)</f>
        <v>0.61099999999999999</v>
      </c>
    </row>
    <row r="483" spans="2:20" x14ac:dyDescent="0.2">
      <c r="B483" s="8">
        <v>53128</v>
      </c>
      <c r="C483" s="9">
        <v>1.2424399999999999E-8</v>
      </c>
      <c r="D483" s="8" t="s">
        <v>1512</v>
      </c>
      <c r="E483" s="1">
        <v>1499.3999999999901</v>
      </c>
      <c r="F483" s="1">
        <f t="shared" si="21"/>
        <v>4.622830335867346E-4</v>
      </c>
      <c r="G483" s="1">
        <f t="shared" si="22"/>
        <v>71663.429074798536</v>
      </c>
      <c r="H483" s="1">
        <f t="shared" si="23"/>
        <v>0</v>
      </c>
      <c r="K483">
        <f>VLOOKUP(B483,Nuclides!A:C,2,FALSE)</f>
        <v>75</v>
      </c>
      <c r="L483">
        <f>VLOOKUP(B483,Nuclides!A:C,3,FALSE)</f>
        <v>53</v>
      </c>
      <c r="O483" s="1">
        <v>49130</v>
      </c>
      <c r="P483" s="1">
        <v>5.3222500000000002E-7</v>
      </c>
      <c r="Q483" t="s">
        <v>1369</v>
      </c>
      <c r="R483">
        <v>81</v>
      </c>
      <c r="S483">
        <v>49</v>
      </c>
      <c r="T483">
        <f>VLOOKUP(O483,Nuclides!A:D,4,FALSE)</f>
        <v>0.28999999999999998</v>
      </c>
    </row>
    <row r="484" spans="2:20" x14ac:dyDescent="0.2">
      <c r="B484" s="8">
        <v>53129</v>
      </c>
      <c r="C484" s="9">
        <v>6.9800000000000003E-8</v>
      </c>
      <c r="D484" s="8" t="s">
        <v>1513</v>
      </c>
      <c r="E484" s="1">
        <v>495454320000000</v>
      </c>
      <c r="F484" s="1">
        <f t="shared" si="21"/>
        <v>1.3990132946261228E-15</v>
      </c>
      <c r="G484" s="1">
        <f t="shared" si="22"/>
        <v>1.2572556329359941E-6</v>
      </c>
      <c r="H484" s="1">
        <f t="shared" si="23"/>
        <v>1.2572555774667777E-6</v>
      </c>
      <c r="K484">
        <f>VLOOKUP(B484,Nuclides!A:C,2,FALSE)</f>
        <v>76</v>
      </c>
      <c r="L484">
        <f>VLOOKUP(B484,Nuclides!A:C,3,FALSE)</f>
        <v>53</v>
      </c>
      <c r="O484" s="1">
        <v>49131</v>
      </c>
      <c r="P484" s="1">
        <v>8.7459399999999998E-8</v>
      </c>
      <c r="Q484" t="s">
        <v>1370</v>
      </c>
      <c r="R484">
        <v>82</v>
      </c>
      <c r="S484">
        <v>49</v>
      </c>
      <c r="T484">
        <f>VLOOKUP(O484,Nuclides!A:D,4,FALSE)</f>
        <v>0.28000000000000003</v>
      </c>
    </row>
    <row r="485" spans="2:20" x14ac:dyDescent="0.2">
      <c r="B485" s="8">
        <v>53130</v>
      </c>
      <c r="C485" s="9">
        <v>2.2838599999999999E-7</v>
      </c>
      <c r="D485" s="8" t="s">
        <v>1514</v>
      </c>
      <c r="E485" s="1">
        <v>44496</v>
      </c>
      <c r="F485" s="1">
        <f t="shared" si="21"/>
        <v>1.5577741382594957E-5</v>
      </c>
      <c r="G485" s="1">
        <f t="shared" si="22"/>
        <v>44400.224953219877</v>
      </c>
      <c r="H485" s="1">
        <f t="shared" si="23"/>
        <v>1.9771017488715918E-209</v>
      </c>
      <c r="K485">
        <f>VLOOKUP(B485,Nuclides!A:C,2,FALSE)</f>
        <v>77</v>
      </c>
      <c r="L485">
        <f>VLOOKUP(B485,Nuclides!A:C,3,FALSE)</f>
        <v>53</v>
      </c>
      <c r="O485" s="1">
        <v>50103</v>
      </c>
      <c r="P485" s="1">
        <v>4.8092200000000002E-8</v>
      </c>
      <c r="Q485" t="s">
        <v>1380</v>
      </c>
      <c r="R485">
        <v>53</v>
      </c>
      <c r="S485">
        <v>50</v>
      </c>
      <c r="T485">
        <f>VLOOKUP(O485,Nuclides!A:D,4,FALSE)</f>
        <v>7</v>
      </c>
    </row>
    <row r="486" spans="2:20" x14ac:dyDescent="0.2">
      <c r="B486" s="8">
        <v>53131</v>
      </c>
      <c r="C486" s="9">
        <v>9.0132699999999996E-7</v>
      </c>
      <c r="D486" s="8" t="s">
        <v>1515</v>
      </c>
      <c r="E486" s="1">
        <v>693377.28</v>
      </c>
      <c r="F486" s="1">
        <f t="shared" si="21"/>
        <v>9.9966814684199819E-7</v>
      </c>
      <c r="G486" s="1">
        <f t="shared" si="22"/>
        <v>11244.822469458146</v>
      </c>
      <c r="H486" s="1">
        <f t="shared" si="23"/>
        <v>2.2886893738390166E-10</v>
      </c>
      <c r="K486">
        <f>VLOOKUP(B486,Nuclides!A:C,2,FALSE)</f>
        <v>78</v>
      </c>
      <c r="L486">
        <f>VLOOKUP(B486,Nuclides!A:C,3,FALSE)</f>
        <v>53</v>
      </c>
      <c r="O486" s="1">
        <v>50104</v>
      </c>
      <c r="P486" s="1">
        <v>7.3987999999999997E-9</v>
      </c>
      <c r="Q486" t="s">
        <v>1381</v>
      </c>
      <c r="R486">
        <v>54</v>
      </c>
      <c r="S486">
        <v>50</v>
      </c>
      <c r="T486">
        <f>VLOOKUP(O486,Nuclides!A:D,4,FALSE)</f>
        <v>20.8</v>
      </c>
    </row>
    <row r="487" spans="2:20" x14ac:dyDescent="0.2">
      <c r="B487" s="8">
        <v>53132</v>
      </c>
      <c r="C487" s="9">
        <v>2.3850699999999998E-6</v>
      </c>
      <c r="D487" s="8" t="s">
        <v>1516</v>
      </c>
      <c r="E487" s="1">
        <v>8262</v>
      </c>
      <c r="F487" s="1">
        <f t="shared" si="21"/>
        <v>8.389580979907351E-5</v>
      </c>
      <c r="G487" s="1">
        <f t="shared" si="22"/>
        <v>2497110.5408651372</v>
      </c>
      <c r="H487" s="1">
        <f t="shared" si="23"/>
        <v>0</v>
      </c>
      <c r="K487">
        <f>VLOOKUP(B487,Nuclides!A:C,2,FALSE)</f>
        <v>79</v>
      </c>
      <c r="L487">
        <f>VLOOKUP(B487,Nuclides!A:C,3,FALSE)</f>
        <v>53</v>
      </c>
      <c r="O487" s="1">
        <v>50105</v>
      </c>
      <c r="P487" s="1">
        <v>3.3503999999999999E-9</v>
      </c>
      <c r="Q487" t="s">
        <v>1382</v>
      </c>
      <c r="R487">
        <v>55</v>
      </c>
      <c r="S487">
        <v>50</v>
      </c>
      <c r="T487">
        <f>VLOOKUP(O487,Nuclides!A:D,4,FALSE)</f>
        <v>32.700000000000003</v>
      </c>
    </row>
    <row r="488" spans="2:20" x14ac:dyDescent="0.2">
      <c r="B488" s="8">
        <v>53133</v>
      </c>
      <c r="C488" s="9">
        <v>7.7290899999999996E-6</v>
      </c>
      <c r="D488" s="8" t="s">
        <v>1517</v>
      </c>
      <c r="E488" s="1">
        <v>74988</v>
      </c>
      <c r="F488" s="1">
        <f t="shared" si="21"/>
        <v>9.2434413580832301E-6</v>
      </c>
      <c r="G488" s="1">
        <f t="shared" si="22"/>
        <v>891609.38850052934</v>
      </c>
      <c r="H488" s="1">
        <f t="shared" si="23"/>
        <v>2.253338725037391E-121</v>
      </c>
      <c r="K488">
        <f>VLOOKUP(B488,Nuclides!A:C,2,FALSE)</f>
        <v>80</v>
      </c>
      <c r="L488">
        <f>VLOOKUP(B488,Nuclides!A:C,3,FALSE)</f>
        <v>53</v>
      </c>
      <c r="O488" s="1">
        <v>50106</v>
      </c>
      <c r="P488" s="1">
        <v>2.7919999999999998E-10</v>
      </c>
      <c r="Q488" t="s">
        <v>1383</v>
      </c>
      <c r="R488">
        <v>56</v>
      </c>
      <c r="S488">
        <v>50</v>
      </c>
      <c r="T488">
        <f>VLOOKUP(O488,Nuclides!A:D,4,FALSE)</f>
        <v>115</v>
      </c>
    </row>
    <row r="489" spans="2:20" x14ac:dyDescent="0.2">
      <c r="B489" s="8">
        <v>53134</v>
      </c>
      <c r="C489" s="9">
        <v>1.9100700000000002E-5</v>
      </c>
      <c r="D489" s="8" t="s">
        <v>1518</v>
      </c>
      <c r="E489" s="1">
        <v>3150</v>
      </c>
      <c r="F489" s="1">
        <f t="shared" si="21"/>
        <v>2.2004672398728421E-4</v>
      </c>
      <c r="G489" s="1">
        <f t="shared" si="22"/>
        <v>52448249.087248668</v>
      </c>
      <c r="H489" s="1">
        <f t="shared" si="23"/>
        <v>0</v>
      </c>
      <c r="K489">
        <f>VLOOKUP(B489,Nuclides!A:C,2,FALSE)</f>
        <v>81</v>
      </c>
      <c r="L489">
        <f>VLOOKUP(B489,Nuclides!A:C,3,FALSE)</f>
        <v>53</v>
      </c>
      <c r="O489" s="1">
        <v>50107</v>
      </c>
      <c r="P489" s="1">
        <v>6.9799999999999994E-11</v>
      </c>
      <c r="Q489" t="s">
        <v>1384</v>
      </c>
      <c r="R489">
        <v>57</v>
      </c>
      <c r="S489">
        <v>50</v>
      </c>
      <c r="T489">
        <f>VLOOKUP(O489,Nuclides!A:D,4,FALSE)</f>
        <v>174</v>
      </c>
    </row>
    <row r="490" spans="2:20" x14ac:dyDescent="0.2">
      <c r="B490" s="8">
        <v>53135</v>
      </c>
      <c r="C490" s="9">
        <v>4.9772399999999998E-5</v>
      </c>
      <c r="D490" s="8" t="s">
        <v>1519</v>
      </c>
      <c r="E490" s="1">
        <v>23688</v>
      </c>
      <c r="F490" s="1">
        <f t="shared" si="21"/>
        <v>2.9261532445117581E-5</v>
      </c>
      <c r="G490" s="1">
        <f t="shared" si="22"/>
        <v>18175814.457056705</v>
      </c>
      <c r="H490" s="1">
        <f t="shared" si="23"/>
        <v>0</v>
      </c>
      <c r="K490">
        <f>VLOOKUP(B490,Nuclides!A:C,2,FALSE)</f>
        <v>82</v>
      </c>
      <c r="L490">
        <f>VLOOKUP(B490,Nuclides!A:C,3,FALSE)</f>
        <v>53</v>
      </c>
      <c r="O490" s="1">
        <v>50108</v>
      </c>
      <c r="P490" s="1">
        <v>6.9799999999999994E-11</v>
      </c>
      <c r="Q490" t="s">
        <v>1385</v>
      </c>
      <c r="R490">
        <v>58</v>
      </c>
      <c r="S490">
        <v>50</v>
      </c>
      <c r="T490">
        <f>VLOOKUP(O490,Nuclides!A:D,4,FALSE)</f>
        <v>618</v>
      </c>
    </row>
    <row r="491" spans="2:20" x14ac:dyDescent="0.2">
      <c r="B491" s="8">
        <v>53136</v>
      </c>
      <c r="C491" s="9">
        <v>5.83337E-5</v>
      </c>
      <c r="D491" s="8" t="s">
        <v>1520</v>
      </c>
      <c r="E491" s="1">
        <v>83.4</v>
      </c>
      <c r="F491" s="1">
        <f t="shared" si="21"/>
        <v>8.3111172729010228E-3</v>
      </c>
      <c r="G491" s="1">
        <f t="shared" si="22"/>
        <v>6025457580.2238073</v>
      </c>
      <c r="H491" s="1">
        <f t="shared" si="23"/>
        <v>0</v>
      </c>
      <c r="K491">
        <f>VLOOKUP(B491,Nuclides!A:C,2,FALSE)</f>
        <v>83</v>
      </c>
      <c r="L491">
        <f>VLOOKUP(B491,Nuclides!A:C,3,FALSE)</f>
        <v>53</v>
      </c>
      <c r="O491" s="1">
        <v>50118</v>
      </c>
      <c r="P491" s="1">
        <v>2.094E-10</v>
      </c>
      <c r="Q491" t="s">
        <v>1394</v>
      </c>
      <c r="R491">
        <v>68</v>
      </c>
      <c r="S491">
        <v>50</v>
      </c>
      <c r="T491" t="str">
        <f>VLOOKUP(O491,Nuclides!A:D,4,FALSE)</f>
        <v>STABLE</v>
      </c>
    </row>
    <row r="492" spans="2:20" x14ac:dyDescent="0.2">
      <c r="B492" s="8">
        <v>53137</v>
      </c>
      <c r="C492" s="9">
        <v>7.1020700000000003E-5</v>
      </c>
      <c r="D492" s="8" t="s">
        <v>1521</v>
      </c>
      <c r="E492" s="1">
        <v>24.5</v>
      </c>
      <c r="F492" s="1">
        <f t="shared" si="21"/>
        <v>2.829172165550797E-2</v>
      </c>
      <c r="G492" s="1">
        <f t="shared" si="22"/>
        <v>24724637064.172024</v>
      </c>
      <c r="H492" s="1">
        <f t="shared" si="23"/>
        <v>0</v>
      </c>
      <c r="K492">
        <f>VLOOKUP(B492,Nuclides!A:C,2,FALSE)</f>
        <v>84</v>
      </c>
      <c r="L492">
        <f>VLOOKUP(B492,Nuclides!A:C,3,FALSE)</f>
        <v>53</v>
      </c>
      <c r="O492" s="1">
        <v>50119</v>
      </c>
      <c r="P492" s="1">
        <v>8.3759999999999998E-10</v>
      </c>
      <c r="Q492" t="s">
        <v>1395</v>
      </c>
      <c r="R492">
        <v>69</v>
      </c>
      <c r="S492">
        <v>50</v>
      </c>
      <c r="T492" t="str">
        <f>VLOOKUP(O492,Nuclides!A:D,4,FALSE)</f>
        <v>STABLE</v>
      </c>
    </row>
    <row r="493" spans="2:20" x14ac:dyDescent="0.2">
      <c r="B493" s="8">
        <v>53138</v>
      </c>
      <c r="C493" s="9">
        <v>4.5197200000000002E-5</v>
      </c>
      <c r="D493" s="8" t="s">
        <v>1522</v>
      </c>
      <c r="E493" s="1">
        <v>6.23</v>
      </c>
      <c r="F493" s="1">
        <f t="shared" si="21"/>
        <v>0.11125957954413246</v>
      </c>
      <c r="G493" s="1">
        <f t="shared" si="22"/>
        <v>59391978996.879135</v>
      </c>
      <c r="H493" s="1">
        <f t="shared" si="23"/>
        <v>0</v>
      </c>
      <c r="K493">
        <f>VLOOKUP(B493,Nuclides!A:C,2,FALSE)</f>
        <v>85</v>
      </c>
      <c r="L493">
        <f>VLOOKUP(B493,Nuclides!A:C,3,FALSE)</f>
        <v>53</v>
      </c>
      <c r="O493" s="1">
        <v>50120</v>
      </c>
      <c r="P493" s="1">
        <v>1.47278E-8</v>
      </c>
      <c r="Q493" t="s">
        <v>1396</v>
      </c>
      <c r="R493">
        <v>70</v>
      </c>
      <c r="S493">
        <v>50</v>
      </c>
      <c r="T493" t="str">
        <f>VLOOKUP(O493,Nuclides!A:D,4,FALSE)</f>
        <v>STABLE</v>
      </c>
    </row>
    <row r="494" spans="2:20" x14ac:dyDescent="0.2">
      <c r="B494" s="8">
        <v>53139</v>
      </c>
      <c r="C494" s="9">
        <v>3.6078300000000003E-5</v>
      </c>
      <c r="D494" s="8" t="s">
        <v>1523</v>
      </c>
      <c r="E494" s="1">
        <v>2.2799999999999998</v>
      </c>
      <c r="F494" s="1">
        <f t="shared" si="21"/>
        <v>0.30401192129822163</v>
      </c>
      <c r="G494" s="1">
        <f t="shared" si="22"/>
        <v>118033988643.55219</v>
      </c>
      <c r="H494" s="1">
        <f t="shared" si="23"/>
        <v>0</v>
      </c>
      <c r="K494">
        <f>VLOOKUP(B494,Nuclides!A:C,2,FALSE)</f>
        <v>86</v>
      </c>
      <c r="L494">
        <f>VLOOKUP(B494,Nuclides!A:C,3,FALSE)</f>
        <v>53</v>
      </c>
      <c r="O494" s="1">
        <v>50121</v>
      </c>
      <c r="P494" s="1">
        <v>4.2647800000000002E-8</v>
      </c>
      <c r="Q494" t="s">
        <v>1397</v>
      </c>
      <c r="R494">
        <v>71</v>
      </c>
      <c r="S494">
        <v>50</v>
      </c>
      <c r="T494">
        <f>VLOOKUP(O494,Nuclides!A:D,4,FALSE)</f>
        <v>97308</v>
      </c>
    </row>
    <row r="495" spans="2:20" x14ac:dyDescent="0.2">
      <c r="B495" s="8">
        <v>53140</v>
      </c>
      <c r="C495" s="9">
        <v>1.4052299999999999E-5</v>
      </c>
      <c r="D495" s="8" t="s">
        <v>1524</v>
      </c>
      <c r="E495" s="1">
        <v>0.86</v>
      </c>
      <c r="F495" s="1">
        <f t="shared" si="21"/>
        <v>0.805985093674355</v>
      </c>
      <c r="G495" s="1">
        <f t="shared" si="22"/>
        <v>97042885620.615845</v>
      </c>
      <c r="H495" s="1">
        <f t="shared" si="23"/>
        <v>0</v>
      </c>
      <c r="K495">
        <f>VLOOKUP(B495,Nuclides!A:C,2,FALSE)</f>
        <v>87</v>
      </c>
      <c r="L495">
        <f>VLOOKUP(B495,Nuclides!A:C,3,FALSE)</f>
        <v>53</v>
      </c>
      <c r="O495" s="1">
        <v>50122</v>
      </c>
      <c r="P495" s="1">
        <v>2.5693400000000002E-7</v>
      </c>
      <c r="Q495" t="s">
        <v>1398</v>
      </c>
      <c r="R495">
        <v>72</v>
      </c>
      <c r="S495">
        <v>50</v>
      </c>
      <c r="T495" t="str">
        <f>VLOOKUP(O495,Nuclides!A:D,4,FALSE)</f>
        <v>STABLE</v>
      </c>
    </row>
    <row r="496" spans="2:20" x14ac:dyDescent="0.2">
      <c r="B496" s="8">
        <v>53141</v>
      </c>
      <c r="C496" s="9">
        <v>5.9477300000000002E-6</v>
      </c>
      <c r="D496" s="8" t="s">
        <v>1525</v>
      </c>
      <c r="E496" s="1">
        <v>0.43</v>
      </c>
      <c r="F496" s="1">
        <f t="shared" si="21"/>
        <v>1.61197018734871</v>
      </c>
      <c r="G496" s="1">
        <f t="shared" si="22"/>
        <v>59419681735.824371</v>
      </c>
      <c r="H496" s="1">
        <f t="shared" si="23"/>
        <v>0</v>
      </c>
      <c r="K496">
        <f>VLOOKUP(B496,Nuclides!A:C,2,FALSE)</f>
        <v>88</v>
      </c>
      <c r="L496">
        <f>VLOOKUP(B496,Nuclides!A:C,3,FALSE)</f>
        <v>53</v>
      </c>
      <c r="O496" s="1">
        <v>50123</v>
      </c>
      <c r="P496" s="1">
        <v>5.71034E-7</v>
      </c>
      <c r="Q496" t="s">
        <v>1399</v>
      </c>
      <c r="R496">
        <v>73</v>
      </c>
      <c r="S496">
        <v>50</v>
      </c>
      <c r="T496">
        <f>VLOOKUP(O496,Nuclides!A:D,4,FALSE)</f>
        <v>11162879.999999899</v>
      </c>
    </row>
    <row r="497" spans="2:20" x14ac:dyDescent="0.2">
      <c r="B497" s="8">
        <v>53142</v>
      </c>
      <c r="C497" s="9">
        <v>1.31119E-6</v>
      </c>
      <c r="D497" s="8" t="s">
        <v>1526</v>
      </c>
      <c r="E497" s="1">
        <v>0.222</v>
      </c>
      <c r="F497" s="1">
        <f t="shared" si="21"/>
        <v>3.1222845971168707</v>
      </c>
      <c r="G497" s="1">
        <f t="shared" si="22"/>
        <v>15642727600.798811</v>
      </c>
      <c r="H497" s="1">
        <f t="shared" si="23"/>
        <v>0</v>
      </c>
      <c r="K497">
        <f>VLOOKUP(B497,Nuclides!A:C,2,FALSE)</f>
        <v>89</v>
      </c>
      <c r="L497">
        <f>VLOOKUP(B497,Nuclides!A:C,3,FALSE)</f>
        <v>53</v>
      </c>
      <c r="O497" s="1">
        <v>50124</v>
      </c>
      <c r="P497" s="1">
        <v>2.1162000000000002E-6</v>
      </c>
      <c r="Q497" t="s">
        <v>1400</v>
      </c>
      <c r="R497">
        <v>74</v>
      </c>
      <c r="S497">
        <v>50</v>
      </c>
      <c r="T497">
        <f>VLOOKUP(O497,Nuclides!A:D,4,FALSE)</f>
        <v>3.786912E+28</v>
      </c>
    </row>
    <row r="498" spans="2:20" x14ac:dyDescent="0.2">
      <c r="B498" s="8">
        <v>54110</v>
      </c>
      <c r="C498" s="9">
        <v>3.0872500000000001E-7</v>
      </c>
      <c r="D498" s="8" t="s">
        <v>1531</v>
      </c>
      <c r="E498" s="1">
        <v>9.2999999999999999E-2</v>
      </c>
      <c r="F498" s="1">
        <f t="shared" si="21"/>
        <v>7.4531954898918853</v>
      </c>
      <c r="G498" s="1">
        <f t="shared" si="22"/>
        <v>3850654917.7946219</v>
      </c>
      <c r="H498" s="1">
        <f t="shared" si="23"/>
        <v>0</v>
      </c>
      <c r="K498">
        <f>VLOOKUP(B498,Nuclides!A:C,2,FALSE)</f>
        <v>56</v>
      </c>
      <c r="L498">
        <f>VLOOKUP(B498,Nuclides!A:C,3,FALSE)</f>
        <v>54</v>
      </c>
      <c r="O498" s="1">
        <v>50125</v>
      </c>
      <c r="P498" s="1">
        <v>3.0897700000000001E-6</v>
      </c>
      <c r="Q498" t="s">
        <v>1401</v>
      </c>
      <c r="R498">
        <v>75</v>
      </c>
      <c r="S498">
        <v>50</v>
      </c>
      <c r="T498">
        <f>VLOOKUP(O498,Nuclides!A:D,4,FALSE)</f>
        <v>832896</v>
      </c>
    </row>
    <row r="499" spans="2:20" x14ac:dyDescent="0.2">
      <c r="B499" s="8">
        <v>54111</v>
      </c>
      <c r="C499" s="9">
        <v>4.2577999999999999E-8</v>
      </c>
      <c r="D499" s="8" t="s">
        <v>1532</v>
      </c>
      <c r="E499" s="1">
        <v>0.81</v>
      </c>
      <c r="F499" s="1">
        <f t="shared" si="21"/>
        <v>0.85573725995054972</v>
      </c>
      <c r="G499" s="1">
        <f t="shared" si="22"/>
        <v>305555795.47279984</v>
      </c>
      <c r="H499" s="1">
        <f t="shared" si="23"/>
        <v>0</v>
      </c>
      <c r="K499">
        <f>VLOOKUP(B499,Nuclides!A:C,2,FALSE)</f>
        <v>57</v>
      </c>
      <c r="L499">
        <f>VLOOKUP(B499,Nuclides!A:C,3,FALSE)</f>
        <v>54</v>
      </c>
      <c r="O499" s="1">
        <v>50126</v>
      </c>
      <c r="P499" s="1">
        <v>7.5391000000000004E-6</v>
      </c>
      <c r="Q499" t="s">
        <v>1402</v>
      </c>
      <c r="R499">
        <v>76</v>
      </c>
      <c r="S499">
        <v>50</v>
      </c>
      <c r="T499">
        <f>VLOOKUP(O499,Nuclides!A:D,4,FALSE)</f>
        <v>7258248000000</v>
      </c>
    </row>
    <row r="500" spans="2:20" x14ac:dyDescent="0.2">
      <c r="B500" s="8">
        <v>54112</v>
      </c>
      <c r="C500" s="9">
        <v>5.1652000000000003E-9</v>
      </c>
      <c r="D500" s="8" t="s">
        <v>1533</v>
      </c>
      <c r="E500" s="1">
        <v>2.7</v>
      </c>
      <c r="F500" s="1">
        <f t="shared" si="21"/>
        <v>0.25672117798516492</v>
      </c>
      <c r="G500" s="1">
        <f t="shared" si="22"/>
        <v>14595167.36037509</v>
      </c>
      <c r="H500" s="1">
        <f t="shared" si="23"/>
        <v>0</v>
      </c>
      <c r="K500">
        <f>VLOOKUP(B500,Nuclides!A:C,2,FALSE)</f>
        <v>58</v>
      </c>
      <c r="L500">
        <f>VLOOKUP(B500,Nuclides!A:C,3,FALSE)</f>
        <v>54</v>
      </c>
      <c r="O500" s="1">
        <v>50127</v>
      </c>
      <c r="P500" s="1">
        <v>7.5761600000000002E-6</v>
      </c>
      <c r="Q500" t="s">
        <v>1403</v>
      </c>
      <c r="R500">
        <v>77</v>
      </c>
      <c r="S500">
        <v>50</v>
      </c>
      <c r="T500">
        <f>VLOOKUP(O500,Nuclides!A:D,4,FALSE)</f>
        <v>7560</v>
      </c>
    </row>
    <row r="501" spans="2:20" x14ac:dyDescent="0.2">
      <c r="B501" s="8">
        <v>54113</v>
      </c>
      <c r="C501" s="9">
        <v>4.1879999999999999E-10</v>
      </c>
      <c r="D501" s="8" t="s">
        <v>1534</v>
      </c>
      <c r="E501" s="1">
        <v>2.74</v>
      </c>
      <c r="F501" s="1">
        <f t="shared" si="21"/>
        <v>0.25297342356202379</v>
      </c>
      <c r="G501" s="1">
        <f t="shared" si="22"/>
        <v>1168210.4768888399</v>
      </c>
      <c r="H501" s="1">
        <f t="shared" si="23"/>
        <v>0</v>
      </c>
      <c r="K501">
        <f>VLOOKUP(B501,Nuclides!A:C,2,FALSE)</f>
        <v>59</v>
      </c>
      <c r="L501">
        <f>VLOOKUP(B501,Nuclides!A:C,3,FALSE)</f>
        <v>54</v>
      </c>
      <c r="O501" s="1">
        <v>50128</v>
      </c>
      <c r="P501" s="1">
        <v>1.1311000000000001E-5</v>
      </c>
      <c r="Q501" t="s">
        <v>1404</v>
      </c>
      <c r="R501">
        <v>78</v>
      </c>
      <c r="S501">
        <v>50</v>
      </c>
      <c r="T501">
        <f>VLOOKUP(O501,Nuclides!A:D,4,FALSE)</f>
        <v>3544.2</v>
      </c>
    </row>
    <row r="502" spans="2:20" x14ac:dyDescent="0.2">
      <c r="B502" s="8">
        <v>54114</v>
      </c>
      <c r="C502" s="9">
        <v>6.9799999999999994E-11</v>
      </c>
      <c r="D502" s="8" t="s">
        <v>1535</v>
      </c>
      <c r="E502" s="1">
        <v>10</v>
      </c>
      <c r="F502" s="1">
        <f t="shared" si="21"/>
        <v>6.9314718055994526E-2</v>
      </c>
      <c r="G502" s="1">
        <f t="shared" si="22"/>
        <v>58335.228940320907</v>
      </c>
      <c r="H502" s="1">
        <f t="shared" si="23"/>
        <v>0</v>
      </c>
      <c r="K502">
        <f>VLOOKUP(B502,Nuclides!A:C,2,FALSE)</f>
        <v>60</v>
      </c>
      <c r="L502">
        <f>VLOOKUP(B502,Nuclides!A:C,3,FALSE)</f>
        <v>54</v>
      </c>
      <c r="O502" s="1">
        <v>50129</v>
      </c>
      <c r="P502" s="1">
        <v>7.2390999999999999E-6</v>
      </c>
      <c r="Q502" t="s">
        <v>1405</v>
      </c>
      <c r="R502">
        <v>79</v>
      </c>
      <c r="S502">
        <v>50</v>
      </c>
      <c r="T502">
        <f>VLOOKUP(O502,Nuclides!A:D,4,FALSE)</f>
        <v>133.80000000000001</v>
      </c>
    </row>
    <row r="503" spans="2:20" x14ac:dyDescent="0.2">
      <c r="B503" s="8">
        <v>54133</v>
      </c>
      <c r="C503" s="9">
        <v>7.68917E-7</v>
      </c>
      <c r="D503" s="8" t="s">
        <v>1554</v>
      </c>
      <c r="E503" s="1">
        <v>453383.99999999901</v>
      </c>
      <c r="F503" s="1">
        <f t="shared" si="21"/>
        <v>1.5288302643232817E-6</v>
      </c>
      <c r="G503" s="1">
        <f t="shared" si="22"/>
        <v>14670.772668151352</v>
      </c>
      <c r="H503" s="1">
        <f t="shared" si="23"/>
        <v>1.6893906552575447E-17</v>
      </c>
      <c r="K503">
        <f>VLOOKUP(B503,Nuclides!A:C,2,FALSE)</f>
        <v>79</v>
      </c>
      <c r="L503">
        <f>VLOOKUP(B503,Nuclides!A:C,3,FALSE)</f>
        <v>54</v>
      </c>
      <c r="O503" s="1">
        <v>50130</v>
      </c>
      <c r="P503" s="1">
        <v>7.3581099999999998E-6</v>
      </c>
      <c r="Q503" t="s">
        <v>1406</v>
      </c>
      <c r="R503">
        <v>80</v>
      </c>
      <c r="S503">
        <v>50</v>
      </c>
      <c r="T503">
        <f>VLOOKUP(O503,Nuclides!A:D,4,FALSE)</f>
        <v>223.2</v>
      </c>
    </row>
    <row r="504" spans="2:20" x14ac:dyDescent="0.2">
      <c r="B504" s="8">
        <v>54134</v>
      </c>
      <c r="C504" s="9">
        <v>2.70922E-6</v>
      </c>
      <c r="D504" s="8" t="s">
        <v>1555</v>
      </c>
      <c r="E504" s="1">
        <v>1.8303407999999899E+30</v>
      </c>
      <c r="F504" s="1">
        <f t="shared" si="21"/>
        <v>3.7869842630396979E-31</v>
      </c>
      <c r="G504" s="1">
        <f t="shared" si="22"/>
        <v>0</v>
      </c>
      <c r="H504" s="1">
        <f t="shared" si="23"/>
        <v>0</v>
      </c>
      <c r="K504">
        <f>VLOOKUP(B504,Nuclides!A:C,2,FALSE)</f>
        <v>80</v>
      </c>
      <c r="L504">
        <f>VLOOKUP(B504,Nuclides!A:C,3,FALSE)</f>
        <v>54</v>
      </c>
      <c r="O504" s="1">
        <v>50131</v>
      </c>
      <c r="P504" s="1">
        <v>2.7944400000000001E-6</v>
      </c>
      <c r="Q504" t="s">
        <v>1407</v>
      </c>
      <c r="R504">
        <v>81</v>
      </c>
      <c r="S504">
        <v>50</v>
      </c>
      <c r="T504">
        <f>VLOOKUP(O504,Nuclides!A:D,4,FALSE)</f>
        <v>56</v>
      </c>
    </row>
    <row r="505" spans="2:20" x14ac:dyDescent="0.2">
      <c r="B505" s="8">
        <v>54135</v>
      </c>
      <c r="C505" s="9">
        <v>7.2907499999999996E-6</v>
      </c>
      <c r="D505" s="8" t="s">
        <v>1556</v>
      </c>
      <c r="E505" s="1">
        <v>32904</v>
      </c>
      <c r="F505" s="1">
        <f t="shared" si="21"/>
        <v>2.1065742176025568E-5</v>
      </c>
      <c r="G505" s="1">
        <f t="shared" si="22"/>
        <v>1916721.3572740839</v>
      </c>
      <c r="H505" s="1">
        <f t="shared" si="23"/>
        <v>5.8618351031585174E-283</v>
      </c>
      <c r="K505">
        <f>VLOOKUP(B505,Nuclides!A:C,2,FALSE)</f>
        <v>81</v>
      </c>
      <c r="L505">
        <f>VLOOKUP(B505,Nuclides!A:C,3,FALSE)</f>
        <v>54</v>
      </c>
      <c r="O505" s="1">
        <v>50132</v>
      </c>
      <c r="P505" s="1">
        <v>1.12671E-6</v>
      </c>
      <c r="Q505" t="s">
        <v>1408</v>
      </c>
      <c r="R505">
        <v>82</v>
      </c>
      <c r="S505">
        <v>50</v>
      </c>
      <c r="T505">
        <f>VLOOKUP(O505,Nuclides!A:D,4,FALSE)</f>
        <v>39.700000000000003</v>
      </c>
    </row>
    <row r="506" spans="2:20" x14ac:dyDescent="0.2">
      <c r="B506" s="8">
        <v>54136</v>
      </c>
      <c r="C506" s="9">
        <v>2.0393800000000001E-5</v>
      </c>
      <c r="D506" s="8" t="s">
        <v>1557</v>
      </c>
      <c r="E506" s="1">
        <v>7.573824E+28</v>
      </c>
      <c r="F506" s="1">
        <f t="shared" si="21"/>
        <v>9.1518786356792195E-30</v>
      </c>
      <c r="G506" s="1">
        <f t="shared" si="22"/>
        <v>0</v>
      </c>
      <c r="H506" s="1">
        <f t="shared" si="23"/>
        <v>0</v>
      </c>
      <c r="K506">
        <f>VLOOKUP(B506,Nuclides!A:C,2,FALSE)</f>
        <v>82</v>
      </c>
      <c r="L506">
        <f>VLOOKUP(B506,Nuclides!A:C,3,FALSE)</f>
        <v>54</v>
      </c>
      <c r="O506" s="1">
        <v>50133</v>
      </c>
      <c r="P506" s="1">
        <v>2.6872999999999999E-8</v>
      </c>
      <c r="Q506" t="s">
        <v>1409</v>
      </c>
      <c r="R506">
        <v>83</v>
      </c>
      <c r="S506">
        <v>50</v>
      </c>
      <c r="T506">
        <f>VLOOKUP(O506,Nuclides!A:D,4,FALSE)</f>
        <v>1.46</v>
      </c>
    </row>
    <row r="507" spans="2:20" x14ac:dyDescent="0.2">
      <c r="B507" s="8">
        <v>54137</v>
      </c>
      <c r="C507" s="9">
        <v>3.7379000000000002E-5</v>
      </c>
      <c r="D507" s="8" t="s">
        <v>1558</v>
      </c>
      <c r="E507" s="1">
        <v>229.08</v>
      </c>
      <c r="F507" s="1">
        <f t="shared" si="21"/>
        <v>3.0257865398984865E-3</v>
      </c>
      <c r="G507" s="1">
        <f t="shared" si="22"/>
        <v>1409365625.8905101</v>
      </c>
      <c r="H507" s="1">
        <f t="shared" si="23"/>
        <v>0</v>
      </c>
      <c r="K507">
        <f>VLOOKUP(B507,Nuclides!A:C,2,FALSE)</f>
        <v>83</v>
      </c>
      <c r="L507">
        <f>VLOOKUP(B507,Nuclides!A:C,3,FALSE)</f>
        <v>54</v>
      </c>
      <c r="O507" s="1">
        <v>50134</v>
      </c>
      <c r="P507" s="1">
        <v>1.3959999999999999E-10</v>
      </c>
      <c r="Q507" t="s">
        <v>1410</v>
      </c>
      <c r="R507">
        <v>84</v>
      </c>
      <c r="S507">
        <v>50</v>
      </c>
      <c r="T507">
        <f>VLOOKUP(O507,Nuclides!A:D,4,FALSE)</f>
        <v>1.05</v>
      </c>
    </row>
    <row r="508" spans="2:20" x14ac:dyDescent="0.2">
      <c r="B508" s="8">
        <v>54138</v>
      </c>
      <c r="C508" s="9">
        <v>5.9450799999999997E-5</v>
      </c>
      <c r="D508" s="8" t="s">
        <v>1559</v>
      </c>
      <c r="E508" s="1">
        <v>848.4</v>
      </c>
      <c r="F508" s="1">
        <f t="shared" si="21"/>
        <v>8.170051633191246E-4</v>
      </c>
      <c r="G508" s="1">
        <f t="shared" si="22"/>
        <v>605926143.73337042</v>
      </c>
      <c r="H508" s="1">
        <f t="shared" si="23"/>
        <v>0</v>
      </c>
      <c r="K508">
        <f>VLOOKUP(B508,Nuclides!A:C,2,FALSE)</f>
        <v>84</v>
      </c>
      <c r="L508">
        <f>VLOOKUP(B508,Nuclides!A:C,3,FALSE)</f>
        <v>54</v>
      </c>
      <c r="O508" s="1">
        <v>51108</v>
      </c>
      <c r="P508" s="1">
        <v>8.0339800000000006E-8</v>
      </c>
      <c r="Q508" t="s">
        <v>1421</v>
      </c>
      <c r="R508">
        <v>57</v>
      </c>
      <c r="S508">
        <v>51</v>
      </c>
      <c r="T508">
        <f>VLOOKUP(O508,Nuclides!A:D,4,FALSE)</f>
        <v>7.4</v>
      </c>
    </row>
    <row r="509" spans="2:20" x14ac:dyDescent="0.2">
      <c r="B509" s="8">
        <v>54139</v>
      </c>
      <c r="C509" s="9">
        <v>6.5991100000000006E-5</v>
      </c>
      <c r="D509" s="8" t="s">
        <v>1560</v>
      </c>
      <c r="E509" s="1">
        <v>39.68</v>
      </c>
      <c r="F509" s="1">
        <f t="shared" si="21"/>
        <v>1.7468426929434105E-2</v>
      </c>
      <c r="G509" s="1">
        <f t="shared" si="22"/>
        <v>14261527760.233395</v>
      </c>
      <c r="H509" s="1">
        <f t="shared" si="23"/>
        <v>0</v>
      </c>
      <c r="K509">
        <f>VLOOKUP(B509,Nuclides!A:C,2,FALSE)</f>
        <v>85</v>
      </c>
      <c r="L509">
        <f>VLOOKUP(B509,Nuclides!A:C,3,FALSE)</f>
        <v>54</v>
      </c>
      <c r="O509" s="1">
        <v>51109</v>
      </c>
      <c r="P509" s="1">
        <v>3.7063800000000003E-8</v>
      </c>
      <c r="Q509" t="s">
        <v>1422</v>
      </c>
      <c r="R509">
        <v>58</v>
      </c>
      <c r="S509">
        <v>51</v>
      </c>
      <c r="T509">
        <f>VLOOKUP(O509,Nuclides!A:D,4,FALSE)</f>
        <v>17</v>
      </c>
    </row>
    <row r="510" spans="2:20" x14ac:dyDescent="0.2">
      <c r="B510" s="8">
        <v>54140</v>
      </c>
      <c r="C510" s="9">
        <v>6.6065399999999999E-5</v>
      </c>
      <c r="D510" s="8" t="s">
        <v>1561</v>
      </c>
      <c r="E510" s="1">
        <v>13.6</v>
      </c>
      <c r="F510" s="1">
        <f t="shared" si="21"/>
        <v>5.0966704452937155E-2</v>
      </c>
      <c r="G510" s="1">
        <f t="shared" si="22"/>
        <v>40968959273.640907</v>
      </c>
      <c r="H510" s="1">
        <f t="shared" si="23"/>
        <v>0</v>
      </c>
      <c r="K510">
        <f>VLOOKUP(B510,Nuclides!A:C,2,FALSE)</f>
        <v>86</v>
      </c>
      <c r="L510">
        <f>VLOOKUP(B510,Nuclides!A:C,3,FALSE)</f>
        <v>54</v>
      </c>
      <c r="O510" s="1">
        <v>51110</v>
      </c>
      <c r="P510" s="1">
        <v>5.7236000000000004E-9</v>
      </c>
      <c r="Q510" t="s">
        <v>1423</v>
      </c>
      <c r="R510">
        <v>59</v>
      </c>
      <c r="S510">
        <v>51</v>
      </c>
      <c r="T510">
        <f>VLOOKUP(O510,Nuclides!A:D,4,FALSE)</f>
        <v>23</v>
      </c>
    </row>
    <row r="511" spans="2:20" x14ac:dyDescent="0.2">
      <c r="B511" s="8">
        <v>54141</v>
      </c>
      <c r="C511" s="9">
        <v>4.4573300000000002E-5</v>
      </c>
      <c r="D511" s="8" t="s">
        <v>1562</v>
      </c>
      <c r="E511" s="1">
        <v>1.73</v>
      </c>
      <c r="F511" s="1">
        <f t="shared" si="21"/>
        <v>0.40066311015025741</v>
      </c>
      <c r="G511" s="1">
        <f t="shared" si="22"/>
        <v>183639825148.92514</v>
      </c>
      <c r="H511" s="1">
        <f t="shared" si="23"/>
        <v>0</v>
      </c>
      <c r="K511">
        <f>VLOOKUP(B511,Nuclides!A:C,2,FALSE)</f>
        <v>87</v>
      </c>
      <c r="L511">
        <f>VLOOKUP(B511,Nuclides!A:C,3,FALSE)</f>
        <v>54</v>
      </c>
      <c r="O511" s="1">
        <v>51111</v>
      </c>
      <c r="P511" s="1">
        <v>1.8148E-9</v>
      </c>
      <c r="Q511" t="s">
        <v>1424</v>
      </c>
      <c r="R511">
        <v>60</v>
      </c>
      <c r="S511">
        <v>51</v>
      </c>
      <c r="T511">
        <f>VLOOKUP(O511,Nuclides!A:D,4,FALSE)</f>
        <v>75</v>
      </c>
    </row>
    <row r="512" spans="2:20" x14ac:dyDescent="0.2">
      <c r="B512" s="8">
        <v>54142</v>
      </c>
      <c r="C512" s="9">
        <v>2.5604899999999999E-5</v>
      </c>
      <c r="D512" s="8" t="s">
        <v>1563</v>
      </c>
      <c r="E512" s="1">
        <v>1.23</v>
      </c>
      <c r="F512" s="1">
        <f t="shared" si="21"/>
        <v>0.56353429313816694</v>
      </c>
      <c r="G512" s="1">
        <f t="shared" si="22"/>
        <v>137663753673.1116</v>
      </c>
      <c r="H512" s="1">
        <f t="shared" si="23"/>
        <v>0</v>
      </c>
      <c r="K512">
        <f>VLOOKUP(B512,Nuclides!A:C,2,FALSE)</f>
        <v>88</v>
      </c>
      <c r="L512">
        <f>VLOOKUP(B512,Nuclides!A:C,3,FALSE)</f>
        <v>54</v>
      </c>
      <c r="O512" s="1">
        <v>51112</v>
      </c>
      <c r="P512" s="1">
        <v>6.9799999999999994E-11</v>
      </c>
      <c r="Q512" t="s">
        <v>1425</v>
      </c>
      <c r="R512">
        <v>61</v>
      </c>
      <c r="S512">
        <v>51</v>
      </c>
      <c r="T512">
        <f>VLOOKUP(O512,Nuclides!A:D,4,FALSE)</f>
        <v>53.5</v>
      </c>
    </row>
    <row r="513" spans="2:20" x14ac:dyDescent="0.2">
      <c r="B513" s="8">
        <v>54143</v>
      </c>
      <c r="C513" s="9">
        <v>8.9868199999999998E-6</v>
      </c>
      <c r="D513" s="8" t="s">
        <v>1564</v>
      </c>
      <c r="E513" s="1">
        <v>0.51100000000000001</v>
      </c>
      <c r="F513" s="1">
        <f t="shared" si="21"/>
        <v>1.3564524081407932</v>
      </c>
      <c r="G513" s="1">
        <f t="shared" si="22"/>
        <v>83267290284.199356</v>
      </c>
      <c r="H513" s="1">
        <f t="shared" si="23"/>
        <v>0</v>
      </c>
      <c r="K513">
        <f>VLOOKUP(B513,Nuclides!A:C,2,FALSE)</f>
        <v>89</v>
      </c>
      <c r="L513">
        <f>VLOOKUP(B513,Nuclides!A:C,3,FALSE)</f>
        <v>54</v>
      </c>
      <c r="O513" s="1">
        <v>51121</v>
      </c>
      <c r="P513" s="1">
        <v>2.7919999999999998E-10</v>
      </c>
      <c r="Q513" t="s">
        <v>1434</v>
      </c>
      <c r="R513">
        <v>70</v>
      </c>
      <c r="S513">
        <v>51</v>
      </c>
      <c r="T513" t="str">
        <f>VLOOKUP(O513,Nuclides!A:D,4,FALSE)</f>
        <v>STABLE</v>
      </c>
    </row>
    <row r="514" spans="2:20" x14ac:dyDescent="0.2">
      <c r="B514" s="8">
        <v>54144</v>
      </c>
      <c r="C514" s="9">
        <v>2.85636E-6</v>
      </c>
      <c r="D514" s="8" t="s">
        <v>1565</v>
      </c>
      <c r="E514" s="1">
        <v>0.38800000000000001</v>
      </c>
      <c r="F514" s="1">
        <f t="shared" si="21"/>
        <v>1.7864618055668693</v>
      </c>
      <c r="G514" s="1">
        <f t="shared" si="22"/>
        <v>29674585849.657528</v>
      </c>
      <c r="H514" s="1">
        <f t="shared" si="23"/>
        <v>0</v>
      </c>
      <c r="K514">
        <f>VLOOKUP(B514,Nuclides!A:C,2,FALSE)</f>
        <v>90</v>
      </c>
      <c r="L514">
        <f>VLOOKUP(B514,Nuclides!A:C,3,FALSE)</f>
        <v>54</v>
      </c>
      <c r="O514" s="1">
        <v>51122</v>
      </c>
      <c r="P514" s="1">
        <v>2.3034000000000001E-9</v>
      </c>
      <c r="Q514" t="s">
        <v>1435</v>
      </c>
      <c r="R514">
        <v>71</v>
      </c>
      <c r="S514">
        <v>51</v>
      </c>
      <c r="T514">
        <f>VLOOKUP(O514,Nuclides!A:D,4,FALSE)</f>
        <v>235336.32000000001</v>
      </c>
    </row>
    <row r="515" spans="2:20" x14ac:dyDescent="0.2">
      <c r="B515" s="8">
        <v>54145</v>
      </c>
      <c r="C515" s="9">
        <v>5.0577100000000004E-7</v>
      </c>
      <c r="D515" s="8" t="s">
        <v>1566</v>
      </c>
      <c r="E515" s="1">
        <v>0.188</v>
      </c>
      <c r="F515" s="1">
        <f t="shared" si="21"/>
        <v>3.6869530880848154</v>
      </c>
      <c r="G515" s="1">
        <f t="shared" si="22"/>
        <v>6153917253.3992176</v>
      </c>
      <c r="H515" s="1">
        <f t="shared" si="23"/>
        <v>0</v>
      </c>
      <c r="K515">
        <f>VLOOKUP(B515,Nuclides!A:C,2,FALSE)</f>
        <v>91</v>
      </c>
      <c r="L515">
        <f>VLOOKUP(B515,Nuclides!A:C,3,FALSE)</f>
        <v>54</v>
      </c>
      <c r="O515" s="1">
        <v>51123</v>
      </c>
      <c r="P515" s="1">
        <v>2.5197800000000001E-8</v>
      </c>
      <c r="Q515" t="s">
        <v>1436</v>
      </c>
      <c r="R515">
        <v>72</v>
      </c>
      <c r="S515">
        <v>51</v>
      </c>
      <c r="T515" t="str">
        <f>VLOOKUP(O515,Nuclides!A:D,4,FALSE)</f>
        <v>STABLE</v>
      </c>
    </row>
    <row r="516" spans="2:20" x14ac:dyDescent="0.2">
      <c r="B516" s="8">
        <v>55114</v>
      </c>
      <c r="C516" s="9">
        <v>9.3601799999999996E-8</v>
      </c>
      <c r="D516" s="8" t="s">
        <v>1572</v>
      </c>
      <c r="E516" s="1">
        <v>0.56999999999999995</v>
      </c>
      <c r="F516" s="1">
        <f t="shared" ref="F516:F579" si="24">LN(2)/E516</f>
        <v>1.2160476851928865</v>
      </c>
      <c r="G516" s="1">
        <f t="shared" ref="G516:G579" si="25">2*6240000000000000*C516*(1-EXP(-F516))</f>
        <v>821911462.69383848</v>
      </c>
      <c r="H516" s="1">
        <f t="shared" ref="H516:H579" si="26">G516*EXP(-F516*365*24*3600)</f>
        <v>0</v>
      </c>
      <c r="K516">
        <f>VLOOKUP(B516,Nuclides!A:C,2,FALSE)</f>
        <v>59</v>
      </c>
      <c r="L516">
        <f>VLOOKUP(B516,Nuclides!A:C,3,FALSE)</f>
        <v>55</v>
      </c>
      <c r="O516" s="1">
        <v>51124</v>
      </c>
      <c r="P516" s="1">
        <v>9.5207199999999998E-8</v>
      </c>
      <c r="Q516" t="s">
        <v>1437</v>
      </c>
      <c r="R516">
        <v>73</v>
      </c>
      <c r="S516">
        <v>51</v>
      </c>
      <c r="T516">
        <f>VLOOKUP(O516,Nuclides!A:D,4,FALSE)</f>
        <v>5201280</v>
      </c>
    </row>
    <row r="517" spans="2:20" x14ac:dyDescent="0.2">
      <c r="B517" s="8">
        <v>55115</v>
      </c>
      <c r="C517" s="9">
        <v>7.2591999999999999E-9</v>
      </c>
      <c r="D517" s="8" t="s">
        <v>1573</v>
      </c>
      <c r="E517" s="1">
        <v>1.4</v>
      </c>
      <c r="F517" s="1">
        <f t="shared" si="24"/>
        <v>0.49510512897138953</v>
      </c>
      <c r="G517" s="1">
        <f t="shared" si="25"/>
        <v>35376657.147928961</v>
      </c>
      <c r="H517" s="1">
        <f t="shared" si="26"/>
        <v>0</v>
      </c>
      <c r="K517">
        <f>VLOOKUP(B517,Nuclides!A:C,2,FALSE)</f>
        <v>60</v>
      </c>
      <c r="L517">
        <f>VLOOKUP(B517,Nuclides!A:C,3,FALSE)</f>
        <v>55</v>
      </c>
      <c r="O517" s="1">
        <v>51125</v>
      </c>
      <c r="P517" s="1">
        <v>5.4576600000000004E-7</v>
      </c>
      <c r="Q517" t="s">
        <v>1438</v>
      </c>
      <c r="R517">
        <v>74</v>
      </c>
      <c r="S517">
        <v>51</v>
      </c>
      <c r="T517">
        <f>VLOOKUP(O517,Nuclides!A:D,4,FALSE)</f>
        <v>87053533.055999994</v>
      </c>
    </row>
    <row r="518" spans="2:20" x14ac:dyDescent="0.2">
      <c r="B518" s="8">
        <v>55116</v>
      </c>
      <c r="C518" s="9">
        <v>7.6779999999999997E-10</v>
      </c>
      <c r="D518" s="8" t="s">
        <v>1574</v>
      </c>
      <c r="E518" s="1">
        <v>0.7</v>
      </c>
      <c r="F518" s="1">
        <f t="shared" si="24"/>
        <v>0.99021025794277906</v>
      </c>
      <c r="G518" s="1">
        <f t="shared" si="25"/>
        <v>6022391.1845780313</v>
      </c>
      <c r="H518" s="1">
        <f t="shared" si="26"/>
        <v>0</v>
      </c>
      <c r="K518">
        <f>VLOOKUP(B518,Nuclides!A:C,2,FALSE)</f>
        <v>61</v>
      </c>
      <c r="L518">
        <f>VLOOKUP(B518,Nuclides!A:C,3,FALSE)</f>
        <v>55</v>
      </c>
      <c r="O518" s="1">
        <v>51126</v>
      </c>
      <c r="P518" s="1">
        <v>1.3797399999999999E-6</v>
      </c>
      <c r="Q518" t="s">
        <v>1439</v>
      </c>
      <c r="R518">
        <v>75</v>
      </c>
      <c r="S518">
        <v>51</v>
      </c>
      <c r="T518">
        <f>VLOOKUP(O518,Nuclides!A:D,4,FALSE)</f>
        <v>1067040</v>
      </c>
    </row>
    <row r="519" spans="2:20" x14ac:dyDescent="0.2">
      <c r="B519" s="8">
        <v>55130</v>
      </c>
      <c r="C519" s="9">
        <v>6.9799999999999994E-11</v>
      </c>
      <c r="D519" s="8" t="s">
        <v>1588</v>
      </c>
      <c r="E519" s="1">
        <v>1752.6</v>
      </c>
      <c r="F519" s="1">
        <f t="shared" si="24"/>
        <v>3.9549650836468407E-4</v>
      </c>
      <c r="G519" s="1">
        <f t="shared" si="25"/>
        <v>344.45047145331699</v>
      </c>
      <c r="H519" s="1">
        <f t="shared" si="26"/>
        <v>0</v>
      </c>
      <c r="K519">
        <f>VLOOKUP(B519,Nuclides!A:C,2,FALSE)</f>
        <v>75</v>
      </c>
      <c r="L519">
        <f>VLOOKUP(B519,Nuclides!A:C,3,FALSE)</f>
        <v>55</v>
      </c>
      <c r="O519" s="1">
        <v>51127</v>
      </c>
      <c r="P519" s="1">
        <v>4.6081300000000004E-6</v>
      </c>
      <c r="Q519" t="s">
        <v>1440</v>
      </c>
      <c r="R519">
        <v>76</v>
      </c>
      <c r="S519">
        <v>51</v>
      </c>
      <c r="T519">
        <f>VLOOKUP(O519,Nuclides!A:D,4,FALSE)</f>
        <v>332640</v>
      </c>
    </row>
    <row r="520" spans="2:20" x14ac:dyDescent="0.2">
      <c r="B520" s="8">
        <v>55131</v>
      </c>
      <c r="C520" s="9">
        <v>3.4899999999999998E-10</v>
      </c>
      <c r="D520" s="8" t="s">
        <v>1589</v>
      </c>
      <c r="E520" s="1">
        <v>837129.6</v>
      </c>
      <c r="F520" s="1">
        <f t="shared" si="24"/>
        <v>8.2800462504246091E-7</v>
      </c>
      <c r="G520" s="1">
        <f t="shared" si="25"/>
        <v>3.6063892114233198</v>
      </c>
      <c r="H520" s="1">
        <f t="shared" si="26"/>
        <v>1.6473850637849273E-11</v>
      </c>
      <c r="K520">
        <f>VLOOKUP(B520,Nuclides!A:C,2,FALSE)</f>
        <v>76</v>
      </c>
      <c r="L520">
        <f>VLOOKUP(B520,Nuclides!A:C,3,FALSE)</f>
        <v>55</v>
      </c>
      <c r="O520" s="1">
        <v>51128</v>
      </c>
      <c r="P520" s="1">
        <v>6.5655299999999996E-6</v>
      </c>
      <c r="Q520" t="s">
        <v>1441</v>
      </c>
      <c r="R520">
        <v>77</v>
      </c>
      <c r="S520">
        <v>51</v>
      </c>
      <c r="T520">
        <f>VLOOKUP(O520,Nuclides!A:D,4,FALSE)</f>
        <v>32580</v>
      </c>
    </row>
    <row r="521" spans="2:20" x14ac:dyDescent="0.2">
      <c r="B521" s="8">
        <v>55132</v>
      </c>
      <c r="C521" s="9">
        <v>2.5127999999999998E-9</v>
      </c>
      <c r="D521" s="8" t="s">
        <v>1590</v>
      </c>
      <c r="E521" s="1">
        <v>559872</v>
      </c>
      <c r="F521" s="1">
        <f t="shared" si="24"/>
        <v>1.2380458043266055E-6</v>
      </c>
      <c r="G521" s="1">
        <f t="shared" si="25"/>
        <v>38.824775450028618</v>
      </c>
      <c r="H521" s="1">
        <f t="shared" si="26"/>
        <v>4.2948111641635324E-16</v>
      </c>
      <c r="K521">
        <f>VLOOKUP(B521,Nuclides!A:C,2,FALSE)</f>
        <v>77</v>
      </c>
      <c r="L521">
        <f>VLOOKUP(B521,Nuclides!A:C,3,FALSE)</f>
        <v>55</v>
      </c>
      <c r="O521" s="1">
        <v>51129</v>
      </c>
      <c r="P521" s="1">
        <v>1.40092E-5</v>
      </c>
      <c r="Q521" t="s">
        <v>1442</v>
      </c>
      <c r="R521">
        <v>78</v>
      </c>
      <c r="S521">
        <v>51</v>
      </c>
      <c r="T521">
        <f>VLOOKUP(O521,Nuclides!A:D,4,FALSE)</f>
        <v>15717.5999999999</v>
      </c>
    </row>
    <row r="522" spans="2:20" x14ac:dyDescent="0.2">
      <c r="B522" s="8">
        <v>55134</v>
      </c>
      <c r="C522" s="9">
        <v>6.6868399999999995E-8</v>
      </c>
      <c r="D522" s="8" t="s">
        <v>1592</v>
      </c>
      <c r="E522" s="1">
        <v>65172755.519999899</v>
      </c>
      <c r="F522" s="1">
        <f t="shared" si="24"/>
        <v>1.0635535892712647E-8</v>
      </c>
      <c r="G522" s="1">
        <f t="shared" si="25"/>
        <v>8.8755421386808564</v>
      </c>
      <c r="H522" s="1">
        <f t="shared" si="26"/>
        <v>6.3464598888865051</v>
      </c>
      <c r="K522">
        <f>VLOOKUP(B522,Nuclides!A:C,2,FALSE)</f>
        <v>79</v>
      </c>
      <c r="L522">
        <f>VLOOKUP(B522,Nuclides!A:C,3,FALSE)</f>
        <v>55</v>
      </c>
      <c r="O522" s="1">
        <v>51130</v>
      </c>
      <c r="P522" s="1">
        <v>1.4266200000000001E-5</v>
      </c>
      <c r="Q522" t="s">
        <v>1443</v>
      </c>
      <c r="R522">
        <v>79</v>
      </c>
      <c r="S522">
        <v>51</v>
      </c>
      <c r="T522">
        <f>VLOOKUP(O522,Nuclides!A:D,4,FALSE)</f>
        <v>2370</v>
      </c>
    </row>
    <row r="523" spans="2:20" x14ac:dyDescent="0.2">
      <c r="B523" s="8">
        <v>55135</v>
      </c>
      <c r="C523" s="9">
        <v>3.3322499999999999E-7</v>
      </c>
      <c r="D523" s="8" t="s">
        <v>1593</v>
      </c>
      <c r="E523" s="1">
        <v>72582480000000</v>
      </c>
      <c r="F523" s="1">
        <f t="shared" si="24"/>
        <v>9.5497864024478811E-15</v>
      </c>
      <c r="G523" s="1">
        <f t="shared" si="25"/>
        <v>3.9706430143837679E-5</v>
      </c>
      <c r="H523" s="1">
        <f t="shared" si="26"/>
        <v>3.9706418185769022E-5</v>
      </c>
      <c r="K523">
        <f>VLOOKUP(B523,Nuclides!A:C,2,FALSE)</f>
        <v>80</v>
      </c>
      <c r="L523">
        <f>VLOOKUP(B523,Nuclides!A:C,3,FALSE)</f>
        <v>55</v>
      </c>
      <c r="O523" s="1">
        <v>51131</v>
      </c>
      <c r="P523" s="1">
        <v>1.8558100000000001E-5</v>
      </c>
      <c r="Q523" t="s">
        <v>1444</v>
      </c>
      <c r="R523">
        <v>80</v>
      </c>
      <c r="S523">
        <v>51</v>
      </c>
      <c r="T523">
        <f>VLOOKUP(O523,Nuclides!A:D,4,FALSE)</f>
        <v>1381.8</v>
      </c>
    </row>
    <row r="524" spans="2:20" x14ac:dyDescent="0.2">
      <c r="B524" s="8">
        <v>55136</v>
      </c>
      <c r="C524" s="9">
        <v>1.18297E-6</v>
      </c>
      <c r="D524" s="8" t="s">
        <v>1594</v>
      </c>
      <c r="E524" s="1">
        <v>1126656</v>
      </c>
      <c r="F524" s="1">
        <f t="shared" si="24"/>
        <v>6.1522521564696349E-7</v>
      </c>
      <c r="G524" s="1">
        <f t="shared" si="25"/>
        <v>9082.8535130432956</v>
      </c>
      <c r="H524" s="1">
        <f t="shared" si="26"/>
        <v>3.4052785761544825E-5</v>
      </c>
      <c r="K524">
        <f>VLOOKUP(B524,Nuclides!A:C,2,FALSE)</f>
        <v>81</v>
      </c>
      <c r="L524">
        <f>VLOOKUP(B524,Nuclides!A:C,3,FALSE)</f>
        <v>55</v>
      </c>
      <c r="O524" s="1">
        <v>51132</v>
      </c>
      <c r="P524" s="1">
        <v>1.19459E-5</v>
      </c>
      <c r="Q524" t="s">
        <v>1445</v>
      </c>
      <c r="R524">
        <v>81</v>
      </c>
      <c r="S524">
        <v>51</v>
      </c>
      <c r="T524">
        <f>VLOOKUP(O524,Nuclides!A:D,4,FALSE)</f>
        <v>167.4</v>
      </c>
    </row>
    <row r="525" spans="2:20" x14ac:dyDescent="0.2">
      <c r="B525" s="8">
        <v>55137</v>
      </c>
      <c r="C525" s="9">
        <v>4.9134999999999996E-6</v>
      </c>
      <c r="D525" s="8" t="s">
        <v>1595</v>
      </c>
      <c r="E525" s="1">
        <v>949252608</v>
      </c>
      <c r="F525" s="1">
        <f t="shared" si="24"/>
        <v>7.3020308263398025E-10</v>
      </c>
      <c r="G525" s="1">
        <f t="shared" si="25"/>
        <v>44.776405827651182</v>
      </c>
      <c r="H525" s="1">
        <f t="shared" si="26"/>
        <v>43.757090167404947</v>
      </c>
      <c r="K525">
        <f>VLOOKUP(B525,Nuclides!A:C,2,FALSE)</f>
        <v>82</v>
      </c>
      <c r="L525">
        <f>VLOOKUP(B525,Nuclides!A:C,3,FALSE)</f>
        <v>55</v>
      </c>
      <c r="O525" s="1">
        <v>51133</v>
      </c>
      <c r="P525" s="1">
        <v>8.0660899999999999E-6</v>
      </c>
      <c r="Q525" t="s">
        <v>1446</v>
      </c>
      <c r="R525">
        <v>82</v>
      </c>
      <c r="S525">
        <v>51</v>
      </c>
      <c r="T525">
        <f>VLOOKUP(O525,Nuclides!A:D,4,FALSE)</f>
        <v>140.39999999999901</v>
      </c>
    </row>
    <row r="526" spans="2:20" x14ac:dyDescent="0.2">
      <c r="B526" s="8">
        <v>55138</v>
      </c>
      <c r="C526" s="9">
        <v>1.07027E-5</v>
      </c>
      <c r="D526" s="8" t="s">
        <v>1596</v>
      </c>
      <c r="E526" s="1">
        <v>2004.6</v>
      </c>
      <c r="F526" s="1">
        <f t="shared" si="24"/>
        <v>3.4577830018953673E-4</v>
      </c>
      <c r="G526" s="1">
        <f t="shared" si="25"/>
        <v>46177518.387707636</v>
      </c>
      <c r="H526" s="1">
        <f t="shared" si="26"/>
        <v>0</v>
      </c>
      <c r="K526">
        <f>VLOOKUP(B526,Nuclides!A:C,2,FALSE)</f>
        <v>83</v>
      </c>
      <c r="L526">
        <f>VLOOKUP(B526,Nuclides!A:C,3,FALSE)</f>
        <v>55</v>
      </c>
      <c r="O526" s="1">
        <v>51134</v>
      </c>
      <c r="P526" s="1">
        <v>1.8650600000000001E-6</v>
      </c>
      <c r="Q526" t="s">
        <v>1447</v>
      </c>
      <c r="R526">
        <v>83</v>
      </c>
      <c r="S526">
        <v>51</v>
      </c>
      <c r="T526">
        <f>VLOOKUP(O526,Nuclides!A:D,4,FALSE)</f>
        <v>0.78</v>
      </c>
    </row>
    <row r="527" spans="2:20" x14ac:dyDescent="0.2">
      <c r="B527" s="8">
        <v>55139</v>
      </c>
      <c r="C527" s="9">
        <v>2.4928700000000001E-5</v>
      </c>
      <c r="D527" s="8" t="s">
        <v>1597</v>
      </c>
      <c r="E527" s="1">
        <v>556.19999999999902</v>
      </c>
      <c r="F527" s="1">
        <f t="shared" si="24"/>
        <v>1.2462193106075989E-3</v>
      </c>
      <c r="G527" s="1">
        <f t="shared" si="25"/>
        <v>387470022.59842199</v>
      </c>
      <c r="H527" s="1">
        <f t="shared" si="26"/>
        <v>0</v>
      </c>
      <c r="K527">
        <f>VLOOKUP(B527,Nuclides!A:C,2,FALSE)</f>
        <v>84</v>
      </c>
      <c r="L527">
        <f>VLOOKUP(B527,Nuclides!A:C,3,FALSE)</f>
        <v>55</v>
      </c>
      <c r="O527" s="1">
        <v>51135</v>
      </c>
      <c r="P527" s="1">
        <v>1.02096E-6</v>
      </c>
      <c r="Q527" t="s">
        <v>1448</v>
      </c>
      <c r="R527">
        <v>84</v>
      </c>
      <c r="S527">
        <v>51</v>
      </c>
      <c r="T527">
        <f>VLOOKUP(O527,Nuclides!A:D,4,FALSE)</f>
        <v>1.679</v>
      </c>
    </row>
    <row r="528" spans="2:20" x14ac:dyDescent="0.2">
      <c r="B528" s="8">
        <v>55140</v>
      </c>
      <c r="C528" s="9">
        <v>3.4020899999999998E-5</v>
      </c>
      <c r="D528" s="8" t="s">
        <v>1598</v>
      </c>
      <c r="E528" s="1">
        <v>63.7</v>
      </c>
      <c r="F528" s="1">
        <f t="shared" si="24"/>
        <v>1.0881431405964604E-2</v>
      </c>
      <c r="G528" s="1">
        <f t="shared" si="25"/>
        <v>4595001762.0670357</v>
      </c>
      <c r="H528" s="1">
        <f t="shared" si="26"/>
        <v>0</v>
      </c>
      <c r="K528">
        <f>VLOOKUP(B528,Nuclides!A:C,2,FALSE)</f>
        <v>85</v>
      </c>
      <c r="L528">
        <f>VLOOKUP(B528,Nuclides!A:C,3,FALSE)</f>
        <v>55</v>
      </c>
      <c r="O528" s="1">
        <v>51136</v>
      </c>
      <c r="P528" s="1">
        <v>2.5714300000000001E-7</v>
      </c>
      <c r="Q528" t="s">
        <v>1449</v>
      </c>
      <c r="R528">
        <v>85</v>
      </c>
      <c r="S528">
        <v>51</v>
      </c>
      <c r="T528">
        <f>VLOOKUP(O528,Nuclides!A:D,4,FALSE)</f>
        <v>0.92300000000000004</v>
      </c>
    </row>
    <row r="529" spans="2:20" x14ac:dyDescent="0.2">
      <c r="B529" s="8">
        <v>55141</v>
      </c>
      <c r="C529" s="9">
        <v>5.3979900000000001E-5</v>
      </c>
      <c r="D529" s="8" t="s">
        <v>1599</v>
      </c>
      <c r="E529" s="1">
        <v>24.84</v>
      </c>
      <c r="F529" s="1">
        <f t="shared" si="24"/>
        <v>2.7904475867952708E-2</v>
      </c>
      <c r="G529" s="1">
        <f t="shared" si="25"/>
        <v>18538527726.970123</v>
      </c>
      <c r="H529" s="1">
        <f t="shared" si="26"/>
        <v>0</v>
      </c>
      <c r="K529">
        <f>VLOOKUP(B529,Nuclides!A:C,2,FALSE)</f>
        <v>86</v>
      </c>
      <c r="L529">
        <f>VLOOKUP(B529,Nuclides!A:C,3,FALSE)</f>
        <v>55</v>
      </c>
      <c r="O529" s="1">
        <v>52106</v>
      </c>
      <c r="P529" s="1">
        <v>2.7919999999999998E-10</v>
      </c>
      <c r="Q529" t="s">
        <v>1455</v>
      </c>
      <c r="R529">
        <v>54</v>
      </c>
      <c r="S529">
        <v>52</v>
      </c>
      <c r="T529">
        <f>VLOOKUP(O529,Nuclides!A:D,4,FALSE)</f>
        <v>6.9999999999999994E-5</v>
      </c>
    </row>
    <row r="530" spans="2:20" x14ac:dyDescent="0.2">
      <c r="B530" s="8">
        <v>55142</v>
      </c>
      <c r="C530" s="9">
        <v>4.7759999999999997E-5</v>
      </c>
      <c r="D530" s="8" t="s">
        <v>1600</v>
      </c>
      <c r="E530" s="1">
        <v>1.6839999999999999</v>
      </c>
      <c r="F530" s="1">
        <f t="shared" si="24"/>
        <v>0.41160758940614328</v>
      </c>
      <c r="G530" s="1">
        <f t="shared" si="25"/>
        <v>201114915077.56815</v>
      </c>
      <c r="H530" s="1">
        <f t="shared" si="26"/>
        <v>0</v>
      </c>
      <c r="K530">
        <f>VLOOKUP(B530,Nuclides!A:C,2,FALSE)</f>
        <v>87</v>
      </c>
      <c r="L530">
        <f>VLOOKUP(B530,Nuclides!A:C,3,FALSE)</f>
        <v>55</v>
      </c>
      <c r="O530" s="1">
        <v>52107</v>
      </c>
      <c r="P530" s="1">
        <v>8.1875400000000005E-8</v>
      </c>
      <c r="Q530" t="s">
        <v>1456</v>
      </c>
      <c r="R530">
        <v>55</v>
      </c>
      <c r="S530">
        <v>52</v>
      </c>
      <c r="T530">
        <f>VLOOKUP(O530,Nuclides!A:D,4,FALSE)</f>
        <v>3.0999999999999999E-3</v>
      </c>
    </row>
    <row r="531" spans="2:20" x14ac:dyDescent="0.2">
      <c r="B531" s="8">
        <v>55143</v>
      </c>
      <c r="C531" s="9">
        <v>4.1903899999999997E-5</v>
      </c>
      <c r="D531" s="8" t="s">
        <v>1601</v>
      </c>
      <c r="E531" s="1">
        <v>1.7909999999999999</v>
      </c>
      <c r="F531" s="1">
        <f t="shared" si="24"/>
        <v>0.38701685123391699</v>
      </c>
      <c r="G531" s="1">
        <f t="shared" si="25"/>
        <v>167828721109.94867</v>
      </c>
      <c r="H531" s="1">
        <f t="shared" si="26"/>
        <v>0</v>
      </c>
      <c r="K531">
        <f>VLOOKUP(B531,Nuclides!A:C,2,FALSE)</f>
        <v>88</v>
      </c>
      <c r="L531">
        <f>VLOOKUP(B531,Nuclides!A:C,3,FALSE)</f>
        <v>55</v>
      </c>
      <c r="O531" s="1">
        <v>52108</v>
      </c>
      <c r="P531" s="1">
        <v>2.9176400000000001E-8</v>
      </c>
      <c r="Q531" t="s">
        <v>1457</v>
      </c>
      <c r="R531">
        <v>56</v>
      </c>
      <c r="S531">
        <v>52</v>
      </c>
      <c r="T531">
        <f>VLOOKUP(O531,Nuclides!A:D,4,FALSE)</f>
        <v>2.1</v>
      </c>
    </row>
    <row r="532" spans="2:20" x14ac:dyDescent="0.2">
      <c r="B532" s="8">
        <v>55144</v>
      </c>
      <c r="C532" s="9">
        <v>2.15569E-5</v>
      </c>
      <c r="D532" s="8" t="s">
        <v>1602</v>
      </c>
      <c r="E532" s="1">
        <v>0.99399999999999999</v>
      </c>
      <c r="F532" s="1">
        <f t="shared" si="24"/>
        <v>0.69733116756533731</v>
      </c>
      <c r="G532" s="1">
        <f t="shared" si="25"/>
        <v>135076689493.39691</v>
      </c>
      <c r="H532" s="1">
        <f t="shared" si="26"/>
        <v>0</v>
      </c>
      <c r="K532">
        <f>VLOOKUP(B532,Nuclides!A:C,2,FALSE)</f>
        <v>89</v>
      </c>
      <c r="L532">
        <f>VLOOKUP(B532,Nuclides!A:C,3,FALSE)</f>
        <v>55</v>
      </c>
      <c r="O532" s="1">
        <v>52109</v>
      </c>
      <c r="P532" s="1">
        <v>3.9786000000000003E-9</v>
      </c>
      <c r="Q532" t="s">
        <v>1458</v>
      </c>
      <c r="R532">
        <v>57</v>
      </c>
      <c r="S532">
        <v>52</v>
      </c>
      <c r="T532">
        <f>VLOOKUP(O532,Nuclides!A:D,4,FALSE)</f>
        <v>4.5999999999999996</v>
      </c>
    </row>
    <row r="533" spans="2:20" x14ac:dyDescent="0.2">
      <c r="B533" s="8">
        <v>55145</v>
      </c>
      <c r="C533" s="9">
        <v>1.1148000000000001E-5</v>
      </c>
      <c r="D533" s="8" t="s">
        <v>1603</v>
      </c>
      <c r="E533" s="1">
        <v>0.58699999999999997</v>
      </c>
      <c r="F533" s="1">
        <f t="shared" si="24"/>
        <v>1.1808299498465848</v>
      </c>
      <c r="G533" s="1">
        <f t="shared" si="25"/>
        <v>96411724928.264465</v>
      </c>
      <c r="H533" s="1">
        <f t="shared" si="26"/>
        <v>0</v>
      </c>
      <c r="K533">
        <f>VLOOKUP(B533,Nuclides!A:C,2,FALSE)</f>
        <v>90</v>
      </c>
      <c r="L533">
        <f>VLOOKUP(B533,Nuclides!A:C,3,FALSE)</f>
        <v>55</v>
      </c>
      <c r="O533" s="1">
        <v>52110</v>
      </c>
      <c r="P533" s="1">
        <v>6.9799999999999997E-10</v>
      </c>
      <c r="Q533" t="s">
        <v>1459</v>
      </c>
      <c r="R533">
        <v>58</v>
      </c>
      <c r="S533">
        <v>52</v>
      </c>
      <c r="T533">
        <f>VLOOKUP(O533,Nuclides!A:D,4,FALSE)</f>
        <v>18.600000000000001</v>
      </c>
    </row>
    <row r="534" spans="2:20" x14ac:dyDescent="0.2">
      <c r="B534" s="8">
        <v>55146</v>
      </c>
      <c r="C534" s="9">
        <v>3.2069600000000001E-6</v>
      </c>
      <c r="D534" s="8" t="s">
        <v>1604</v>
      </c>
      <c r="E534" s="1">
        <v>0.32200000000000001</v>
      </c>
      <c r="F534" s="1">
        <f t="shared" si="24"/>
        <v>2.1526309955277805</v>
      </c>
      <c r="G534" s="1">
        <f t="shared" si="25"/>
        <v>35373081224.623787</v>
      </c>
      <c r="H534" s="1">
        <f t="shared" si="26"/>
        <v>0</v>
      </c>
      <c r="K534">
        <f>VLOOKUP(B534,Nuclides!A:C,2,FALSE)</f>
        <v>91</v>
      </c>
      <c r="L534">
        <f>VLOOKUP(B534,Nuclides!A:C,3,FALSE)</f>
        <v>55</v>
      </c>
      <c r="O534" s="1">
        <v>52123</v>
      </c>
      <c r="P534" s="1">
        <v>2.094E-10</v>
      </c>
      <c r="Q534" t="s">
        <v>1472</v>
      </c>
      <c r="R534">
        <v>71</v>
      </c>
      <c r="S534">
        <v>52</v>
      </c>
      <c r="T534">
        <f>VLOOKUP(O534,Nuclides!A:D,4,FALSE)</f>
        <v>2.9032991999999999E+24</v>
      </c>
    </row>
    <row r="535" spans="2:20" x14ac:dyDescent="0.2">
      <c r="B535" s="8">
        <v>55147</v>
      </c>
      <c r="C535" s="9">
        <v>1.0100799999999999E-6</v>
      </c>
      <c r="D535" s="8" t="s">
        <v>1605</v>
      </c>
      <c r="E535" s="1">
        <v>0.23</v>
      </c>
      <c r="F535" s="1">
        <f t="shared" si="24"/>
        <v>3.0136833937388925</v>
      </c>
      <c r="G535" s="1">
        <f t="shared" si="25"/>
        <v>11986721941.884512</v>
      </c>
      <c r="H535" s="1">
        <f t="shared" si="26"/>
        <v>0</v>
      </c>
      <c r="K535">
        <f>VLOOKUP(B535,Nuclides!A:C,2,FALSE)</f>
        <v>92</v>
      </c>
      <c r="L535">
        <f>VLOOKUP(B535,Nuclides!A:C,3,FALSE)</f>
        <v>55</v>
      </c>
      <c r="O535" s="1">
        <v>52124</v>
      </c>
      <c r="P535" s="1">
        <v>1.5355999999999999E-9</v>
      </c>
      <c r="Q535" t="s">
        <v>1473</v>
      </c>
      <c r="R535">
        <v>72</v>
      </c>
      <c r="S535">
        <v>52</v>
      </c>
      <c r="T535" t="str">
        <f>VLOOKUP(O535,Nuclides!A:D,4,FALSE)</f>
        <v>STABLE</v>
      </c>
    </row>
    <row r="536" spans="2:20" x14ac:dyDescent="0.2">
      <c r="B536" s="8">
        <v>55148</v>
      </c>
      <c r="C536" s="9">
        <v>1.6102900000000001E-7</v>
      </c>
      <c r="D536" s="8" t="s">
        <v>1606</v>
      </c>
      <c r="E536" s="1">
        <v>0.14599999999999999</v>
      </c>
      <c r="F536" s="1">
        <f t="shared" si="24"/>
        <v>4.747583428492776</v>
      </c>
      <c r="G536" s="1">
        <f t="shared" si="25"/>
        <v>1992213043.3638275</v>
      </c>
      <c r="H536" s="1">
        <f t="shared" si="26"/>
        <v>0</v>
      </c>
      <c r="K536">
        <f>VLOOKUP(B536,Nuclides!A:C,2,FALSE)</f>
        <v>93</v>
      </c>
      <c r="L536">
        <f>VLOOKUP(B536,Nuclides!A:C,3,FALSE)</f>
        <v>55</v>
      </c>
      <c r="O536" s="1">
        <v>52125</v>
      </c>
      <c r="P536" s="1">
        <v>9.6323999999999999E-9</v>
      </c>
      <c r="Q536" t="s">
        <v>1474</v>
      </c>
      <c r="R536">
        <v>73</v>
      </c>
      <c r="S536">
        <v>52</v>
      </c>
      <c r="T536" t="str">
        <f>VLOOKUP(O536,Nuclides!A:D,4,FALSE)</f>
        <v>STABLE</v>
      </c>
    </row>
    <row r="537" spans="2:20" x14ac:dyDescent="0.2">
      <c r="B537" s="8">
        <v>56117</v>
      </c>
      <c r="C537" s="9">
        <v>2.52676E-8</v>
      </c>
      <c r="D537" s="8" t="s">
        <v>1613</v>
      </c>
      <c r="E537" s="1">
        <v>1.75</v>
      </c>
      <c r="F537" s="1">
        <f t="shared" si="24"/>
        <v>0.39608410317711157</v>
      </c>
      <c r="G537" s="1">
        <f t="shared" si="25"/>
        <v>103131801.50609031</v>
      </c>
      <c r="H537" s="1">
        <f t="shared" si="26"/>
        <v>0</v>
      </c>
      <c r="K537">
        <f>VLOOKUP(B537,Nuclides!A:C,2,FALSE)</f>
        <v>61</v>
      </c>
      <c r="L537">
        <f>VLOOKUP(B537,Nuclides!A:C,3,FALSE)</f>
        <v>56</v>
      </c>
      <c r="O537" s="1">
        <v>52126</v>
      </c>
      <c r="P537" s="1">
        <v>9.6254199999999994E-8</v>
      </c>
      <c r="Q537" t="s">
        <v>1475</v>
      </c>
      <c r="R537">
        <v>74</v>
      </c>
      <c r="S537">
        <v>52</v>
      </c>
      <c r="T537" t="str">
        <f>VLOOKUP(O537,Nuclides!A:D,4,FALSE)</f>
        <v>STABLE</v>
      </c>
    </row>
    <row r="538" spans="2:20" x14ac:dyDescent="0.2">
      <c r="B538" s="8">
        <v>56118</v>
      </c>
      <c r="C538" s="9">
        <v>2.4429999999999999E-9</v>
      </c>
      <c r="D538" s="8" t="s">
        <v>1614</v>
      </c>
      <c r="E538" s="1">
        <v>5.5</v>
      </c>
      <c r="F538" s="1">
        <f t="shared" si="24"/>
        <v>0.12602676010180824</v>
      </c>
      <c r="G538" s="1">
        <f t="shared" si="25"/>
        <v>3610121.5992781082</v>
      </c>
      <c r="H538" s="1">
        <f t="shared" si="26"/>
        <v>0</v>
      </c>
      <c r="K538">
        <f>VLOOKUP(B538,Nuclides!A:C,2,FALSE)</f>
        <v>62</v>
      </c>
      <c r="L538">
        <f>VLOOKUP(B538,Nuclides!A:C,3,FALSE)</f>
        <v>56</v>
      </c>
      <c r="O538" s="1">
        <v>52127</v>
      </c>
      <c r="P538" s="1">
        <v>3.3915800000000003E-7</v>
      </c>
      <c r="Q538" t="s">
        <v>1476</v>
      </c>
      <c r="R538">
        <v>75</v>
      </c>
      <c r="S538">
        <v>52</v>
      </c>
      <c r="T538">
        <f>VLOOKUP(O538,Nuclides!A:D,4,FALSE)</f>
        <v>33660</v>
      </c>
    </row>
    <row r="539" spans="2:20" x14ac:dyDescent="0.2">
      <c r="B539" s="8">
        <v>56119</v>
      </c>
      <c r="C539" s="9">
        <v>4.1879999999999999E-10</v>
      </c>
      <c r="D539" s="8" t="s">
        <v>1615</v>
      </c>
      <c r="E539" s="1">
        <v>5.4</v>
      </c>
      <c r="F539" s="1">
        <f t="shared" si="24"/>
        <v>0.12836058899258246</v>
      </c>
      <c r="G539" s="1">
        <f t="shared" si="25"/>
        <v>629619.1403301243</v>
      </c>
      <c r="H539" s="1">
        <f t="shared" si="26"/>
        <v>0</v>
      </c>
      <c r="K539">
        <f>VLOOKUP(B539,Nuclides!A:C,2,FALSE)</f>
        <v>63</v>
      </c>
      <c r="L539">
        <f>VLOOKUP(B539,Nuclides!A:C,3,FALSE)</f>
        <v>56</v>
      </c>
      <c r="O539" s="1">
        <v>52128</v>
      </c>
      <c r="P539" s="1">
        <v>1.87532E-6</v>
      </c>
      <c r="Q539" t="s">
        <v>1477</v>
      </c>
      <c r="R539">
        <v>76</v>
      </c>
      <c r="S539">
        <v>52</v>
      </c>
      <c r="T539">
        <f>VLOOKUP(O539,Nuclides!A:D,4,FALSE)</f>
        <v>7.6053815999999996E+31</v>
      </c>
    </row>
    <row r="540" spans="2:20" x14ac:dyDescent="0.2">
      <c r="B540" s="8">
        <v>56133</v>
      </c>
      <c r="C540" s="9">
        <v>1.3959999999999999E-10</v>
      </c>
      <c r="D540" s="8" t="s">
        <v>1629</v>
      </c>
      <c r="E540" s="1">
        <v>332964237.60000002</v>
      </c>
      <c r="F540" s="1">
        <f t="shared" si="24"/>
        <v>2.0817466330802885E-9</v>
      </c>
      <c r="G540" s="1">
        <f t="shared" si="25"/>
        <v>3.6268356918895957E-3</v>
      </c>
      <c r="H540" s="1">
        <f t="shared" si="26"/>
        <v>3.3963814860339934E-3</v>
      </c>
      <c r="K540">
        <f>VLOOKUP(B540,Nuclides!A:C,2,FALSE)</f>
        <v>77</v>
      </c>
      <c r="L540">
        <f>VLOOKUP(B540,Nuclides!A:C,3,FALSE)</f>
        <v>56</v>
      </c>
      <c r="O540" s="1">
        <v>52129</v>
      </c>
      <c r="P540" s="1">
        <v>3.9155699999999998E-6</v>
      </c>
      <c r="Q540" t="s">
        <v>1478</v>
      </c>
      <c r="R540">
        <v>77</v>
      </c>
      <c r="S540">
        <v>52</v>
      </c>
      <c r="T540">
        <f>VLOOKUP(O540,Nuclides!A:D,4,FALSE)</f>
        <v>4194</v>
      </c>
    </row>
    <row r="541" spans="2:20" x14ac:dyDescent="0.2">
      <c r="B541" s="8">
        <v>56139</v>
      </c>
      <c r="C541" s="9">
        <v>2.3648199999999999E-6</v>
      </c>
      <c r="D541" s="8" t="s">
        <v>1635</v>
      </c>
      <c r="E541" s="1">
        <v>4983.6000000000004</v>
      </c>
      <c r="F541" s="1">
        <f t="shared" si="24"/>
        <v>1.3908563700135349E-4</v>
      </c>
      <c r="G541" s="1">
        <f t="shared" si="25"/>
        <v>4104542.5031771776</v>
      </c>
      <c r="H541" s="1">
        <f t="shared" si="26"/>
        <v>0</v>
      </c>
      <c r="K541">
        <f>VLOOKUP(B541,Nuclides!A:C,2,FALSE)</f>
        <v>83</v>
      </c>
      <c r="L541">
        <f>VLOOKUP(B541,Nuclides!A:C,3,FALSE)</f>
        <v>56</v>
      </c>
      <c r="O541" s="1">
        <v>52130</v>
      </c>
      <c r="P541" s="1">
        <v>1.12652E-5</v>
      </c>
      <c r="Q541" t="s">
        <v>1479</v>
      </c>
      <c r="R541">
        <v>78</v>
      </c>
      <c r="S541">
        <v>52</v>
      </c>
      <c r="T541">
        <f>VLOOKUP(O541,Nuclides!A:D,4,FALSE)</f>
        <v>9.46728E+31</v>
      </c>
    </row>
    <row r="542" spans="2:20" x14ac:dyDescent="0.2">
      <c r="B542" s="8">
        <v>56140</v>
      </c>
      <c r="C542" s="9">
        <v>6.5803299999999999E-6</v>
      </c>
      <c r="D542" s="8" t="s">
        <v>1636</v>
      </c>
      <c r="E542" s="1">
        <v>1101833.28</v>
      </c>
      <c r="F542" s="1">
        <f t="shared" si="24"/>
        <v>6.2908535541778636E-7</v>
      </c>
      <c r="G542" s="1">
        <f t="shared" si="25"/>
        <v>51662.057423760249</v>
      </c>
      <c r="H542" s="1">
        <f t="shared" si="26"/>
        <v>1.2510503714492017E-4</v>
      </c>
      <c r="K542">
        <f>VLOOKUP(B542,Nuclides!A:C,2,FALSE)</f>
        <v>84</v>
      </c>
      <c r="L542">
        <f>VLOOKUP(B542,Nuclides!A:C,3,FALSE)</f>
        <v>56</v>
      </c>
      <c r="O542" s="1">
        <v>52131</v>
      </c>
      <c r="P542" s="1">
        <v>1.4110900000000001E-5</v>
      </c>
      <c r="Q542" t="s">
        <v>1480</v>
      </c>
      <c r="R542">
        <v>79</v>
      </c>
      <c r="S542">
        <v>52</v>
      </c>
      <c r="T542">
        <f>VLOOKUP(O542,Nuclides!A:D,4,FALSE)</f>
        <v>1500</v>
      </c>
    </row>
    <row r="543" spans="2:20" x14ac:dyDescent="0.2">
      <c r="B543" s="8">
        <v>56141</v>
      </c>
      <c r="C543" s="9">
        <v>1.33224E-5</v>
      </c>
      <c r="D543" s="8" t="s">
        <v>1637</v>
      </c>
      <c r="E543" s="1">
        <v>1096.2</v>
      </c>
      <c r="F543" s="1">
        <f t="shared" si="24"/>
        <v>6.3231817237725352E-4</v>
      </c>
      <c r="G543" s="1">
        <f t="shared" si="25"/>
        <v>105098234.0701856</v>
      </c>
      <c r="H543" s="1">
        <f t="shared" si="26"/>
        <v>0</v>
      </c>
      <c r="K543">
        <f>VLOOKUP(B543,Nuclides!A:C,2,FALSE)</f>
        <v>85</v>
      </c>
      <c r="L543">
        <f>VLOOKUP(B543,Nuclides!A:C,3,FALSE)</f>
        <v>56</v>
      </c>
      <c r="O543" s="1">
        <v>52132</v>
      </c>
      <c r="P543" s="1">
        <v>2.69122E-5</v>
      </c>
      <c r="Q543" t="s">
        <v>1481</v>
      </c>
      <c r="R543">
        <v>80</v>
      </c>
      <c r="S543">
        <v>52</v>
      </c>
      <c r="T543">
        <f>VLOOKUP(O543,Nuclides!A:D,4,FALSE)</f>
        <v>276825.59999999998</v>
      </c>
    </row>
    <row r="544" spans="2:20" x14ac:dyDescent="0.2">
      <c r="B544" s="8">
        <v>56142</v>
      </c>
      <c r="C544" s="9">
        <v>2.6614600000000001E-5</v>
      </c>
      <c r="D544" s="8" t="s">
        <v>1638</v>
      </c>
      <c r="E544" s="1">
        <v>636</v>
      </c>
      <c r="F544" s="1">
        <f t="shared" si="24"/>
        <v>1.0898540574841907E-3</v>
      </c>
      <c r="G544" s="1">
        <f t="shared" si="25"/>
        <v>361798062.52835494</v>
      </c>
      <c r="H544" s="1">
        <f t="shared" si="26"/>
        <v>0</v>
      </c>
      <c r="K544">
        <f>VLOOKUP(B544,Nuclides!A:C,2,FALSE)</f>
        <v>86</v>
      </c>
      <c r="L544">
        <f>VLOOKUP(B544,Nuclides!A:C,3,FALSE)</f>
        <v>56</v>
      </c>
      <c r="O544" s="1">
        <v>52133</v>
      </c>
      <c r="P544" s="1">
        <v>2.2688999999999999E-5</v>
      </c>
      <c r="Q544" t="s">
        <v>1482</v>
      </c>
      <c r="R544">
        <v>81</v>
      </c>
      <c r="S544">
        <v>52</v>
      </c>
      <c r="T544">
        <f>VLOOKUP(O544,Nuclides!A:D,4,FALSE)</f>
        <v>750</v>
      </c>
    </row>
    <row r="545" spans="2:20" x14ac:dyDescent="0.2">
      <c r="B545" s="8">
        <v>56143</v>
      </c>
      <c r="C545" s="9">
        <v>3.7416200000000003E-5</v>
      </c>
      <c r="D545" s="8" t="s">
        <v>1639</v>
      </c>
      <c r="E545" s="1">
        <v>14.5</v>
      </c>
      <c r="F545" s="1">
        <f t="shared" si="24"/>
        <v>4.7803253831720363E-2</v>
      </c>
      <c r="G545" s="1">
        <f t="shared" si="25"/>
        <v>21796799444.591244</v>
      </c>
      <c r="H545" s="1">
        <f t="shared" si="26"/>
        <v>0</v>
      </c>
      <c r="K545">
        <f>VLOOKUP(B545,Nuclides!A:C,2,FALSE)</f>
        <v>87</v>
      </c>
      <c r="L545">
        <f>VLOOKUP(B545,Nuclides!A:C,3,FALSE)</f>
        <v>56</v>
      </c>
      <c r="O545" s="1">
        <v>52134</v>
      </c>
      <c r="P545" s="1">
        <v>2.2263799999999998E-5</v>
      </c>
      <c r="Q545" t="s">
        <v>1483</v>
      </c>
      <c r="R545">
        <v>82</v>
      </c>
      <c r="S545">
        <v>52</v>
      </c>
      <c r="T545">
        <f>VLOOKUP(O545,Nuclides!A:D,4,FALSE)</f>
        <v>2508</v>
      </c>
    </row>
    <row r="546" spans="2:20" x14ac:dyDescent="0.2">
      <c r="B546" s="8">
        <v>56144</v>
      </c>
      <c r="C546" s="9">
        <v>4.4557600000000002E-5</v>
      </c>
      <c r="D546" s="8" t="s">
        <v>1640</v>
      </c>
      <c r="E546" s="1">
        <v>11.5</v>
      </c>
      <c r="F546" s="1">
        <f t="shared" si="24"/>
        <v>6.027366787477785E-2</v>
      </c>
      <c r="G546" s="1">
        <f t="shared" si="25"/>
        <v>32526810058.04229</v>
      </c>
      <c r="H546" s="1">
        <f t="shared" si="26"/>
        <v>0</v>
      </c>
      <c r="K546">
        <f>VLOOKUP(B546,Nuclides!A:C,2,FALSE)</f>
        <v>88</v>
      </c>
      <c r="L546">
        <f>VLOOKUP(B546,Nuclides!A:C,3,FALSE)</f>
        <v>56</v>
      </c>
      <c r="O546" s="1">
        <v>52135</v>
      </c>
      <c r="P546" s="1">
        <v>7.4746000000000004E-6</v>
      </c>
      <c r="Q546" t="s">
        <v>1484</v>
      </c>
      <c r="R546">
        <v>83</v>
      </c>
      <c r="S546">
        <v>52</v>
      </c>
      <c r="T546">
        <f>VLOOKUP(O546,Nuclides!A:D,4,FALSE)</f>
        <v>19</v>
      </c>
    </row>
    <row r="547" spans="2:20" x14ac:dyDescent="0.2">
      <c r="B547" s="8">
        <v>56145</v>
      </c>
      <c r="C547" s="9">
        <v>3.6569200000000002E-5</v>
      </c>
      <c r="D547" s="8" t="s">
        <v>1641</v>
      </c>
      <c r="E547" s="1">
        <v>4.3099999999999996</v>
      </c>
      <c r="F547" s="1">
        <f t="shared" si="24"/>
        <v>0.16082301173084579</v>
      </c>
      <c r="G547" s="1">
        <f t="shared" si="25"/>
        <v>67799093499.748177</v>
      </c>
      <c r="H547" s="1">
        <f t="shared" si="26"/>
        <v>0</v>
      </c>
      <c r="K547">
        <f>VLOOKUP(B547,Nuclides!A:C,2,FALSE)</f>
        <v>89</v>
      </c>
      <c r="L547">
        <f>VLOOKUP(B547,Nuclides!A:C,3,FALSE)</f>
        <v>56</v>
      </c>
      <c r="O547" s="1">
        <v>52136</v>
      </c>
      <c r="P547" s="1">
        <v>5.4134800000000002E-6</v>
      </c>
      <c r="Q547" t="s">
        <v>1485</v>
      </c>
      <c r="R547">
        <v>84</v>
      </c>
      <c r="S547">
        <v>52</v>
      </c>
      <c r="T547">
        <f>VLOOKUP(O547,Nuclides!A:D,4,FALSE)</f>
        <v>17.63</v>
      </c>
    </row>
    <row r="548" spans="2:20" x14ac:dyDescent="0.2">
      <c r="B548" s="8">
        <v>56146</v>
      </c>
      <c r="C548" s="9">
        <v>2.5329599999999999E-5</v>
      </c>
      <c r="D548" s="8" t="s">
        <v>1642</v>
      </c>
      <c r="E548" s="1">
        <v>2.2200000000000002</v>
      </c>
      <c r="F548" s="1">
        <f t="shared" si="24"/>
        <v>0.31222845971168706</v>
      </c>
      <c r="G548" s="1">
        <f t="shared" si="25"/>
        <v>84777089584.932892</v>
      </c>
      <c r="H548" s="1">
        <f t="shared" si="26"/>
        <v>0</v>
      </c>
      <c r="K548">
        <f>VLOOKUP(B548,Nuclides!A:C,2,FALSE)</f>
        <v>90</v>
      </c>
      <c r="L548">
        <f>VLOOKUP(B548,Nuclides!A:C,3,FALSE)</f>
        <v>56</v>
      </c>
      <c r="O548" s="1">
        <v>52137</v>
      </c>
      <c r="P548" s="1">
        <v>1.8727300000000001E-6</v>
      </c>
      <c r="Q548" t="s">
        <v>1486</v>
      </c>
      <c r="R548">
        <v>85</v>
      </c>
      <c r="S548">
        <v>52</v>
      </c>
      <c r="T548">
        <f>VLOOKUP(O548,Nuclides!A:D,4,FALSE)</f>
        <v>2.4900000000000002</v>
      </c>
    </row>
    <row r="549" spans="2:20" x14ac:dyDescent="0.2">
      <c r="B549" s="8">
        <v>56147</v>
      </c>
      <c r="C549" s="9">
        <v>1.22515E-5</v>
      </c>
      <c r="D549" s="8" t="s">
        <v>1643</v>
      </c>
      <c r="E549" s="1">
        <v>0.89400000000000002</v>
      </c>
      <c r="F549" s="1">
        <f t="shared" si="24"/>
        <v>0.77533241673371955</v>
      </c>
      <c r="G549" s="1">
        <f t="shared" si="25"/>
        <v>82481113467.892609</v>
      </c>
      <c r="H549" s="1">
        <f t="shared" si="26"/>
        <v>0</v>
      </c>
      <c r="K549">
        <f>VLOOKUP(B549,Nuclides!A:C,2,FALSE)</f>
        <v>91</v>
      </c>
      <c r="L549">
        <f>VLOOKUP(B549,Nuclides!A:C,3,FALSE)</f>
        <v>56</v>
      </c>
      <c r="O549" s="1">
        <v>52138</v>
      </c>
      <c r="P549" s="1">
        <v>9.1075000000000003E-7</v>
      </c>
      <c r="Q549" t="s">
        <v>1487</v>
      </c>
      <c r="R549">
        <v>86</v>
      </c>
      <c r="S549">
        <v>52</v>
      </c>
      <c r="T549">
        <f>VLOOKUP(O549,Nuclides!A:D,4,FALSE)</f>
        <v>1.4</v>
      </c>
    </row>
    <row r="550" spans="2:20" x14ac:dyDescent="0.2">
      <c r="B550" s="8">
        <v>56148</v>
      </c>
      <c r="C550" s="9">
        <v>4.9977499999999997E-6</v>
      </c>
      <c r="D550" s="8" t="s">
        <v>1644</v>
      </c>
      <c r="E550" s="1">
        <v>0.61199999999999999</v>
      </c>
      <c r="F550" s="1">
        <f t="shared" si="24"/>
        <v>1.1325934322874924</v>
      </c>
      <c r="G550" s="1">
        <f t="shared" si="25"/>
        <v>42275900878.210495</v>
      </c>
      <c r="H550" s="1">
        <f t="shared" si="26"/>
        <v>0</v>
      </c>
      <c r="K550">
        <f>VLOOKUP(B550,Nuclides!A:C,2,FALSE)</f>
        <v>92</v>
      </c>
      <c r="L550">
        <f>VLOOKUP(B550,Nuclides!A:C,3,FALSE)</f>
        <v>56</v>
      </c>
      <c r="O550" s="1">
        <v>53110</v>
      </c>
      <c r="P550" s="1">
        <v>2.7919999999999998E-10</v>
      </c>
      <c r="Q550" t="s">
        <v>1494</v>
      </c>
      <c r="R550">
        <v>57</v>
      </c>
      <c r="S550">
        <v>53</v>
      </c>
      <c r="T550">
        <f>VLOOKUP(O550,Nuclides!A:D,4,FALSE)</f>
        <v>0.65</v>
      </c>
    </row>
    <row r="551" spans="2:20" x14ac:dyDescent="0.2">
      <c r="B551" s="8">
        <v>57123</v>
      </c>
      <c r="C551" s="9">
        <v>1.16559E-6</v>
      </c>
      <c r="D551" s="8" t="s">
        <v>1653</v>
      </c>
      <c r="E551" s="1">
        <v>17</v>
      </c>
      <c r="F551" s="1">
        <f t="shared" si="24"/>
        <v>4.0773363562349722E-2</v>
      </c>
      <c r="G551" s="1">
        <f t="shared" si="25"/>
        <v>581183394.71614122</v>
      </c>
      <c r="H551" s="1">
        <f t="shared" si="26"/>
        <v>0</v>
      </c>
      <c r="K551">
        <f>VLOOKUP(B551,Nuclides!A:C,2,FALSE)</f>
        <v>66</v>
      </c>
      <c r="L551">
        <f>VLOOKUP(B551,Nuclides!A:C,3,FALSE)</f>
        <v>57</v>
      </c>
      <c r="O551" s="1">
        <v>53111</v>
      </c>
      <c r="P551" s="1">
        <v>2.25733E-7</v>
      </c>
      <c r="Q551" t="s">
        <v>1495</v>
      </c>
      <c r="R551">
        <v>58</v>
      </c>
      <c r="S551">
        <v>53</v>
      </c>
      <c r="T551">
        <f>VLOOKUP(O551,Nuclides!A:D,4,FALSE)</f>
        <v>2.5</v>
      </c>
    </row>
    <row r="552" spans="2:20" x14ac:dyDescent="0.2">
      <c r="B552" s="8">
        <v>57124</v>
      </c>
      <c r="C552" s="9">
        <v>2.5239699999999998E-7</v>
      </c>
      <c r="D552" s="8" t="s">
        <v>1654</v>
      </c>
      <c r="E552" s="1">
        <v>29.21</v>
      </c>
      <c r="F552" s="1">
        <f t="shared" si="24"/>
        <v>2.3729790501881044E-2</v>
      </c>
      <c r="G552" s="1">
        <f t="shared" si="25"/>
        <v>73866923.111358866</v>
      </c>
      <c r="H552" s="1">
        <f t="shared" si="26"/>
        <v>0</v>
      </c>
      <c r="K552">
        <f>VLOOKUP(B552,Nuclides!A:C,2,FALSE)</f>
        <v>67</v>
      </c>
      <c r="L552">
        <f>VLOOKUP(B552,Nuclides!A:C,3,FALSE)</f>
        <v>57</v>
      </c>
      <c r="O552" s="1">
        <v>53112</v>
      </c>
      <c r="P552" s="1">
        <v>3.4551000000000003E-8</v>
      </c>
      <c r="Q552" t="s">
        <v>1496</v>
      </c>
      <c r="R552">
        <v>59</v>
      </c>
      <c r="S552">
        <v>53</v>
      </c>
      <c r="T552">
        <f>VLOOKUP(O552,Nuclides!A:D,4,FALSE)</f>
        <v>3.34</v>
      </c>
    </row>
    <row r="553" spans="2:20" x14ac:dyDescent="0.2">
      <c r="B553" s="8">
        <v>57125</v>
      </c>
      <c r="C553" s="9">
        <v>2.7361599999999999E-8</v>
      </c>
      <c r="D553" s="8" t="s">
        <v>1655</v>
      </c>
      <c r="E553" s="1">
        <v>64.8</v>
      </c>
      <c r="F553" s="1">
        <f t="shared" si="24"/>
        <v>1.0696715749381872E-2</v>
      </c>
      <c r="G553" s="1">
        <f t="shared" si="25"/>
        <v>3633170.9946145164</v>
      </c>
      <c r="H553" s="1">
        <f t="shared" si="26"/>
        <v>0</v>
      </c>
      <c r="K553">
        <f>VLOOKUP(B553,Nuclides!A:C,2,FALSE)</f>
        <v>68</v>
      </c>
      <c r="L553">
        <f>VLOOKUP(B553,Nuclides!A:C,3,FALSE)</f>
        <v>57</v>
      </c>
      <c r="O553" s="1">
        <v>53113</v>
      </c>
      <c r="P553" s="1">
        <v>1.4937200000000001E-8</v>
      </c>
      <c r="Q553" t="s">
        <v>1497</v>
      </c>
      <c r="R553">
        <v>60</v>
      </c>
      <c r="S553">
        <v>53</v>
      </c>
      <c r="T553">
        <f>VLOOKUP(O553,Nuclides!A:D,4,FALSE)</f>
        <v>6.6</v>
      </c>
    </row>
    <row r="554" spans="2:20" x14ac:dyDescent="0.2">
      <c r="B554" s="8">
        <v>57126</v>
      </c>
      <c r="C554" s="9">
        <v>3.3503999999999999E-9</v>
      </c>
      <c r="D554" s="8" t="s">
        <v>1656</v>
      </c>
      <c r="E554" s="1">
        <v>54</v>
      </c>
      <c r="F554" s="1">
        <f t="shared" si="24"/>
        <v>1.2836058899258247E-2</v>
      </c>
      <c r="G554" s="1">
        <f t="shared" si="25"/>
        <v>533284.07301447832</v>
      </c>
      <c r="H554" s="1">
        <f t="shared" si="26"/>
        <v>0</v>
      </c>
      <c r="K554">
        <f>VLOOKUP(B554,Nuclides!A:C,2,FALSE)</f>
        <v>69</v>
      </c>
      <c r="L554">
        <f>VLOOKUP(B554,Nuclides!A:C,3,FALSE)</f>
        <v>57</v>
      </c>
      <c r="O554" s="1">
        <v>53114</v>
      </c>
      <c r="P554" s="1">
        <v>7.6779999999999997E-10</v>
      </c>
      <c r="Q554" t="s">
        <v>1498</v>
      </c>
      <c r="R554">
        <v>61</v>
      </c>
      <c r="S554">
        <v>53</v>
      </c>
      <c r="T554">
        <f>VLOOKUP(O554,Nuclides!A:D,4,FALSE)</f>
        <v>2.1</v>
      </c>
    </row>
    <row r="555" spans="2:20" x14ac:dyDescent="0.2">
      <c r="B555" s="8">
        <v>57127</v>
      </c>
      <c r="C555" s="9">
        <v>1.3959999999999999E-10</v>
      </c>
      <c r="D555" s="8" t="s">
        <v>1657</v>
      </c>
      <c r="E555" s="1">
        <v>306</v>
      </c>
      <c r="F555" s="1">
        <f t="shared" si="24"/>
        <v>2.2651868645749847E-3</v>
      </c>
      <c r="G555" s="1">
        <f t="shared" si="25"/>
        <v>3941.9603530113568</v>
      </c>
      <c r="H555" s="1">
        <f t="shared" si="26"/>
        <v>0</v>
      </c>
      <c r="K555">
        <f>VLOOKUP(B555,Nuclides!A:C,2,FALSE)</f>
        <v>70</v>
      </c>
      <c r="L555">
        <f>VLOOKUP(B555,Nuclides!A:C,3,FALSE)</f>
        <v>57</v>
      </c>
      <c r="O555" s="1">
        <v>53115</v>
      </c>
      <c r="P555" s="1">
        <v>3.4899999999999998E-10</v>
      </c>
      <c r="Q555" t="s">
        <v>1499</v>
      </c>
      <c r="R555">
        <v>62</v>
      </c>
      <c r="S555">
        <v>53</v>
      </c>
      <c r="T555">
        <f>VLOOKUP(O555,Nuclides!A:D,4,FALSE)</f>
        <v>78</v>
      </c>
    </row>
    <row r="556" spans="2:20" x14ac:dyDescent="0.2">
      <c r="B556" s="8">
        <v>57136</v>
      </c>
      <c r="C556" s="9">
        <v>2.7919999999999998E-10</v>
      </c>
      <c r="D556" s="8" t="s">
        <v>1666</v>
      </c>
      <c r="E556" s="1">
        <v>592.19999999999902</v>
      </c>
      <c r="F556" s="1">
        <f t="shared" si="24"/>
        <v>1.1704612978047052E-3</v>
      </c>
      <c r="G556" s="1">
        <f t="shared" si="25"/>
        <v>4075.9882148884808</v>
      </c>
      <c r="H556" s="1">
        <f t="shared" si="26"/>
        <v>0</v>
      </c>
      <c r="K556">
        <f>VLOOKUP(B556,Nuclides!A:C,2,FALSE)</f>
        <v>79</v>
      </c>
      <c r="L556">
        <f>VLOOKUP(B556,Nuclides!A:C,3,FALSE)</f>
        <v>57</v>
      </c>
      <c r="O556" s="1">
        <v>53116</v>
      </c>
      <c r="P556" s="1">
        <v>6.9799999999999994E-11</v>
      </c>
      <c r="Q556" t="s">
        <v>1500</v>
      </c>
      <c r="R556">
        <v>63</v>
      </c>
      <c r="S556">
        <v>53</v>
      </c>
      <c r="T556">
        <f>VLOOKUP(O556,Nuclides!A:D,4,FALSE)</f>
        <v>2.91</v>
      </c>
    </row>
    <row r="557" spans="2:20" x14ac:dyDescent="0.2">
      <c r="B557" s="8">
        <v>57137</v>
      </c>
      <c r="C557" s="9">
        <v>1.5355999999999999E-9</v>
      </c>
      <c r="D557" s="8" t="s">
        <v>1667</v>
      </c>
      <c r="E557" s="1">
        <v>1893456000000</v>
      </c>
      <c r="F557" s="1">
        <f t="shared" si="24"/>
        <v>3.6607514542716879E-13</v>
      </c>
      <c r="G557" s="1">
        <f t="shared" si="25"/>
        <v>7.0149061599522611E-6</v>
      </c>
      <c r="H557" s="1">
        <f t="shared" si="26"/>
        <v>7.0148251765143709E-6</v>
      </c>
      <c r="K557">
        <f>VLOOKUP(B557,Nuclides!A:C,2,FALSE)</f>
        <v>80</v>
      </c>
      <c r="L557">
        <f>VLOOKUP(B557,Nuclides!A:C,3,FALSE)</f>
        <v>57</v>
      </c>
      <c r="O557" s="1">
        <v>53125</v>
      </c>
      <c r="P557" s="1">
        <v>1.3959999999999999E-10</v>
      </c>
      <c r="Q557" t="s">
        <v>1509</v>
      </c>
      <c r="R557">
        <v>72</v>
      </c>
      <c r="S557">
        <v>53</v>
      </c>
      <c r="T557">
        <f>VLOOKUP(O557,Nuclides!A:D,4,FALSE)</f>
        <v>5132764.8</v>
      </c>
    </row>
    <row r="558" spans="2:20" x14ac:dyDescent="0.2">
      <c r="B558" s="8">
        <v>57138</v>
      </c>
      <c r="C558" s="9">
        <v>9.9814000000000003E-9</v>
      </c>
      <c r="D558" s="8" t="s">
        <v>1668</v>
      </c>
      <c r="E558" s="1">
        <v>3.2188752E+18</v>
      </c>
      <c r="F558" s="1">
        <f t="shared" si="24"/>
        <v>2.1533832083951104E-19</v>
      </c>
      <c r="G558" s="1">
        <f t="shared" si="25"/>
        <v>0</v>
      </c>
      <c r="H558" s="1">
        <f t="shared" si="26"/>
        <v>0</v>
      </c>
      <c r="K558">
        <f>VLOOKUP(B558,Nuclides!A:C,2,FALSE)</f>
        <v>81</v>
      </c>
      <c r="L558">
        <f>VLOOKUP(B558,Nuclides!A:C,3,FALSE)</f>
        <v>57</v>
      </c>
      <c r="O558" s="1">
        <v>53126</v>
      </c>
      <c r="P558" s="1">
        <v>2.7919999999999998E-10</v>
      </c>
      <c r="Q558" t="s">
        <v>1510</v>
      </c>
      <c r="R558">
        <v>73</v>
      </c>
      <c r="S558">
        <v>53</v>
      </c>
      <c r="T558">
        <f>VLOOKUP(O558,Nuclides!A:D,4,FALSE)</f>
        <v>1117152</v>
      </c>
    </row>
    <row r="559" spans="2:20" x14ac:dyDescent="0.2">
      <c r="B559" s="8">
        <v>57140</v>
      </c>
      <c r="C559" s="9">
        <v>2.2007899999999999E-7</v>
      </c>
      <c r="D559" s="8" t="s">
        <v>1670</v>
      </c>
      <c r="E559" s="1">
        <v>145026.72</v>
      </c>
      <c r="F559" s="1">
        <f t="shared" si="24"/>
        <v>4.77944464688952E-6</v>
      </c>
      <c r="G559" s="1">
        <f t="shared" si="25"/>
        <v>13127.124002492119</v>
      </c>
      <c r="H559" s="1">
        <f t="shared" si="26"/>
        <v>4.5637528772786337E-62</v>
      </c>
      <c r="K559">
        <f>VLOOKUP(B559,Nuclides!A:C,2,FALSE)</f>
        <v>83</v>
      </c>
      <c r="L559">
        <f>VLOOKUP(B559,Nuclides!A:C,3,FALSE)</f>
        <v>57</v>
      </c>
      <c r="O559" s="1">
        <v>53127</v>
      </c>
      <c r="P559" s="1">
        <v>4.8859999999999999E-9</v>
      </c>
      <c r="Q559" t="s">
        <v>1511</v>
      </c>
      <c r="R559">
        <v>74</v>
      </c>
      <c r="S559">
        <v>53</v>
      </c>
      <c r="T559" t="str">
        <f>VLOOKUP(O559,Nuclides!A:D,4,FALSE)</f>
        <v>STABLE</v>
      </c>
    </row>
    <row r="560" spans="2:20" x14ac:dyDescent="0.2">
      <c r="B560" s="8">
        <v>57141</v>
      </c>
      <c r="C560" s="9">
        <v>8.3725100000000004E-7</v>
      </c>
      <c r="D560" s="8" t="s">
        <v>1671</v>
      </c>
      <c r="E560" s="1">
        <v>14112</v>
      </c>
      <c r="F560" s="1">
        <f t="shared" si="24"/>
        <v>4.9117572318590229E-5</v>
      </c>
      <c r="G560" s="1">
        <f t="shared" si="25"/>
        <v>513211.62807805429</v>
      </c>
      <c r="H560" s="1">
        <f t="shared" si="26"/>
        <v>0</v>
      </c>
      <c r="K560">
        <f>VLOOKUP(B560,Nuclides!A:C,2,FALSE)</f>
        <v>84</v>
      </c>
      <c r="L560">
        <f>VLOOKUP(B560,Nuclides!A:C,3,FALSE)</f>
        <v>57</v>
      </c>
      <c r="O560" s="1">
        <v>53128</v>
      </c>
      <c r="P560" s="1">
        <v>2.6105199999999999E-8</v>
      </c>
      <c r="Q560" t="s">
        <v>1512</v>
      </c>
      <c r="R560">
        <v>75</v>
      </c>
      <c r="S560">
        <v>53</v>
      </c>
      <c r="T560">
        <f>VLOOKUP(O560,Nuclides!A:D,4,FALSE)</f>
        <v>1499.3999999999901</v>
      </c>
    </row>
    <row r="561" spans="2:20" x14ac:dyDescent="0.2">
      <c r="B561" s="8">
        <v>57142</v>
      </c>
      <c r="C561" s="9">
        <v>2.1142399999999999E-6</v>
      </c>
      <c r="D561" s="8" t="s">
        <v>1672</v>
      </c>
      <c r="E561" s="1">
        <v>5466</v>
      </c>
      <c r="F561" s="1">
        <f t="shared" si="24"/>
        <v>1.2681068067324283E-4</v>
      </c>
      <c r="G561" s="1">
        <f t="shared" si="25"/>
        <v>3345778.3598639625</v>
      </c>
      <c r="H561" s="1">
        <f t="shared" si="26"/>
        <v>0</v>
      </c>
      <c r="K561">
        <f>VLOOKUP(B561,Nuclides!A:C,2,FALSE)</f>
        <v>85</v>
      </c>
      <c r="L561">
        <f>VLOOKUP(B561,Nuclides!A:C,3,FALSE)</f>
        <v>57</v>
      </c>
      <c r="O561" s="1">
        <v>53129</v>
      </c>
      <c r="P561" s="1">
        <v>2.12681E-7</v>
      </c>
      <c r="Q561" t="s">
        <v>1513</v>
      </c>
      <c r="R561">
        <v>76</v>
      </c>
      <c r="S561">
        <v>53</v>
      </c>
      <c r="T561">
        <f>VLOOKUP(O561,Nuclides!A:D,4,FALSE)</f>
        <v>495454320000000</v>
      </c>
    </row>
    <row r="562" spans="2:20" x14ac:dyDescent="0.2">
      <c r="B562" s="8">
        <v>57143</v>
      </c>
      <c r="C562" s="9">
        <v>6.0190600000000003E-6</v>
      </c>
      <c r="D562" s="8" t="s">
        <v>1673</v>
      </c>
      <c r="E562" s="1">
        <v>852</v>
      </c>
      <c r="F562" s="1">
        <f t="shared" si="24"/>
        <v>8.1355302882622684E-4</v>
      </c>
      <c r="G562" s="1">
        <f t="shared" si="25"/>
        <v>61087517.34450604</v>
      </c>
      <c r="H562" s="1">
        <f t="shared" si="26"/>
        <v>0</v>
      </c>
      <c r="K562">
        <f>VLOOKUP(B562,Nuclides!A:C,2,FALSE)</f>
        <v>86</v>
      </c>
      <c r="L562">
        <f>VLOOKUP(B562,Nuclides!A:C,3,FALSE)</f>
        <v>57</v>
      </c>
      <c r="O562" s="1">
        <v>53130</v>
      </c>
      <c r="P562" s="1">
        <v>7.3073599999999999E-7</v>
      </c>
      <c r="Q562" t="s">
        <v>1514</v>
      </c>
      <c r="R562">
        <v>77</v>
      </c>
      <c r="S562">
        <v>53</v>
      </c>
      <c r="T562">
        <f>VLOOKUP(O562,Nuclides!A:D,4,FALSE)</f>
        <v>44496</v>
      </c>
    </row>
    <row r="563" spans="2:20" x14ac:dyDescent="0.2">
      <c r="B563" s="8">
        <v>57144</v>
      </c>
      <c r="C563" s="9">
        <v>1.06554E-5</v>
      </c>
      <c r="D563" s="8" t="s">
        <v>1674</v>
      </c>
      <c r="E563" s="1">
        <v>40.799999999999997</v>
      </c>
      <c r="F563" s="1">
        <f t="shared" si="24"/>
        <v>1.6988901484312386E-2</v>
      </c>
      <c r="G563" s="1">
        <f t="shared" si="25"/>
        <v>2240091564.4851089</v>
      </c>
      <c r="H563" s="1">
        <f t="shared" si="26"/>
        <v>0</v>
      </c>
      <c r="K563">
        <f>VLOOKUP(B563,Nuclides!A:C,2,FALSE)</f>
        <v>87</v>
      </c>
      <c r="L563">
        <f>VLOOKUP(B563,Nuclides!A:C,3,FALSE)</f>
        <v>57</v>
      </c>
      <c r="O563" s="1">
        <v>53131</v>
      </c>
      <c r="P563" s="1">
        <v>3.51171E-6</v>
      </c>
      <c r="Q563" t="s">
        <v>1515</v>
      </c>
      <c r="R563">
        <v>78</v>
      </c>
      <c r="S563">
        <v>53</v>
      </c>
      <c r="T563">
        <f>VLOOKUP(O563,Nuclides!A:D,4,FALSE)</f>
        <v>693377.28</v>
      </c>
    </row>
    <row r="564" spans="2:20" x14ac:dyDescent="0.2">
      <c r="B564" s="8">
        <v>57145</v>
      </c>
      <c r="C564" s="9">
        <v>1.9298899999999999E-5</v>
      </c>
      <c r="D564" s="8" t="s">
        <v>1675</v>
      </c>
      <c r="E564" s="1">
        <v>24.8</v>
      </c>
      <c r="F564" s="1">
        <f t="shared" si="24"/>
        <v>2.7949483087094568E-2</v>
      </c>
      <c r="G564" s="1">
        <f t="shared" si="25"/>
        <v>6638438006.3090439</v>
      </c>
      <c r="H564" s="1">
        <f t="shared" si="26"/>
        <v>0</v>
      </c>
      <c r="K564">
        <f>VLOOKUP(B564,Nuclides!A:C,2,FALSE)</f>
        <v>88</v>
      </c>
      <c r="L564">
        <f>VLOOKUP(B564,Nuclides!A:C,3,FALSE)</f>
        <v>57</v>
      </c>
      <c r="O564" s="1">
        <v>53132</v>
      </c>
      <c r="P564" s="1">
        <v>7.0228599999999999E-6</v>
      </c>
      <c r="Q564" t="s">
        <v>1516</v>
      </c>
      <c r="R564">
        <v>79</v>
      </c>
      <c r="S564">
        <v>53</v>
      </c>
      <c r="T564">
        <f>VLOOKUP(O564,Nuclides!A:D,4,FALSE)</f>
        <v>8262</v>
      </c>
    </row>
    <row r="565" spans="2:20" x14ac:dyDescent="0.2">
      <c r="B565" s="8">
        <v>57146</v>
      </c>
      <c r="C565" s="9">
        <v>1.9771599999999999E-5</v>
      </c>
      <c r="D565" s="8" t="s">
        <v>1676</v>
      </c>
      <c r="E565" s="1">
        <v>6.27</v>
      </c>
      <c r="F565" s="1">
        <f t="shared" si="24"/>
        <v>0.11054978956298969</v>
      </c>
      <c r="G565" s="1">
        <f t="shared" si="25"/>
        <v>25824377875.150082</v>
      </c>
      <c r="H565" s="1">
        <f t="shared" si="26"/>
        <v>0</v>
      </c>
      <c r="K565">
        <f>VLOOKUP(B565,Nuclides!A:C,2,FALSE)</f>
        <v>89</v>
      </c>
      <c r="L565">
        <f>VLOOKUP(B565,Nuclides!A:C,3,FALSE)</f>
        <v>57</v>
      </c>
      <c r="O565" s="1">
        <v>53133</v>
      </c>
      <c r="P565" s="1">
        <v>1.8415099999999999E-5</v>
      </c>
      <c r="Q565" t="s">
        <v>1517</v>
      </c>
      <c r="R565">
        <v>80</v>
      </c>
      <c r="S565">
        <v>53</v>
      </c>
      <c r="T565">
        <f>VLOOKUP(O565,Nuclides!A:D,4,FALSE)</f>
        <v>74988</v>
      </c>
    </row>
    <row r="566" spans="2:20" x14ac:dyDescent="0.2">
      <c r="B566" s="8">
        <v>57147</v>
      </c>
      <c r="C566" s="9">
        <v>2.1732299999999999E-5</v>
      </c>
      <c r="D566" s="8" t="s">
        <v>1677</v>
      </c>
      <c r="E566" s="1">
        <v>4.0599999999999996</v>
      </c>
      <c r="F566" s="1">
        <f t="shared" si="24"/>
        <v>0.17072590654185846</v>
      </c>
      <c r="G566" s="1">
        <f t="shared" si="25"/>
        <v>42567128588.715073</v>
      </c>
      <c r="H566" s="1">
        <f t="shared" si="26"/>
        <v>0</v>
      </c>
      <c r="K566">
        <f>VLOOKUP(B566,Nuclides!A:C,2,FALSE)</f>
        <v>90</v>
      </c>
      <c r="L566">
        <f>VLOOKUP(B566,Nuclides!A:C,3,FALSE)</f>
        <v>57</v>
      </c>
      <c r="O566" s="1">
        <v>53134</v>
      </c>
      <c r="P566" s="1">
        <v>2.4316900000000001E-5</v>
      </c>
      <c r="Q566" t="s">
        <v>1518</v>
      </c>
      <c r="R566">
        <v>81</v>
      </c>
      <c r="S566">
        <v>53</v>
      </c>
      <c r="T566">
        <f>VLOOKUP(O566,Nuclides!A:D,4,FALSE)</f>
        <v>3150</v>
      </c>
    </row>
    <row r="567" spans="2:20" x14ac:dyDescent="0.2">
      <c r="B567" s="8">
        <v>57148</v>
      </c>
      <c r="C567" s="9">
        <v>1.40988E-5</v>
      </c>
      <c r="D567" s="8" t="s">
        <v>1678</v>
      </c>
      <c r="E567" s="1">
        <v>1.26</v>
      </c>
      <c r="F567" s="1">
        <f t="shared" si="24"/>
        <v>0.55011680996821055</v>
      </c>
      <c r="G567" s="1">
        <f t="shared" si="25"/>
        <v>74448817562.971451</v>
      </c>
      <c r="H567" s="1">
        <f t="shared" si="26"/>
        <v>0</v>
      </c>
      <c r="K567">
        <f>VLOOKUP(B567,Nuclides!A:C,2,FALSE)</f>
        <v>91</v>
      </c>
      <c r="L567">
        <f>VLOOKUP(B567,Nuclides!A:C,3,FALSE)</f>
        <v>57</v>
      </c>
      <c r="O567" s="1">
        <v>53135</v>
      </c>
      <c r="P567" s="1">
        <v>3.85706E-5</v>
      </c>
      <c r="Q567" t="s">
        <v>1519</v>
      </c>
      <c r="R567">
        <v>82</v>
      </c>
      <c r="S567">
        <v>53</v>
      </c>
      <c r="T567">
        <f>VLOOKUP(O567,Nuclides!A:D,4,FALSE)</f>
        <v>23688</v>
      </c>
    </row>
    <row r="568" spans="2:20" x14ac:dyDescent="0.2">
      <c r="B568" s="8">
        <v>57149</v>
      </c>
      <c r="C568" s="9">
        <v>8.7177400000000007E-6</v>
      </c>
      <c r="D568" s="8" t="s">
        <v>1679</v>
      </c>
      <c r="E568" s="1">
        <v>1.05</v>
      </c>
      <c r="F568" s="1">
        <f t="shared" si="24"/>
        <v>0.6601401719618526</v>
      </c>
      <c r="G568" s="1">
        <f t="shared" si="25"/>
        <v>52573197910.074287</v>
      </c>
      <c r="H568" s="1">
        <f t="shared" si="26"/>
        <v>0</v>
      </c>
      <c r="K568">
        <f>VLOOKUP(B568,Nuclides!A:C,2,FALSE)</f>
        <v>92</v>
      </c>
      <c r="L568">
        <f>VLOOKUP(B568,Nuclides!A:C,3,FALSE)</f>
        <v>57</v>
      </c>
      <c r="O568" s="1">
        <v>53136</v>
      </c>
      <c r="P568" s="1">
        <v>1.92375E-5</v>
      </c>
      <c r="Q568" t="s">
        <v>1520</v>
      </c>
      <c r="R568">
        <v>83</v>
      </c>
      <c r="S568">
        <v>53</v>
      </c>
      <c r="T568">
        <f>VLOOKUP(O568,Nuclides!A:D,4,FALSE)</f>
        <v>83.4</v>
      </c>
    </row>
    <row r="569" spans="2:20" x14ac:dyDescent="0.2">
      <c r="B569" s="8">
        <v>58124</v>
      </c>
      <c r="C569" s="9">
        <v>3.02562E-6</v>
      </c>
      <c r="D569" s="8" t="s">
        <v>1686</v>
      </c>
      <c r="E569" s="1">
        <v>6</v>
      </c>
      <c r="F569" s="1">
        <f t="shared" si="24"/>
        <v>0.11552453009332421</v>
      </c>
      <c r="G569" s="1">
        <f t="shared" si="25"/>
        <v>4119635774.844429</v>
      </c>
      <c r="H569" s="1">
        <f t="shared" si="26"/>
        <v>0</v>
      </c>
      <c r="K569">
        <f>VLOOKUP(B569,Nuclides!A:C,2,FALSE)</f>
        <v>66</v>
      </c>
      <c r="L569">
        <f>VLOOKUP(B569,Nuclides!A:C,3,FALSE)</f>
        <v>58</v>
      </c>
      <c r="O569" s="1">
        <v>53137</v>
      </c>
      <c r="P569" s="1">
        <v>1.8481499999999999E-5</v>
      </c>
      <c r="Q569" t="s">
        <v>1521</v>
      </c>
      <c r="R569">
        <v>84</v>
      </c>
      <c r="S569">
        <v>53</v>
      </c>
      <c r="T569">
        <f>VLOOKUP(O569,Nuclides!A:D,4,FALSE)</f>
        <v>24.5</v>
      </c>
    </row>
    <row r="570" spans="2:20" x14ac:dyDescent="0.2">
      <c r="B570" s="8">
        <v>58125</v>
      </c>
      <c r="C570" s="9">
        <v>1.04623E-6</v>
      </c>
      <c r="D570" s="8" t="s">
        <v>1687</v>
      </c>
      <c r="E570" s="1">
        <v>9.6999999999999993</v>
      </c>
      <c r="F570" s="1">
        <f t="shared" si="24"/>
        <v>7.1458472222674776E-2</v>
      </c>
      <c r="G570" s="1">
        <f t="shared" si="25"/>
        <v>900473359.86979556</v>
      </c>
      <c r="H570" s="1">
        <f t="shared" si="26"/>
        <v>0</v>
      </c>
      <c r="K570">
        <f>VLOOKUP(B570,Nuclides!A:C,2,FALSE)</f>
        <v>67</v>
      </c>
      <c r="L570">
        <f>VLOOKUP(B570,Nuclides!A:C,3,FALSE)</f>
        <v>58</v>
      </c>
      <c r="O570" s="1">
        <v>53138</v>
      </c>
      <c r="P570" s="1">
        <v>9.4235599999999996E-6</v>
      </c>
      <c r="Q570" t="s">
        <v>1522</v>
      </c>
      <c r="R570">
        <v>85</v>
      </c>
      <c r="S570">
        <v>53</v>
      </c>
      <c r="T570">
        <f>VLOOKUP(O570,Nuclides!A:D,4,FALSE)</f>
        <v>6.23</v>
      </c>
    </row>
    <row r="571" spans="2:20" x14ac:dyDescent="0.2">
      <c r="B571" s="8">
        <v>58126</v>
      </c>
      <c r="C571" s="9">
        <v>1.83155E-7</v>
      </c>
      <c r="D571" s="8" t="s">
        <v>1688</v>
      </c>
      <c r="E571" s="1">
        <v>51</v>
      </c>
      <c r="F571" s="1">
        <f t="shared" si="24"/>
        <v>1.3591121187449907E-2</v>
      </c>
      <c r="G571" s="1">
        <f t="shared" si="25"/>
        <v>30856077.560065422</v>
      </c>
      <c r="H571" s="1">
        <f t="shared" si="26"/>
        <v>0</v>
      </c>
      <c r="K571">
        <f>VLOOKUP(B571,Nuclides!A:C,2,FALSE)</f>
        <v>68</v>
      </c>
      <c r="L571">
        <f>VLOOKUP(B571,Nuclides!A:C,3,FALSE)</f>
        <v>58</v>
      </c>
      <c r="O571" s="1">
        <v>53139</v>
      </c>
      <c r="P571" s="1">
        <v>5.6522599999999998E-6</v>
      </c>
      <c r="Q571" t="s">
        <v>1523</v>
      </c>
      <c r="R571">
        <v>86</v>
      </c>
      <c r="S571">
        <v>53</v>
      </c>
      <c r="T571">
        <f>VLOOKUP(O571,Nuclides!A:D,4,FALSE)</f>
        <v>2.2799999999999998</v>
      </c>
    </row>
    <row r="572" spans="2:20" x14ac:dyDescent="0.2">
      <c r="B572" s="8">
        <v>58127</v>
      </c>
      <c r="C572" s="9">
        <v>3.1689199999999998E-8</v>
      </c>
      <c r="D572" s="8" t="s">
        <v>1689</v>
      </c>
      <c r="E572" s="1">
        <v>34</v>
      </c>
      <c r="F572" s="1">
        <f t="shared" si="24"/>
        <v>2.0386681781174861E-2</v>
      </c>
      <c r="G572" s="1">
        <f t="shared" si="25"/>
        <v>7980921.03711865</v>
      </c>
      <c r="H572" s="1">
        <f t="shared" si="26"/>
        <v>0</v>
      </c>
      <c r="K572">
        <f>VLOOKUP(B572,Nuclides!A:C,2,FALSE)</f>
        <v>69</v>
      </c>
      <c r="L572">
        <f>VLOOKUP(B572,Nuclides!A:C,3,FALSE)</f>
        <v>58</v>
      </c>
      <c r="O572" s="1">
        <v>53140</v>
      </c>
      <c r="P572" s="1">
        <v>1.6166399999999999E-6</v>
      </c>
      <c r="Q572" t="s">
        <v>1524</v>
      </c>
      <c r="R572">
        <v>87</v>
      </c>
      <c r="S572">
        <v>53</v>
      </c>
      <c r="T572">
        <f>VLOOKUP(O572,Nuclides!A:D,4,FALSE)</f>
        <v>0.86</v>
      </c>
    </row>
    <row r="573" spans="2:20" x14ac:dyDescent="0.2">
      <c r="B573" s="8">
        <v>58128</v>
      </c>
      <c r="C573" s="9">
        <v>2.8618000000000002E-9</v>
      </c>
      <c r="D573" s="8" t="s">
        <v>1690</v>
      </c>
      <c r="E573" s="1">
        <v>235.8</v>
      </c>
      <c r="F573" s="1">
        <f t="shared" si="24"/>
        <v>2.9395554731125751E-3</v>
      </c>
      <c r="G573" s="1">
        <f t="shared" si="25"/>
        <v>104832.84329746682</v>
      </c>
      <c r="H573" s="1">
        <f t="shared" si="26"/>
        <v>0</v>
      </c>
      <c r="K573">
        <f>VLOOKUP(B573,Nuclides!A:C,2,FALSE)</f>
        <v>70</v>
      </c>
      <c r="L573">
        <f>VLOOKUP(B573,Nuclides!A:C,3,FALSE)</f>
        <v>58</v>
      </c>
      <c r="O573" s="1">
        <v>53141</v>
      </c>
      <c r="P573" s="1">
        <v>7.4895400000000005E-7</v>
      </c>
      <c r="Q573" t="s">
        <v>1525</v>
      </c>
      <c r="R573">
        <v>88</v>
      </c>
      <c r="S573">
        <v>53</v>
      </c>
      <c r="T573">
        <f>VLOOKUP(O573,Nuclides!A:D,4,FALSE)</f>
        <v>0.43</v>
      </c>
    </row>
    <row r="574" spans="2:20" x14ac:dyDescent="0.2">
      <c r="B574" s="8">
        <v>58129</v>
      </c>
      <c r="C574" s="9">
        <v>1.3959999999999999E-10</v>
      </c>
      <c r="D574" s="8" t="s">
        <v>1691</v>
      </c>
      <c r="E574" s="1">
        <v>210</v>
      </c>
      <c r="F574" s="1">
        <f t="shared" si="24"/>
        <v>3.3007008598092634E-3</v>
      </c>
      <c r="G574" s="1">
        <f t="shared" si="25"/>
        <v>5741.0275241292666</v>
      </c>
      <c r="H574" s="1">
        <f t="shared" si="26"/>
        <v>0</v>
      </c>
      <c r="K574">
        <f>VLOOKUP(B574,Nuclides!A:C,2,FALSE)</f>
        <v>71</v>
      </c>
      <c r="L574">
        <f>VLOOKUP(B574,Nuclides!A:C,3,FALSE)</f>
        <v>58</v>
      </c>
      <c r="O574" s="1">
        <v>53142</v>
      </c>
      <c r="P574" s="1">
        <v>3.6379800000000001E-7</v>
      </c>
      <c r="Q574" t="s">
        <v>1526</v>
      </c>
      <c r="R574">
        <v>89</v>
      </c>
      <c r="S574">
        <v>53</v>
      </c>
      <c r="T574">
        <f>VLOOKUP(O574,Nuclides!A:D,4,FALSE)</f>
        <v>0.222</v>
      </c>
    </row>
    <row r="575" spans="2:20" x14ac:dyDescent="0.2">
      <c r="B575" s="8">
        <v>58138</v>
      </c>
      <c r="C575" s="9">
        <v>6.9799999999999994E-11</v>
      </c>
      <c r="D575" s="8" t="s">
        <v>1700</v>
      </c>
      <c r="E575" s="1">
        <v>2.8401840000000003E+21</v>
      </c>
      <c r="F575" s="1">
        <f t="shared" si="24"/>
        <v>2.4405009695144583E-22</v>
      </c>
      <c r="G575" s="1">
        <f t="shared" si="25"/>
        <v>0</v>
      </c>
      <c r="H575" s="1">
        <f t="shared" si="26"/>
        <v>0</v>
      </c>
      <c r="K575">
        <f>VLOOKUP(B575,Nuclides!A:C,2,FALSE)</f>
        <v>80</v>
      </c>
      <c r="L575">
        <f>VLOOKUP(B575,Nuclides!A:C,3,FALSE)</f>
        <v>58</v>
      </c>
      <c r="O575" s="1">
        <v>54110</v>
      </c>
      <c r="P575" s="1">
        <v>1.47906E-7</v>
      </c>
      <c r="Q575" t="s">
        <v>1531</v>
      </c>
      <c r="R575">
        <v>56</v>
      </c>
      <c r="S575">
        <v>54</v>
      </c>
      <c r="T575">
        <f>VLOOKUP(O575,Nuclides!A:D,4,FALSE)</f>
        <v>9.2999999999999999E-2</v>
      </c>
    </row>
    <row r="576" spans="2:20" x14ac:dyDescent="0.2">
      <c r="B576" s="8">
        <v>58139</v>
      </c>
      <c r="C576" s="9">
        <v>6.9799999999999997E-10</v>
      </c>
      <c r="D576" s="8" t="s">
        <v>1701</v>
      </c>
      <c r="E576" s="1">
        <v>11892182.3999999</v>
      </c>
      <c r="F576" s="1">
        <f t="shared" si="24"/>
        <v>5.8285952674250198E-8</v>
      </c>
      <c r="G576" s="1">
        <f t="shared" si="25"/>
        <v>0.50773125020342036</v>
      </c>
      <c r="H576" s="1">
        <f t="shared" si="26"/>
        <v>8.0789456570370191E-2</v>
      </c>
      <c r="K576">
        <f>VLOOKUP(B576,Nuclides!A:C,2,FALSE)</f>
        <v>81</v>
      </c>
      <c r="L576">
        <f>VLOOKUP(B576,Nuclides!A:C,3,FALSE)</f>
        <v>58</v>
      </c>
      <c r="O576" s="1">
        <v>54111</v>
      </c>
      <c r="P576" s="1">
        <v>2.3103799999999999E-8</v>
      </c>
      <c r="Q576" t="s">
        <v>1532</v>
      </c>
      <c r="R576">
        <v>57</v>
      </c>
      <c r="S576">
        <v>54</v>
      </c>
      <c r="T576">
        <f>VLOOKUP(O576,Nuclides!A:D,4,FALSE)</f>
        <v>0.81</v>
      </c>
    </row>
    <row r="577" spans="2:20" x14ac:dyDescent="0.2">
      <c r="B577" s="8">
        <v>58141</v>
      </c>
      <c r="C577" s="9">
        <v>2.3313199999999999E-8</v>
      </c>
      <c r="D577" s="8" t="s">
        <v>1703</v>
      </c>
      <c r="E577" s="1">
        <v>2808950.4</v>
      </c>
      <c r="F577" s="1">
        <f t="shared" si="24"/>
        <v>2.4676376648015759E-7</v>
      </c>
      <c r="G577" s="1">
        <f t="shared" si="25"/>
        <v>71.795597079957119</v>
      </c>
      <c r="H577" s="1">
        <f t="shared" si="26"/>
        <v>2.995320382911025E-2</v>
      </c>
      <c r="K577">
        <f>VLOOKUP(B577,Nuclides!A:C,2,FALSE)</f>
        <v>83</v>
      </c>
      <c r="L577">
        <f>VLOOKUP(B577,Nuclides!A:C,3,FALSE)</f>
        <v>58</v>
      </c>
      <c r="O577" s="1">
        <v>54112</v>
      </c>
      <c r="P577" s="1">
        <v>7.9572000000000006E-9</v>
      </c>
      <c r="Q577" t="s">
        <v>1533</v>
      </c>
      <c r="R577">
        <v>58</v>
      </c>
      <c r="S577">
        <v>54</v>
      </c>
      <c r="T577">
        <f>VLOOKUP(O577,Nuclides!A:D,4,FALSE)</f>
        <v>2.7</v>
      </c>
    </row>
    <row r="578" spans="2:20" x14ac:dyDescent="0.2">
      <c r="B578" s="8">
        <v>58142</v>
      </c>
      <c r="C578" s="9">
        <v>1.0742199999999999E-7</v>
      </c>
      <c r="D578" s="8" t="s">
        <v>1704</v>
      </c>
      <c r="E578" s="1">
        <v>1.57788E+24</v>
      </c>
      <c r="F578" s="1">
        <f t="shared" si="24"/>
        <v>4.3929017451260252E-25</v>
      </c>
      <c r="G578" s="1">
        <f t="shared" si="25"/>
        <v>0</v>
      </c>
      <c r="H578" s="1">
        <f t="shared" si="26"/>
        <v>0</v>
      </c>
      <c r="K578">
        <f>VLOOKUP(B578,Nuclides!A:C,2,FALSE)</f>
        <v>84</v>
      </c>
      <c r="L578">
        <f>VLOOKUP(B578,Nuclides!A:C,3,FALSE)</f>
        <v>58</v>
      </c>
      <c r="O578" s="1">
        <v>54113</v>
      </c>
      <c r="P578" s="1">
        <v>5.5839999999999995E-10</v>
      </c>
      <c r="Q578" t="s">
        <v>1534</v>
      </c>
      <c r="R578">
        <v>59</v>
      </c>
      <c r="S578">
        <v>54</v>
      </c>
      <c r="T578">
        <f>VLOOKUP(O578,Nuclides!A:D,4,FALSE)</f>
        <v>2.74</v>
      </c>
    </row>
    <row r="579" spans="2:20" x14ac:dyDescent="0.2">
      <c r="B579" s="8">
        <v>58143</v>
      </c>
      <c r="C579" s="9">
        <v>3.0963299999999998E-7</v>
      </c>
      <c r="D579" s="8" t="s">
        <v>1705</v>
      </c>
      <c r="E579" s="1">
        <v>118940.4</v>
      </c>
      <c r="F579" s="1">
        <f t="shared" si="24"/>
        <v>5.8276849628885168E-6</v>
      </c>
      <c r="G579" s="1">
        <f t="shared" si="25"/>
        <v>22519.390236827716</v>
      </c>
      <c r="H579" s="1">
        <f t="shared" si="26"/>
        <v>3.4443185733658207E-76</v>
      </c>
      <c r="K579">
        <f>VLOOKUP(B579,Nuclides!A:C,2,FALSE)</f>
        <v>85</v>
      </c>
      <c r="L579">
        <f>VLOOKUP(B579,Nuclides!A:C,3,FALSE)</f>
        <v>58</v>
      </c>
      <c r="O579" s="1">
        <v>54114</v>
      </c>
      <c r="P579" s="1">
        <v>6.9799999999999994E-11</v>
      </c>
      <c r="Q579" t="s">
        <v>1535</v>
      </c>
      <c r="R579">
        <v>60</v>
      </c>
      <c r="S579">
        <v>54</v>
      </c>
      <c r="T579">
        <f>VLOOKUP(O579,Nuclides!A:D,4,FALSE)</f>
        <v>10</v>
      </c>
    </row>
    <row r="580" spans="2:20" x14ac:dyDescent="0.2">
      <c r="B580" s="8">
        <v>58144</v>
      </c>
      <c r="C580" s="9">
        <v>1.01657E-6</v>
      </c>
      <c r="D580" s="8" t="s">
        <v>1706</v>
      </c>
      <c r="E580" s="1">
        <v>24616224</v>
      </c>
      <c r="F580" s="1">
        <f t="shared" ref="F580:F643" si="27">LN(2)/E580</f>
        <v>2.8158144017536781E-8</v>
      </c>
      <c r="G580" s="1">
        <f t="shared" ref="G580:G643" si="28">2*6240000000000000*C580*(1-EXP(-F580))</f>
        <v>357.23655594361151</v>
      </c>
      <c r="H580" s="1">
        <f t="shared" ref="H580:H643" si="29">G580*EXP(-F580*365*24*3600)</f>
        <v>146.99564408965946</v>
      </c>
      <c r="K580">
        <f>VLOOKUP(B580,Nuclides!A:C,2,FALSE)</f>
        <v>86</v>
      </c>
      <c r="L580">
        <f>VLOOKUP(B580,Nuclides!A:C,3,FALSE)</f>
        <v>58</v>
      </c>
      <c r="O580" s="1">
        <v>54115</v>
      </c>
      <c r="P580" s="1">
        <v>1.3959999999999999E-10</v>
      </c>
      <c r="Q580" t="s">
        <v>1536</v>
      </c>
      <c r="R580">
        <v>61</v>
      </c>
      <c r="S580">
        <v>54</v>
      </c>
      <c r="T580">
        <f>VLOOKUP(O580,Nuclides!A:D,4,FALSE)</f>
        <v>18</v>
      </c>
    </row>
    <row r="581" spans="2:20" x14ac:dyDescent="0.2">
      <c r="B581" s="8">
        <v>58145</v>
      </c>
      <c r="C581" s="9">
        <v>2.3251800000000001E-6</v>
      </c>
      <c r="D581" s="8" t="s">
        <v>1707</v>
      </c>
      <c r="E581" s="1">
        <v>180.6</v>
      </c>
      <c r="F581" s="1">
        <f t="shared" si="27"/>
        <v>3.8380242555921666E-3</v>
      </c>
      <c r="G581" s="1">
        <f t="shared" si="28"/>
        <v>111159281.07747693</v>
      </c>
      <c r="H581" s="1">
        <f t="shared" si="29"/>
        <v>0</v>
      </c>
      <c r="K581">
        <f>VLOOKUP(B581,Nuclides!A:C,2,FALSE)</f>
        <v>87</v>
      </c>
      <c r="L581">
        <f>VLOOKUP(B581,Nuclides!A:C,3,FALSE)</f>
        <v>58</v>
      </c>
      <c r="O581" s="1">
        <v>54128</v>
      </c>
      <c r="P581" s="1">
        <v>6.9799999999999994E-11</v>
      </c>
      <c r="Q581" t="s">
        <v>1549</v>
      </c>
      <c r="R581">
        <v>74</v>
      </c>
      <c r="S581">
        <v>54</v>
      </c>
      <c r="T581" t="str">
        <f>VLOOKUP(O581,Nuclides!A:D,4,FALSE)</f>
        <v>STABLE</v>
      </c>
    </row>
    <row r="582" spans="2:20" x14ac:dyDescent="0.2">
      <c r="B582" s="8">
        <v>58146</v>
      </c>
      <c r="C582" s="9">
        <v>5.2133599999999997E-6</v>
      </c>
      <c r="D582" s="8" t="s">
        <v>1708</v>
      </c>
      <c r="E582" s="1">
        <v>809.4</v>
      </c>
      <c r="F582" s="1">
        <f t="shared" si="27"/>
        <v>8.5637160929076517E-4</v>
      </c>
      <c r="G582" s="1">
        <f t="shared" si="28"/>
        <v>55694026.397577628</v>
      </c>
      <c r="H582" s="1">
        <f t="shared" si="29"/>
        <v>0</v>
      </c>
      <c r="K582">
        <f>VLOOKUP(B582,Nuclides!A:C,2,FALSE)</f>
        <v>88</v>
      </c>
      <c r="L582">
        <f>VLOOKUP(B582,Nuclides!A:C,3,FALSE)</f>
        <v>58</v>
      </c>
      <c r="O582" s="1">
        <v>54129</v>
      </c>
      <c r="P582" s="1">
        <v>1.1167999999999999E-9</v>
      </c>
      <c r="Q582" t="s">
        <v>1550</v>
      </c>
      <c r="R582">
        <v>75</v>
      </c>
      <c r="S582">
        <v>54</v>
      </c>
      <c r="T582" t="str">
        <f>VLOOKUP(O582,Nuclides!A:D,4,FALSE)</f>
        <v>STABLE</v>
      </c>
    </row>
    <row r="583" spans="2:20" x14ac:dyDescent="0.2">
      <c r="B583" s="8">
        <v>58147</v>
      </c>
      <c r="C583" s="9">
        <v>8.1946600000000002E-6</v>
      </c>
      <c r="D583" s="8" t="s">
        <v>1709</v>
      </c>
      <c r="E583" s="1">
        <v>56.4</v>
      </c>
      <c r="F583" s="1">
        <f t="shared" si="27"/>
        <v>1.2289843626949385E-2</v>
      </c>
      <c r="G583" s="1">
        <f t="shared" si="28"/>
        <v>1249182550.7640126</v>
      </c>
      <c r="H583" s="1">
        <f t="shared" si="29"/>
        <v>0</v>
      </c>
      <c r="K583">
        <f>VLOOKUP(B583,Nuclides!A:C,2,FALSE)</f>
        <v>89</v>
      </c>
      <c r="L583">
        <f>VLOOKUP(B583,Nuclides!A:C,3,FALSE)</f>
        <v>58</v>
      </c>
      <c r="O583" s="1">
        <v>54130</v>
      </c>
      <c r="P583" s="1">
        <v>1.7100999999999999E-8</v>
      </c>
      <c r="Q583" t="s">
        <v>1551</v>
      </c>
      <c r="R583">
        <v>76</v>
      </c>
      <c r="S583">
        <v>54</v>
      </c>
      <c r="T583" t="str">
        <f>VLOOKUP(O583,Nuclides!A:D,4,FALSE)</f>
        <v>STABLE</v>
      </c>
    </row>
    <row r="584" spans="2:20" x14ac:dyDescent="0.2">
      <c r="B584" s="8">
        <v>58148</v>
      </c>
      <c r="C584" s="9">
        <v>1.21451E-5</v>
      </c>
      <c r="D584" s="8" t="s">
        <v>1710</v>
      </c>
      <c r="E584" s="1">
        <v>56.8</v>
      </c>
      <c r="F584" s="1">
        <f t="shared" si="27"/>
        <v>1.2203295432393403E-2</v>
      </c>
      <c r="G584" s="1">
        <f t="shared" si="28"/>
        <v>1838423609.0223839</v>
      </c>
      <c r="H584" s="1">
        <f t="shared" si="29"/>
        <v>0</v>
      </c>
      <c r="K584">
        <f>VLOOKUP(B584,Nuclides!A:C,2,FALSE)</f>
        <v>90</v>
      </c>
      <c r="L584">
        <f>VLOOKUP(B584,Nuclides!A:C,3,FALSE)</f>
        <v>58</v>
      </c>
      <c r="O584" s="1">
        <v>54131</v>
      </c>
      <c r="P584" s="1">
        <v>8.5365400000000006E-8</v>
      </c>
      <c r="Q584" t="s">
        <v>1552</v>
      </c>
      <c r="R584">
        <v>77</v>
      </c>
      <c r="S584">
        <v>54</v>
      </c>
      <c r="T584" t="str">
        <f>VLOOKUP(O584,Nuclides!A:D,4,FALSE)</f>
        <v>STABLE</v>
      </c>
    </row>
    <row r="585" spans="2:20" x14ac:dyDescent="0.2">
      <c r="B585" s="8">
        <v>58149</v>
      </c>
      <c r="C585" s="9">
        <v>1.27654E-5</v>
      </c>
      <c r="D585" s="8" t="s">
        <v>1711</v>
      </c>
      <c r="E585" s="1">
        <v>5.3</v>
      </c>
      <c r="F585" s="1">
        <f t="shared" si="27"/>
        <v>0.1307824868981029</v>
      </c>
      <c r="G585" s="1">
        <f t="shared" si="28"/>
        <v>19530304414.880779</v>
      </c>
      <c r="H585" s="1">
        <f t="shared" si="29"/>
        <v>0</v>
      </c>
      <c r="K585">
        <f>VLOOKUP(B585,Nuclides!A:C,2,FALSE)</f>
        <v>91</v>
      </c>
      <c r="L585">
        <f>VLOOKUP(B585,Nuclides!A:C,3,FALSE)</f>
        <v>58</v>
      </c>
      <c r="O585" s="1">
        <v>54132</v>
      </c>
      <c r="P585" s="1">
        <v>6.4125299999999998E-7</v>
      </c>
      <c r="Q585" t="s">
        <v>1553</v>
      </c>
      <c r="R585">
        <v>78</v>
      </c>
      <c r="S585">
        <v>54</v>
      </c>
      <c r="T585" t="str">
        <f>VLOOKUP(O585,Nuclides!A:D,4,FALSE)</f>
        <v>STABLE</v>
      </c>
    </row>
    <row r="586" spans="2:20" x14ac:dyDescent="0.2">
      <c r="B586" s="8">
        <v>58150</v>
      </c>
      <c r="C586" s="9">
        <v>1.07713E-5</v>
      </c>
      <c r="D586" s="8" t="s">
        <v>1712</v>
      </c>
      <c r="E586" s="1">
        <v>4</v>
      </c>
      <c r="F586" s="1">
        <f t="shared" si="27"/>
        <v>0.17328679513998632</v>
      </c>
      <c r="G586" s="1">
        <f t="shared" si="28"/>
        <v>21387630480.87326</v>
      </c>
      <c r="H586" s="1">
        <f t="shared" si="29"/>
        <v>0</v>
      </c>
      <c r="K586">
        <f>VLOOKUP(B586,Nuclides!A:C,2,FALSE)</f>
        <v>92</v>
      </c>
      <c r="L586">
        <f>VLOOKUP(B586,Nuclides!A:C,3,FALSE)</f>
        <v>58</v>
      </c>
      <c r="O586" s="1">
        <v>54133</v>
      </c>
      <c r="P586" s="1">
        <v>1.9443499999999999E-6</v>
      </c>
      <c r="Q586" t="s">
        <v>1554</v>
      </c>
      <c r="R586">
        <v>79</v>
      </c>
      <c r="S586">
        <v>54</v>
      </c>
      <c r="T586">
        <f>VLOOKUP(O586,Nuclides!A:D,4,FALSE)</f>
        <v>453383.99999999901</v>
      </c>
    </row>
    <row r="587" spans="2:20" x14ac:dyDescent="0.2">
      <c r="B587" s="8">
        <v>58151</v>
      </c>
      <c r="C587" s="9">
        <v>6.23279E-6</v>
      </c>
      <c r="D587" s="8" t="s">
        <v>1713</v>
      </c>
      <c r="E587" s="1">
        <v>1.76</v>
      </c>
      <c r="F587" s="1">
        <f t="shared" si="27"/>
        <v>0.39383362531815075</v>
      </c>
      <c r="G587" s="1">
        <f t="shared" si="28"/>
        <v>25321713243.88446</v>
      </c>
      <c r="H587" s="1">
        <f t="shared" si="29"/>
        <v>0</v>
      </c>
      <c r="K587">
        <f>VLOOKUP(B587,Nuclides!A:C,2,FALSE)</f>
        <v>93</v>
      </c>
      <c r="L587">
        <f>VLOOKUP(B587,Nuclides!A:C,3,FALSE)</f>
        <v>58</v>
      </c>
      <c r="O587" s="1">
        <v>54134</v>
      </c>
      <c r="P587" s="1">
        <v>7.86311E-6</v>
      </c>
      <c r="Q587" t="s">
        <v>1555</v>
      </c>
      <c r="R587">
        <v>80</v>
      </c>
      <c r="S587">
        <v>54</v>
      </c>
      <c r="T587">
        <f>VLOOKUP(O587,Nuclides!A:D,4,FALSE)</f>
        <v>1.8303407999999899E+30</v>
      </c>
    </row>
    <row r="588" spans="2:20" x14ac:dyDescent="0.2">
      <c r="B588" s="8">
        <v>59129</v>
      </c>
      <c r="C588" s="9">
        <v>2.8427400000000002E-6</v>
      </c>
      <c r="D588" s="8" t="s">
        <v>1726</v>
      </c>
      <c r="E588" s="1">
        <v>30</v>
      </c>
      <c r="F588" s="1">
        <f t="shared" si="27"/>
        <v>2.3104906018664842E-2</v>
      </c>
      <c r="G588" s="1">
        <f t="shared" si="28"/>
        <v>810304826.2387327</v>
      </c>
      <c r="H588" s="1">
        <f t="shared" si="29"/>
        <v>0</v>
      </c>
      <c r="K588">
        <f>VLOOKUP(B588,Nuclides!A:C,2,FALSE)</f>
        <v>70</v>
      </c>
      <c r="L588">
        <f>VLOOKUP(B588,Nuclides!A:C,3,FALSE)</f>
        <v>59</v>
      </c>
      <c r="O588" s="1">
        <v>54135</v>
      </c>
      <c r="P588" s="1">
        <v>1.42142E-5</v>
      </c>
      <c r="Q588" t="s">
        <v>1556</v>
      </c>
      <c r="R588">
        <v>81</v>
      </c>
      <c r="S588">
        <v>54</v>
      </c>
      <c r="T588">
        <f>VLOOKUP(O588,Nuclides!A:D,4,FALSE)</f>
        <v>32904</v>
      </c>
    </row>
    <row r="589" spans="2:20" x14ac:dyDescent="0.2">
      <c r="B589" s="8">
        <v>59130</v>
      </c>
      <c r="C589" s="9">
        <v>8.9099700000000005E-7</v>
      </c>
      <c r="D589" s="8" t="s">
        <v>1727</v>
      </c>
      <c r="E589" s="1">
        <v>40</v>
      </c>
      <c r="F589" s="1">
        <f t="shared" si="27"/>
        <v>1.7328679513998631E-2</v>
      </c>
      <c r="G589" s="1">
        <f t="shared" si="28"/>
        <v>191028803.57155228</v>
      </c>
      <c r="H589" s="1">
        <f t="shared" si="29"/>
        <v>0</v>
      </c>
      <c r="K589">
        <f>VLOOKUP(B589,Nuclides!A:C,2,FALSE)</f>
        <v>71</v>
      </c>
      <c r="L589">
        <f>VLOOKUP(B589,Nuclides!A:C,3,FALSE)</f>
        <v>59</v>
      </c>
      <c r="O589" s="1">
        <v>54136</v>
      </c>
      <c r="P589" s="1">
        <v>3.2630599999999999E-5</v>
      </c>
      <c r="Q589" t="s">
        <v>1557</v>
      </c>
      <c r="R589">
        <v>82</v>
      </c>
      <c r="S589">
        <v>54</v>
      </c>
      <c r="T589">
        <f>VLOOKUP(O589,Nuclides!A:D,4,FALSE)</f>
        <v>7.573824E+28</v>
      </c>
    </row>
    <row r="590" spans="2:20" x14ac:dyDescent="0.2">
      <c r="B590" s="8">
        <v>59131</v>
      </c>
      <c r="C590" s="9">
        <v>2.4409099999999999E-7</v>
      </c>
      <c r="D590" s="8" t="s">
        <v>1728</v>
      </c>
      <c r="E590" s="1">
        <v>90.6</v>
      </c>
      <c r="F590" s="1">
        <f t="shared" si="27"/>
        <v>7.650631132008227E-3</v>
      </c>
      <c r="G590" s="1">
        <f t="shared" si="28"/>
        <v>23216853.506089281</v>
      </c>
      <c r="H590" s="1">
        <f t="shared" si="29"/>
        <v>0</v>
      </c>
      <c r="K590">
        <f>VLOOKUP(B590,Nuclides!A:C,2,FALSE)</f>
        <v>72</v>
      </c>
      <c r="L590">
        <f>VLOOKUP(B590,Nuclides!A:C,3,FALSE)</f>
        <v>59</v>
      </c>
      <c r="O590" s="1">
        <v>54137</v>
      </c>
      <c r="P590" s="1">
        <v>2.42532E-5</v>
      </c>
      <c r="Q590" t="s">
        <v>1558</v>
      </c>
      <c r="R590">
        <v>83</v>
      </c>
      <c r="S590">
        <v>54</v>
      </c>
      <c r="T590">
        <f>VLOOKUP(O590,Nuclides!A:D,4,FALSE)</f>
        <v>229.08</v>
      </c>
    </row>
    <row r="591" spans="2:20" x14ac:dyDescent="0.2">
      <c r="B591" s="8">
        <v>59132</v>
      </c>
      <c r="C591" s="9">
        <v>3.3783200000000003E-8</v>
      </c>
      <c r="D591" s="8" t="s">
        <v>1729</v>
      </c>
      <c r="E591" s="1">
        <v>96</v>
      </c>
      <c r="F591" s="1">
        <f t="shared" si="27"/>
        <v>7.2202831308327631E-3</v>
      </c>
      <c r="G591" s="1">
        <f t="shared" si="28"/>
        <v>3033211.378072062</v>
      </c>
      <c r="H591" s="1">
        <f t="shared" si="29"/>
        <v>0</v>
      </c>
      <c r="K591">
        <f>VLOOKUP(B591,Nuclides!A:C,2,FALSE)</f>
        <v>73</v>
      </c>
      <c r="L591">
        <f>VLOOKUP(B591,Nuclides!A:C,3,FALSE)</f>
        <v>59</v>
      </c>
      <c r="O591" s="1">
        <v>54138</v>
      </c>
      <c r="P591" s="1">
        <v>3.17471E-5</v>
      </c>
      <c r="Q591" t="s">
        <v>1559</v>
      </c>
      <c r="R591">
        <v>84</v>
      </c>
      <c r="S591">
        <v>54</v>
      </c>
      <c r="T591">
        <f>VLOOKUP(O591,Nuclides!A:D,4,FALSE)</f>
        <v>848.4</v>
      </c>
    </row>
    <row r="592" spans="2:20" x14ac:dyDescent="0.2">
      <c r="B592" s="8">
        <v>59133</v>
      </c>
      <c r="C592" s="9">
        <v>6.4216000000000002E-9</v>
      </c>
      <c r="D592" s="8" t="s">
        <v>1730</v>
      </c>
      <c r="E592" s="1">
        <v>390</v>
      </c>
      <c r="F592" s="1">
        <f t="shared" si="27"/>
        <v>1.7773004629742187E-3</v>
      </c>
      <c r="G592" s="1">
        <f t="shared" si="28"/>
        <v>142309.14539440614</v>
      </c>
      <c r="H592" s="1">
        <f t="shared" si="29"/>
        <v>0</v>
      </c>
      <c r="K592">
        <f>VLOOKUP(B592,Nuclides!A:C,2,FALSE)</f>
        <v>74</v>
      </c>
      <c r="L592">
        <f>VLOOKUP(B592,Nuclides!A:C,3,FALSE)</f>
        <v>59</v>
      </c>
      <c r="O592" s="1">
        <v>54139</v>
      </c>
      <c r="P592" s="1">
        <v>1.7910800000000001E-5</v>
      </c>
      <c r="Q592" t="s">
        <v>1560</v>
      </c>
      <c r="R592">
        <v>85</v>
      </c>
      <c r="S592">
        <v>54</v>
      </c>
      <c r="T592">
        <f>VLOOKUP(O592,Nuclides!A:D,4,FALSE)</f>
        <v>39.68</v>
      </c>
    </row>
    <row r="593" spans="2:20" x14ac:dyDescent="0.2">
      <c r="B593" s="8">
        <v>59134</v>
      </c>
      <c r="C593" s="9">
        <v>4.8860000000000005E-10</v>
      </c>
      <c r="D593" s="8" t="s">
        <v>1731</v>
      </c>
      <c r="E593" s="1">
        <v>660</v>
      </c>
      <c r="F593" s="1">
        <f t="shared" si="27"/>
        <v>1.0502230008484019E-3</v>
      </c>
      <c r="G593" s="1">
        <f t="shared" si="28"/>
        <v>6400.6125749382318</v>
      </c>
      <c r="H593" s="1">
        <f t="shared" si="29"/>
        <v>0</v>
      </c>
      <c r="K593">
        <f>VLOOKUP(B593,Nuclides!A:C,2,FALSE)</f>
        <v>75</v>
      </c>
      <c r="L593">
        <f>VLOOKUP(B593,Nuclides!A:C,3,FALSE)</f>
        <v>59</v>
      </c>
      <c r="O593" s="1">
        <v>54140</v>
      </c>
      <c r="P593" s="1">
        <v>1.61934E-5</v>
      </c>
      <c r="Q593" t="s">
        <v>1561</v>
      </c>
      <c r="R593">
        <v>86</v>
      </c>
      <c r="S593">
        <v>54</v>
      </c>
      <c r="T593">
        <f>VLOOKUP(O593,Nuclides!A:D,4,FALSE)</f>
        <v>13.6</v>
      </c>
    </row>
    <row r="594" spans="2:20" x14ac:dyDescent="0.2">
      <c r="B594" s="8">
        <v>59142</v>
      </c>
      <c r="C594" s="9">
        <v>5.5839999999999995E-10</v>
      </c>
      <c r="D594" s="8" t="s">
        <v>1739</v>
      </c>
      <c r="E594" s="1">
        <v>68832</v>
      </c>
      <c r="F594" s="1">
        <f t="shared" si="27"/>
        <v>1.0070129889585444E-5</v>
      </c>
      <c r="G594" s="1">
        <f t="shared" si="28"/>
        <v>70.176690073681627</v>
      </c>
      <c r="H594" s="1">
        <f t="shared" si="29"/>
        <v>8.4448581050619881E-137</v>
      </c>
      <c r="K594">
        <f>VLOOKUP(B594,Nuclides!A:C,2,FALSE)</f>
        <v>83</v>
      </c>
      <c r="L594">
        <f>VLOOKUP(B594,Nuclides!A:C,3,FALSE)</f>
        <v>59</v>
      </c>
      <c r="O594" s="1">
        <v>54141</v>
      </c>
      <c r="P594" s="1">
        <v>6.4096600000000004E-6</v>
      </c>
      <c r="Q594" t="s">
        <v>1562</v>
      </c>
      <c r="R594">
        <v>87</v>
      </c>
      <c r="S594">
        <v>54</v>
      </c>
      <c r="T594">
        <f>VLOOKUP(O594,Nuclides!A:D,4,FALSE)</f>
        <v>1.73</v>
      </c>
    </row>
    <row r="595" spans="2:20" x14ac:dyDescent="0.2">
      <c r="B595" s="8">
        <v>59143</v>
      </c>
      <c r="C595" s="9">
        <v>4.0484000000000002E-9</v>
      </c>
      <c r="D595" s="8" t="s">
        <v>1740</v>
      </c>
      <c r="E595" s="1">
        <v>1172448</v>
      </c>
      <c r="F595" s="1">
        <f t="shared" si="27"/>
        <v>5.9119652262611673E-7</v>
      </c>
      <c r="G595" s="1">
        <f t="shared" si="28"/>
        <v>29.86962319840211</v>
      </c>
      <c r="H595" s="1">
        <f t="shared" si="29"/>
        <v>2.3892132576514462E-7</v>
      </c>
      <c r="K595">
        <f>VLOOKUP(B595,Nuclides!A:C,2,FALSE)</f>
        <v>84</v>
      </c>
      <c r="L595">
        <f>VLOOKUP(B595,Nuclides!A:C,3,FALSE)</f>
        <v>59</v>
      </c>
      <c r="O595" s="1">
        <v>54142</v>
      </c>
      <c r="P595" s="1">
        <v>4.2274399999999998E-6</v>
      </c>
      <c r="Q595" t="s">
        <v>1563</v>
      </c>
      <c r="R595">
        <v>88</v>
      </c>
      <c r="S595">
        <v>54</v>
      </c>
      <c r="T595">
        <f>VLOOKUP(O595,Nuclides!A:D,4,FALSE)</f>
        <v>1.23</v>
      </c>
    </row>
    <row r="596" spans="2:20" x14ac:dyDescent="0.2">
      <c r="B596" s="8">
        <v>59144</v>
      </c>
      <c r="C596" s="9">
        <v>1.26338E-8</v>
      </c>
      <c r="D596" s="8" t="s">
        <v>1741</v>
      </c>
      <c r="E596" s="1">
        <v>1036.8</v>
      </c>
      <c r="F596" s="1">
        <f t="shared" si="27"/>
        <v>6.6854473433636697E-4</v>
      </c>
      <c r="G596" s="1">
        <f t="shared" si="28"/>
        <v>105374.10302331691</v>
      </c>
      <c r="H596" s="1">
        <f t="shared" si="29"/>
        <v>0</v>
      </c>
      <c r="K596">
        <f>VLOOKUP(B596,Nuclides!A:C,2,FALSE)</f>
        <v>85</v>
      </c>
      <c r="L596">
        <f>VLOOKUP(B596,Nuclides!A:C,3,FALSE)</f>
        <v>59</v>
      </c>
      <c r="O596" s="1">
        <v>54143</v>
      </c>
      <c r="P596" s="1">
        <v>8.5114099999999996E-7</v>
      </c>
      <c r="Q596" t="s">
        <v>1564</v>
      </c>
      <c r="R596">
        <v>89</v>
      </c>
      <c r="S596">
        <v>54</v>
      </c>
      <c r="T596">
        <f>VLOOKUP(O596,Nuclides!A:D,4,FALSE)</f>
        <v>0.51100000000000001</v>
      </c>
    </row>
    <row r="597" spans="2:20" x14ac:dyDescent="0.2">
      <c r="B597" s="8">
        <v>59145</v>
      </c>
      <c r="C597" s="9">
        <v>6.8473799999999997E-8</v>
      </c>
      <c r="D597" s="8" t="s">
        <v>1742</v>
      </c>
      <c r="E597" s="1">
        <v>21542.400000000001</v>
      </c>
      <c r="F597" s="1">
        <f t="shared" si="27"/>
        <v>3.2175949780894669E-5</v>
      </c>
      <c r="G597" s="1">
        <f t="shared" si="28"/>
        <v>27495.612834277235</v>
      </c>
      <c r="H597" s="1">
        <f t="shared" si="29"/>
        <v>0</v>
      </c>
      <c r="K597">
        <f>VLOOKUP(B597,Nuclides!A:C,2,FALSE)</f>
        <v>86</v>
      </c>
      <c r="L597">
        <f>VLOOKUP(B597,Nuclides!A:C,3,FALSE)</f>
        <v>59</v>
      </c>
      <c r="O597" s="1">
        <v>54144</v>
      </c>
      <c r="P597" s="1">
        <v>7.7261600000000004E-7</v>
      </c>
      <c r="Q597" t="s">
        <v>1565</v>
      </c>
      <c r="R597">
        <v>90</v>
      </c>
      <c r="S597">
        <v>54</v>
      </c>
      <c r="T597">
        <f>VLOOKUP(O597,Nuclides!A:D,4,FALSE)</f>
        <v>0.38800000000000001</v>
      </c>
    </row>
    <row r="598" spans="2:20" x14ac:dyDescent="0.2">
      <c r="B598" s="8">
        <v>59146</v>
      </c>
      <c r="C598" s="9">
        <v>1.8811100000000001E-7</v>
      </c>
      <c r="D598" s="8" t="s">
        <v>1743</v>
      </c>
      <c r="E598" s="1">
        <v>1449</v>
      </c>
      <c r="F598" s="1">
        <f t="shared" si="27"/>
        <v>4.7836244345061789E-4</v>
      </c>
      <c r="G598" s="1">
        <f t="shared" si="28"/>
        <v>1122747.2037893627</v>
      </c>
      <c r="H598" s="1">
        <f t="shared" si="29"/>
        <v>0</v>
      </c>
      <c r="K598">
        <f>VLOOKUP(B598,Nuclides!A:C,2,FALSE)</f>
        <v>87</v>
      </c>
      <c r="L598">
        <f>VLOOKUP(B598,Nuclides!A:C,3,FALSE)</f>
        <v>59</v>
      </c>
      <c r="O598" s="1">
        <v>54145</v>
      </c>
      <c r="P598" s="1">
        <v>1.56422E-7</v>
      </c>
      <c r="Q598" t="s">
        <v>1566</v>
      </c>
      <c r="R598">
        <v>91</v>
      </c>
      <c r="S598">
        <v>54</v>
      </c>
      <c r="T598">
        <f>VLOOKUP(O598,Nuclides!A:D,4,FALSE)</f>
        <v>0.188</v>
      </c>
    </row>
    <row r="599" spans="2:20" x14ac:dyDescent="0.2">
      <c r="B599" s="8">
        <v>59147</v>
      </c>
      <c r="C599" s="9">
        <v>5.9671999999999996E-7</v>
      </c>
      <c r="D599" s="8" t="s">
        <v>1744</v>
      </c>
      <c r="E599" s="1">
        <v>804</v>
      </c>
      <c r="F599" s="1">
        <f t="shared" si="27"/>
        <v>8.6212335890540454E-4</v>
      </c>
      <c r="G599" s="1">
        <f t="shared" si="28"/>
        <v>6417522.4635613076</v>
      </c>
      <c r="H599" s="1">
        <f t="shared" si="29"/>
        <v>0</v>
      </c>
      <c r="K599">
        <f>VLOOKUP(B599,Nuclides!A:C,2,FALSE)</f>
        <v>88</v>
      </c>
      <c r="L599">
        <f>VLOOKUP(B599,Nuclides!A:C,3,FALSE)</f>
        <v>59</v>
      </c>
      <c r="O599" s="1">
        <v>55114</v>
      </c>
      <c r="P599" s="1">
        <v>5.8562200000000003E-8</v>
      </c>
      <c r="Q599" t="s">
        <v>1572</v>
      </c>
      <c r="R599">
        <v>59</v>
      </c>
      <c r="S599">
        <v>55</v>
      </c>
      <c r="T599">
        <f>VLOOKUP(O599,Nuclides!A:D,4,FALSE)</f>
        <v>0.56999999999999995</v>
      </c>
    </row>
    <row r="600" spans="2:20" x14ac:dyDescent="0.2">
      <c r="B600" s="8">
        <v>59148</v>
      </c>
      <c r="C600" s="9">
        <v>1.20726E-6</v>
      </c>
      <c r="D600" s="8" t="s">
        <v>1745</v>
      </c>
      <c r="E600" s="1">
        <v>137.4</v>
      </c>
      <c r="F600" s="1">
        <f t="shared" si="27"/>
        <v>5.0447393053853363E-3</v>
      </c>
      <c r="G600" s="1">
        <f t="shared" si="28"/>
        <v>75815697.430306077</v>
      </c>
      <c r="H600" s="1">
        <f t="shared" si="29"/>
        <v>0</v>
      </c>
      <c r="K600">
        <f>VLOOKUP(B600,Nuclides!A:C,2,FALSE)</f>
        <v>89</v>
      </c>
      <c r="L600">
        <f>VLOOKUP(B600,Nuclides!A:C,3,FALSE)</f>
        <v>59</v>
      </c>
      <c r="O600" s="1">
        <v>55115</v>
      </c>
      <c r="P600" s="1">
        <v>6.631E-9</v>
      </c>
      <c r="Q600" t="s">
        <v>1573</v>
      </c>
      <c r="R600">
        <v>60</v>
      </c>
      <c r="S600">
        <v>55</v>
      </c>
      <c r="T600">
        <f>VLOOKUP(O600,Nuclides!A:D,4,FALSE)</f>
        <v>1.4</v>
      </c>
    </row>
    <row r="601" spans="2:20" x14ac:dyDescent="0.2">
      <c r="B601" s="8">
        <v>59149</v>
      </c>
      <c r="C601" s="9">
        <v>2.6309000000000001E-6</v>
      </c>
      <c r="D601" s="8" t="s">
        <v>1746</v>
      </c>
      <c r="E601" s="1">
        <v>135.6</v>
      </c>
      <c r="F601" s="1">
        <f t="shared" si="27"/>
        <v>5.1117048713860275E-3</v>
      </c>
      <c r="G601" s="1">
        <f t="shared" si="28"/>
        <v>167407602.98655453</v>
      </c>
      <c r="H601" s="1">
        <f t="shared" si="29"/>
        <v>0</v>
      </c>
      <c r="K601">
        <f>VLOOKUP(B601,Nuclides!A:C,2,FALSE)</f>
        <v>90</v>
      </c>
      <c r="L601">
        <f>VLOOKUP(B601,Nuclides!A:C,3,FALSE)</f>
        <v>59</v>
      </c>
      <c r="O601" s="1">
        <v>55116</v>
      </c>
      <c r="P601" s="1">
        <v>1.8845999999999999E-9</v>
      </c>
      <c r="Q601" t="s">
        <v>1574</v>
      </c>
      <c r="R601">
        <v>61</v>
      </c>
      <c r="S601">
        <v>55</v>
      </c>
      <c r="T601">
        <f>VLOOKUP(O601,Nuclides!A:D,4,FALSE)</f>
        <v>0.7</v>
      </c>
    </row>
    <row r="602" spans="2:20" x14ac:dyDescent="0.2">
      <c r="B602" s="8">
        <v>59150</v>
      </c>
      <c r="C602" s="9">
        <v>3.4937000000000001E-6</v>
      </c>
      <c r="D602" s="8" t="s">
        <v>1747</v>
      </c>
      <c r="E602" s="1">
        <v>6.19</v>
      </c>
      <c r="F602" s="1">
        <f t="shared" si="27"/>
        <v>0.11197854290144511</v>
      </c>
      <c r="G602" s="1">
        <f t="shared" si="28"/>
        <v>4618979727.9412088</v>
      </c>
      <c r="H602" s="1">
        <f t="shared" si="29"/>
        <v>0</v>
      </c>
      <c r="K602">
        <f>VLOOKUP(B602,Nuclides!A:C,2,FALSE)</f>
        <v>91</v>
      </c>
      <c r="L602">
        <f>VLOOKUP(B602,Nuclides!A:C,3,FALSE)</f>
        <v>59</v>
      </c>
      <c r="O602" s="1">
        <v>55117</v>
      </c>
      <c r="P602" s="1">
        <v>4.1879999999999999E-10</v>
      </c>
      <c r="Q602" t="s">
        <v>1575</v>
      </c>
      <c r="R602">
        <v>62</v>
      </c>
      <c r="S602">
        <v>55</v>
      </c>
      <c r="T602">
        <f>VLOOKUP(O602,Nuclides!A:D,4,FALSE)</f>
        <v>8.4</v>
      </c>
    </row>
    <row r="603" spans="2:20" x14ac:dyDescent="0.2">
      <c r="B603" s="8">
        <v>59151</v>
      </c>
      <c r="C603" s="9">
        <v>4.5314899999999999E-6</v>
      </c>
      <c r="D603" s="8" t="s">
        <v>1748</v>
      </c>
      <c r="E603" s="1">
        <v>18.899999999999999</v>
      </c>
      <c r="F603" s="1">
        <f t="shared" si="27"/>
        <v>3.6674453997880704E-2</v>
      </c>
      <c r="G603" s="1">
        <f t="shared" si="28"/>
        <v>2036478597.7432926</v>
      </c>
      <c r="H603" s="1">
        <f t="shared" si="29"/>
        <v>0</v>
      </c>
      <c r="K603">
        <f>VLOOKUP(B603,Nuclides!A:C,2,FALSE)</f>
        <v>92</v>
      </c>
      <c r="L603">
        <f>VLOOKUP(B603,Nuclides!A:C,3,FALSE)</f>
        <v>59</v>
      </c>
      <c r="O603" s="1">
        <v>55131</v>
      </c>
      <c r="P603" s="1">
        <v>2.094E-10</v>
      </c>
      <c r="Q603" t="s">
        <v>1589</v>
      </c>
      <c r="R603">
        <v>76</v>
      </c>
      <c r="S603">
        <v>55</v>
      </c>
      <c r="T603">
        <f>VLOOKUP(O603,Nuclides!A:D,4,FALSE)</f>
        <v>837129.6</v>
      </c>
    </row>
    <row r="604" spans="2:20" x14ac:dyDescent="0.2">
      <c r="B604" s="8">
        <v>59152</v>
      </c>
      <c r="C604" s="9">
        <v>3.4899299999999998E-6</v>
      </c>
      <c r="D604" s="8" t="s">
        <v>1749</v>
      </c>
      <c r="E604" s="1">
        <v>3.57</v>
      </c>
      <c r="F604" s="1">
        <f t="shared" si="27"/>
        <v>0.19415887410642726</v>
      </c>
      <c r="G604" s="1">
        <f t="shared" si="28"/>
        <v>7686160171.1030912</v>
      </c>
      <c r="H604" s="1">
        <f t="shared" si="29"/>
        <v>0</v>
      </c>
      <c r="K604">
        <f>VLOOKUP(B604,Nuclides!A:C,2,FALSE)</f>
        <v>93</v>
      </c>
      <c r="L604">
        <f>VLOOKUP(B604,Nuclides!A:C,3,FALSE)</f>
        <v>59</v>
      </c>
      <c r="O604" s="1">
        <v>55132</v>
      </c>
      <c r="P604" s="1">
        <v>2.5826000000000002E-9</v>
      </c>
      <c r="Q604" t="s">
        <v>1590</v>
      </c>
      <c r="R604">
        <v>77</v>
      </c>
      <c r="S604">
        <v>55</v>
      </c>
      <c r="T604">
        <f>VLOOKUP(O604,Nuclides!A:D,4,FALSE)</f>
        <v>559872</v>
      </c>
    </row>
    <row r="605" spans="2:20" x14ac:dyDescent="0.2">
      <c r="B605" s="8">
        <v>60129</v>
      </c>
      <c r="C605" s="9">
        <v>2.4384600000000002E-6</v>
      </c>
      <c r="D605" s="8" t="s">
        <v>1758</v>
      </c>
      <c r="E605" s="1">
        <v>6.7</v>
      </c>
      <c r="F605" s="1">
        <f t="shared" si="27"/>
        <v>0.10345480306864854</v>
      </c>
      <c r="G605" s="1">
        <f t="shared" si="28"/>
        <v>2990953165.8846302</v>
      </c>
      <c r="H605" s="1">
        <f t="shared" si="29"/>
        <v>0</v>
      </c>
      <c r="K605">
        <f>VLOOKUP(B605,Nuclides!A:C,2,FALSE)</f>
        <v>69</v>
      </c>
      <c r="L605">
        <f>VLOOKUP(B605,Nuclides!A:C,3,FALSE)</f>
        <v>60</v>
      </c>
      <c r="O605" s="1">
        <v>55133</v>
      </c>
      <c r="P605" s="1">
        <v>2.8967000000000001E-8</v>
      </c>
      <c r="Q605" t="s">
        <v>1591</v>
      </c>
      <c r="R605">
        <v>78</v>
      </c>
      <c r="S605">
        <v>55</v>
      </c>
      <c r="T605" t="str">
        <f>VLOOKUP(O605,Nuclides!A:D,4,FALSE)</f>
        <v>STABLE</v>
      </c>
    </row>
    <row r="606" spans="2:20" x14ac:dyDescent="0.2">
      <c r="B606" s="8">
        <v>60130</v>
      </c>
      <c r="C606" s="9">
        <v>1.0072099999999999E-6</v>
      </c>
      <c r="D606" s="8" t="s">
        <v>1759</v>
      </c>
      <c r="E606" s="1">
        <v>21</v>
      </c>
      <c r="F606" s="1">
        <f t="shared" si="27"/>
        <v>3.3007008598092635E-2</v>
      </c>
      <c r="G606" s="1">
        <f t="shared" si="28"/>
        <v>408124920.56483018</v>
      </c>
      <c r="H606" s="1">
        <f t="shared" si="29"/>
        <v>0</v>
      </c>
      <c r="K606">
        <f>VLOOKUP(B606,Nuclides!A:C,2,FALSE)</f>
        <v>70</v>
      </c>
      <c r="L606">
        <f>VLOOKUP(B606,Nuclides!A:C,3,FALSE)</f>
        <v>60</v>
      </c>
      <c r="O606" s="1">
        <v>55134</v>
      </c>
      <c r="P606" s="1">
        <v>1.47767E-7</v>
      </c>
      <c r="Q606" t="s">
        <v>1592</v>
      </c>
      <c r="R606">
        <v>79</v>
      </c>
      <c r="S606">
        <v>55</v>
      </c>
      <c r="T606">
        <f>VLOOKUP(O606,Nuclides!A:D,4,FALSE)</f>
        <v>65172755.519999899</v>
      </c>
    </row>
    <row r="607" spans="2:20" x14ac:dyDescent="0.2">
      <c r="B607" s="8">
        <v>60131</v>
      </c>
      <c r="C607" s="9">
        <v>4.1349500000000001E-7</v>
      </c>
      <c r="D607" s="8" t="s">
        <v>1760</v>
      </c>
      <c r="E607" s="1">
        <v>25.4</v>
      </c>
      <c r="F607" s="1">
        <f t="shared" si="27"/>
        <v>2.7289259077163203E-2</v>
      </c>
      <c r="G607" s="1">
        <f t="shared" si="28"/>
        <v>138919841.98408085</v>
      </c>
      <c r="H607" s="1">
        <f t="shared" si="29"/>
        <v>0</v>
      </c>
      <c r="K607">
        <f>VLOOKUP(B607,Nuclides!A:C,2,FALSE)</f>
        <v>71</v>
      </c>
      <c r="L607">
        <f>VLOOKUP(B607,Nuclides!A:C,3,FALSE)</f>
        <v>60</v>
      </c>
      <c r="O607" s="1">
        <v>55135</v>
      </c>
      <c r="P607" s="1">
        <v>9.9255600000000009E-7</v>
      </c>
      <c r="Q607" t="s">
        <v>1593</v>
      </c>
      <c r="R607">
        <v>80</v>
      </c>
      <c r="S607">
        <v>55</v>
      </c>
      <c r="T607">
        <f>VLOOKUP(O607,Nuclides!A:D,4,FALSE)</f>
        <v>72582480000000</v>
      </c>
    </row>
    <row r="608" spans="2:20" x14ac:dyDescent="0.2">
      <c r="B608" s="8">
        <v>60132</v>
      </c>
      <c r="C608" s="9">
        <v>9.2694400000000004E-8</v>
      </c>
      <c r="D608" s="8" t="s">
        <v>1761</v>
      </c>
      <c r="E608" s="1">
        <v>94</v>
      </c>
      <c r="F608" s="1">
        <f t="shared" si="27"/>
        <v>7.3739061761696305E-3</v>
      </c>
      <c r="G608" s="1">
        <f t="shared" si="28"/>
        <v>8498953.4588421509</v>
      </c>
      <c r="H608" s="1">
        <f t="shared" si="29"/>
        <v>0</v>
      </c>
      <c r="K608">
        <f>VLOOKUP(B608,Nuclides!A:C,2,FALSE)</f>
        <v>72</v>
      </c>
      <c r="L608">
        <f>VLOOKUP(B608,Nuclides!A:C,3,FALSE)</f>
        <v>60</v>
      </c>
      <c r="O608" s="1">
        <v>55136</v>
      </c>
      <c r="P608" s="1">
        <v>3.0998200000000001E-6</v>
      </c>
      <c r="Q608" t="s">
        <v>1594</v>
      </c>
      <c r="R608">
        <v>81</v>
      </c>
      <c r="S608">
        <v>55</v>
      </c>
      <c r="T608">
        <f>VLOOKUP(O608,Nuclides!A:D,4,FALSE)</f>
        <v>1126656</v>
      </c>
    </row>
    <row r="609" spans="2:20" x14ac:dyDescent="0.2">
      <c r="B609" s="8">
        <v>60133</v>
      </c>
      <c r="C609" s="9">
        <v>2.35226E-8</v>
      </c>
      <c r="D609" s="8" t="s">
        <v>1762</v>
      </c>
      <c r="E609" s="1">
        <v>70</v>
      </c>
      <c r="F609" s="1">
        <f t="shared" si="27"/>
        <v>9.9021025794277899E-3</v>
      </c>
      <c r="G609" s="1">
        <f t="shared" si="28"/>
        <v>2892536.7799763046</v>
      </c>
      <c r="H609" s="1">
        <f t="shared" si="29"/>
        <v>0</v>
      </c>
      <c r="K609">
        <f>VLOOKUP(B609,Nuclides!A:C,2,FALSE)</f>
        <v>73</v>
      </c>
      <c r="L609">
        <f>VLOOKUP(B609,Nuclides!A:C,3,FALSE)</f>
        <v>60</v>
      </c>
      <c r="O609" s="1">
        <v>55137</v>
      </c>
      <c r="P609" s="1">
        <v>1.1737599999999999E-5</v>
      </c>
      <c r="Q609" t="s">
        <v>1595</v>
      </c>
      <c r="R609">
        <v>82</v>
      </c>
      <c r="S609">
        <v>55</v>
      </c>
      <c r="T609">
        <f>VLOOKUP(O609,Nuclides!A:D,4,FALSE)</f>
        <v>949252608</v>
      </c>
    </row>
    <row r="610" spans="2:20" x14ac:dyDescent="0.2">
      <c r="B610" s="8">
        <v>60134</v>
      </c>
      <c r="C610" s="9">
        <v>2.3732E-9</v>
      </c>
      <c r="D610" s="8" t="s">
        <v>1763</v>
      </c>
      <c r="E610" s="1">
        <v>510</v>
      </c>
      <c r="F610" s="1">
        <f t="shared" si="27"/>
        <v>1.3591121187449908E-3</v>
      </c>
      <c r="G610" s="1">
        <f t="shared" si="28"/>
        <v>40226.209948143784</v>
      </c>
      <c r="H610" s="1">
        <f t="shared" si="29"/>
        <v>0</v>
      </c>
      <c r="K610">
        <f>VLOOKUP(B610,Nuclides!A:C,2,FALSE)</f>
        <v>74</v>
      </c>
      <c r="L610">
        <f>VLOOKUP(B610,Nuclides!A:C,3,FALSE)</f>
        <v>60</v>
      </c>
      <c r="O610" s="1">
        <v>55138</v>
      </c>
      <c r="P610" s="1">
        <v>1.4260800000000001E-5</v>
      </c>
      <c r="Q610" t="s">
        <v>1596</v>
      </c>
      <c r="R610">
        <v>83</v>
      </c>
      <c r="S610">
        <v>55</v>
      </c>
      <c r="T610">
        <f>VLOOKUP(O610,Nuclides!A:D,4,FALSE)</f>
        <v>2004.6</v>
      </c>
    </row>
    <row r="611" spans="2:20" x14ac:dyDescent="0.2">
      <c r="B611" s="8">
        <v>60135</v>
      </c>
      <c r="C611" s="9">
        <v>5.5839999999999995E-10</v>
      </c>
      <c r="D611" s="8" t="s">
        <v>1764</v>
      </c>
      <c r="E611" s="1">
        <v>744</v>
      </c>
      <c r="F611" s="1">
        <f t="shared" si="27"/>
        <v>9.3164943623648563E-4</v>
      </c>
      <c r="G611" s="1">
        <f t="shared" si="28"/>
        <v>6489.4849721285864</v>
      </c>
      <c r="H611" s="1">
        <f t="shared" si="29"/>
        <v>0</v>
      </c>
      <c r="K611">
        <f>VLOOKUP(B611,Nuclides!A:C,2,FALSE)</f>
        <v>75</v>
      </c>
      <c r="L611">
        <f>VLOOKUP(B611,Nuclides!A:C,3,FALSE)</f>
        <v>60</v>
      </c>
      <c r="O611" s="1">
        <v>55139</v>
      </c>
      <c r="P611" s="1">
        <v>2.6011199999999999E-5</v>
      </c>
      <c r="Q611" t="s">
        <v>1597</v>
      </c>
      <c r="R611">
        <v>84</v>
      </c>
      <c r="S611">
        <v>55</v>
      </c>
      <c r="T611">
        <f>VLOOKUP(O611,Nuclides!A:D,4,FALSE)</f>
        <v>556.19999999999902</v>
      </c>
    </row>
    <row r="612" spans="2:20" x14ac:dyDescent="0.2">
      <c r="B612" s="8">
        <v>60144</v>
      </c>
      <c r="C612" s="9">
        <v>2.7919999999999998E-10</v>
      </c>
      <c r="D612" s="8" t="s">
        <v>1773</v>
      </c>
      <c r="E612" s="1">
        <v>7.2266904000000002E+22</v>
      </c>
      <c r="F612" s="1">
        <f t="shared" si="27"/>
        <v>9.5914885264760378E-24</v>
      </c>
      <c r="G612" s="1">
        <f t="shared" si="28"/>
        <v>0</v>
      </c>
      <c r="H612" s="1">
        <f t="shared" si="29"/>
        <v>0</v>
      </c>
      <c r="K612">
        <f>VLOOKUP(B612,Nuclides!A:C,2,FALSE)</f>
        <v>84</v>
      </c>
      <c r="L612">
        <f>VLOOKUP(B612,Nuclides!A:C,3,FALSE)</f>
        <v>60</v>
      </c>
      <c r="O612" s="1">
        <v>55140</v>
      </c>
      <c r="P612" s="1">
        <v>2.4516799999999999E-5</v>
      </c>
      <c r="Q612" t="s">
        <v>1598</v>
      </c>
      <c r="R612">
        <v>85</v>
      </c>
      <c r="S612">
        <v>55</v>
      </c>
      <c r="T612">
        <f>VLOOKUP(O612,Nuclides!A:D,4,FALSE)</f>
        <v>63.7</v>
      </c>
    </row>
    <row r="613" spans="2:20" x14ac:dyDescent="0.2">
      <c r="B613" s="8">
        <v>60147</v>
      </c>
      <c r="C613" s="9">
        <v>1.72406E-8</v>
      </c>
      <c r="D613" s="8" t="s">
        <v>1776</v>
      </c>
      <c r="E613" s="1">
        <v>948672</v>
      </c>
      <c r="F613" s="1">
        <f t="shared" si="27"/>
        <v>7.306499828812754E-7</v>
      </c>
      <c r="G613" s="1">
        <f t="shared" si="28"/>
        <v>157.20855687067902</v>
      </c>
      <c r="H613" s="1">
        <f t="shared" si="29"/>
        <v>1.5472454104059381E-8</v>
      </c>
      <c r="K613">
        <f>VLOOKUP(B613,Nuclides!A:C,2,FALSE)</f>
        <v>87</v>
      </c>
      <c r="L613">
        <f>VLOOKUP(B613,Nuclides!A:C,3,FALSE)</f>
        <v>60</v>
      </c>
      <c r="O613" s="1">
        <v>55141</v>
      </c>
      <c r="P613" s="1">
        <v>2.7565200000000002E-5</v>
      </c>
      <c r="Q613" t="s">
        <v>1599</v>
      </c>
      <c r="R613">
        <v>86</v>
      </c>
      <c r="S613">
        <v>55</v>
      </c>
      <c r="T613">
        <f>VLOOKUP(O613,Nuclides!A:D,4,FALSE)</f>
        <v>24.84</v>
      </c>
    </row>
    <row r="614" spans="2:20" x14ac:dyDescent="0.2">
      <c r="B614" s="8">
        <v>60149</v>
      </c>
      <c r="C614" s="9">
        <v>1.6458799999999999E-7</v>
      </c>
      <c r="D614" s="8" t="s">
        <v>1778</v>
      </c>
      <c r="E614" s="1">
        <v>6220.8</v>
      </c>
      <c r="F614" s="1">
        <f t="shared" si="27"/>
        <v>1.114241223893945E-4</v>
      </c>
      <c r="G614" s="1">
        <f t="shared" si="28"/>
        <v>228858.88629158447</v>
      </c>
      <c r="H614" s="1">
        <f t="shared" si="29"/>
        <v>0</v>
      </c>
      <c r="K614">
        <f>VLOOKUP(B614,Nuclides!A:C,2,FALSE)</f>
        <v>89</v>
      </c>
      <c r="L614">
        <f>VLOOKUP(B614,Nuclides!A:C,3,FALSE)</f>
        <v>60</v>
      </c>
      <c r="O614" s="1">
        <v>55142</v>
      </c>
      <c r="P614" s="1">
        <v>1.6966400000000001E-5</v>
      </c>
      <c r="Q614" t="s">
        <v>1600</v>
      </c>
      <c r="R614">
        <v>87</v>
      </c>
      <c r="S614">
        <v>55</v>
      </c>
      <c r="T614">
        <f>VLOOKUP(O614,Nuclides!A:D,4,FALSE)</f>
        <v>1.6839999999999999</v>
      </c>
    </row>
    <row r="615" spans="2:20" x14ac:dyDescent="0.2">
      <c r="B615" s="8">
        <v>60150</v>
      </c>
      <c r="C615" s="9">
        <v>4.5593399999999998E-7</v>
      </c>
      <c r="D615" s="8" t="s">
        <v>1779</v>
      </c>
      <c r="E615" s="1">
        <v>2.8717416000000001E+26</v>
      </c>
      <c r="F615" s="1">
        <f t="shared" si="27"/>
        <v>2.4136822775417722E-27</v>
      </c>
      <c r="G615" s="1">
        <f t="shared" si="28"/>
        <v>0</v>
      </c>
      <c r="H615" s="1">
        <f t="shared" si="29"/>
        <v>0</v>
      </c>
      <c r="K615">
        <f>VLOOKUP(B615,Nuclides!A:C,2,FALSE)</f>
        <v>90</v>
      </c>
      <c r="L615">
        <f>VLOOKUP(B615,Nuclides!A:C,3,FALSE)</f>
        <v>60</v>
      </c>
      <c r="O615" s="1">
        <v>55143</v>
      </c>
      <c r="P615" s="1">
        <v>1.31636E-5</v>
      </c>
      <c r="Q615" t="s">
        <v>1601</v>
      </c>
      <c r="R615">
        <v>88</v>
      </c>
      <c r="S615">
        <v>55</v>
      </c>
      <c r="T615">
        <f>VLOOKUP(O615,Nuclides!A:D,4,FALSE)</f>
        <v>1.7909999999999999</v>
      </c>
    </row>
    <row r="616" spans="2:20" x14ac:dyDescent="0.2">
      <c r="B616" s="8">
        <v>60151</v>
      </c>
      <c r="C616" s="9">
        <v>8.6831200000000003E-7</v>
      </c>
      <c r="D616" s="8" t="s">
        <v>1780</v>
      </c>
      <c r="E616" s="1">
        <v>746.4</v>
      </c>
      <c r="F616" s="1">
        <f t="shared" si="27"/>
        <v>9.2865377888524286E-4</v>
      </c>
      <c r="G616" s="1">
        <f t="shared" si="28"/>
        <v>10058716.770686466</v>
      </c>
      <c r="H616" s="1">
        <f t="shared" si="29"/>
        <v>0</v>
      </c>
      <c r="K616">
        <f>VLOOKUP(B616,Nuclides!A:C,2,FALSE)</f>
        <v>91</v>
      </c>
      <c r="L616">
        <f>VLOOKUP(B616,Nuclides!A:C,3,FALSE)</f>
        <v>60</v>
      </c>
      <c r="O616" s="1">
        <v>55144</v>
      </c>
      <c r="P616" s="1">
        <v>5.37823E-6</v>
      </c>
      <c r="Q616" t="s">
        <v>1602</v>
      </c>
      <c r="R616">
        <v>89</v>
      </c>
      <c r="S616">
        <v>55</v>
      </c>
      <c r="T616">
        <f>VLOOKUP(O616,Nuclides!A:D,4,FALSE)</f>
        <v>0.99399999999999999</v>
      </c>
    </row>
    <row r="617" spans="2:20" x14ac:dyDescent="0.2">
      <c r="B617" s="8">
        <v>60152</v>
      </c>
      <c r="C617" s="9">
        <v>1.5264600000000001E-6</v>
      </c>
      <c r="D617" s="8" t="s">
        <v>1781</v>
      </c>
      <c r="E617" s="1">
        <v>684</v>
      </c>
      <c r="F617" s="1">
        <f t="shared" si="27"/>
        <v>1.0133730709940721E-3</v>
      </c>
      <c r="G617" s="1">
        <f t="shared" si="28"/>
        <v>19295202.484686017</v>
      </c>
      <c r="H617" s="1">
        <f t="shared" si="29"/>
        <v>0</v>
      </c>
      <c r="K617">
        <f>VLOOKUP(B617,Nuclides!A:C,2,FALSE)</f>
        <v>92</v>
      </c>
      <c r="L617">
        <f>VLOOKUP(B617,Nuclides!A:C,3,FALSE)</f>
        <v>60</v>
      </c>
      <c r="O617" s="1">
        <v>55145</v>
      </c>
      <c r="P617" s="1">
        <v>3.20947E-6</v>
      </c>
      <c r="Q617" t="s">
        <v>1603</v>
      </c>
      <c r="R617">
        <v>90</v>
      </c>
      <c r="S617">
        <v>55</v>
      </c>
      <c r="T617">
        <f>VLOOKUP(O617,Nuclides!A:D,4,FALSE)</f>
        <v>0.58699999999999997</v>
      </c>
    </row>
    <row r="618" spans="2:20" x14ac:dyDescent="0.2">
      <c r="B618" s="8">
        <v>60153</v>
      </c>
      <c r="C618" s="9">
        <v>1.8548E-6</v>
      </c>
      <c r="D618" s="8" t="s">
        <v>1782</v>
      </c>
      <c r="E618" s="1">
        <v>31.6</v>
      </c>
      <c r="F618" s="1">
        <f t="shared" si="27"/>
        <v>2.1935037359491937E-2</v>
      </c>
      <c r="G618" s="1">
        <f t="shared" si="28"/>
        <v>502221874.57317209</v>
      </c>
      <c r="H618" s="1">
        <f t="shared" si="29"/>
        <v>0</v>
      </c>
      <c r="K618">
        <f>VLOOKUP(B618,Nuclides!A:C,2,FALSE)</f>
        <v>93</v>
      </c>
      <c r="L618">
        <f>VLOOKUP(B618,Nuclides!A:C,3,FALSE)</f>
        <v>60</v>
      </c>
      <c r="O618" s="1">
        <v>55146</v>
      </c>
      <c r="P618" s="1">
        <v>1.0418299999999999E-6</v>
      </c>
      <c r="Q618" t="s">
        <v>1604</v>
      </c>
      <c r="R618">
        <v>91</v>
      </c>
      <c r="S618">
        <v>55</v>
      </c>
      <c r="T618">
        <f>VLOOKUP(O618,Nuclides!A:D,4,FALSE)</f>
        <v>0.32200000000000001</v>
      </c>
    </row>
    <row r="619" spans="2:20" x14ac:dyDescent="0.2">
      <c r="B619" s="8">
        <v>60154</v>
      </c>
      <c r="C619" s="9">
        <v>1.9192900000000001E-6</v>
      </c>
      <c r="D619" s="8" t="s">
        <v>1783</v>
      </c>
      <c r="E619" s="1">
        <v>25.9</v>
      </c>
      <c r="F619" s="1">
        <f t="shared" si="27"/>
        <v>2.6762439403858893E-2</v>
      </c>
      <c r="G619" s="1">
        <f t="shared" si="28"/>
        <v>632531930.02443469</v>
      </c>
      <c r="H619" s="1">
        <f t="shared" si="29"/>
        <v>0</v>
      </c>
      <c r="K619">
        <f>VLOOKUP(B619,Nuclides!A:C,2,FALSE)</f>
        <v>94</v>
      </c>
      <c r="L619">
        <f>VLOOKUP(B619,Nuclides!A:C,3,FALSE)</f>
        <v>60</v>
      </c>
      <c r="O619" s="1">
        <v>55147</v>
      </c>
      <c r="P619" s="1">
        <v>4.52862E-7</v>
      </c>
      <c r="Q619" t="s">
        <v>1605</v>
      </c>
      <c r="R619">
        <v>92</v>
      </c>
      <c r="S619">
        <v>55</v>
      </c>
      <c r="T619">
        <f>VLOOKUP(O619,Nuclides!A:D,4,FALSE)</f>
        <v>0.23</v>
      </c>
    </row>
    <row r="620" spans="2:20" x14ac:dyDescent="0.2">
      <c r="B620" s="8">
        <v>61132</v>
      </c>
      <c r="C620" s="9">
        <v>1.3462999999999999E-6</v>
      </c>
      <c r="D620" s="8" t="s">
        <v>1795</v>
      </c>
      <c r="E620" s="1">
        <v>6.2</v>
      </c>
      <c r="F620" s="1">
        <f t="shared" si="27"/>
        <v>0.11179793234837827</v>
      </c>
      <c r="G620" s="1">
        <f t="shared" si="28"/>
        <v>1777214056.3372567</v>
      </c>
      <c r="H620" s="1">
        <f t="shared" si="29"/>
        <v>0</v>
      </c>
      <c r="K620">
        <f>VLOOKUP(B620,Nuclides!A:C,2,FALSE)</f>
        <v>71</v>
      </c>
      <c r="L620">
        <f>VLOOKUP(B620,Nuclides!A:C,3,FALSE)</f>
        <v>61</v>
      </c>
      <c r="O620" s="1">
        <v>55148</v>
      </c>
      <c r="P620" s="1">
        <v>8.5853999999999996E-8</v>
      </c>
      <c r="Q620" t="s">
        <v>1606</v>
      </c>
      <c r="R620">
        <v>93</v>
      </c>
      <c r="S620">
        <v>55</v>
      </c>
      <c r="T620">
        <f>VLOOKUP(O620,Nuclides!A:D,4,FALSE)</f>
        <v>0.14599999999999999</v>
      </c>
    </row>
    <row r="621" spans="2:20" x14ac:dyDescent="0.2">
      <c r="B621" s="8">
        <v>61133</v>
      </c>
      <c r="C621" s="9">
        <v>7.9571999999999998E-7</v>
      </c>
      <c r="D621" s="8" t="s">
        <v>1796</v>
      </c>
      <c r="E621" s="1">
        <v>13.5</v>
      </c>
      <c r="F621" s="1">
        <f t="shared" si="27"/>
        <v>5.1344235597032988E-2</v>
      </c>
      <c r="G621" s="1">
        <f t="shared" si="28"/>
        <v>497009849.99875438</v>
      </c>
      <c r="H621" s="1">
        <f t="shared" si="29"/>
        <v>0</v>
      </c>
      <c r="K621">
        <f>VLOOKUP(B621,Nuclides!A:C,2,FALSE)</f>
        <v>72</v>
      </c>
      <c r="L621">
        <f>VLOOKUP(B621,Nuclides!A:C,3,FALSE)</f>
        <v>61</v>
      </c>
      <c r="O621" s="1">
        <v>56117</v>
      </c>
      <c r="P621" s="1">
        <v>2.5895800000000002E-8</v>
      </c>
      <c r="Q621" t="s">
        <v>1613</v>
      </c>
      <c r="R621">
        <v>61</v>
      </c>
      <c r="S621">
        <v>56</v>
      </c>
      <c r="T621">
        <f>VLOOKUP(O621,Nuclides!A:D,4,FALSE)</f>
        <v>1.75</v>
      </c>
    </row>
    <row r="622" spans="2:20" x14ac:dyDescent="0.2">
      <c r="B622" s="8">
        <v>61134</v>
      </c>
      <c r="C622" s="9">
        <v>3.2261600000000001E-7</v>
      </c>
      <c r="D622" s="8" t="s">
        <v>1797</v>
      </c>
      <c r="E622" s="1">
        <v>5</v>
      </c>
      <c r="F622" s="1">
        <f t="shared" si="27"/>
        <v>0.13862943611198905</v>
      </c>
      <c r="G622" s="1">
        <f t="shared" si="28"/>
        <v>521195494.20628709</v>
      </c>
      <c r="H622" s="1">
        <f t="shared" si="29"/>
        <v>0</v>
      </c>
      <c r="K622">
        <f>VLOOKUP(B622,Nuclides!A:C,2,FALSE)</f>
        <v>73</v>
      </c>
      <c r="L622">
        <f>VLOOKUP(B622,Nuclides!A:C,3,FALSE)</f>
        <v>61</v>
      </c>
      <c r="O622" s="1">
        <v>56118</v>
      </c>
      <c r="P622" s="1">
        <v>4.1182000000000001E-9</v>
      </c>
      <c r="Q622" t="s">
        <v>1614</v>
      </c>
      <c r="R622">
        <v>62</v>
      </c>
      <c r="S622">
        <v>56</v>
      </c>
      <c r="T622">
        <f>VLOOKUP(O622,Nuclides!A:D,4,FALSE)</f>
        <v>5.5</v>
      </c>
    </row>
    <row r="623" spans="2:20" x14ac:dyDescent="0.2">
      <c r="B623" s="8">
        <v>61135</v>
      </c>
      <c r="C623" s="9">
        <v>1.02815E-7</v>
      </c>
      <c r="D623" s="8" t="s">
        <v>1798</v>
      </c>
      <c r="E623" s="1">
        <v>49</v>
      </c>
      <c r="F623" s="1">
        <f t="shared" si="27"/>
        <v>1.4145860827753985E-2</v>
      </c>
      <c r="G623" s="1">
        <f t="shared" si="28"/>
        <v>18023217.868894309</v>
      </c>
      <c r="H623" s="1">
        <f t="shared" si="29"/>
        <v>0</v>
      </c>
      <c r="K623">
        <f>VLOOKUP(B623,Nuclides!A:C,2,FALSE)</f>
        <v>74</v>
      </c>
      <c r="L623">
        <f>VLOOKUP(B623,Nuclides!A:C,3,FALSE)</f>
        <v>61</v>
      </c>
      <c r="O623" s="1">
        <v>56119</v>
      </c>
      <c r="P623" s="1">
        <v>1.1167999999999999E-9</v>
      </c>
      <c r="Q623" t="s">
        <v>1615</v>
      </c>
      <c r="R623">
        <v>63</v>
      </c>
      <c r="S623">
        <v>56</v>
      </c>
      <c r="T623">
        <f>VLOOKUP(O623,Nuclides!A:D,4,FALSE)</f>
        <v>5.4</v>
      </c>
    </row>
    <row r="624" spans="2:20" x14ac:dyDescent="0.2">
      <c r="B624" s="8">
        <v>61136</v>
      </c>
      <c r="C624" s="9">
        <v>2.42904E-8</v>
      </c>
      <c r="D624" s="8" t="s">
        <v>1799</v>
      </c>
      <c r="E624" s="1">
        <v>107</v>
      </c>
      <c r="F624" s="1">
        <f t="shared" si="27"/>
        <v>6.4780110332705171E-3</v>
      </c>
      <c r="G624" s="1">
        <f t="shared" si="28"/>
        <v>1957424.4665913663</v>
      </c>
      <c r="H624" s="1">
        <f t="shared" si="29"/>
        <v>0</v>
      </c>
      <c r="K624">
        <f>VLOOKUP(B624,Nuclides!A:C,2,FALSE)</f>
        <v>75</v>
      </c>
      <c r="L624">
        <f>VLOOKUP(B624,Nuclides!A:C,3,FALSE)</f>
        <v>61</v>
      </c>
      <c r="O624" s="1">
        <v>56133</v>
      </c>
      <c r="P624" s="1">
        <v>6.9799999999999994E-11</v>
      </c>
      <c r="Q624" t="s">
        <v>1629</v>
      </c>
      <c r="R624">
        <v>77</v>
      </c>
      <c r="S624">
        <v>56</v>
      </c>
      <c r="T624">
        <f>VLOOKUP(O624,Nuclides!A:D,4,FALSE)</f>
        <v>332964237.60000002</v>
      </c>
    </row>
    <row r="625" spans="2:20" x14ac:dyDescent="0.2">
      <c r="B625" s="8">
        <v>61137</v>
      </c>
      <c r="C625" s="9">
        <v>5.0255999999999997E-9</v>
      </c>
      <c r="D625" s="8" t="s">
        <v>1800</v>
      </c>
      <c r="E625" s="1">
        <v>144</v>
      </c>
      <c r="F625" s="1">
        <f t="shared" si="27"/>
        <v>4.8135220872218424E-3</v>
      </c>
      <c r="G625" s="1">
        <f t="shared" si="28"/>
        <v>301176.20012083574</v>
      </c>
      <c r="H625" s="1">
        <f t="shared" si="29"/>
        <v>0</v>
      </c>
      <c r="K625">
        <f>VLOOKUP(B625,Nuclides!A:C,2,FALSE)</f>
        <v>76</v>
      </c>
      <c r="L625">
        <f>VLOOKUP(B625,Nuclides!A:C,3,FALSE)</f>
        <v>61</v>
      </c>
      <c r="O625" s="1">
        <v>56134</v>
      </c>
      <c r="P625" s="1">
        <v>1.8148E-9</v>
      </c>
      <c r="Q625" t="s">
        <v>1630</v>
      </c>
      <c r="R625">
        <v>78</v>
      </c>
      <c r="S625">
        <v>56</v>
      </c>
      <c r="T625" t="str">
        <f>VLOOKUP(O625,Nuclides!A:D,4,FALSE)</f>
        <v>STABLE</v>
      </c>
    </row>
    <row r="626" spans="2:20" x14ac:dyDescent="0.2">
      <c r="B626" s="8">
        <v>61138</v>
      </c>
      <c r="C626" s="9">
        <v>6.2819999999999996E-10</v>
      </c>
      <c r="D626" s="8" t="s">
        <v>1801</v>
      </c>
      <c r="E626" s="1">
        <v>10</v>
      </c>
      <c r="F626" s="1">
        <f t="shared" si="27"/>
        <v>6.9314718055994526E-2</v>
      </c>
      <c r="G626" s="1">
        <f t="shared" si="28"/>
        <v>525017.06046288821</v>
      </c>
      <c r="H626" s="1">
        <f t="shared" si="29"/>
        <v>0</v>
      </c>
      <c r="K626">
        <f>VLOOKUP(B626,Nuclides!A:C,2,FALSE)</f>
        <v>77</v>
      </c>
      <c r="L626">
        <f>VLOOKUP(B626,Nuclides!A:C,3,FALSE)</f>
        <v>61</v>
      </c>
      <c r="O626" s="1">
        <v>56135</v>
      </c>
      <c r="P626" s="1">
        <v>9.9115999999999996E-9</v>
      </c>
      <c r="Q626" t="s">
        <v>1631</v>
      </c>
      <c r="R626">
        <v>79</v>
      </c>
      <c r="S626">
        <v>56</v>
      </c>
      <c r="T626" t="str">
        <f>VLOOKUP(O626,Nuclides!A:D,4,FALSE)</f>
        <v>STABLE</v>
      </c>
    </row>
    <row r="627" spans="2:20" x14ac:dyDescent="0.2">
      <c r="B627" s="8">
        <v>61139</v>
      </c>
      <c r="C627" s="9">
        <v>1.3959999999999999E-10</v>
      </c>
      <c r="D627" s="8" t="s">
        <v>1802</v>
      </c>
      <c r="E627" s="1">
        <v>249</v>
      </c>
      <c r="F627" s="1">
        <f t="shared" si="27"/>
        <v>2.7837236167066078E-3</v>
      </c>
      <c r="G627" s="1">
        <f t="shared" si="28"/>
        <v>4843.0815271359661</v>
      </c>
      <c r="H627" s="1">
        <f t="shared" si="29"/>
        <v>0</v>
      </c>
      <c r="K627">
        <f>VLOOKUP(B627,Nuclides!A:C,2,FALSE)</f>
        <v>78</v>
      </c>
      <c r="L627">
        <f>VLOOKUP(B627,Nuclides!A:C,3,FALSE)</f>
        <v>61</v>
      </c>
      <c r="O627" s="1">
        <v>56136</v>
      </c>
      <c r="P627" s="1">
        <v>1.1454199999999999E-7</v>
      </c>
      <c r="Q627" t="s">
        <v>1632</v>
      </c>
      <c r="R627">
        <v>80</v>
      </c>
      <c r="S627">
        <v>56</v>
      </c>
      <c r="T627" t="str">
        <f>VLOOKUP(O627,Nuclides!A:D,4,FALSE)</f>
        <v>STABLE</v>
      </c>
    </row>
    <row r="628" spans="2:20" x14ac:dyDescent="0.2">
      <c r="B628" s="8">
        <v>61147</v>
      </c>
      <c r="C628" s="9">
        <v>2.7919999999999998E-10</v>
      </c>
      <c r="D628" s="8" t="s">
        <v>1810</v>
      </c>
      <c r="E628" s="1">
        <v>82788207.840000004</v>
      </c>
      <c r="F628" s="1">
        <f t="shared" si="27"/>
        <v>8.3725351550011917E-9</v>
      </c>
      <c r="G628" s="1">
        <f t="shared" si="28"/>
        <v>2.9173395296652412E-2</v>
      </c>
      <c r="H628" s="1">
        <f t="shared" si="29"/>
        <v>2.2403583087367708E-2</v>
      </c>
      <c r="K628">
        <f>VLOOKUP(B628,Nuclides!A:C,2,FALSE)</f>
        <v>86</v>
      </c>
      <c r="L628">
        <f>VLOOKUP(B628,Nuclides!A:C,3,FALSE)</f>
        <v>61</v>
      </c>
      <c r="O628" s="1">
        <v>56137</v>
      </c>
      <c r="P628" s="1">
        <v>5.5330499999999999E-7</v>
      </c>
      <c r="Q628" t="s">
        <v>1633</v>
      </c>
      <c r="R628">
        <v>81</v>
      </c>
      <c r="S628">
        <v>56</v>
      </c>
      <c r="T628" t="str">
        <f>VLOOKUP(O628,Nuclides!A:D,4,FALSE)</f>
        <v>STABLE</v>
      </c>
    </row>
    <row r="629" spans="2:20" x14ac:dyDescent="0.2">
      <c r="B629" s="8">
        <v>61148</v>
      </c>
      <c r="C629" s="9">
        <v>4.8860000000000005E-10</v>
      </c>
      <c r="D629" s="8" t="s">
        <v>1811</v>
      </c>
      <c r="E629" s="1">
        <v>463795.20000000001</v>
      </c>
      <c r="F629" s="1">
        <f t="shared" si="27"/>
        <v>1.4945113286207905E-6</v>
      </c>
      <c r="G629" s="1">
        <f t="shared" si="28"/>
        <v>9.1131167648276961</v>
      </c>
      <c r="H629" s="1">
        <f t="shared" si="29"/>
        <v>3.0972275695158811E-20</v>
      </c>
      <c r="K629">
        <f>VLOOKUP(B629,Nuclides!A:C,2,FALSE)</f>
        <v>87</v>
      </c>
      <c r="L629">
        <f>VLOOKUP(B629,Nuclides!A:C,3,FALSE)</f>
        <v>61</v>
      </c>
      <c r="O629" s="1">
        <v>56138</v>
      </c>
      <c r="P629" s="1">
        <v>3.2158300000000002E-6</v>
      </c>
      <c r="Q629" t="s">
        <v>1634</v>
      </c>
      <c r="R629">
        <v>82</v>
      </c>
      <c r="S629">
        <v>56</v>
      </c>
      <c r="T629" t="str">
        <f>VLOOKUP(O629,Nuclides!A:D,4,FALSE)</f>
        <v>STABLE</v>
      </c>
    </row>
    <row r="630" spans="2:20" x14ac:dyDescent="0.2">
      <c r="B630" s="8">
        <v>61149</v>
      </c>
      <c r="C630" s="9">
        <v>2.0242000000000001E-9</v>
      </c>
      <c r="D630" s="8" t="s">
        <v>1812</v>
      </c>
      <c r="E630" s="1">
        <v>191088</v>
      </c>
      <c r="F630" s="1">
        <f t="shared" si="27"/>
        <v>3.6273715804233928E-6</v>
      </c>
      <c r="G630" s="1">
        <f t="shared" si="28"/>
        <v>91.634552705215967</v>
      </c>
      <c r="H630" s="1">
        <f t="shared" si="29"/>
        <v>1.913822817629437E-48</v>
      </c>
      <c r="K630">
        <f>VLOOKUP(B630,Nuclides!A:C,2,FALSE)</f>
        <v>88</v>
      </c>
      <c r="L630">
        <f>VLOOKUP(B630,Nuclides!A:C,3,FALSE)</f>
        <v>61</v>
      </c>
      <c r="O630" s="1">
        <v>56139</v>
      </c>
      <c r="P630" s="1">
        <v>4.9483300000000001E-6</v>
      </c>
      <c r="Q630" t="s">
        <v>1635</v>
      </c>
      <c r="R630">
        <v>83</v>
      </c>
      <c r="S630">
        <v>56</v>
      </c>
      <c r="T630">
        <f>VLOOKUP(O630,Nuclides!A:D,4,FALSE)</f>
        <v>4983.6000000000004</v>
      </c>
    </row>
    <row r="631" spans="2:20" x14ac:dyDescent="0.2">
      <c r="B631" s="8">
        <v>61150</v>
      </c>
      <c r="C631" s="9">
        <v>7.2591999999999999E-9</v>
      </c>
      <c r="D631" s="8" t="s">
        <v>1813</v>
      </c>
      <c r="E631" s="1">
        <v>9712.7999999999993</v>
      </c>
      <c r="F631" s="1">
        <f t="shared" si="27"/>
        <v>7.1364300774230435E-5</v>
      </c>
      <c r="G631" s="1">
        <f t="shared" si="28"/>
        <v>6465.0050095899369</v>
      </c>
      <c r="H631" s="1">
        <f t="shared" si="29"/>
        <v>0</v>
      </c>
      <c r="K631">
        <f>VLOOKUP(B631,Nuclides!A:C,2,FALSE)</f>
        <v>89</v>
      </c>
      <c r="L631">
        <f>VLOOKUP(B631,Nuclides!A:C,3,FALSE)</f>
        <v>61</v>
      </c>
      <c r="O631" s="1">
        <v>56140</v>
      </c>
      <c r="P631" s="1">
        <v>1.1966E-5</v>
      </c>
      <c r="Q631" t="s">
        <v>1636</v>
      </c>
      <c r="R631">
        <v>84</v>
      </c>
      <c r="S631">
        <v>56</v>
      </c>
      <c r="T631">
        <f>VLOOKUP(O631,Nuclides!A:D,4,FALSE)</f>
        <v>1101833.28</v>
      </c>
    </row>
    <row r="632" spans="2:20" x14ac:dyDescent="0.2">
      <c r="B632" s="8">
        <v>61151</v>
      </c>
      <c r="C632" s="9">
        <v>2.8967000000000001E-8</v>
      </c>
      <c r="D632" s="8" t="s">
        <v>1814</v>
      </c>
      <c r="E632" s="1">
        <v>102240</v>
      </c>
      <c r="F632" s="1">
        <f t="shared" si="27"/>
        <v>6.7796085735518902E-6</v>
      </c>
      <c r="G632" s="1">
        <f t="shared" si="28"/>
        <v>2450.8755129378628</v>
      </c>
      <c r="H632" s="1">
        <f t="shared" si="29"/>
        <v>3.4388014186318062E-90</v>
      </c>
      <c r="K632">
        <f>VLOOKUP(B632,Nuclides!A:C,2,FALSE)</f>
        <v>90</v>
      </c>
      <c r="L632">
        <f>VLOOKUP(B632,Nuclides!A:C,3,FALSE)</f>
        <v>61</v>
      </c>
      <c r="O632" s="1">
        <v>56141</v>
      </c>
      <c r="P632" s="1">
        <v>1.4184499999999999E-5</v>
      </c>
      <c r="Q632" t="s">
        <v>1637</v>
      </c>
      <c r="R632">
        <v>85</v>
      </c>
      <c r="S632">
        <v>56</v>
      </c>
      <c r="T632">
        <f>VLOOKUP(O632,Nuclides!A:D,4,FALSE)</f>
        <v>1096.2</v>
      </c>
    </row>
    <row r="633" spans="2:20" x14ac:dyDescent="0.2">
      <c r="B633" s="8">
        <v>61152</v>
      </c>
      <c r="C633" s="9">
        <v>6.9660399999999998E-8</v>
      </c>
      <c r="D633" s="8" t="s">
        <v>1815</v>
      </c>
      <c r="E633" s="1">
        <v>247.2</v>
      </c>
      <c r="F633" s="1">
        <f t="shared" si="27"/>
        <v>2.8039934488670927E-3</v>
      </c>
      <c r="G633" s="1">
        <f t="shared" si="28"/>
        <v>2434270.3354970529</v>
      </c>
      <c r="H633" s="1">
        <f t="shared" si="29"/>
        <v>0</v>
      </c>
      <c r="K633">
        <f>VLOOKUP(B633,Nuclides!A:C,2,FALSE)</f>
        <v>91</v>
      </c>
      <c r="L633">
        <f>VLOOKUP(B633,Nuclides!A:C,3,FALSE)</f>
        <v>61</v>
      </c>
      <c r="O633" s="1">
        <v>56142</v>
      </c>
      <c r="P633" s="1">
        <v>2.3874199999999999E-5</v>
      </c>
      <c r="Q633" t="s">
        <v>1638</v>
      </c>
      <c r="R633">
        <v>86</v>
      </c>
      <c r="S633">
        <v>56</v>
      </c>
      <c r="T633">
        <f>VLOOKUP(O633,Nuclides!A:D,4,FALSE)</f>
        <v>636</v>
      </c>
    </row>
    <row r="634" spans="2:20" x14ac:dyDescent="0.2">
      <c r="B634" s="8">
        <v>61153</v>
      </c>
      <c r="C634" s="9">
        <v>1.68986E-7</v>
      </c>
      <c r="D634" s="8" t="s">
        <v>1816</v>
      </c>
      <c r="E634" s="1">
        <v>315</v>
      </c>
      <c r="F634" s="1">
        <f t="shared" si="27"/>
        <v>2.2004672398728423E-3</v>
      </c>
      <c r="G634" s="1">
        <f t="shared" si="28"/>
        <v>4635562.9266740484</v>
      </c>
      <c r="H634" s="1">
        <f t="shared" si="29"/>
        <v>0</v>
      </c>
      <c r="K634">
        <f>VLOOKUP(B634,Nuclides!A:C,2,FALSE)</f>
        <v>92</v>
      </c>
      <c r="L634">
        <f>VLOOKUP(B634,Nuclides!A:C,3,FALSE)</f>
        <v>61</v>
      </c>
      <c r="O634" s="1">
        <v>56143</v>
      </c>
      <c r="P634" s="1">
        <v>1.8289999999999999E-5</v>
      </c>
      <c r="Q634" t="s">
        <v>1639</v>
      </c>
      <c r="R634">
        <v>87</v>
      </c>
      <c r="S634">
        <v>56</v>
      </c>
      <c r="T634">
        <f>VLOOKUP(O634,Nuclides!A:D,4,FALSE)</f>
        <v>14.5</v>
      </c>
    </row>
    <row r="635" spans="2:20" x14ac:dyDescent="0.2">
      <c r="B635" s="8">
        <v>61154</v>
      </c>
      <c r="C635" s="9">
        <v>2.7431399999999998E-7</v>
      </c>
      <c r="D635" s="8" t="s">
        <v>1817</v>
      </c>
      <c r="E635" s="1">
        <v>160.80000000000001</v>
      </c>
      <c r="F635" s="1">
        <f t="shared" si="27"/>
        <v>4.3106167945270229E-3</v>
      </c>
      <c r="G635" s="1">
        <f t="shared" si="28"/>
        <v>14725371.922193343</v>
      </c>
      <c r="H635" s="1">
        <f t="shared" si="29"/>
        <v>0</v>
      </c>
      <c r="K635">
        <f>VLOOKUP(B635,Nuclides!A:C,2,FALSE)</f>
        <v>93</v>
      </c>
      <c r="L635">
        <f>VLOOKUP(B635,Nuclides!A:C,3,FALSE)</f>
        <v>61</v>
      </c>
      <c r="O635" s="1">
        <v>56144</v>
      </c>
      <c r="P635" s="1">
        <v>2.0009399999999999E-5</v>
      </c>
      <c r="Q635" t="s">
        <v>1640</v>
      </c>
      <c r="R635">
        <v>88</v>
      </c>
      <c r="S635">
        <v>56</v>
      </c>
      <c r="T635">
        <f>VLOOKUP(O635,Nuclides!A:D,4,FALSE)</f>
        <v>11.5</v>
      </c>
    </row>
    <row r="636" spans="2:20" x14ac:dyDescent="0.2">
      <c r="B636" s="8">
        <v>61155</v>
      </c>
      <c r="C636" s="9">
        <v>4.0218799999999997E-7</v>
      </c>
      <c r="D636" s="8" t="s">
        <v>1818</v>
      </c>
      <c r="E636" s="1">
        <v>41.5</v>
      </c>
      <c r="F636" s="1">
        <f t="shared" si="27"/>
        <v>1.6702341700239647E-2</v>
      </c>
      <c r="G636" s="1">
        <f t="shared" si="28"/>
        <v>83137936.082435742</v>
      </c>
      <c r="H636" s="1">
        <f t="shared" si="29"/>
        <v>0</v>
      </c>
      <c r="K636">
        <f>VLOOKUP(B636,Nuclides!A:C,2,FALSE)</f>
        <v>94</v>
      </c>
      <c r="L636">
        <f>VLOOKUP(B636,Nuclides!A:C,3,FALSE)</f>
        <v>61</v>
      </c>
      <c r="O636" s="1">
        <v>56145</v>
      </c>
      <c r="P636" s="1">
        <v>1.04223E-5</v>
      </c>
      <c r="Q636" t="s">
        <v>1641</v>
      </c>
      <c r="R636">
        <v>89</v>
      </c>
      <c r="S636">
        <v>56</v>
      </c>
      <c r="T636">
        <f>VLOOKUP(O636,Nuclides!A:D,4,FALSE)</f>
        <v>4.3099999999999996</v>
      </c>
    </row>
    <row r="637" spans="2:20" x14ac:dyDescent="0.2">
      <c r="B637" s="8">
        <v>62133</v>
      </c>
      <c r="C637" s="9">
        <v>3.6854399999999999E-7</v>
      </c>
      <c r="D637" s="8" t="s">
        <v>1830</v>
      </c>
      <c r="E637" s="1">
        <v>2.89</v>
      </c>
      <c r="F637" s="1">
        <f t="shared" si="27"/>
        <v>0.23984331507264542</v>
      </c>
      <c r="G637" s="1">
        <f t="shared" si="28"/>
        <v>980823092.60102248</v>
      </c>
      <c r="H637" s="1">
        <f t="shared" si="29"/>
        <v>0</v>
      </c>
      <c r="K637">
        <f>VLOOKUP(B637,Nuclides!A:C,2,FALSE)</f>
        <v>71</v>
      </c>
      <c r="L637">
        <f>VLOOKUP(B637,Nuclides!A:C,3,FALSE)</f>
        <v>62</v>
      </c>
      <c r="O637" s="1">
        <v>56146</v>
      </c>
      <c r="P637" s="1">
        <v>6.8142900000000003E-6</v>
      </c>
      <c r="Q637" t="s">
        <v>1642</v>
      </c>
      <c r="R637">
        <v>90</v>
      </c>
      <c r="S637">
        <v>56</v>
      </c>
      <c r="T637">
        <f>VLOOKUP(O637,Nuclides!A:D,4,FALSE)</f>
        <v>2.2200000000000002</v>
      </c>
    </row>
    <row r="638" spans="2:20" x14ac:dyDescent="0.2">
      <c r="B638" s="8">
        <v>62134</v>
      </c>
      <c r="C638" s="9">
        <v>3.3566799999999999E-7</v>
      </c>
      <c r="D638" s="8" t="s">
        <v>1831</v>
      </c>
      <c r="E638" s="1">
        <v>9.5</v>
      </c>
      <c r="F638" s="1">
        <f t="shared" si="27"/>
        <v>7.2962861111573185E-2</v>
      </c>
      <c r="G638" s="1">
        <f t="shared" si="28"/>
        <v>294767112.49487752</v>
      </c>
      <c r="H638" s="1">
        <f t="shared" si="29"/>
        <v>0</v>
      </c>
      <c r="K638">
        <f>VLOOKUP(B638,Nuclides!A:C,2,FALSE)</f>
        <v>72</v>
      </c>
      <c r="L638">
        <f>VLOOKUP(B638,Nuclides!A:C,3,FALSE)</f>
        <v>62</v>
      </c>
      <c r="O638" s="1">
        <v>56147</v>
      </c>
      <c r="P638" s="1">
        <v>3.00196E-6</v>
      </c>
      <c r="Q638" t="s">
        <v>1643</v>
      </c>
      <c r="R638">
        <v>91</v>
      </c>
      <c r="S638">
        <v>56</v>
      </c>
      <c r="T638">
        <f>VLOOKUP(O638,Nuclides!A:D,4,FALSE)</f>
        <v>0.89400000000000002</v>
      </c>
    </row>
    <row r="639" spans="2:20" x14ac:dyDescent="0.2">
      <c r="B639" s="8">
        <v>62135</v>
      </c>
      <c r="C639" s="9">
        <v>1.76664E-7</v>
      </c>
      <c r="D639" s="8" t="s">
        <v>1832</v>
      </c>
      <c r="E639" s="1">
        <v>10.3</v>
      </c>
      <c r="F639" s="1">
        <f t="shared" si="27"/>
        <v>6.7295842772810213E-2</v>
      </c>
      <c r="G639" s="1">
        <f t="shared" si="28"/>
        <v>143489367.60986713</v>
      </c>
      <c r="H639" s="1">
        <f t="shared" si="29"/>
        <v>0</v>
      </c>
      <c r="K639">
        <f>VLOOKUP(B639,Nuclides!A:C,2,FALSE)</f>
        <v>73</v>
      </c>
      <c r="L639">
        <f>VLOOKUP(B639,Nuclides!A:C,3,FALSE)</f>
        <v>62</v>
      </c>
      <c r="O639" s="1">
        <v>56148</v>
      </c>
      <c r="P639" s="1">
        <v>1.4886199999999999E-6</v>
      </c>
      <c r="Q639" t="s">
        <v>1644</v>
      </c>
      <c r="R639">
        <v>92</v>
      </c>
      <c r="S639">
        <v>56</v>
      </c>
      <c r="T639">
        <f>VLOOKUP(O639,Nuclides!A:D,4,FALSE)</f>
        <v>0.61199999999999999</v>
      </c>
    </row>
    <row r="640" spans="2:20" x14ac:dyDescent="0.2">
      <c r="B640" s="8">
        <v>62136</v>
      </c>
      <c r="C640" s="9">
        <v>9.3531999999999993E-8</v>
      </c>
      <c r="D640" s="8" t="s">
        <v>1833</v>
      </c>
      <c r="E640" s="1">
        <v>47</v>
      </c>
      <c r="F640" s="1">
        <f t="shared" si="27"/>
        <v>1.4747812352339261E-2</v>
      </c>
      <c r="G640" s="1">
        <f t="shared" si="28"/>
        <v>17088498.256189689</v>
      </c>
      <c r="H640" s="1">
        <f t="shared" si="29"/>
        <v>0</v>
      </c>
      <c r="K640">
        <f>VLOOKUP(B640,Nuclides!A:C,2,FALSE)</f>
        <v>74</v>
      </c>
      <c r="L640">
        <f>VLOOKUP(B640,Nuclides!A:C,3,FALSE)</f>
        <v>62</v>
      </c>
      <c r="O640" s="1">
        <v>57123</v>
      </c>
      <c r="P640" s="1">
        <v>3.3413300000000002E-7</v>
      </c>
      <c r="Q640" t="s">
        <v>1653</v>
      </c>
      <c r="R640">
        <v>66</v>
      </c>
      <c r="S640">
        <v>57</v>
      </c>
      <c r="T640">
        <f>VLOOKUP(O640,Nuclides!A:D,4,FALSE)</f>
        <v>17</v>
      </c>
    </row>
    <row r="641" spans="2:20" x14ac:dyDescent="0.2">
      <c r="B641" s="8">
        <v>62137</v>
      </c>
      <c r="C641" s="9">
        <v>2.5895800000000002E-8</v>
      </c>
      <c r="D641" s="8" t="s">
        <v>1834</v>
      </c>
      <c r="E641" s="1">
        <v>45</v>
      </c>
      <c r="F641" s="1">
        <f t="shared" si="27"/>
        <v>1.5403270679109895E-2</v>
      </c>
      <c r="G641" s="1">
        <f t="shared" si="28"/>
        <v>4939879.787987737</v>
      </c>
      <c r="H641" s="1">
        <f t="shared" si="29"/>
        <v>0</v>
      </c>
      <c r="K641">
        <f>VLOOKUP(B641,Nuclides!A:C,2,FALSE)</f>
        <v>75</v>
      </c>
      <c r="L641">
        <f>VLOOKUP(B641,Nuclides!A:C,3,FALSE)</f>
        <v>62</v>
      </c>
      <c r="O641" s="1">
        <v>57124</v>
      </c>
      <c r="P641" s="1">
        <v>1.5020999999999999E-7</v>
      </c>
      <c r="Q641" t="s">
        <v>1654</v>
      </c>
      <c r="R641">
        <v>67</v>
      </c>
      <c r="S641">
        <v>57</v>
      </c>
      <c r="T641">
        <f>VLOOKUP(O641,Nuclides!A:D,4,FALSE)</f>
        <v>29.21</v>
      </c>
    </row>
    <row r="642" spans="2:20" x14ac:dyDescent="0.2">
      <c r="B642" s="8">
        <v>62138</v>
      </c>
      <c r="C642" s="9">
        <v>8.3061999999999993E-9</v>
      </c>
      <c r="D642" s="8" t="s">
        <v>1835</v>
      </c>
      <c r="E642" s="1">
        <v>186</v>
      </c>
      <c r="F642" s="1">
        <f t="shared" si="27"/>
        <v>3.7265977449459425E-3</v>
      </c>
      <c r="G642" s="1">
        <f t="shared" si="28"/>
        <v>385585.34306902427</v>
      </c>
      <c r="H642" s="1">
        <f t="shared" si="29"/>
        <v>0</v>
      </c>
      <c r="K642">
        <f>VLOOKUP(B642,Nuclides!A:C,2,FALSE)</f>
        <v>76</v>
      </c>
      <c r="L642">
        <f>VLOOKUP(B642,Nuclides!A:C,3,FALSE)</f>
        <v>62</v>
      </c>
      <c r="O642" s="1">
        <v>57125</v>
      </c>
      <c r="P642" s="1">
        <v>2.4220600000000001E-8</v>
      </c>
      <c r="Q642" t="s">
        <v>1655</v>
      </c>
      <c r="R642">
        <v>68</v>
      </c>
      <c r="S642">
        <v>57</v>
      </c>
      <c r="T642">
        <f>VLOOKUP(O642,Nuclides!A:D,4,FALSE)</f>
        <v>64.8</v>
      </c>
    </row>
    <row r="643" spans="2:20" x14ac:dyDescent="0.2">
      <c r="B643" s="8">
        <v>62139</v>
      </c>
      <c r="C643" s="9">
        <v>1.7450000000000001E-9</v>
      </c>
      <c r="D643" s="8" t="s">
        <v>1836</v>
      </c>
      <c r="E643" s="1">
        <v>154.19999999999999</v>
      </c>
      <c r="F643" s="1">
        <f t="shared" si="27"/>
        <v>4.4951179024639775E-3</v>
      </c>
      <c r="G643" s="1">
        <f t="shared" si="28"/>
        <v>97673.188916647734</v>
      </c>
      <c r="H643" s="1">
        <f t="shared" si="29"/>
        <v>0</v>
      </c>
      <c r="K643">
        <f>VLOOKUP(B643,Nuclides!A:C,2,FALSE)</f>
        <v>77</v>
      </c>
      <c r="L643">
        <f>VLOOKUP(B643,Nuclides!A:C,3,FALSE)</f>
        <v>62</v>
      </c>
      <c r="O643" s="1">
        <v>57126</v>
      </c>
      <c r="P643" s="1">
        <v>7.6779999999999993E-9</v>
      </c>
      <c r="Q643" t="s">
        <v>1656</v>
      </c>
      <c r="R643">
        <v>69</v>
      </c>
      <c r="S643">
        <v>57</v>
      </c>
      <c r="T643">
        <f>VLOOKUP(O643,Nuclides!A:D,4,FALSE)</f>
        <v>54</v>
      </c>
    </row>
    <row r="644" spans="2:20" x14ac:dyDescent="0.2">
      <c r="B644" s="8">
        <v>62140</v>
      </c>
      <c r="C644" s="9">
        <v>1.3959999999999999E-10</v>
      </c>
      <c r="D644" s="8" t="s">
        <v>1837</v>
      </c>
      <c r="E644" s="1">
        <v>889.2</v>
      </c>
      <c r="F644" s="1">
        <f t="shared" ref="F644:F707" si="30">LN(2)/E644</f>
        <v>7.7951774691851692E-4</v>
      </c>
      <c r="G644" s="1">
        <f t="shared" ref="G644:G707" si="31">2*6240000000000000*C644*(1-EXP(-F644))</f>
        <v>1357.5528678041242</v>
      </c>
      <c r="H644" s="1">
        <f t="shared" ref="H644:H707" si="32">G644*EXP(-F644*365*24*3600)</f>
        <v>0</v>
      </c>
      <c r="K644">
        <f>VLOOKUP(B644,Nuclides!A:C,2,FALSE)</f>
        <v>78</v>
      </c>
      <c r="L644">
        <f>VLOOKUP(B644,Nuclides!A:C,3,FALSE)</f>
        <v>62</v>
      </c>
      <c r="O644" s="1">
        <v>57127</v>
      </c>
      <c r="P644" s="1">
        <v>9.0739999999999999E-10</v>
      </c>
      <c r="Q644" t="s">
        <v>1657</v>
      </c>
      <c r="R644">
        <v>70</v>
      </c>
      <c r="S644">
        <v>57</v>
      </c>
      <c r="T644">
        <f>VLOOKUP(O644,Nuclides!A:D,4,FALSE)</f>
        <v>306</v>
      </c>
    </row>
    <row r="645" spans="2:20" x14ac:dyDescent="0.2">
      <c r="B645" s="8">
        <v>62151</v>
      </c>
      <c r="C645" s="9">
        <v>5.5839999999999995E-10</v>
      </c>
      <c r="D645" s="8" t="s">
        <v>1848</v>
      </c>
      <c r="E645" s="1">
        <v>2840184000</v>
      </c>
      <c r="F645" s="1">
        <f t="shared" si="30"/>
        <v>2.4405009695144584E-10</v>
      </c>
      <c r="G645" s="1">
        <f t="shared" si="31"/>
        <v>1.700744240224594E-3</v>
      </c>
      <c r="H645" s="1">
        <f t="shared" si="32"/>
        <v>1.687704935703501E-3</v>
      </c>
      <c r="K645">
        <f>VLOOKUP(B645,Nuclides!A:C,2,FALSE)</f>
        <v>89</v>
      </c>
      <c r="L645">
        <f>VLOOKUP(B645,Nuclides!A:C,3,FALSE)</f>
        <v>62</v>
      </c>
      <c r="O645" s="1">
        <v>57128</v>
      </c>
      <c r="P645" s="1">
        <v>1.3959999999999999E-10</v>
      </c>
      <c r="Q645" t="s">
        <v>1658</v>
      </c>
      <c r="R645">
        <v>71</v>
      </c>
      <c r="S645">
        <v>57</v>
      </c>
      <c r="T645">
        <f>VLOOKUP(O645,Nuclides!A:D,4,FALSE)</f>
        <v>310.79999999999899</v>
      </c>
    </row>
    <row r="646" spans="2:20" x14ac:dyDescent="0.2">
      <c r="B646" s="8">
        <v>62153</v>
      </c>
      <c r="C646" s="9">
        <v>5.3048000000000001E-9</v>
      </c>
      <c r="D646" s="8" t="s">
        <v>1850</v>
      </c>
      <c r="E646" s="1">
        <v>166622.39999999999</v>
      </c>
      <c r="F646" s="1">
        <f t="shared" si="30"/>
        <v>4.1599879761661417E-6</v>
      </c>
      <c r="G646" s="1">
        <f t="shared" si="31"/>
        <v>275.40687177228045</v>
      </c>
      <c r="H646" s="1">
        <f t="shared" si="32"/>
        <v>2.9184388597806164E-55</v>
      </c>
      <c r="K646">
        <f>VLOOKUP(B646,Nuclides!A:C,2,FALSE)</f>
        <v>91</v>
      </c>
      <c r="L646">
        <f>VLOOKUP(B646,Nuclides!A:C,3,FALSE)</f>
        <v>62</v>
      </c>
      <c r="O646" s="1">
        <v>57136</v>
      </c>
      <c r="P646" s="1">
        <v>4.1879999999999999E-10</v>
      </c>
      <c r="Q646" t="s">
        <v>1666</v>
      </c>
      <c r="R646">
        <v>79</v>
      </c>
      <c r="S646">
        <v>57</v>
      </c>
      <c r="T646">
        <f>VLOOKUP(O646,Nuclides!A:D,4,FALSE)</f>
        <v>592.19999999999902</v>
      </c>
    </row>
    <row r="647" spans="2:20" x14ac:dyDescent="0.2">
      <c r="B647" s="8">
        <v>62155</v>
      </c>
      <c r="C647" s="9">
        <v>4.4113599999999999E-8</v>
      </c>
      <c r="D647" s="8" t="s">
        <v>1852</v>
      </c>
      <c r="E647" s="1">
        <v>1338</v>
      </c>
      <c r="F647" s="1">
        <f t="shared" si="30"/>
        <v>5.1804722014943589E-4</v>
      </c>
      <c r="G647" s="1">
        <f t="shared" si="31"/>
        <v>285130.67762352654</v>
      </c>
      <c r="H647" s="1">
        <f t="shared" si="32"/>
        <v>0</v>
      </c>
      <c r="K647">
        <f>VLOOKUP(B647,Nuclides!A:C,2,FALSE)</f>
        <v>93</v>
      </c>
      <c r="L647">
        <f>VLOOKUP(B647,Nuclides!A:C,3,FALSE)</f>
        <v>62</v>
      </c>
      <c r="O647" s="1">
        <v>57137</v>
      </c>
      <c r="P647" s="1">
        <v>3.2108000000000001E-9</v>
      </c>
      <c r="Q647" t="s">
        <v>1667</v>
      </c>
      <c r="R647">
        <v>80</v>
      </c>
      <c r="S647">
        <v>57</v>
      </c>
      <c r="T647">
        <f>VLOOKUP(O647,Nuclides!A:D,4,FALSE)</f>
        <v>1893456000000</v>
      </c>
    </row>
    <row r="648" spans="2:20" x14ac:dyDescent="0.2">
      <c r="B648" s="8">
        <v>62156</v>
      </c>
      <c r="C648" s="9">
        <v>9.0460799999999994E-8</v>
      </c>
      <c r="D648" s="8" t="s">
        <v>1853</v>
      </c>
      <c r="E648" s="1">
        <v>33840</v>
      </c>
      <c r="F648" s="1">
        <f t="shared" si="30"/>
        <v>2.0483072711582307E-5</v>
      </c>
      <c r="G648" s="1">
        <f t="shared" si="31"/>
        <v>23124.144168895684</v>
      </c>
      <c r="H648" s="1">
        <f t="shared" si="32"/>
        <v>6.7566167207498509E-277</v>
      </c>
      <c r="K648">
        <f>VLOOKUP(B648,Nuclides!A:C,2,FALSE)</f>
        <v>94</v>
      </c>
      <c r="L648">
        <f>VLOOKUP(B648,Nuclides!A:C,3,FALSE)</f>
        <v>62</v>
      </c>
      <c r="O648" s="1">
        <v>57138</v>
      </c>
      <c r="P648" s="1">
        <v>2.1428600000000001E-8</v>
      </c>
      <c r="Q648" t="s">
        <v>1668</v>
      </c>
      <c r="R648">
        <v>81</v>
      </c>
      <c r="S648">
        <v>57</v>
      </c>
      <c r="T648">
        <f>VLOOKUP(O648,Nuclides!A:D,4,FALSE)</f>
        <v>3.2188752E+18</v>
      </c>
    </row>
    <row r="649" spans="2:20" x14ac:dyDescent="0.2">
      <c r="B649" s="8">
        <v>62157</v>
      </c>
      <c r="C649" s="9">
        <v>1.3206200000000001E-7</v>
      </c>
      <c r="D649" s="8" t="s">
        <v>1854</v>
      </c>
      <c r="E649" s="1">
        <v>481.79999999999899</v>
      </c>
      <c r="F649" s="1">
        <f t="shared" si="30"/>
        <v>1.438661644997814E-3</v>
      </c>
      <c r="G649" s="1">
        <f t="shared" si="31"/>
        <v>2369402.0337523548</v>
      </c>
      <c r="H649" s="1">
        <f t="shared" si="32"/>
        <v>0</v>
      </c>
      <c r="K649">
        <f>VLOOKUP(B649,Nuclides!A:C,2,FALSE)</f>
        <v>95</v>
      </c>
      <c r="L649">
        <f>VLOOKUP(B649,Nuclides!A:C,3,FALSE)</f>
        <v>62</v>
      </c>
      <c r="O649" s="1">
        <v>57139</v>
      </c>
      <c r="P649" s="1">
        <v>2.0912100000000001E-7</v>
      </c>
      <c r="Q649" t="s">
        <v>1669</v>
      </c>
      <c r="R649">
        <v>82</v>
      </c>
      <c r="S649">
        <v>57</v>
      </c>
      <c r="T649" t="str">
        <f>VLOOKUP(O649,Nuclides!A:D,4,FALSE)</f>
        <v>STABLE</v>
      </c>
    </row>
    <row r="650" spans="2:20" x14ac:dyDescent="0.2">
      <c r="B650" s="8">
        <v>62158</v>
      </c>
      <c r="C650" s="9">
        <v>1.7142899999999999E-7</v>
      </c>
      <c r="D650" s="8" t="s">
        <v>1855</v>
      </c>
      <c r="E650" s="1">
        <v>318</v>
      </c>
      <c r="F650" s="1">
        <f t="shared" si="30"/>
        <v>2.1797081149683814E-3</v>
      </c>
      <c r="G650" s="1">
        <f t="shared" si="31"/>
        <v>4658262.8059095088</v>
      </c>
      <c r="H650" s="1">
        <f t="shared" si="32"/>
        <v>0</v>
      </c>
      <c r="K650">
        <f>VLOOKUP(B650,Nuclides!A:C,2,FALSE)</f>
        <v>96</v>
      </c>
      <c r="L650">
        <f>VLOOKUP(B650,Nuclides!A:C,3,FALSE)</f>
        <v>62</v>
      </c>
      <c r="O650" s="1">
        <v>57140</v>
      </c>
      <c r="P650" s="1">
        <v>5.8625E-7</v>
      </c>
      <c r="Q650" t="s">
        <v>1670</v>
      </c>
      <c r="R650">
        <v>83</v>
      </c>
      <c r="S650">
        <v>57</v>
      </c>
      <c r="T650">
        <f>VLOOKUP(O650,Nuclides!A:D,4,FALSE)</f>
        <v>145026.72</v>
      </c>
    </row>
    <row r="651" spans="2:20" x14ac:dyDescent="0.2">
      <c r="B651" s="8">
        <v>63138</v>
      </c>
      <c r="C651" s="9">
        <v>1.62215E-7</v>
      </c>
      <c r="D651" s="8" t="s">
        <v>1869</v>
      </c>
      <c r="E651" s="1">
        <v>12.1</v>
      </c>
      <c r="F651" s="1">
        <f t="shared" si="30"/>
        <v>5.728489095536738E-2</v>
      </c>
      <c r="G651" s="1">
        <f t="shared" si="31"/>
        <v>112710872.34804098</v>
      </c>
      <c r="H651" s="1">
        <f t="shared" si="32"/>
        <v>0</v>
      </c>
      <c r="K651">
        <f>VLOOKUP(B651,Nuclides!A:C,2,FALSE)</f>
        <v>75</v>
      </c>
      <c r="L651">
        <f>VLOOKUP(B651,Nuclides!A:C,3,FALSE)</f>
        <v>63</v>
      </c>
      <c r="O651" s="1">
        <v>57141</v>
      </c>
      <c r="P651" s="1">
        <v>2.1732900000000002E-6</v>
      </c>
      <c r="Q651" t="s">
        <v>1671</v>
      </c>
      <c r="R651">
        <v>84</v>
      </c>
      <c r="S651">
        <v>57</v>
      </c>
      <c r="T651">
        <f>VLOOKUP(O651,Nuclides!A:D,4,FALSE)</f>
        <v>14112</v>
      </c>
    </row>
    <row r="652" spans="2:20" x14ac:dyDescent="0.2">
      <c r="B652" s="8">
        <v>63139</v>
      </c>
      <c r="C652" s="9">
        <v>1.2152199999999999E-7</v>
      </c>
      <c r="D652" s="8" t="s">
        <v>1870</v>
      </c>
      <c r="E652" s="1">
        <v>17.899999999999999</v>
      </c>
      <c r="F652" s="1">
        <f t="shared" si="30"/>
        <v>3.8723306176533259E-2</v>
      </c>
      <c r="G652" s="1">
        <f t="shared" si="31"/>
        <v>57605028.885299295</v>
      </c>
      <c r="H652" s="1">
        <f t="shared" si="32"/>
        <v>0</v>
      </c>
      <c r="K652">
        <f>VLOOKUP(B652,Nuclides!A:C,2,FALSE)</f>
        <v>76</v>
      </c>
      <c r="L652">
        <f>VLOOKUP(B652,Nuclides!A:C,3,FALSE)</f>
        <v>63</v>
      </c>
      <c r="O652" s="1">
        <v>57142</v>
      </c>
      <c r="P652" s="1">
        <v>4.0859500000000002E-6</v>
      </c>
      <c r="Q652" t="s">
        <v>1672</v>
      </c>
      <c r="R652">
        <v>85</v>
      </c>
      <c r="S652">
        <v>57</v>
      </c>
      <c r="T652">
        <f>VLOOKUP(O652,Nuclides!A:D,4,FALSE)</f>
        <v>5466</v>
      </c>
    </row>
    <row r="653" spans="2:20" x14ac:dyDescent="0.2">
      <c r="B653" s="8">
        <v>63140</v>
      </c>
      <c r="C653" s="9">
        <v>6.3029399999999997E-8</v>
      </c>
      <c r="D653" s="8" t="s">
        <v>1871</v>
      </c>
      <c r="E653" s="1">
        <v>1.51</v>
      </c>
      <c r="F653" s="1">
        <f t="shared" si="30"/>
        <v>0.45903786792049356</v>
      </c>
      <c r="G653" s="1">
        <f t="shared" si="31"/>
        <v>289556835.17305863</v>
      </c>
      <c r="H653" s="1">
        <f t="shared" si="32"/>
        <v>0</v>
      </c>
      <c r="K653">
        <f>VLOOKUP(B653,Nuclides!A:C,2,FALSE)</f>
        <v>77</v>
      </c>
      <c r="L653">
        <f>VLOOKUP(B653,Nuclides!A:C,3,FALSE)</f>
        <v>63</v>
      </c>
      <c r="O653" s="1">
        <v>57143</v>
      </c>
      <c r="P653" s="1">
        <v>9.0913099999999995E-6</v>
      </c>
      <c r="Q653" t="s">
        <v>1673</v>
      </c>
      <c r="R653">
        <v>86</v>
      </c>
      <c r="S653">
        <v>57</v>
      </c>
      <c r="T653">
        <f>VLOOKUP(O653,Nuclides!A:D,4,FALSE)</f>
        <v>852</v>
      </c>
    </row>
    <row r="654" spans="2:20" x14ac:dyDescent="0.2">
      <c r="B654" s="8">
        <v>63141</v>
      </c>
      <c r="C654" s="9">
        <v>3.1340199999999999E-8</v>
      </c>
      <c r="D654" s="8" t="s">
        <v>1872</v>
      </c>
      <c r="E654" s="1">
        <v>40.700000000000003</v>
      </c>
      <c r="F654" s="1">
        <f t="shared" si="30"/>
        <v>1.7030643257001113E-2</v>
      </c>
      <c r="G654" s="1">
        <f t="shared" si="31"/>
        <v>6604721.2347547421</v>
      </c>
      <c r="H654" s="1">
        <f t="shared" si="32"/>
        <v>0</v>
      </c>
      <c r="K654">
        <f>VLOOKUP(B654,Nuclides!A:C,2,FALSE)</f>
        <v>78</v>
      </c>
      <c r="L654">
        <f>VLOOKUP(B654,Nuclides!A:C,3,FALSE)</f>
        <v>63</v>
      </c>
      <c r="O654" s="1">
        <v>57144</v>
      </c>
      <c r="P654" s="1">
        <v>1.13531E-5</v>
      </c>
      <c r="Q654" t="s">
        <v>1674</v>
      </c>
      <c r="R654">
        <v>87</v>
      </c>
      <c r="S654">
        <v>57</v>
      </c>
      <c r="T654">
        <f>VLOOKUP(O654,Nuclides!A:D,4,FALSE)</f>
        <v>40.799999999999997</v>
      </c>
    </row>
    <row r="655" spans="2:20" x14ac:dyDescent="0.2">
      <c r="B655" s="8">
        <v>63142</v>
      </c>
      <c r="C655" s="9">
        <v>8.3061999999999993E-9</v>
      </c>
      <c r="D655" s="8" t="s">
        <v>1873</v>
      </c>
      <c r="E655" s="1">
        <v>2.34</v>
      </c>
      <c r="F655" s="1">
        <f t="shared" si="30"/>
        <v>0.29621674382903646</v>
      </c>
      <c r="G655" s="1">
        <f t="shared" si="31"/>
        <v>26576057.337840091</v>
      </c>
      <c r="H655" s="1">
        <f t="shared" si="32"/>
        <v>0</v>
      </c>
      <c r="K655">
        <f>VLOOKUP(B655,Nuclides!A:C,2,FALSE)</f>
        <v>79</v>
      </c>
      <c r="L655">
        <f>VLOOKUP(B655,Nuclides!A:C,3,FALSE)</f>
        <v>63</v>
      </c>
      <c r="O655" s="1">
        <v>57145</v>
      </c>
      <c r="P655" s="1">
        <v>1.72596E-5</v>
      </c>
      <c r="Q655" t="s">
        <v>1675</v>
      </c>
      <c r="R655">
        <v>88</v>
      </c>
      <c r="S655">
        <v>57</v>
      </c>
      <c r="T655">
        <f>VLOOKUP(O655,Nuclides!A:D,4,FALSE)</f>
        <v>24.8</v>
      </c>
    </row>
    <row r="656" spans="2:20" x14ac:dyDescent="0.2">
      <c r="B656" s="8">
        <v>63143</v>
      </c>
      <c r="C656" s="9">
        <v>2.0242000000000001E-9</v>
      </c>
      <c r="D656" s="8" t="s">
        <v>1874</v>
      </c>
      <c r="E656" s="1">
        <v>155.39999999999901</v>
      </c>
      <c r="F656" s="1">
        <f t="shared" si="30"/>
        <v>4.4604065673098433E-3</v>
      </c>
      <c r="G656" s="1">
        <f t="shared" si="31"/>
        <v>112427.9385140227</v>
      </c>
      <c r="H656" s="1">
        <f t="shared" si="32"/>
        <v>0</v>
      </c>
      <c r="K656">
        <f>VLOOKUP(B656,Nuclides!A:C,2,FALSE)</f>
        <v>80</v>
      </c>
      <c r="L656">
        <f>VLOOKUP(B656,Nuclides!A:C,3,FALSE)</f>
        <v>63</v>
      </c>
      <c r="O656" s="1">
        <v>57146</v>
      </c>
      <c r="P656" s="1">
        <v>1.2153200000000001E-5</v>
      </c>
      <c r="Q656" t="s">
        <v>1676</v>
      </c>
      <c r="R656">
        <v>89</v>
      </c>
      <c r="S656">
        <v>57</v>
      </c>
      <c r="T656">
        <f>VLOOKUP(O656,Nuclides!A:D,4,FALSE)</f>
        <v>6.27</v>
      </c>
    </row>
    <row r="657" spans="2:20" x14ac:dyDescent="0.2">
      <c r="B657" s="8">
        <v>63144</v>
      </c>
      <c r="C657" s="9">
        <v>2.094E-10</v>
      </c>
      <c r="D657" s="8" t="s">
        <v>1875</v>
      </c>
      <c r="E657" s="1">
        <v>10.199999999999999</v>
      </c>
      <c r="F657" s="1">
        <f t="shared" si="30"/>
        <v>6.7955605937249544E-2</v>
      </c>
      <c r="G657" s="1">
        <f t="shared" si="31"/>
        <v>171689.50213858107</v>
      </c>
      <c r="H657" s="1">
        <f t="shared" si="32"/>
        <v>0</v>
      </c>
      <c r="K657">
        <f>VLOOKUP(B657,Nuclides!A:C,2,FALSE)</f>
        <v>81</v>
      </c>
      <c r="L657">
        <f>VLOOKUP(B657,Nuclides!A:C,3,FALSE)</f>
        <v>63</v>
      </c>
      <c r="O657" s="1">
        <v>57147</v>
      </c>
      <c r="P657" s="1">
        <v>1.2774E-5</v>
      </c>
      <c r="Q657" t="s">
        <v>1677</v>
      </c>
      <c r="R657">
        <v>90</v>
      </c>
      <c r="S657">
        <v>57</v>
      </c>
      <c r="T657">
        <f>VLOOKUP(O657,Nuclides!A:D,4,FALSE)</f>
        <v>4.0599999999999996</v>
      </c>
    </row>
    <row r="658" spans="2:20" x14ac:dyDescent="0.2">
      <c r="B658" s="8">
        <v>63154</v>
      </c>
      <c r="C658" s="9">
        <v>6.9799999999999994E-11</v>
      </c>
      <c r="D658" s="8" t="s">
        <v>1885</v>
      </c>
      <c r="E658" s="1">
        <v>271426917.60000002</v>
      </c>
      <c r="F658" s="1">
        <f t="shared" si="30"/>
        <v>2.5537156988292206E-9</v>
      </c>
      <c r="G658" s="1">
        <f t="shared" si="31"/>
        <v>2.2245519466395076E-3</v>
      </c>
      <c r="H658" s="1">
        <f t="shared" si="32"/>
        <v>2.0524240228243411E-3</v>
      </c>
      <c r="K658">
        <f>VLOOKUP(B658,Nuclides!A:C,2,FALSE)</f>
        <v>91</v>
      </c>
      <c r="L658">
        <f>VLOOKUP(B658,Nuclides!A:C,3,FALSE)</f>
        <v>63</v>
      </c>
      <c r="O658" s="1">
        <v>57148</v>
      </c>
      <c r="P658" s="1">
        <v>5.8163599999999997E-6</v>
      </c>
      <c r="Q658" t="s">
        <v>1678</v>
      </c>
      <c r="R658">
        <v>91</v>
      </c>
      <c r="S658">
        <v>57</v>
      </c>
      <c r="T658">
        <f>VLOOKUP(O658,Nuclides!A:D,4,FALSE)</f>
        <v>1.26</v>
      </c>
    </row>
    <row r="659" spans="2:20" x14ac:dyDescent="0.2">
      <c r="B659" s="8">
        <v>63155</v>
      </c>
      <c r="C659" s="9">
        <v>6.9799999999999997E-10</v>
      </c>
      <c r="D659" s="8" t="s">
        <v>1886</v>
      </c>
      <c r="E659" s="1">
        <v>149993272.80000001</v>
      </c>
      <c r="F659" s="1">
        <f t="shared" si="30"/>
        <v>4.6211884547927889E-9</v>
      </c>
      <c r="G659" s="1">
        <f t="shared" si="31"/>
        <v>4.0255357277985127E-2</v>
      </c>
      <c r="H659" s="1">
        <f t="shared" si="32"/>
        <v>3.4796238643132221E-2</v>
      </c>
      <c r="K659">
        <f>VLOOKUP(B659,Nuclides!A:C,2,FALSE)</f>
        <v>92</v>
      </c>
      <c r="L659">
        <f>VLOOKUP(B659,Nuclides!A:C,3,FALSE)</f>
        <v>63</v>
      </c>
      <c r="O659" s="1">
        <v>57149</v>
      </c>
      <c r="P659" s="1">
        <v>4.5715500000000003E-6</v>
      </c>
      <c r="Q659" t="s">
        <v>1679</v>
      </c>
      <c r="R659">
        <v>92</v>
      </c>
      <c r="S659">
        <v>57</v>
      </c>
      <c r="T659">
        <f>VLOOKUP(O659,Nuclides!A:D,4,FALSE)</f>
        <v>1.05</v>
      </c>
    </row>
    <row r="660" spans="2:20" x14ac:dyDescent="0.2">
      <c r="B660" s="8">
        <v>63156</v>
      </c>
      <c r="C660" s="9">
        <v>1.9544000000000002E-9</v>
      </c>
      <c r="D660" s="8" t="s">
        <v>1887</v>
      </c>
      <c r="E660" s="1">
        <v>1312416</v>
      </c>
      <c r="F660" s="1">
        <f t="shared" si="30"/>
        <v>5.2814593890957231E-7</v>
      </c>
      <c r="G660" s="1">
        <f t="shared" si="31"/>
        <v>12.88195771701132</v>
      </c>
      <c r="H660" s="1">
        <f t="shared" si="32"/>
        <v>7.5256187057952879E-7</v>
      </c>
      <c r="K660">
        <f>VLOOKUP(B660,Nuclides!A:C,2,FALSE)</f>
        <v>93</v>
      </c>
      <c r="L660">
        <f>VLOOKUP(B660,Nuclides!A:C,3,FALSE)</f>
        <v>63</v>
      </c>
      <c r="O660" s="1">
        <v>58124</v>
      </c>
      <c r="P660" s="1">
        <v>1.6613099999999999E-6</v>
      </c>
      <c r="Q660" t="s">
        <v>1686</v>
      </c>
      <c r="R660">
        <v>66</v>
      </c>
      <c r="S660">
        <v>58</v>
      </c>
      <c r="T660">
        <f>VLOOKUP(O660,Nuclides!A:D,4,FALSE)</f>
        <v>6</v>
      </c>
    </row>
    <row r="661" spans="2:20" x14ac:dyDescent="0.2">
      <c r="B661" s="8">
        <v>63157</v>
      </c>
      <c r="C661" s="9">
        <v>5.1652000000000003E-9</v>
      </c>
      <c r="D661" s="8" t="s">
        <v>1888</v>
      </c>
      <c r="E661" s="1">
        <v>54648</v>
      </c>
      <c r="F661" s="1">
        <f t="shared" si="30"/>
        <v>1.2683852667251232E-5</v>
      </c>
      <c r="G661" s="1">
        <f t="shared" si="31"/>
        <v>817.61746946347512</v>
      </c>
      <c r="H661" s="1">
        <f t="shared" si="32"/>
        <v>1.5690459720249248E-171</v>
      </c>
      <c r="K661">
        <f>VLOOKUP(B661,Nuclides!A:C,2,FALSE)</f>
        <v>94</v>
      </c>
      <c r="L661">
        <f>VLOOKUP(B661,Nuclides!A:C,3,FALSE)</f>
        <v>63</v>
      </c>
      <c r="O661" s="1">
        <v>58125</v>
      </c>
      <c r="P661" s="1">
        <v>7.0728300000000005E-7</v>
      </c>
      <c r="Q661" t="s">
        <v>1687</v>
      </c>
      <c r="R661">
        <v>67</v>
      </c>
      <c r="S661">
        <v>58</v>
      </c>
      <c r="T661">
        <f>VLOOKUP(O661,Nuclides!A:D,4,FALSE)</f>
        <v>9.6999999999999993</v>
      </c>
    </row>
    <row r="662" spans="2:20" x14ac:dyDescent="0.2">
      <c r="B662" s="8">
        <v>63158</v>
      </c>
      <c r="C662" s="9">
        <v>8.7250000000000004E-9</v>
      </c>
      <c r="D662" s="8" t="s">
        <v>1889</v>
      </c>
      <c r="E662" s="1">
        <v>2754</v>
      </c>
      <c r="F662" s="1">
        <f t="shared" si="30"/>
        <v>2.5168742939722053E-4</v>
      </c>
      <c r="G662" s="1">
        <f t="shared" si="31"/>
        <v>27402.29226130532</v>
      </c>
      <c r="H662" s="1">
        <f t="shared" si="32"/>
        <v>0</v>
      </c>
      <c r="K662">
        <f>VLOOKUP(B662,Nuclides!A:C,2,FALSE)</f>
        <v>95</v>
      </c>
      <c r="L662">
        <f>VLOOKUP(B662,Nuclides!A:C,3,FALSE)</f>
        <v>63</v>
      </c>
      <c r="O662" s="1">
        <v>58126</v>
      </c>
      <c r="P662" s="1">
        <v>1.54467E-7</v>
      </c>
      <c r="Q662" t="s">
        <v>1688</v>
      </c>
      <c r="R662">
        <v>68</v>
      </c>
      <c r="S662">
        <v>58</v>
      </c>
      <c r="T662">
        <f>VLOOKUP(O662,Nuclides!A:D,4,FALSE)</f>
        <v>51</v>
      </c>
    </row>
    <row r="663" spans="2:20" x14ac:dyDescent="0.2">
      <c r="B663" s="8">
        <v>63159</v>
      </c>
      <c r="C663" s="9">
        <v>1.89856E-8</v>
      </c>
      <c r="D663" s="8" t="s">
        <v>1890</v>
      </c>
      <c r="E663" s="1">
        <v>1086</v>
      </c>
      <c r="F663" s="1">
        <f t="shared" si="30"/>
        <v>6.3825707233880783E-4</v>
      </c>
      <c r="G663" s="1">
        <f t="shared" si="31"/>
        <v>151180.5633738873</v>
      </c>
      <c r="H663" s="1">
        <f t="shared" si="32"/>
        <v>0</v>
      </c>
      <c r="K663">
        <f>VLOOKUP(B663,Nuclides!A:C,2,FALSE)</f>
        <v>96</v>
      </c>
      <c r="L663">
        <f>VLOOKUP(B663,Nuclides!A:C,3,FALSE)</f>
        <v>63</v>
      </c>
      <c r="O663" s="1">
        <v>58127</v>
      </c>
      <c r="P663" s="1">
        <v>6.0865600000000002E-8</v>
      </c>
      <c r="Q663" t="s">
        <v>1689</v>
      </c>
      <c r="R663">
        <v>69</v>
      </c>
      <c r="S663">
        <v>58</v>
      </c>
      <c r="T663">
        <f>VLOOKUP(O663,Nuclides!A:D,4,FALSE)</f>
        <v>34</v>
      </c>
    </row>
    <row r="664" spans="2:20" x14ac:dyDescent="0.2">
      <c r="B664" s="8">
        <v>63160</v>
      </c>
      <c r="C664" s="9">
        <v>2.25454E-8</v>
      </c>
      <c r="D664" s="8" t="s">
        <v>1891</v>
      </c>
      <c r="E664" s="1">
        <v>38</v>
      </c>
      <c r="F664" s="1">
        <f t="shared" si="30"/>
        <v>1.8240715277893296E-2</v>
      </c>
      <c r="G664" s="1">
        <f t="shared" si="31"/>
        <v>5085802.5421820432</v>
      </c>
      <c r="H664" s="1">
        <f t="shared" si="32"/>
        <v>0</v>
      </c>
      <c r="K664">
        <f>VLOOKUP(B664,Nuclides!A:C,2,FALSE)</f>
        <v>97</v>
      </c>
      <c r="L664">
        <f>VLOOKUP(B664,Nuclides!A:C,3,FALSE)</f>
        <v>63</v>
      </c>
      <c r="O664" s="1">
        <v>58128</v>
      </c>
      <c r="P664" s="1">
        <v>8.8646000000000002E-9</v>
      </c>
      <c r="Q664" t="s">
        <v>1690</v>
      </c>
      <c r="R664">
        <v>70</v>
      </c>
      <c r="S664">
        <v>58</v>
      </c>
      <c r="T664">
        <f>VLOOKUP(O664,Nuclides!A:D,4,FALSE)</f>
        <v>235.8</v>
      </c>
    </row>
    <row r="665" spans="2:20" x14ac:dyDescent="0.2">
      <c r="B665" s="8">
        <v>64142</v>
      </c>
      <c r="C665" s="9">
        <v>2.84784E-8</v>
      </c>
      <c r="D665" s="8" t="s">
        <v>1907</v>
      </c>
      <c r="E665" s="1">
        <v>70.2</v>
      </c>
      <c r="F665" s="1">
        <f t="shared" si="30"/>
        <v>9.8738914609678811E-3</v>
      </c>
      <c r="G665" s="1">
        <f t="shared" si="31"/>
        <v>3492015.7665759525</v>
      </c>
      <c r="H665" s="1">
        <f t="shared" si="32"/>
        <v>0</v>
      </c>
      <c r="K665">
        <f>VLOOKUP(B665,Nuclides!A:C,2,FALSE)</f>
        <v>78</v>
      </c>
      <c r="L665">
        <f>VLOOKUP(B665,Nuclides!A:C,3,FALSE)</f>
        <v>64</v>
      </c>
      <c r="O665" s="1">
        <v>58129</v>
      </c>
      <c r="P665" s="1">
        <v>2.7222E-9</v>
      </c>
      <c r="Q665" t="s">
        <v>1691</v>
      </c>
      <c r="R665">
        <v>71</v>
      </c>
      <c r="S665">
        <v>58</v>
      </c>
      <c r="T665">
        <f>VLOOKUP(O665,Nuclides!A:D,4,FALSE)</f>
        <v>210</v>
      </c>
    </row>
    <row r="666" spans="2:20" x14ac:dyDescent="0.2">
      <c r="B666" s="8">
        <v>64143</v>
      </c>
      <c r="C666" s="9">
        <v>1.92648E-8</v>
      </c>
      <c r="D666" s="8" t="s">
        <v>1908</v>
      </c>
      <c r="E666" s="1">
        <v>39</v>
      </c>
      <c r="F666" s="1">
        <f t="shared" si="30"/>
        <v>1.7773004629742187E-2</v>
      </c>
      <c r="G666" s="1">
        <f t="shared" si="31"/>
        <v>4235320.7030014144</v>
      </c>
      <c r="H666" s="1">
        <f t="shared" si="32"/>
        <v>0</v>
      </c>
      <c r="K666">
        <f>VLOOKUP(B666,Nuclides!A:C,2,FALSE)</f>
        <v>79</v>
      </c>
      <c r="L666">
        <f>VLOOKUP(B666,Nuclides!A:C,3,FALSE)</f>
        <v>64</v>
      </c>
      <c r="O666" s="1">
        <v>58130</v>
      </c>
      <c r="P666" s="1">
        <v>6.9799999999999994E-11</v>
      </c>
      <c r="Q666" t="s">
        <v>1692</v>
      </c>
      <c r="R666">
        <v>72</v>
      </c>
      <c r="S666">
        <v>58</v>
      </c>
      <c r="T666">
        <f>VLOOKUP(O666,Nuclides!A:D,4,FALSE)</f>
        <v>1374</v>
      </c>
    </row>
    <row r="667" spans="2:20" x14ac:dyDescent="0.2">
      <c r="B667" s="8">
        <v>64144</v>
      </c>
      <c r="C667" s="9">
        <v>1.3331800000000001E-8</v>
      </c>
      <c r="D667" s="8" t="s">
        <v>1909</v>
      </c>
      <c r="E667" s="1">
        <v>268.2</v>
      </c>
      <c r="F667" s="1">
        <f t="shared" si="30"/>
        <v>2.5844413891123988E-3</v>
      </c>
      <c r="G667" s="1">
        <f t="shared" si="31"/>
        <v>429446.41270142113</v>
      </c>
      <c r="H667" s="1">
        <f t="shared" si="32"/>
        <v>0</v>
      </c>
      <c r="K667">
        <f>VLOOKUP(B667,Nuclides!A:C,2,FALSE)</f>
        <v>80</v>
      </c>
      <c r="L667">
        <f>VLOOKUP(B667,Nuclides!A:C,3,FALSE)</f>
        <v>64</v>
      </c>
      <c r="O667" s="1">
        <v>58139</v>
      </c>
      <c r="P667" s="1">
        <v>4.8860000000000005E-10</v>
      </c>
      <c r="Q667" t="s">
        <v>1701</v>
      </c>
      <c r="R667">
        <v>81</v>
      </c>
      <c r="S667">
        <v>58</v>
      </c>
      <c r="T667">
        <f>VLOOKUP(O667,Nuclides!A:D,4,FALSE)</f>
        <v>11892182.3999999</v>
      </c>
    </row>
    <row r="668" spans="2:20" x14ac:dyDescent="0.2">
      <c r="B668" s="8">
        <v>64145</v>
      </c>
      <c r="C668" s="9">
        <v>4.6766000000000002E-9</v>
      </c>
      <c r="D668" s="8" t="s">
        <v>1910</v>
      </c>
      <c r="E668" s="1">
        <v>1380</v>
      </c>
      <c r="F668" s="1">
        <f t="shared" si="30"/>
        <v>5.0228056562314871E-4</v>
      </c>
      <c r="G668" s="1">
        <f t="shared" si="31"/>
        <v>29307.725892323546</v>
      </c>
      <c r="H668" s="1">
        <f t="shared" si="32"/>
        <v>0</v>
      </c>
      <c r="K668">
        <f>VLOOKUP(B668,Nuclides!A:C,2,FALSE)</f>
        <v>81</v>
      </c>
      <c r="L668">
        <f>VLOOKUP(B668,Nuclides!A:C,3,FALSE)</f>
        <v>64</v>
      </c>
      <c r="O668" s="1">
        <v>58140</v>
      </c>
      <c r="P668" s="1">
        <v>1.3052599999999999E-8</v>
      </c>
      <c r="Q668" t="s">
        <v>1702</v>
      </c>
      <c r="R668">
        <v>82</v>
      </c>
      <c r="S668">
        <v>58</v>
      </c>
      <c r="T668" t="str">
        <f>VLOOKUP(O668,Nuclides!A:D,4,FALSE)</f>
        <v>STABLE</v>
      </c>
    </row>
    <row r="669" spans="2:20" x14ac:dyDescent="0.2">
      <c r="B669" s="8">
        <v>64146</v>
      </c>
      <c r="C669" s="9">
        <v>1.7450000000000001E-9</v>
      </c>
      <c r="D669" s="8" t="s">
        <v>1911</v>
      </c>
      <c r="E669" s="1">
        <v>4170528</v>
      </c>
      <c r="F669" s="1">
        <f t="shared" si="30"/>
        <v>1.6620130126447905E-7</v>
      </c>
      <c r="G669" s="1">
        <f t="shared" si="31"/>
        <v>3.6194651564670721</v>
      </c>
      <c r="H669" s="1">
        <f t="shared" si="32"/>
        <v>1.9158707468853852E-2</v>
      </c>
      <c r="K669">
        <f>VLOOKUP(B669,Nuclides!A:C,2,FALSE)</f>
        <v>82</v>
      </c>
      <c r="L669">
        <f>VLOOKUP(B669,Nuclides!A:C,3,FALSE)</f>
        <v>64</v>
      </c>
      <c r="O669" s="1">
        <v>58141</v>
      </c>
      <c r="P669" s="1">
        <v>4.7464000000000001E-8</v>
      </c>
      <c r="Q669" t="s">
        <v>1703</v>
      </c>
      <c r="R669">
        <v>83</v>
      </c>
      <c r="S669">
        <v>58</v>
      </c>
      <c r="T669">
        <f>VLOOKUP(O669,Nuclides!A:D,4,FALSE)</f>
        <v>2808950.4</v>
      </c>
    </row>
    <row r="670" spans="2:20" x14ac:dyDescent="0.2">
      <c r="B670" s="8">
        <v>64147</v>
      </c>
      <c r="C670" s="9">
        <v>3.4899999999999998E-10</v>
      </c>
      <c r="D670" s="8" t="s">
        <v>1912</v>
      </c>
      <c r="E670" s="1">
        <v>137016</v>
      </c>
      <c r="F670" s="1">
        <f t="shared" si="30"/>
        <v>5.0588776534123408E-6</v>
      </c>
      <c r="G670" s="1">
        <f t="shared" si="31"/>
        <v>22.033987063505229</v>
      </c>
      <c r="H670" s="1">
        <f t="shared" si="32"/>
        <v>1.1406596933183535E-68</v>
      </c>
      <c r="K670">
        <f>VLOOKUP(B670,Nuclides!A:C,2,FALSE)</f>
        <v>83</v>
      </c>
      <c r="L670">
        <f>VLOOKUP(B670,Nuclides!A:C,3,FALSE)</f>
        <v>64</v>
      </c>
      <c r="O670" s="1">
        <v>58142</v>
      </c>
      <c r="P670" s="1">
        <v>2.8422599999999999E-7</v>
      </c>
      <c r="Q670" t="s">
        <v>1704</v>
      </c>
      <c r="R670">
        <v>84</v>
      </c>
      <c r="S670">
        <v>58</v>
      </c>
      <c r="T670">
        <f>VLOOKUP(O670,Nuclides!A:D,4,FALSE)</f>
        <v>1.57788E+24</v>
      </c>
    </row>
    <row r="671" spans="2:20" x14ac:dyDescent="0.2">
      <c r="B671" s="8">
        <v>64150</v>
      </c>
      <c r="C671" s="9">
        <v>6.9799999999999994E-11</v>
      </c>
      <c r="D671" s="8" t="s">
        <v>1915</v>
      </c>
      <c r="E671" s="1">
        <v>56488104000000</v>
      </c>
      <c r="F671" s="1">
        <f t="shared" si="30"/>
        <v>1.2270675265715155E-14</v>
      </c>
      <c r="G671" s="1">
        <f t="shared" si="31"/>
        <v>1.0735028865838102E-8</v>
      </c>
      <c r="H671" s="1">
        <f t="shared" si="32"/>
        <v>1.0735024711726092E-8</v>
      </c>
      <c r="K671">
        <f>VLOOKUP(B671,Nuclides!A:C,2,FALSE)</f>
        <v>86</v>
      </c>
      <c r="L671">
        <f>VLOOKUP(B671,Nuclides!A:C,3,FALSE)</f>
        <v>64</v>
      </c>
      <c r="O671" s="1">
        <v>58143</v>
      </c>
      <c r="P671" s="1">
        <v>6.9953599999999997E-7</v>
      </c>
      <c r="Q671" t="s">
        <v>1705</v>
      </c>
      <c r="R671">
        <v>85</v>
      </c>
      <c r="S671">
        <v>58</v>
      </c>
      <c r="T671">
        <f>VLOOKUP(O671,Nuclides!A:D,4,FALSE)</f>
        <v>118940.4</v>
      </c>
    </row>
    <row r="672" spans="2:20" x14ac:dyDescent="0.2">
      <c r="B672" s="8">
        <v>64159</v>
      </c>
      <c r="C672" s="9">
        <v>5.5839999999999995E-10</v>
      </c>
      <c r="D672" s="8" t="s">
        <v>1924</v>
      </c>
      <c r="E672" s="1">
        <v>66524.399999999994</v>
      </c>
      <c r="F672" s="1">
        <f t="shared" si="30"/>
        <v>1.0419442799332956E-5</v>
      </c>
      <c r="G672" s="1">
        <f t="shared" si="31"/>
        <v>72.610968118337141</v>
      </c>
      <c r="H672" s="1">
        <f t="shared" si="32"/>
        <v>1.43629370380705E-141</v>
      </c>
      <c r="K672">
        <f>VLOOKUP(B672,Nuclides!A:C,2,FALSE)</f>
        <v>95</v>
      </c>
      <c r="L672">
        <f>VLOOKUP(B672,Nuclides!A:C,3,FALSE)</f>
        <v>64</v>
      </c>
      <c r="O672" s="1">
        <v>58144</v>
      </c>
      <c r="P672" s="1">
        <v>2.4042600000000002E-6</v>
      </c>
      <c r="Q672" t="s">
        <v>1706</v>
      </c>
      <c r="R672">
        <v>86</v>
      </c>
      <c r="S672">
        <v>58</v>
      </c>
      <c r="T672">
        <f>VLOOKUP(O672,Nuclides!A:D,4,FALSE)</f>
        <v>24616224</v>
      </c>
    </row>
    <row r="673" spans="2:20" x14ac:dyDescent="0.2">
      <c r="B673" s="8">
        <v>64160</v>
      </c>
      <c r="C673" s="9">
        <v>3.2806E-9</v>
      </c>
      <c r="D673" s="8" t="s">
        <v>1925</v>
      </c>
      <c r="E673" s="1">
        <v>9.7828559999999996E+26</v>
      </c>
      <c r="F673" s="1">
        <f t="shared" si="30"/>
        <v>7.0853253953645573E-28</v>
      </c>
      <c r="G673" s="1">
        <f t="shared" si="31"/>
        <v>0</v>
      </c>
      <c r="H673" s="1">
        <f t="shared" si="32"/>
        <v>0</v>
      </c>
      <c r="K673">
        <f>VLOOKUP(B673,Nuclides!A:C,2,FALSE)</f>
        <v>96</v>
      </c>
      <c r="L673">
        <f>VLOOKUP(B673,Nuclides!A:C,3,FALSE)</f>
        <v>64</v>
      </c>
      <c r="O673" s="1">
        <v>58145</v>
      </c>
      <c r="P673" s="1">
        <v>3.5895999999999999E-6</v>
      </c>
      <c r="Q673" t="s">
        <v>1707</v>
      </c>
      <c r="R673">
        <v>87</v>
      </c>
      <c r="S673">
        <v>58</v>
      </c>
      <c r="T673">
        <f>VLOOKUP(O673,Nuclides!A:D,4,FALSE)</f>
        <v>180.6</v>
      </c>
    </row>
    <row r="674" spans="2:20" x14ac:dyDescent="0.2">
      <c r="B674" s="8">
        <v>64161</v>
      </c>
      <c r="C674" s="9">
        <v>4.8162E-9</v>
      </c>
      <c r="D674" s="8" t="s">
        <v>1926</v>
      </c>
      <c r="E674" s="1">
        <v>219.6</v>
      </c>
      <c r="F674" s="1">
        <f t="shared" si="30"/>
        <v>3.1564079260471096E-3</v>
      </c>
      <c r="G674" s="1">
        <f t="shared" si="31"/>
        <v>189420.50886805955</v>
      </c>
      <c r="H674" s="1">
        <f t="shared" si="32"/>
        <v>0</v>
      </c>
      <c r="K674">
        <f>VLOOKUP(B674,Nuclides!A:C,2,FALSE)</f>
        <v>97</v>
      </c>
      <c r="L674">
        <f>VLOOKUP(B674,Nuclides!A:C,3,FALSE)</f>
        <v>64</v>
      </c>
      <c r="O674" s="1">
        <v>58146</v>
      </c>
      <c r="P674" s="1">
        <v>7.8511000000000001E-6</v>
      </c>
      <c r="Q674" t="s">
        <v>1708</v>
      </c>
      <c r="R674">
        <v>88</v>
      </c>
      <c r="S674">
        <v>58</v>
      </c>
      <c r="T674">
        <f>VLOOKUP(O674,Nuclides!A:D,4,FALSE)</f>
        <v>809.4</v>
      </c>
    </row>
    <row r="675" spans="2:20" x14ac:dyDescent="0.2">
      <c r="B675" s="8">
        <v>64162</v>
      </c>
      <c r="C675" s="9">
        <v>8.0968000000000004E-9</v>
      </c>
      <c r="D675" s="8" t="s">
        <v>1927</v>
      </c>
      <c r="E675" s="1">
        <v>504</v>
      </c>
      <c r="F675" s="1">
        <f t="shared" si="30"/>
        <v>1.3752920249205263E-3</v>
      </c>
      <c r="G675" s="1">
        <f t="shared" si="31"/>
        <v>138875.07777005152</v>
      </c>
      <c r="H675" s="1">
        <f t="shared" si="32"/>
        <v>0</v>
      </c>
      <c r="K675">
        <f>VLOOKUP(B675,Nuclides!A:C,2,FALSE)</f>
        <v>98</v>
      </c>
      <c r="L675">
        <f>VLOOKUP(B675,Nuclides!A:C,3,FALSE)</f>
        <v>64</v>
      </c>
      <c r="O675" s="1">
        <v>58147</v>
      </c>
      <c r="P675" s="1">
        <v>7.1020799999999996E-6</v>
      </c>
      <c r="Q675" t="s">
        <v>1709</v>
      </c>
      <c r="R675">
        <v>89</v>
      </c>
      <c r="S675">
        <v>58</v>
      </c>
      <c r="T675">
        <f>VLOOKUP(O675,Nuclides!A:D,4,FALSE)</f>
        <v>56.4</v>
      </c>
    </row>
    <row r="676" spans="2:20" x14ac:dyDescent="0.2">
      <c r="B676" s="8">
        <v>64163</v>
      </c>
      <c r="C676" s="9">
        <v>1.29828E-8</v>
      </c>
      <c r="D676" s="8" t="s">
        <v>1928</v>
      </c>
      <c r="E676" s="1">
        <v>68</v>
      </c>
      <c r="F676" s="1">
        <f t="shared" si="30"/>
        <v>1.0193340890587431E-2</v>
      </c>
      <c r="G676" s="1">
        <f t="shared" si="31"/>
        <v>1643190.5358251091</v>
      </c>
      <c r="H676" s="1">
        <f t="shared" si="32"/>
        <v>0</v>
      </c>
      <c r="K676">
        <f>VLOOKUP(B676,Nuclides!A:C,2,FALSE)</f>
        <v>99</v>
      </c>
      <c r="L676">
        <f>VLOOKUP(B676,Nuclides!A:C,3,FALSE)</f>
        <v>64</v>
      </c>
      <c r="O676" s="1">
        <v>58148</v>
      </c>
      <c r="P676" s="1">
        <v>9.7765399999999997E-6</v>
      </c>
      <c r="Q676" t="s">
        <v>1710</v>
      </c>
      <c r="R676">
        <v>90</v>
      </c>
      <c r="S676">
        <v>58</v>
      </c>
      <c r="T676">
        <f>VLOOKUP(O676,Nuclides!A:D,4,FALSE)</f>
        <v>56.8</v>
      </c>
    </row>
    <row r="677" spans="2:20" x14ac:dyDescent="0.2">
      <c r="B677" s="8">
        <v>65144</v>
      </c>
      <c r="C677" s="9">
        <v>1.0679399999999999E-8</v>
      </c>
      <c r="D677" s="8" t="s">
        <v>1943</v>
      </c>
      <c r="E677" s="1">
        <v>1</v>
      </c>
      <c r="F677" s="1">
        <f t="shared" si="30"/>
        <v>0.69314718055994529</v>
      </c>
      <c r="G677" s="1">
        <f t="shared" si="31"/>
        <v>66639455.999999993</v>
      </c>
      <c r="H677" s="1">
        <f t="shared" si="32"/>
        <v>0</v>
      </c>
      <c r="K677">
        <f>VLOOKUP(B677,Nuclides!A:C,2,FALSE)</f>
        <v>79</v>
      </c>
      <c r="L677">
        <f>VLOOKUP(B677,Nuclides!A:C,3,FALSE)</f>
        <v>65</v>
      </c>
      <c r="O677" s="1">
        <v>58149</v>
      </c>
      <c r="P677" s="1">
        <v>6.3781799999999996E-6</v>
      </c>
      <c r="Q677" t="s">
        <v>1711</v>
      </c>
      <c r="R677">
        <v>91</v>
      </c>
      <c r="S677">
        <v>58</v>
      </c>
      <c r="T677">
        <f>VLOOKUP(O677,Nuclides!A:D,4,FALSE)</f>
        <v>5.3</v>
      </c>
    </row>
    <row r="678" spans="2:20" x14ac:dyDescent="0.2">
      <c r="B678" s="8">
        <v>65145</v>
      </c>
      <c r="C678" s="9">
        <v>7.0498000000000002E-9</v>
      </c>
      <c r="D678" s="8" t="s">
        <v>1944</v>
      </c>
      <c r="E678" s="1">
        <v>30.9</v>
      </c>
      <c r="F678" s="1">
        <f t="shared" si="30"/>
        <v>2.2431947590936741E-2</v>
      </c>
      <c r="G678" s="1">
        <f t="shared" si="31"/>
        <v>1951625.2725739835</v>
      </c>
      <c r="H678" s="1">
        <f t="shared" si="32"/>
        <v>0</v>
      </c>
      <c r="K678">
        <f>VLOOKUP(B678,Nuclides!A:C,2,FALSE)</f>
        <v>80</v>
      </c>
      <c r="L678">
        <f>VLOOKUP(B678,Nuclides!A:C,3,FALSE)</f>
        <v>65</v>
      </c>
      <c r="O678" s="1">
        <v>58150</v>
      </c>
      <c r="P678" s="1">
        <v>6.0666700000000003E-6</v>
      </c>
      <c r="Q678" t="s">
        <v>1712</v>
      </c>
      <c r="R678">
        <v>92</v>
      </c>
      <c r="S678">
        <v>58</v>
      </c>
      <c r="T678">
        <f>VLOOKUP(O678,Nuclides!A:D,4,FALSE)</f>
        <v>4</v>
      </c>
    </row>
    <row r="679" spans="2:20" x14ac:dyDescent="0.2">
      <c r="B679" s="8">
        <v>65146</v>
      </c>
      <c r="C679" s="9">
        <v>5.0953999999999996E-9</v>
      </c>
      <c r="D679" s="8" t="s">
        <v>1945</v>
      </c>
      <c r="E679" s="1">
        <v>8</v>
      </c>
      <c r="F679" s="1">
        <f t="shared" si="30"/>
        <v>8.6643397569993161E-2</v>
      </c>
      <c r="G679" s="1">
        <f t="shared" si="31"/>
        <v>5277762.0262213796</v>
      </c>
      <c r="H679" s="1">
        <f t="shared" si="32"/>
        <v>0</v>
      </c>
      <c r="K679">
        <f>VLOOKUP(B679,Nuclides!A:C,2,FALSE)</f>
        <v>81</v>
      </c>
      <c r="L679">
        <f>VLOOKUP(B679,Nuclides!A:C,3,FALSE)</f>
        <v>65</v>
      </c>
      <c r="O679" s="1">
        <v>58151</v>
      </c>
      <c r="P679" s="1">
        <v>3.00566E-6</v>
      </c>
      <c r="Q679" t="s">
        <v>1713</v>
      </c>
      <c r="R679">
        <v>93</v>
      </c>
      <c r="S679">
        <v>58</v>
      </c>
      <c r="T679">
        <f>VLOOKUP(O679,Nuclides!A:D,4,FALSE)</f>
        <v>1.76</v>
      </c>
    </row>
    <row r="680" spans="2:20" x14ac:dyDescent="0.2">
      <c r="B680" s="8">
        <v>65147</v>
      </c>
      <c r="C680" s="9">
        <v>9.0739999999999999E-10</v>
      </c>
      <c r="D680" s="8" t="s">
        <v>1946</v>
      </c>
      <c r="E680" s="1">
        <v>5904</v>
      </c>
      <c r="F680" s="1">
        <f t="shared" si="30"/>
        <v>1.174029777371181E-4</v>
      </c>
      <c r="G680" s="1">
        <f t="shared" si="31"/>
        <v>1329.4346044260046</v>
      </c>
      <c r="H680" s="1">
        <f t="shared" si="32"/>
        <v>0</v>
      </c>
      <c r="K680">
        <f>VLOOKUP(B680,Nuclides!A:C,2,FALSE)</f>
        <v>82</v>
      </c>
      <c r="L680">
        <f>VLOOKUP(B680,Nuclides!A:C,3,FALSE)</f>
        <v>65</v>
      </c>
      <c r="O680" s="1">
        <v>59129</v>
      </c>
      <c r="P680" s="1">
        <v>1.5113799999999999E-6</v>
      </c>
      <c r="Q680" t="s">
        <v>1726</v>
      </c>
      <c r="R680">
        <v>70</v>
      </c>
      <c r="S680">
        <v>59</v>
      </c>
      <c r="T680">
        <f>VLOOKUP(O680,Nuclides!A:D,4,FALSE)</f>
        <v>30</v>
      </c>
    </row>
    <row r="681" spans="2:20" x14ac:dyDescent="0.2">
      <c r="B681" s="8">
        <v>65148</v>
      </c>
      <c r="C681" s="9">
        <v>2.094E-10</v>
      </c>
      <c r="D681" s="8" t="s">
        <v>1947</v>
      </c>
      <c r="E681" s="1">
        <v>3600</v>
      </c>
      <c r="F681" s="1">
        <f t="shared" si="30"/>
        <v>1.9254088348887369E-4</v>
      </c>
      <c r="G681" s="1">
        <f t="shared" si="31"/>
        <v>503.12096408016163</v>
      </c>
      <c r="H681" s="1">
        <f t="shared" si="32"/>
        <v>0</v>
      </c>
      <c r="K681">
        <f>VLOOKUP(B681,Nuclides!A:C,2,FALSE)</f>
        <v>83</v>
      </c>
      <c r="L681">
        <f>VLOOKUP(B681,Nuclides!A:C,3,FALSE)</f>
        <v>65</v>
      </c>
      <c r="O681" s="1">
        <v>59130</v>
      </c>
      <c r="P681" s="1">
        <v>4.7470999999999999E-7</v>
      </c>
      <c r="Q681" t="s">
        <v>1727</v>
      </c>
      <c r="R681">
        <v>71</v>
      </c>
      <c r="S681">
        <v>59</v>
      </c>
      <c r="T681">
        <f>VLOOKUP(O681,Nuclides!A:D,4,FALSE)</f>
        <v>40</v>
      </c>
    </row>
    <row r="682" spans="2:20" x14ac:dyDescent="0.2">
      <c r="B682" s="8">
        <v>65149</v>
      </c>
      <c r="C682" s="9">
        <v>1.3959999999999999E-10</v>
      </c>
      <c r="D682" s="8" t="s">
        <v>1948</v>
      </c>
      <c r="E682" s="1">
        <v>14824.8</v>
      </c>
      <c r="F682" s="1">
        <f t="shared" si="30"/>
        <v>4.6755921196909595E-5</v>
      </c>
      <c r="G682" s="1">
        <f t="shared" si="31"/>
        <v>81.456635651763492</v>
      </c>
      <c r="H682" s="1">
        <f t="shared" si="32"/>
        <v>0</v>
      </c>
      <c r="K682">
        <f>VLOOKUP(B682,Nuclides!A:C,2,FALSE)</f>
        <v>84</v>
      </c>
      <c r="L682">
        <f>VLOOKUP(B682,Nuclides!A:C,3,FALSE)</f>
        <v>65</v>
      </c>
      <c r="O682" s="1">
        <v>59131</v>
      </c>
      <c r="P682" s="1">
        <v>2.1009800000000001E-7</v>
      </c>
      <c r="Q682" t="s">
        <v>1728</v>
      </c>
      <c r="R682">
        <v>72</v>
      </c>
      <c r="S682">
        <v>59</v>
      </c>
      <c r="T682">
        <f>VLOOKUP(O682,Nuclides!A:D,4,FALSE)</f>
        <v>90.6</v>
      </c>
    </row>
    <row r="683" spans="2:20" x14ac:dyDescent="0.2">
      <c r="B683" s="8">
        <v>65161</v>
      </c>
      <c r="C683" s="9">
        <v>1.3959999999999999E-10</v>
      </c>
      <c r="D683" s="8" t="s">
        <v>1960</v>
      </c>
      <c r="E683" s="1">
        <v>595296</v>
      </c>
      <c r="F683" s="1">
        <f t="shared" si="30"/>
        <v>1.1643739930386654E-6</v>
      </c>
      <c r="G683" s="1">
        <f t="shared" si="31"/>
        <v>2.02858050474542</v>
      </c>
      <c r="H683" s="1">
        <f t="shared" si="32"/>
        <v>2.2910254982346437E-16</v>
      </c>
      <c r="K683">
        <f>VLOOKUP(B683,Nuclides!A:C,2,FALSE)</f>
        <v>96</v>
      </c>
      <c r="L683">
        <f>VLOOKUP(B683,Nuclides!A:C,3,FALSE)</f>
        <v>65</v>
      </c>
      <c r="O683" s="1">
        <v>59132</v>
      </c>
      <c r="P683" s="1">
        <v>4.0972599999999997E-8</v>
      </c>
      <c r="Q683" t="s">
        <v>1729</v>
      </c>
      <c r="R683">
        <v>73</v>
      </c>
      <c r="S683">
        <v>59</v>
      </c>
      <c r="T683">
        <f>VLOOKUP(O683,Nuclides!A:D,4,FALSE)</f>
        <v>96</v>
      </c>
    </row>
    <row r="684" spans="2:20" x14ac:dyDescent="0.2">
      <c r="B684" s="8">
        <v>65162</v>
      </c>
      <c r="C684" s="9">
        <v>2.094E-10</v>
      </c>
      <c r="D684" s="8" t="s">
        <v>1961</v>
      </c>
      <c r="E684" s="1">
        <v>456</v>
      </c>
      <c r="F684" s="1">
        <f t="shared" si="30"/>
        <v>1.520059606491108E-3</v>
      </c>
      <c r="G684" s="1">
        <f t="shared" si="31"/>
        <v>3969.3724047341893</v>
      </c>
      <c r="H684" s="1">
        <f t="shared" si="32"/>
        <v>0</v>
      </c>
      <c r="K684">
        <f>VLOOKUP(B684,Nuclides!A:C,2,FALSE)</f>
        <v>97</v>
      </c>
      <c r="L684">
        <f>VLOOKUP(B684,Nuclides!A:C,3,FALSE)</f>
        <v>65</v>
      </c>
      <c r="O684" s="1">
        <v>59133</v>
      </c>
      <c r="P684" s="1">
        <v>1.5146600000000001E-8</v>
      </c>
      <c r="Q684" t="s">
        <v>1730</v>
      </c>
      <c r="R684">
        <v>74</v>
      </c>
      <c r="S684">
        <v>59</v>
      </c>
      <c r="T684">
        <f>VLOOKUP(O684,Nuclides!A:D,4,FALSE)</f>
        <v>390</v>
      </c>
    </row>
    <row r="685" spans="2:20" x14ac:dyDescent="0.2">
      <c r="B685" s="8">
        <v>65163</v>
      </c>
      <c r="C685" s="9">
        <v>5.5839999999999995E-10</v>
      </c>
      <c r="D685" s="8" t="s">
        <v>1962</v>
      </c>
      <c r="E685" s="1">
        <v>1170</v>
      </c>
      <c r="F685" s="1">
        <f t="shared" si="30"/>
        <v>5.9243348765807284E-4</v>
      </c>
      <c r="G685" s="1">
        <f t="shared" si="31"/>
        <v>4127.3467367350331</v>
      </c>
      <c r="H685" s="1">
        <f t="shared" si="32"/>
        <v>0</v>
      </c>
      <c r="K685">
        <f>VLOOKUP(B685,Nuclides!A:C,2,FALSE)</f>
        <v>98</v>
      </c>
      <c r="L685">
        <f>VLOOKUP(B685,Nuclides!A:C,3,FALSE)</f>
        <v>65</v>
      </c>
      <c r="O685" s="1">
        <v>59134</v>
      </c>
      <c r="P685" s="1">
        <v>2.094E-9</v>
      </c>
      <c r="Q685" t="s">
        <v>1731</v>
      </c>
      <c r="R685">
        <v>75</v>
      </c>
      <c r="S685">
        <v>59</v>
      </c>
      <c r="T685">
        <f>VLOOKUP(O685,Nuclides!A:D,4,FALSE)</f>
        <v>660</v>
      </c>
    </row>
    <row r="686" spans="2:20" x14ac:dyDescent="0.2">
      <c r="B686" s="8">
        <v>65164</v>
      </c>
      <c r="C686" s="9">
        <v>7.6779999999999997E-10</v>
      </c>
      <c r="D686" s="8" t="s">
        <v>1963</v>
      </c>
      <c r="E686" s="1">
        <v>180</v>
      </c>
      <c r="F686" s="1">
        <f t="shared" si="30"/>
        <v>3.8508176697774738E-3</v>
      </c>
      <c r="G686" s="1">
        <f t="shared" si="31"/>
        <v>36828.134703888602</v>
      </c>
      <c r="H686" s="1">
        <f t="shared" si="32"/>
        <v>0</v>
      </c>
      <c r="K686">
        <f>VLOOKUP(B686,Nuclides!A:C,2,FALSE)</f>
        <v>99</v>
      </c>
      <c r="L686">
        <f>VLOOKUP(B686,Nuclides!A:C,3,FALSE)</f>
        <v>65</v>
      </c>
      <c r="O686" s="1">
        <v>59135</v>
      </c>
      <c r="P686" s="1">
        <v>3.4899999999999998E-10</v>
      </c>
      <c r="Q686" t="s">
        <v>1732</v>
      </c>
      <c r="R686">
        <v>76</v>
      </c>
      <c r="S686">
        <v>59</v>
      </c>
      <c r="T686">
        <f>VLOOKUP(O686,Nuclides!A:D,4,FALSE)</f>
        <v>1440</v>
      </c>
    </row>
    <row r="687" spans="2:20" x14ac:dyDescent="0.2">
      <c r="B687" s="8">
        <v>65165</v>
      </c>
      <c r="C687" s="9">
        <v>1.1167999999999999E-9</v>
      </c>
      <c r="D687" s="8" t="s">
        <v>1964</v>
      </c>
      <c r="E687" s="1">
        <v>126.6</v>
      </c>
      <c r="F687" s="1">
        <f t="shared" si="30"/>
        <v>5.4750962129537541E-3</v>
      </c>
      <c r="G687" s="1">
        <f t="shared" si="31"/>
        <v>76101.529679517917</v>
      </c>
      <c r="H687" s="1">
        <f t="shared" si="32"/>
        <v>0</v>
      </c>
      <c r="K687">
        <f>VLOOKUP(B687,Nuclides!A:C,2,FALSE)</f>
        <v>100</v>
      </c>
      <c r="L687">
        <f>VLOOKUP(B687,Nuclides!A:C,3,FALSE)</f>
        <v>65</v>
      </c>
      <c r="O687" s="1">
        <v>59136</v>
      </c>
      <c r="P687" s="1">
        <v>1.3959999999999999E-10</v>
      </c>
      <c r="Q687" t="s">
        <v>1733</v>
      </c>
      <c r="R687">
        <v>77</v>
      </c>
      <c r="S687">
        <v>59</v>
      </c>
      <c r="T687">
        <f>VLOOKUP(O687,Nuclides!A:D,4,FALSE)</f>
        <v>786</v>
      </c>
    </row>
    <row r="688" spans="2:20" x14ac:dyDescent="0.2">
      <c r="B688" s="8">
        <v>66145</v>
      </c>
      <c r="C688" s="9">
        <v>6.2819999999999996E-10</v>
      </c>
      <c r="D688" s="8" t="s">
        <v>1977</v>
      </c>
      <c r="E688" s="1">
        <v>6</v>
      </c>
      <c r="F688" s="1">
        <f t="shared" si="30"/>
        <v>0.11552453009332421</v>
      </c>
      <c r="G688" s="1">
        <f t="shared" si="31"/>
        <v>855347.06729770103</v>
      </c>
      <c r="H688" s="1">
        <f t="shared" si="32"/>
        <v>0</v>
      </c>
      <c r="K688">
        <f>VLOOKUP(B688,Nuclides!A:C,2,FALSE)</f>
        <v>79</v>
      </c>
      <c r="L688">
        <f>VLOOKUP(B688,Nuclides!A:C,3,FALSE)</f>
        <v>66</v>
      </c>
      <c r="O688" s="1">
        <v>59141</v>
      </c>
      <c r="P688" s="1">
        <v>6.9799999999999994E-11</v>
      </c>
      <c r="Q688" t="s">
        <v>1738</v>
      </c>
      <c r="R688">
        <v>82</v>
      </c>
      <c r="S688">
        <v>59</v>
      </c>
      <c r="T688" t="str">
        <f>VLOOKUP(O688,Nuclides!A:D,4,FALSE)</f>
        <v>STABLE</v>
      </c>
    </row>
    <row r="689" spans="2:20" x14ac:dyDescent="0.2">
      <c r="B689" s="8">
        <v>66146</v>
      </c>
      <c r="C689" s="9">
        <v>4.8860000000000005E-10</v>
      </c>
      <c r="D689" s="8" t="s">
        <v>1978</v>
      </c>
      <c r="E689" s="1">
        <v>33.200000000000003</v>
      </c>
      <c r="F689" s="1">
        <f t="shared" si="30"/>
        <v>2.0877927125299556E-2</v>
      </c>
      <c r="G689" s="1">
        <f t="shared" si="31"/>
        <v>125988.15865738898</v>
      </c>
      <c r="H689" s="1">
        <f t="shared" si="32"/>
        <v>0</v>
      </c>
      <c r="K689">
        <f>VLOOKUP(B689,Nuclides!A:C,2,FALSE)</f>
        <v>80</v>
      </c>
      <c r="L689">
        <f>VLOOKUP(B689,Nuclides!A:C,3,FALSE)</f>
        <v>66</v>
      </c>
      <c r="O689" s="1">
        <v>59142</v>
      </c>
      <c r="P689" s="1">
        <v>1.1866E-9</v>
      </c>
      <c r="Q689" t="s">
        <v>1739</v>
      </c>
      <c r="R689">
        <v>83</v>
      </c>
      <c r="S689">
        <v>59</v>
      </c>
      <c r="T689">
        <f>VLOOKUP(O689,Nuclides!A:D,4,FALSE)</f>
        <v>68832</v>
      </c>
    </row>
    <row r="690" spans="2:20" x14ac:dyDescent="0.2">
      <c r="B690" s="8">
        <v>66147</v>
      </c>
      <c r="C690" s="9">
        <v>4.1879999999999999E-10</v>
      </c>
      <c r="D690" s="8" t="s">
        <v>1979</v>
      </c>
      <c r="E690" s="1">
        <v>67</v>
      </c>
      <c r="F690" s="1">
        <f t="shared" si="30"/>
        <v>1.0345480306864855E-2</v>
      </c>
      <c r="G690" s="1">
        <f t="shared" si="31"/>
        <v>53793.197644957705</v>
      </c>
      <c r="H690" s="1">
        <f t="shared" si="32"/>
        <v>0</v>
      </c>
      <c r="K690">
        <f>VLOOKUP(B690,Nuclides!A:C,2,FALSE)</f>
        <v>81</v>
      </c>
      <c r="L690">
        <f>VLOOKUP(B690,Nuclides!A:C,3,FALSE)</f>
        <v>66</v>
      </c>
      <c r="O690" s="1">
        <v>59143</v>
      </c>
      <c r="P690" s="1">
        <v>8.0968000000000004E-9</v>
      </c>
      <c r="Q690" t="s">
        <v>1740</v>
      </c>
      <c r="R690">
        <v>84</v>
      </c>
      <c r="S690">
        <v>59</v>
      </c>
      <c r="T690">
        <f>VLOOKUP(O690,Nuclides!A:D,4,FALSE)</f>
        <v>1172448</v>
      </c>
    </row>
    <row r="691" spans="2:20" x14ac:dyDescent="0.2">
      <c r="B691" s="8">
        <v>66148</v>
      </c>
      <c r="C691" s="9">
        <v>2.7919999999999998E-10</v>
      </c>
      <c r="D691" s="8" t="s">
        <v>1980</v>
      </c>
      <c r="E691" s="1">
        <v>198</v>
      </c>
      <c r="F691" s="1">
        <f t="shared" si="30"/>
        <v>3.5007433361613398E-3</v>
      </c>
      <c r="G691" s="1">
        <f t="shared" si="31"/>
        <v>12176.719871261736</v>
      </c>
      <c r="H691" s="1">
        <f t="shared" si="32"/>
        <v>0</v>
      </c>
      <c r="K691">
        <f>VLOOKUP(B691,Nuclides!A:C,2,FALSE)</f>
        <v>82</v>
      </c>
      <c r="L691">
        <f>VLOOKUP(B691,Nuclides!A:C,3,FALSE)</f>
        <v>66</v>
      </c>
      <c r="O691" s="1">
        <v>59144</v>
      </c>
      <c r="P691" s="1">
        <v>3.2806000000000003E-8</v>
      </c>
      <c r="Q691" t="s">
        <v>1741</v>
      </c>
      <c r="R691">
        <v>85</v>
      </c>
      <c r="S691">
        <v>59</v>
      </c>
      <c r="T691">
        <f>VLOOKUP(O691,Nuclides!A:D,4,FALSE)</f>
        <v>1036.8</v>
      </c>
    </row>
    <row r="692" spans="2:20" x14ac:dyDescent="0.2">
      <c r="B692" s="8">
        <v>66149</v>
      </c>
      <c r="C692" s="9">
        <v>6.9799999999999994E-11</v>
      </c>
      <c r="D692" s="8" t="s">
        <v>1981</v>
      </c>
      <c r="E692" s="1">
        <v>252</v>
      </c>
      <c r="F692" s="1">
        <f t="shared" si="30"/>
        <v>2.7505840498410527E-3</v>
      </c>
      <c r="G692" s="1">
        <f t="shared" si="31"/>
        <v>2392.7525261130058</v>
      </c>
      <c r="H692" s="1">
        <f t="shared" si="32"/>
        <v>0</v>
      </c>
      <c r="K692">
        <f>VLOOKUP(B692,Nuclides!A:C,2,FALSE)</f>
        <v>83</v>
      </c>
      <c r="L692">
        <f>VLOOKUP(B692,Nuclides!A:C,3,FALSE)</f>
        <v>66</v>
      </c>
      <c r="O692" s="1">
        <v>59145</v>
      </c>
      <c r="P692" s="1">
        <v>1.84063E-7</v>
      </c>
      <c r="Q692" t="s">
        <v>1742</v>
      </c>
      <c r="R692">
        <v>86</v>
      </c>
      <c r="S692">
        <v>59</v>
      </c>
      <c r="T692">
        <f>VLOOKUP(O692,Nuclides!A:D,4,FALSE)</f>
        <v>21542.400000000001</v>
      </c>
    </row>
    <row r="693" spans="2:20" x14ac:dyDescent="0.2">
      <c r="B693" s="8">
        <v>66166</v>
      </c>
      <c r="C693" s="9">
        <v>6.9799999999999994E-11</v>
      </c>
      <c r="D693" s="8" t="s">
        <v>1998</v>
      </c>
      <c r="E693" s="1">
        <v>293760</v>
      </c>
      <c r="F693" s="1">
        <f t="shared" si="30"/>
        <v>2.3595696505989421E-6</v>
      </c>
      <c r="G693" s="1">
        <f t="shared" si="31"/>
        <v>2.0554281359221984</v>
      </c>
      <c r="H693" s="1">
        <f t="shared" si="32"/>
        <v>9.9185201566562958E-33</v>
      </c>
      <c r="K693">
        <f>VLOOKUP(B693,Nuclides!A:C,2,FALSE)</f>
        <v>100</v>
      </c>
      <c r="L693">
        <f>VLOOKUP(B693,Nuclides!A:C,3,FALSE)</f>
        <v>66</v>
      </c>
      <c r="O693" s="1">
        <v>59146</v>
      </c>
      <c r="P693" s="1">
        <v>4.3290000000000002E-7</v>
      </c>
      <c r="Q693" t="s">
        <v>1743</v>
      </c>
      <c r="R693">
        <v>87</v>
      </c>
      <c r="S693">
        <v>59</v>
      </c>
      <c r="T693">
        <f>VLOOKUP(O693,Nuclides!A:D,4,FALSE)</f>
        <v>1449</v>
      </c>
    </row>
    <row r="694" spans="2:20" x14ac:dyDescent="0.2">
      <c r="B694" s="8">
        <v>66167</v>
      </c>
      <c r="C694" s="9">
        <v>2.7919999999999998E-10</v>
      </c>
      <c r="D694" s="8" t="s">
        <v>1999</v>
      </c>
      <c r="E694" s="1">
        <v>372</v>
      </c>
      <c r="F694" s="1">
        <f t="shared" si="30"/>
        <v>1.8632988724729713E-3</v>
      </c>
      <c r="G694" s="1">
        <f t="shared" si="31"/>
        <v>6486.4634173541663</v>
      </c>
      <c r="H694" s="1">
        <f t="shared" si="32"/>
        <v>0</v>
      </c>
      <c r="K694">
        <f>VLOOKUP(B694,Nuclides!A:C,2,FALSE)</f>
        <v>101</v>
      </c>
      <c r="L694">
        <f>VLOOKUP(B694,Nuclides!A:C,3,FALSE)</f>
        <v>66</v>
      </c>
      <c r="O694" s="1">
        <v>59147</v>
      </c>
      <c r="P694" s="1">
        <v>1.40528E-6</v>
      </c>
      <c r="Q694" t="s">
        <v>1744</v>
      </c>
      <c r="R694">
        <v>88</v>
      </c>
      <c r="S694">
        <v>59</v>
      </c>
      <c r="T694">
        <f>VLOOKUP(O694,Nuclides!A:D,4,FALSE)</f>
        <v>804</v>
      </c>
    </row>
    <row r="695" spans="2:20" x14ac:dyDescent="0.2">
      <c r="B695" s="8">
        <v>66168</v>
      </c>
      <c r="C695" s="9">
        <v>2.7919999999999998E-10</v>
      </c>
      <c r="D695" s="8" t="s">
        <v>2000</v>
      </c>
      <c r="E695" s="1">
        <v>522</v>
      </c>
      <c r="F695" s="1">
        <f t="shared" si="30"/>
        <v>1.3278681619922324E-3</v>
      </c>
      <c r="G695" s="1">
        <f t="shared" si="31"/>
        <v>4623.7745086577524</v>
      </c>
      <c r="H695" s="1">
        <f t="shared" si="32"/>
        <v>0</v>
      </c>
      <c r="K695">
        <f>VLOOKUP(B695,Nuclides!A:C,2,FALSE)</f>
        <v>102</v>
      </c>
      <c r="L695">
        <f>VLOOKUP(B695,Nuclides!A:C,3,FALSE)</f>
        <v>66</v>
      </c>
      <c r="O695" s="1">
        <v>59148</v>
      </c>
      <c r="P695" s="1">
        <v>2.0761299999999999E-6</v>
      </c>
      <c r="Q695" t="s">
        <v>1745</v>
      </c>
      <c r="R695">
        <v>89</v>
      </c>
      <c r="S695">
        <v>59</v>
      </c>
      <c r="T695">
        <f>VLOOKUP(O695,Nuclides!A:D,4,FALSE)</f>
        <v>137.4</v>
      </c>
    </row>
    <row r="696" spans="2:20" x14ac:dyDescent="0.2">
      <c r="B696" s="8">
        <v>67147</v>
      </c>
      <c r="C696" s="9">
        <v>6.9799999999999994E-11</v>
      </c>
      <c r="D696" s="8" t="s">
        <v>2011</v>
      </c>
      <c r="E696" s="1">
        <v>5.8</v>
      </c>
      <c r="F696" s="1">
        <f t="shared" si="30"/>
        <v>0.11950813457930091</v>
      </c>
      <c r="G696" s="1">
        <f t="shared" si="31"/>
        <v>98123.951225873228</v>
      </c>
      <c r="H696" s="1">
        <f t="shared" si="32"/>
        <v>0</v>
      </c>
      <c r="K696">
        <f>VLOOKUP(B696,Nuclides!A:C,2,FALSE)</f>
        <v>80</v>
      </c>
      <c r="L696">
        <f>VLOOKUP(B696,Nuclides!A:C,3,FALSE)</f>
        <v>67</v>
      </c>
      <c r="O696" s="1">
        <v>59149</v>
      </c>
      <c r="P696" s="1">
        <v>3.99235E-6</v>
      </c>
      <c r="Q696" t="s">
        <v>1746</v>
      </c>
      <c r="R696">
        <v>90</v>
      </c>
      <c r="S696">
        <v>59</v>
      </c>
      <c r="T696">
        <f>VLOOKUP(O696,Nuclides!A:D,4,FALSE)</f>
        <v>135.6</v>
      </c>
    </row>
    <row r="697" spans="2:20" x14ac:dyDescent="0.2">
      <c r="B697" s="8">
        <v>67148</v>
      </c>
      <c r="C697" s="9">
        <v>6.9799999999999994E-11</v>
      </c>
      <c r="D697" s="8" t="s">
        <v>2012</v>
      </c>
      <c r="E697" s="1">
        <v>2.2000000000000002</v>
      </c>
      <c r="F697" s="1">
        <f t="shared" si="30"/>
        <v>0.31506690025452055</v>
      </c>
      <c r="G697" s="1">
        <f t="shared" si="31"/>
        <v>235424.52101023475</v>
      </c>
      <c r="H697" s="1">
        <f t="shared" si="32"/>
        <v>0</v>
      </c>
      <c r="K697">
        <f>VLOOKUP(B697,Nuclides!A:C,2,FALSE)</f>
        <v>81</v>
      </c>
      <c r="L697">
        <f>VLOOKUP(B697,Nuclides!A:C,3,FALSE)</f>
        <v>67</v>
      </c>
      <c r="O697" s="1">
        <v>59150</v>
      </c>
      <c r="P697" s="1">
        <v>3.9568199999999997E-6</v>
      </c>
      <c r="Q697" t="s">
        <v>1747</v>
      </c>
      <c r="R697">
        <v>91</v>
      </c>
      <c r="S697">
        <v>59</v>
      </c>
      <c r="T697">
        <f>VLOOKUP(O697,Nuclides!A:D,4,FALSE)</f>
        <v>6.19</v>
      </c>
    </row>
    <row r="698" spans="2:20" x14ac:dyDescent="0.2">
      <c r="B698" s="8">
        <v>67149</v>
      </c>
      <c r="C698" s="9">
        <v>6.9799999999999994E-11</v>
      </c>
      <c r="D698" s="8" t="s">
        <v>2013</v>
      </c>
      <c r="E698" s="1">
        <v>21.1</v>
      </c>
      <c r="F698" s="1">
        <f t="shared" si="30"/>
        <v>3.2850577277722524E-2</v>
      </c>
      <c r="G698" s="1">
        <f t="shared" si="31"/>
        <v>28151.34371699953</v>
      </c>
      <c r="H698" s="1">
        <f t="shared" si="32"/>
        <v>0</v>
      </c>
      <c r="K698">
        <f>VLOOKUP(B698,Nuclides!A:C,2,FALSE)</f>
        <v>82</v>
      </c>
      <c r="L698">
        <f>VLOOKUP(B698,Nuclides!A:C,3,FALSE)</f>
        <v>67</v>
      </c>
      <c r="O698" s="1">
        <v>59151</v>
      </c>
      <c r="P698" s="1">
        <v>5.3140799999999999E-6</v>
      </c>
      <c r="Q698" t="s">
        <v>1748</v>
      </c>
      <c r="R698">
        <v>92</v>
      </c>
      <c r="S698">
        <v>59</v>
      </c>
      <c r="T698">
        <f>VLOOKUP(O698,Nuclides!A:D,4,FALSE)</f>
        <v>18.899999999999999</v>
      </c>
    </row>
    <row r="699" spans="2:20" x14ac:dyDescent="0.2">
      <c r="B699" s="8">
        <v>67150</v>
      </c>
      <c r="C699" s="9">
        <v>2.094E-10</v>
      </c>
      <c r="D699" s="8" t="s">
        <v>2014</v>
      </c>
      <c r="E699" s="1">
        <v>72</v>
      </c>
      <c r="F699" s="1">
        <f t="shared" si="30"/>
        <v>9.6270441744436847E-3</v>
      </c>
      <c r="G699" s="1">
        <f t="shared" si="31"/>
        <v>25037.756895173374</v>
      </c>
      <c r="H699" s="1">
        <f t="shared" si="32"/>
        <v>0</v>
      </c>
      <c r="K699">
        <f>VLOOKUP(B699,Nuclides!A:C,2,FALSE)</f>
        <v>83</v>
      </c>
      <c r="L699">
        <f>VLOOKUP(B699,Nuclides!A:C,3,FALSE)</f>
        <v>67</v>
      </c>
      <c r="O699" s="1">
        <v>59152</v>
      </c>
      <c r="P699" s="1">
        <v>3.8441000000000002E-6</v>
      </c>
      <c r="Q699" t="s">
        <v>1749</v>
      </c>
      <c r="R699">
        <v>93</v>
      </c>
      <c r="S699">
        <v>59</v>
      </c>
      <c r="T699">
        <f>VLOOKUP(O699,Nuclides!A:D,4,FALSE)</f>
        <v>3.57</v>
      </c>
    </row>
    <row r="700" spans="2:20" x14ac:dyDescent="0.2">
      <c r="B700" s="8">
        <v>67151</v>
      </c>
      <c r="C700" s="9">
        <v>6.9799999999999994E-11</v>
      </c>
      <c r="D700" s="8" t="s">
        <v>2015</v>
      </c>
      <c r="E700" s="1">
        <v>35.200000000000003</v>
      </c>
      <c r="F700" s="1">
        <f t="shared" si="30"/>
        <v>1.9691681265907535E-2</v>
      </c>
      <c r="G700" s="1">
        <f t="shared" si="31"/>
        <v>16985.714811596627</v>
      </c>
      <c r="H700" s="1">
        <f t="shared" si="32"/>
        <v>0</v>
      </c>
      <c r="K700">
        <f>VLOOKUP(B700,Nuclides!A:C,2,FALSE)</f>
        <v>84</v>
      </c>
      <c r="L700">
        <f>VLOOKUP(B700,Nuclides!A:C,3,FALSE)</f>
        <v>67</v>
      </c>
      <c r="O700" s="1">
        <v>60129</v>
      </c>
      <c r="P700" s="1">
        <v>2.47615E-6</v>
      </c>
      <c r="Q700" t="s">
        <v>1758</v>
      </c>
      <c r="R700">
        <v>69</v>
      </c>
      <c r="S700">
        <v>60</v>
      </c>
      <c r="T700">
        <f>VLOOKUP(O700,Nuclides!A:D,4,FALSE)</f>
        <v>6.7</v>
      </c>
    </row>
    <row r="701" spans="2:20" x14ac:dyDescent="0.2">
      <c r="B701" s="8">
        <v>67169</v>
      </c>
      <c r="C701" s="9">
        <v>6.9799999999999994E-11</v>
      </c>
      <c r="D701" s="8" t="s">
        <v>2033</v>
      </c>
      <c r="E701" s="1">
        <v>283.2</v>
      </c>
      <c r="F701" s="1">
        <f t="shared" si="30"/>
        <v>2.4475536036721235E-3</v>
      </c>
      <c r="G701" s="1">
        <f t="shared" si="31"/>
        <v>2129.4666793999636</v>
      </c>
      <c r="H701" s="1">
        <f t="shared" si="32"/>
        <v>0</v>
      </c>
      <c r="K701">
        <f>VLOOKUP(B701,Nuclides!A:C,2,FALSE)</f>
        <v>102</v>
      </c>
      <c r="L701">
        <f>VLOOKUP(B701,Nuclides!A:C,3,FALSE)</f>
        <v>67</v>
      </c>
      <c r="O701" s="1">
        <v>60130</v>
      </c>
      <c r="P701" s="1">
        <v>1.0235499999999999E-6</v>
      </c>
      <c r="Q701" t="s">
        <v>1759</v>
      </c>
      <c r="R701">
        <v>70</v>
      </c>
      <c r="S701">
        <v>60</v>
      </c>
      <c r="T701">
        <f>VLOOKUP(O701,Nuclides!A:D,4,FALSE)</f>
        <v>21</v>
      </c>
    </row>
    <row r="702" spans="2:20" x14ac:dyDescent="0.2">
      <c r="B702" s="8">
        <v>68147</v>
      </c>
      <c r="C702" s="9">
        <v>1.3959999999999999E-10</v>
      </c>
      <c r="D702" s="8" t="s">
        <v>2044</v>
      </c>
      <c r="E702" s="1">
        <v>2.5</v>
      </c>
      <c r="F702" s="1">
        <f t="shared" si="30"/>
        <v>0.2772588722239781</v>
      </c>
      <c r="G702" s="1">
        <f t="shared" si="31"/>
        <v>421861.236046526</v>
      </c>
      <c r="H702" s="1">
        <f t="shared" si="32"/>
        <v>0</v>
      </c>
      <c r="K702">
        <f>VLOOKUP(B702,Nuclides!A:C,2,FALSE)</f>
        <v>79</v>
      </c>
      <c r="L702">
        <f>VLOOKUP(B702,Nuclides!A:C,3,FALSE)</f>
        <v>68</v>
      </c>
      <c r="O702" s="1">
        <v>60131</v>
      </c>
      <c r="P702" s="1">
        <v>5.8799499999999999E-7</v>
      </c>
      <c r="Q702" t="s">
        <v>1760</v>
      </c>
      <c r="R702">
        <v>71</v>
      </c>
      <c r="S702">
        <v>60</v>
      </c>
      <c r="T702">
        <f>VLOOKUP(O702,Nuclides!A:D,4,FALSE)</f>
        <v>25.4</v>
      </c>
    </row>
    <row r="703" spans="2:20" x14ac:dyDescent="0.2">
      <c r="B703" s="8">
        <v>68148</v>
      </c>
      <c r="C703" s="9">
        <v>6.9799999999999994E-11</v>
      </c>
      <c r="D703" s="8" t="s">
        <v>2045</v>
      </c>
      <c r="E703" s="1">
        <v>4.5999999999999996</v>
      </c>
      <c r="F703" s="1">
        <f t="shared" si="30"/>
        <v>0.15068416968694465</v>
      </c>
      <c r="G703" s="1">
        <f t="shared" si="31"/>
        <v>121850.63074562557</v>
      </c>
      <c r="H703" s="1">
        <f t="shared" si="32"/>
        <v>0</v>
      </c>
      <c r="K703">
        <f>VLOOKUP(B703,Nuclides!A:C,2,FALSE)</f>
        <v>80</v>
      </c>
      <c r="L703">
        <f>VLOOKUP(B703,Nuclides!A:C,3,FALSE)</f>
        <v>68</v>
      </c>
      <c r="O703" s="1">
        <v>60132</v>
      </c>
      <c r="P703" s="1">
        <v>1.61517E-7</v>
      </c>
      <c r="Q703" t="s">
        <v>1761</v>
      </c>
      <c r="R703">
        <v>72</v>
      </c>
      <c r="S703">
        <v>60</v>
      </c>
      <c r="T703">
        <f>VLOOKUP(O703,Nuclides!A:D,4,FALSE)</f>
        <v>94</v>
      </c>
    </row>
    <row r="704" spans="2:20" x14ac:dyDescent="0.2">
      <c r="B704" s="8">
        <v>68173</v>
      </c>
      <c r="C704" s="9">
        <v>6.9799999999999994E-11</v>
      </c>
      <c r="D704" s="8" t="s">
        <v>2070</v>
      </c>
      <c r="E704" s="1">
        <v>84</v>
      </c>
      <c r="F704" s="1">
        <f t="shared" si="30"/>
        <v>8.2517521495231588E-3</v>
      </c>
      <c r="G704" s="1">
        <f t="shared" si="31"/>
        <v>7158.5583601399212</v>
      </c>
      <c r="H704" s="1">
        <f t="shared" si="32"/>
        <v>0</v>
      </c>
      <c r="K704">
        <f>VLOOKUP(B704,Nuclides!A:C,2,FALSE)</f>
        <v>105</v>
      </c>
      <c r="L704">
        <f>VLOOKUP(B704,Nuclides!A:C,3,FALSE)</f>
        <v>68</v>
      </c>
      <c r="O704" s="1">
        <v>60133</v>
      </c>
      <c r="P704" s="1">
        <v>7.0707399999999994E-8</v>
      </c>
      <c r="Q704" t="s">
        <v>1762</v>
      </c>
      <c r="R704">
        <v>73</v>
      </c>
      <c r="S704">
        <v>60</v>
      </c>
      <c r="T704">
        <f>VLOOKUP(O704,Nuclides!A:D,4,FALSE)</f>
        <v>70</v>
      </c>
    </row>
    <row r="705" spans="2:20" x14ac:dyDescent="0.2">
      <c r="B705" s="8">
        <v>69151</v>
      </c>
      <c r="C705" s="9">
        <v>6.9799999999999994E-11</v>
      </c>
      <c r="D705" s="8" t="s">
        <v>2083</v>
      </c>
      <c r="E705" s="1">
        <v>4.17</v>
      </c>
      <c r="F705" s="1">
        <f t="shared" si="30"/>
        <v>0.16622234545802045</v>
      </c>
      <c r="G705" s="1">
        <f t="shared" si="31"/>
        <v>133402.67998696485</v>
      </c>
      <c r="H705" s="1">
        <f t="shared" si="32"/>
        <v>0</v>
      </c>
      <c r="K705">
        <f>VLOOKUP(B705,Nuclides!A:C,2,FALSE)</f>
        <v>82</v>
      </c>
      <c r="L705">
        <f>VLOOKUP(B705,Nuclides!A:C,3,FALSE)</f>
        <v>69</v>
      </c>
      <c r="O705" s="1">
        <v>60134</v>
      </c>
      <c r="P705" s="1">
        <v>1.42392E-8</v>
      </c>
      <c r="Q705" t="s">
        <v>1763</v>
      </c>
      <c r="R705">
        <v>74</v>
      </c>
      <c r="S705">
        <v>60</v>
      </c>
      <c r="T705">
        <f>VLOOKUP(O705,Nuclides!A:D,4,FALSE)</f>
        <v>510</v>
      </c>
    </row>
    <row r="706" spans="2:20" x14ac:dyDescent="0.2">
      <c r="B706" s="8">
        <v>69175</v>
      </c>
      <c r="C706" s="9">
        <v>6.9799999999999994E-11</v>
      </c>
      <c r="D706" s="8" t="s">
        <v>2107</v>
      </c>
      <c r="E706" s="1">
        <v>912</v>
      </c>
      <c r="F706" s="1">
        <f t="shared" si="30"/>
        <v>7.6002980324555401E-4</v>
      </c>
      <c r="G706" s="1">
        <f t="shared" si="31"/>
        <v>661.81347088756763</v>
      </c>
      <c r="H706" s="1">
        <f t="shared" si="32"/>
        <v>0</v>
      </c>
      <c r="K706">
        <f>VLOOKUP(B706,Nuclides!A:C,2,FALSE)</f>
        <v>106</v>
      </c>
      <c r="L706">
        <f>VLOOKUP(B706,Nuclides!A:C,3,FALSE)</f>
        <v>69</v>
      </c>
      <c r="O706" s="1">
        <v>60135</v>
      </c>
      <c r="P706" s="1">
        <v>3.8389999999999997E-9</v>
      </c>
      <c r="Q706" t="s">
        <v>1764</v>
      </c>
      <c r="R706">
        <v>75</v>
      </c>
      <c r="S706">
        <v>60</v>
      </c>
      <c r="T706">
        <f>VLOOKUP(O706,Nuclides!A:D,4,FALSE)</f>
        <v>744</v>
      </c>
    </row>
    <row r="707" spans="2:20" x14ac:dyDescent="0.2">
      <c r="B707" s="8">
        <v>90228</v>
      </c>
      <c r="C707" s="9">
        <v>6.9799999999999994E-11</v>
      </c>
      <c r="D707" s="8" t="s">
        <v>2925</v>
      </c>
      <c r="E707" s="1">
        <v>60353910</v>
      </c>
      <c r="F707" s="1">
        <f t="shared" si="30"/>
        <v>1.1484710444773922E-8</v>
      </c>
      <c r="G707" s="1">
        <f t="shared" si="31"/>
        <v>1.0004377172556643E-2</v>
      </c>
      <c r="H707" s="1">
        <f t="shared" si="32"/>
        <v>6.9646049470800143E-3</v>
      </c>
      <c r="K707">
        <f>VLOOKUP(B707,Nuclides!A:C,2,FALSE)</f>
        <v>138</v>
      </c>
      <c r="L707">
        <f>VLOOKUP(B707,Nuclides!A:C,3,FALSE)</f>
        <v>90</v>
      </c>
      <c r="O707" s="1">
        <v>60136</v>
      </c>
      <c r="P707" s="1">
        <v>4.1879999999999999E-10</v>
      </c>
      <c r="Q707" t="s">
        <v>1765</v>
      </c>
      <c r="R707">
        <v>76</v>
      </c>
      <c r="S707">
        <v>60</v>
      </c>
      <c r="T707">
        <f>VLOOKUP(O707,Nuclides!A:D,4,FALSE)</f>
        <v>3039</v>
      </c>
    </row>
    <row r="708" spans="2:20" x14ac:dyDescent="0.2">
      <c r="B708" s="8">
        <v>90229</v>
      </c>
      <c r="C708" s="9">
        <v>1.3959999999999999E-10</v>
      </c>
      <c r="D708" s="8" t="s">
        <v>2926</v>
      </c>
      <c r="E708" s="1">
        <v>250314883200</v>
      </c>
      <c r="F708" s="1">
        <f t="shared" ref="F708:F736" si="33">LN(2)/E708</f>
        <v>2.7691009487682963E-12</v>
      </c>
      <c r="G708" s="1">
        <f t="shared" ref="G708:G736" si="34">2*6240000000000000*C708*(1-EXP(-F708))</f>
        <v>4.8243799994907013E-6</v>
      </c>
      <c r="H708" s="1">
        <f t="shared" ref="H708:H729" si="35">G708*EXP(-F708*365*24*3600)</f>
        <v>4.8239587223043786E-6</v>
      </c>
      <c r="K708">
        <f>VLOOKUP(B708,Nuclides!A:C,2,FALSE)</f>
        <v>139</v>
      </c>
      <c r="L708">
        <f>VLOOKUP(B708,Nuclides!A:C,3,FALSE)</f>
        <v>90</v>
      </c>
      <c r="O708" s="1">
        <v>60137</v>
      </c>
      <c r="P708" s="1">
        <v>1.3959999999999999E-10</v>
      </c>
      <c r="Q708" t="s">
        <v>1766</v>
      </c>
      <c r="R708">
        <v>77</v>
      </c>
      <c r="S708">
        <v>60</v>
      </c>
      <c r="T708">
        <f>VLOOKUP(O708,Nuclides!A:D,4,FALSE)</f>
        <v>2310</v>
      </c>
    </row>
    <row r="709" spans="2:20" x14ac:dyDescent="0.2">
      <c r="B709" s="8">
        <v>90231</v>
      </c>
      <c r="C709" s="9">
        <v>4.1879999999999999E-10</v>
      </c>
      <c r="D709" s="8" t="s">
        <v>2928</v>
      </c>
      <c r="E709" s="1">
        <v>91872</v>
      </c>
      <c r="F709" s="1">
        <f t="shared" si="33"/>
        <v>7.5447054658649568E-6</v>
      </c>
      <c r="G709" s="1">
        <f t="shared" si="34"/>
        <v>39.433189905015837</v>
      </c>
      <c r="H709" s="1">
        <f t="shared" si="35"/>
        <v>1.837591522356257E-102</v>
      </c>
      <c r="K709">
        <f>VLOOKUP(B709,Nuclides!A:C,2,FALSE)</f>
        <v>141</v>
      </c>
      <c r="L709">
        <f>VLOOKUP(B709,Nuclides!A:C,3,FALSE)</f>
        <v>90</v>
      </c>
      <c r="O709" s="1">
        <v>60144</v>
      </c>
      <c r="P709" s="1">
        <v>6.9799999999999994E-11</v>
      </c>
      <c r="Q709" t="s">
        <v>1773</v>
      </c>
      <c r="R709">
        <v>84</v>
      </c>
      <c r="S709">
        <v>60</v>
      </c>
      <c r="T709">
        <f>VLOOKUP(O709,Nuclides!A:D,4,FALSE)</f>
        <v>7.2266904000000002E+22</v>
      </c>
    </row>
    <row r="710" spans="2:20" x14ac:dyDescent="0.2">
      <c r="B710" s="8">
        <v>90232</v>
      </c>
      <c r="C710" s="9">
        <v>4.8860000000000005E-10</v>
      </c>
      <c r="D710" s="8" t="s">
        <v>2929</v>
      </c>
      <c r="E710" s="1">
        <v>4.418064E+17</v>
      </c>
      <c r="F710" s="1">
        <f t="shared" si="33"/>
        <v>1.568893480402152E-18</v>
      </c>
      <c r="G710" s="1">
        <f t="shared" si="34"/>
        <v>0</v>
      </c>
      <c r="H710" s="1">
        <f t="shared" si="35"/>
        <v>0</v>
      </c>
      <c r="K710">
        <f>VLOOKUP(B710,Nuclides!A:C,2,FALSE)</f>
        <v>142</v>
      </c>
      <c r="L710">
        <f>VLOOKUP(B710,Nuclides!A:C,3,FALSE)</f>
        <v>90</v>
      </c>
      <c r="O710" s="1">
        <v>60145</v>
      </c>
      <c r="P710" s="1">
        <v>1.3262E-9</v>
      </c>
      <c r="Q710" t="s">
        <v>1774</v>
      </c>
      <c r="R710">
        <v>85</v>
      </c>
      <c r="S710">
        <v>60</v>
      </c>
      <c r="T710" t="str">
        <f>VLOOKUP(O710,Nuclides!A:D,4,FALSE)</f>
        <v>STABLE</v>
      </c>
    </row>
    <row r="711" spans="2:20" x14ac:dyDescent="0.2">
      <c r="B711" s="8">
        <v>90233</v>
      </c>
      <c r="C711" s="9">
        <v>2.7919999999999998E-10</v>
      </c>
      <c r="D711" s="8" t="s">
        <v>2930</v>
      </c>
      <c r="E711" s="1">
        <v>1309.8</v>
      </c>
      <c r="F711" s="1">
        <f t="shared" si="33"/>
        <v>5.2920077917235095E-4</v>
      </c>
      <c r="G711" s="1">
        <f t="shared" si="34"/>
        <v>1843.4678368305015</v>
      </c>
      <c r="H711" s="1">
        <f t="shared" si="35"/>
        <v>0</v>
      </c>
      <c r="K711">
        <f>VLOOKUP(B711,Nuclides!A:C,2,FALSE)</f>
        <v>143</v>
      </c>
      <c r="L711">
        <f>VLOOKUP(B711,Nuclides!A:C,3,FALSE)</f>
        <v>90</v>
      </c>
      <c r="O711" s="1">
        <v>60146</v>
      </c>
      <c r="P711" s="1">
        <v>8.9343999999999993E-9</v>
      </c>
      <c r="Q711" t="s">
        <v>1775</v>
      </c>
      <c r="R711">
        <v>86</v>
      </c>
      <c r="S711">
        <v>60</v>
      </c>
      <c r="T711" t="str">
        <f>VLOOKUP(O711,Nuclides!A:D,4,FALSE)</f>
        <v>STABLE</v>
      </c>
    </row>
    <row r="712" spans="2:20" x14ac:dyDescent="0.2">
      <c r="B712" s="8">
        <v>90234</v>
      </c>
      <c r="C712" s="9">
        <v>1.3959999999999999E-10</v>
      </c>
      <c r="D712" s="8" t="s">
        <v>2931</v>
      </c>
      <c r="E712" s="1">
        <v>2082240</v>
      </c>
      <c r="F712" s="1">
        <f t="shared" si="33"/>
        <v>3.3288534489777611E-7</v>
      </c>
      <c r="G712" s="1">
        <f t="shared" si="34"/>
        <v>0.5799554143527671</v>
      </c>
      <c r="H712" s="1">
        <f t="shared" si="35"/>
        <v>1.6003929263612347E-5</v>
      </c>
      <c r="K712">
        <f>VLOOKUP(B712,Nuclides!A:C,2,FALSE)</f>
        <v>144</v>
      </c>
      <c r="L712">
        <f>VLOOKUP(B712,Nuclides!A:C,3,FALSE)</f>
        <v>90</v>
      </c>
      <c r="O712" s="1">
        <v>60147</v>
      </c>
      <c r="P712" s="1">
        <v>3.1689199999999998E-8</v>
      </c>
      <c r="Q712" t="s">
        <v>1776</v>
      </c>
      <c r="R712">
        <v>87</v>
      </c>
      <c r="S712">
        <v>60</v>
      </c>
      <c r="T712">
        <f>VLOOKUP(O712,Nuclides!A:D,4,FALSE)</f>
        <v>948672</v>
      </c>
    </row>
    <row r="713" spans="2:20" x14ac:dyDescent="0.2">
      <c r="B713" s="8">
        <v>90236</v>
      </c>
      <c r="C713" s="9">
        <v>1.3959999999999999E-10</v>
      </c>
      <c r="D713" s="8" t="s">
        <v>2933</v>
      </c>
      <c r="E713" s="1">
        <v>2238</v>
      </c>
      <c r="F713" s="1">
        <f t="shared" si="33"/>
        <v>3.0971723885609711E-4</v>
      </c>
      <c r="G713" s="1">
        <f t="shared" si="34"/>
        <v>539.50829944990016</v>
      </c>
      <c r="H713" s="1">
        <f t="shared" si="35"/>
        <v>0</v>
      </c>
      <c r="K713">
        <f>VLOOKUP(B713,Nuclides!A:C,2,FALSE)</f>
        <v>146</v>
      </c>
      <c r="L713">
        <f>VLOOKUP(B713,Nuclides!A:C,3,FALSE)</f>
        <v>90</v>
      </c>
      <c r="O713" s="1">
        <v>60148</v>
      </c>
      <c r="P713" s="1">
        <v>1.54607E-7</v>
      </c>
      <c r="Q713" t="s">
        <v>1777</v>
      </c>
      <c r="R713">
        <v>88</v>
      </c>
      <c r="S713">
        <v>60</v>
      </c>
      <c r="T713" t="str">
        <f>VLOOKUP(O713,Nuclides!A:D,4,FALSE)</f>
        <v>STABLE</v>
      </c>
    </row>
    <row r="714" spans="2:20" x14ac:dyDescent="0.2">
      <c r="B714" s="8">
        <v>91230</v>
      </c>
      <c r="C714" s="9">
        <v>2.094E-10</v>
      </c>
      <c r="D714" s="8" t="s">
        <v>2955</v>
      </c>
      <c r="E714" s="1">
        <v>1503359.99999999</v>
      </c>
      <c r="F714" s="1">
        <f t="shared" si="33"/>
        <v>4.6106533402508377E-7</v>
      </c>
      <c r="G714" s="1">
        <f t="shared" si="34"/>
        <v>1.2049072925265705</v>
      </c>
      <c r="H714" s="1">
        <f t="shared" si="35"/>
        <v>5.8377293159143799E-7</v>
      </c>
      <c r="K714">
        <f>VLOOKUP(B714,Nuclides!A:C,2,FALSE)</f>
        <v>139</v>
      </c>
      <c r="L714">
        <f>VLOOKUP(B714,Nuclides!A:C,3,FALSE)</f>
        <v>91</v>
      </c>
      <c r="O714" s="1">
        <v>60149</v>
      </c>
      <c r="P714" s="1">
        <v>2.9378799999999998E-7</v>
      </c>
      <c r="Q714" t="s">
        <v>1778</v>
      </c>
      <c r="R714">
        <v>89</v>
      </c>
      <c r="S714">
        <v>60</v>
      </c>
      <c r="T714">
        <f>VLOOKUP(O714,Nuclides!A:D,4,FALSE)</f>
        <v>6220.8</v>
      </c>
    </row>
    <row r="715" spans="2:20" x14ac:dyDescent="0.2">
      <c r="B715" s="8">
        <v>91231</v>
      </c>
      <c r="C715" s="9">
        <v>3.5598000000000001E-9</v>
      </c>
      <c r="D715" s="8" t="s">
        <v>2956</v>
      </c>
      <c r="E715" s="1">
        <v>1033826976000</v>
      </c>
      <c r="F715" s="1">
        <f t="shared" si="33"/>
        <v>6.704672993171589E-13</v>
      </c>
      <c r="G715" s="1">
        <f t="shared" si="34"/>
        <v>2.9786223471717221E-5</v>
      </c>
      <c r="H715" s="1">
        <f t="shared" si="35"/>
        <v>2.9785593682733081E-5</v>
      </c>
      <c r="K715">
        <f>VLOOKUP(B715,Nuclides!A:C,2,FALSE)</f>
        <v>140</v>
      </c>
      <c r="L715">
        <f>VLOOKUP(B715,Nuclides!A:C,3,FALSE)</f>
        <v>91</v>
      </c>
      <c r="O715" s="1">
        <v>60150</v>
      </c>
      <c r="P715" s="1">
        <v>9.2966599999999998E-7</v>
      </c>
      <c r="Q715" t="s">
        <v>1779</v>
      </c>
      <c r="R715">
        <v>90</v>
      </c>
      <c r="S715">
        <v>60</v>
      </c>
      <c r="T715">
        <f>VLOOKUP(O715,Nuclides!A:D,4,FALSE)</f>
        <v>2.8717416000000001E+26</v>
      </c>
    </row>
    <row r="716" spans="2:20" x14ac:dyDescent="0.2">
      <c r="B716" s="8">
        <v>91232</v>
      </c>
      <c r="C716" s="9">
        <v>9.9115999999999996E-9</v>
      </c>
      <c r="D716" s="8" t="s">
        <v>2957</v>
      </c>
      <c r="E716" s="1">
        <v>114048</v>
      </c>
      <c r="F716" s="1">
        <f t="shared" si="33"/>
        <v>6.0776794030578814E-6</v>
      </c>
      <c r="G716" s="1">
        <f t="shared" si="34"/>
        <v>751.78701453163421</v>
      </c>
      <c r="H716" s="1">
        <f t="shared" si="35"/>
        <v>4.3325138360940746E-81</v>
      </c>
      <c r="K716">
        <f>VLOOKUP(B716,Nuclides!A:C,2,FALSE)</f>
        <v>141</v>
      </c>
      <c r="L716">
        <f>VLOOKUP(B716,Nuclides!A:C,3,FALSE)</f>
        <v>91</v>
      </c>
      <c r="O716" s="1">
        <v>60151</v>
      </c>
      <c r="P716" s="1">
        <v>1.2463499999999999E-6</v>
      </c>
      <c r="Q716" t="s">
        <v>1780</v>
      </c>
      <c r="R716">
        <v>91</v>
      </c>
      <c r="S716">
        <v>60</v>
      </c>
      <c r="T716">
        <f>VLOOKUP(O716,Nuclides!A:D,4,FALSE)</f>
        <v>746.4</v>
      </c>
    </row>
    <row r="717" spans="2:20" x14ac:dyDescent="0.2">
      <c r="B717" s="8">
        <v>91233</v>
      </c>
      <c r="C717" s="9">
        <v>4.8650600000000002E-8</v>
      </c>
      <c r="D717" s="8" t="s">
        <v>2958</v>
      </c>
      <c r="E717" s="1">
        <v>2330640</v>
      </c>
      <c r="F717" s="1">
        <f t="shared" si="33"/>
        <v>2.9740636930626152E-7</v>
      </c>
      <c r="G717" s="1">
        <f t="shared" si="34"/>
        <v>180.57307208943035</v>
      </c>
      <c r="H717" s="1">
        <f t="shared" si="35"/>
        <v>1.5254637328011389E-2</v>
      </c>
      <c r="K717">
        <f>VLOOKUP(B717,Nuclides!A:C,2,FALSE)</f>
        <v>142</v>
      </c>
      <c r="L717">
        <f>VLOOKUP(B717,Nuclides!A:C,3,FALSE)</f>
        <v>91</v>
      </c>
      <c r="O717" s="1">
        <v>60152</v>
      </c>
      <c r="P717" s="1">
        <v>2.3340399999999998E-6</v>
      </c>
      <c r="Q717" t="s">
        <v>1781</v>
      </c>
      <c r="R717">
        <v>92</v>
      </c>
      <c r="S717">
        <v>60</v>
      </c>
      <c r="T717">
        <f>VLOOKUP(O717,Nuclides!A:D,4,FALSE)</f>
        <v>684</v>
      </c>
    </row>
    <row r="718" spans="2:20" x14ac:dyDescent="0.2">
      <c r="B718" s="8">
        <v>91234</v>
      </c>
      <c r="C718" s="9">
        <v>1.2326699999999999E-7</v>
      </c>
      <c r="D718" s="8" t="s">
        <v>2959</v>
      </c>
      <c r="E718" s="1">
        <v>24120</v>
      </c>
      <c r="F718" s="1">
        <f t="shared" si="33"/>
        <v>2.873744529684682E-5</v>
      </c>
      <c r="G718" s="1">
        <f t="shared" si="34"/>
        <v>44208.25057499059</v>
      </c>
      <c r="H718" s="1">
        <f t="shared" si="35"/>
        <v>0</v>
      </c>
      <c r="K718">
        <f>VLOOKUP(B718,Nuclides!A:C,2,FALSE)</f>
        <v>143</v>
      </c>
      <c r="L718">
        <f>VLOOKUP(B718,Nuclides!A:C,3,FALSE)</f>
        <v>91</v>
      </c>
      <c r="O718" s="1">
        <v>60153</v>
      </c>
      <c r="P718" s="1">
        <v>1.9652900000000002E-6</v>
      </c>
      <c r="Q718" t="s">
        <v>1782</v>
      </c>
      <c r="R718">
        <v>93</v>
      </c>
      <c r="S718">
        <v>60</v>
      </c>
      <c r="T718">
        <f>VLOOKUP(O718,Nuclides!A:D,4,FALSE)</f>
        <v>31.6</v>
      </c>
    </row>
    <row r="719" spans="2:20" x14ac:dyDescent="0.2">
      <c r="B719" s="8">
        <v>91235</v>
      </c>
      <c r="C719" s="9">
        <v>3.51932E-7</v>
      </c>
      <c r="D719" s="8" t="s">
        <v>2960</v>
      </c>
      <c r="E719" s="1">
        <v>1464</v>
      </c>
      <c r="F719" s="1">
        <f t="shared" si="33"/>
        <v>4.7346118890706648E-4</v>
      </c>
      <c r="G719" s="1">
        <f t="shared" si="34"/>
        <v>2079002.0640866538</v>
      </c>
      <c r="H719" s="1">
        <f t="shared" si="35"/>
        <v>0</v>
      </c>
      <c r="K719">
        <f>VLOOKUP(B719,Nuclides!A:C,2,FALSE)</f>
        <v>144</v>
      </c>
      <c r="L719">
        <f>VLOOKUP(B719,Nuclides!A:C,3,FALSE)</f>
        <v>91</v>
      </c>
      <c r="O719" s="1">
        <v>60154</v>
      </c>
      <c r="P719" s="1">
        <v>1.9971899999999998E-6</v>
      </c>
      <c r="Q719" t="s">
        <v>1783</v>
      </c>
      <c r="R719">
        <v>94</v>
      </c>
      <c r="S719">
        <v>60</v>
      </c>
      <c r="T719">
        <f>VLOOKUP(O719,Nuclides!A:D,4,FALSE)</f>
        <v>25.9</v>
      </c>
    </row>
    <row r="720" spans="2:20" x14ac:dyDescent="0.2">
      <c r="B720" s="8">
        <v>91236</v>
      </c>
      <c r="C720" s="9">
        <v>6.3064299999999996E-7</v>
      </c>
      <c r="D720" s="8" t="s">
        <v>2961</v>
      </c>
      <c r="E720" s="1">
        <v>546</v>
      </c>
      <c r="F720" s="1">
        <f t="shared" si="33"/>
        <v>1.2695003306958704E-3</v>
      </c>
      <c r="G720" s="1">
        <f t="shared" si="34"/>
        <v>9985167.2555964328</v>
      </c>
      <c r="H720" s="1">
        <f t="shared" si="35"/>
        <v>0</v>
      </c>
      <c r="K720">
        <f>VLOOKUP(B720,Nuclides!A:C,2,FALSE)</f>
        <v>145</v>
      </c>
      <c r="L720">
        <f>VLOOKUP(B720,Nuclides!A:C,3,FALSE)</f>
        <v>91</v>
      </c>
      <c r="O720" s="1">
        <v>61132</v>
      </c>
      <c r="P720" s="1">
        <v>1.1575600000000001E-6</v>
      </c>
      <c r="Q720" t="s">
        <v>1795</v>
      </c>
      <c r="R720">
        <v>71</v>
      </c>
      <c r="S720">
        <v>61</v>
      </c>
      <c r="T720">
        <f>VLOOKUP(O720,Nuclides!A:D,4,FALSE)</f>
        <v>6.2</v>
      </c>
    </row>
    <row r="721" spans="2:20" x14ac:dyDescent="0.2">
      <c r="B721" s="8">
        <v>91237</v>
      </c>
      <c r="C721" s="9">
        <v>4.2710600000000001E-7</v>
      </c>
      <c r="D721" s="8" t="s">
        <v>2962</v>
      </c>
      <c r="E721" s="1">
        <v>522</v>
      </c>
      <c r="F721" s="1">
        <f t="shared" si="33"/>
        <v>1.3278681619922324E-3</v>
      </c>
      <c r="G721" s="1">
        <f t="shared" si="34"/>
        <v>7073215.7424598075</v>
      </c>
      <c r="H721" s="1">
        <f t="shared" si="35"/>
        <v>0</v>
      </c>
      <c r="K721">
        <f>VLOOKUP(B721,Nuclides!A:C,2,FALSE)</f>
        <v>146</v>
      </c>
      <c r="L721">
        <f>VLOOKUP(B721,Nuclides!A:C,3,FALSE)</f>
        <v>91</v>
      </c>
      <c r="O721" s="1">
        <v>61133</v>
      </c>
      <c r="P721" s="1">
        <v>7.98582E-7</v>
      </c>
      <c r="Q721" t="s">
        <v>1796</v>
      </c>
      <c r="R721">
        <v>72</v>
      </c>
      <c r="S721">
        <v>61</v>
      </c>
      <c r="T721">
        <f>VLOOKUP(O721,Nuclides!A:D,4,FALSE)</f>
        <v>13.5</v>
      </c>
    </row>
    <row r="722" spans="2:20" x14ac:dyDescent="0.2">
      <c r="B722" s="8">
        <v>92230</v>
      </c>
      <c r="C722" s="9">
        <v>1.7450000000000001E-9</v>
      </c>
      <c r="D722" s="8" t="s">
        <v>2978</v>
      </c>
      <c r="E722" s="1">
        <v>1797120</v>
      </c>
      <c r="F722" s="1">
        <f t="shared" si="33"/>
        <v>3.8569888519405789E-7</v>
      </c>
      <c r="G722" s="1">
        <f t="shared" si="34"/>
        <v>8.3995944216132656</v>
      </c>
      <c r="H722" s="1">
        <f t="shared" si="35"/>
        <v>4.3828922741794311E-5</v>
      </c>
      <c r="K722">
        <f>VLOOKUP(B722,Nuclides!A:C,2,FALSE)</f>
        <v>138</v>
      </c>
      <c r="L722">
        <f>VLOOKUP(B722,Nuclides!A:C,3,FALSE)</f>
        <v>92</v>
      </c>
      <c r="O722" s="1">
        <v>61134</v>
      </c>
      <c r="P722" s="1">
        <v>2.7054500000000002E-7</v>
      </c>
      <c r="Q722" t="s">
        <v>1797</v>
      </c>
      <c r="R722">
        <v>73</v>
      </c>
      <c r="S722">
        <v>61</v>
      </c>
      <c r="T722">
        <f>VLOOKUP(O722,Nuclides!A:D,4,FALSE)</f>
        <v>5</v>
      </c>
    </row>
    <row r="723" spans="2:20" x14ac:dyDescent="0.2">
      <c r="B723" s="8">
        <v>92231</v>
      </c>
      <c r="C723" s="9">
        <v>3.02234E-8</v>
      </c>
      <c r="D723" s="8" t="s">
        <v>2979</v>
      </c>
      <c r="E723" s="1">
        <v>362880</v>
      </c>
      <c r="F723" s="1">
        <f t="shared" si="33"/>
        <v>1.9101278123896201E-6</v>
      </c>
      <c r="G723" s="1">
        <f t="shared" si="34"/>
        <v>720.47666230357299</v>
      </c>
      <c r="H723" s="1">
        <f t="shared" si="35"/>
        <v>4.9737026576878286E-24</v>
      </c>
      <c r="K723">
        <f>VLOOKUP(B723,Nuclides!A:C,2,FALSE)</f>
        <v>139</v>
      </c>
      <c r="L723">
        <f>VLOOKUP(B723,Nuclides!A:C,3,FALSE)</f>
        <v>92</v>
      </c>
      <c r="O723" s="1">
        <v>61135</v>
      </c>
      <c r="P723" s="1">
        <v>1.5670099999999999E-7</v>
      </c>
      <c r="Q723" t="s">
        <v>1798</v>
      </c>
      <c r="R723">
        <v>74</v>
      </c>
      <c r="S723">
        <v>61</v>
      </c>
      <c r="T723">
        <f>VLOOKUP(O723,Nuclides!A:D,4,FALSE)</f>
        <v>49</v>
      </c>
    </row>
    <row r="724" spans="2:20" x14ac:dyDescent="0.2">
      <c r="B724" s="8">
        <v>92232</v>
      </c>
      <c r="C724" s="9">
        <v>8.3955399999999998E-7</v>
      </c>
      <c r="D724" s="8" t="s">
        <v>2980</v>
      </c>
      <c r="E724" s="1">
        <v>2174318640</v>
      </c>
      <c r="F724" s="1">
        <f t="shared" si="33"/>
        <v>3.1878822533570577E-10</v>
      </c>
      <c r="G724" s="1">
        <f t="shared" si="34"/>
        <v>3.3401462466903098</v>
      </c>
      <c r="H724" s="1">
        <f t="shared" si="35"/>
        <v>3.3067349644602748</v>
      </c>
      <c r="K724">
        <f>VLOOKUP(B724,Nuclides!A:C,2,FALSE)</f>
        <v>140</v>
      </c>
      <c r="L724">
        <f>VLOOKUP(B724,Nuclides!A:C,3,FALSE)</f>
        <v>92</v>
      </c>
      <c r="O724" s="1">
        <v>61136</v>
      </c>
      <c r="P724" s="1">
        <v>3.7203400000000001E-8</v>
      </c>
      <c r="Q724" t="s">
        <v>1799</v>
      </c>
      <c r="R724">
        <v>75</v>
      </c>
      <c r="S724">
        <v>61</v>
      </c>
      <c r="T724">
        <f>VLOOKUP(O724,Nuclides!A:D,4,FALSE)</f>
        <v>107</v>
      </c>
    </row>
    <row r="725" spans="2:20" x14ac:dyDescent="0.2">
      <c r="B725" s="8">
        <v>92233</v>
      </c>
      <c r="C725" s="9">
        <v>9.0700900000000008E-6</v>
      </c>
      <c r="D725" s="8" t="s">
        <v>2981</v>
      </c>
      <c r="E725" s="1">
        <v>5023969920000</v>
      </c>
      <c r="F725" s="1">
        <f t="shared" si="33"/>
        <v>1.3796801963335507E-13</v>
      </c>
      <c r="G725" s="1">
        <f t="shared" si="34"/>
        <v>1.5620953523765026E-2</v>
      </c>
      <c r="H725" s="1">
        <f t="shared" si="35"/>
        <v>1.5620885557777265E-2</v>
      </c>
      <c r="K725">
        <f>VLOOKUP(B725,Nuclides!A:C,2,FALSE)</f>
        <v>141</v>
      </c>
      <c r="L725">
        <f>VLOOKUP(B725,Nuclides!A:C,3,FALSE)</f>
        <v>92</v>
      </c>
      <c r="O725" s="1">
        <v>61137</v>
      </c>
      <c r="P725" s="1">
        <v>1.4588200000000001E-8</v>
      </c>
      <c r="Q725" t="s">
        <v>1800</v>
      </c>
      <c r="R725">
        <v>76</v>
      </c>
      <c r="S725">
        <v>61</v>
      </c>
      <c r="T725">
        <f>VLOOKUP(O725,Nuclides!A:D,4,FALSE)</f>
        <v>144</v>
      </c>
    </row>
    <row r="726" spans="2:20" x14ac:dyDescent="0.2">
      <c r="B726" s="8">
        <v>92234</v>
      </c>
      <c r="C726" s="9">
        <v>7.2731599999999998E-6</v>
      </c>
      <c r="D726" s="8" t="s">
        <v>2982</v>
      </c>
      <c r="E726" s="1">
        <v>7747390800000</v>
      </c>
      <c r="F726" s="1">
        <f t="shared" si="33"/>
        <v>8.9468467314175671E-14</v>
      </c>
      <c r="G726" s="1">
        <f t="shared" si="34"/>
        <v>8.1223742910196961E-3</v>
      </c>
      <c r="H726" s="1">
        <f t="shared" si="35"/>
        <v>8.1223513739550248E-3</v>
      </c>
      <c r="K726">
        <f>VLOOKUP(B726,Nuclides!A:C,2,FALSE)</f>
        <v>142</v>
      </c>
      <c r="L726">
        <f>VLOOKUP(B726,Nuclides!A:C,3,FALSE)</f>
        <v>92</v>
      </c>
      <c r="O726" s="1">
        <v>61138</v>
      </c>
      <c r="P726" s="1">
        <v>2.6524000000000001E-9</v>
      </c>
      <c r="Q726" t="s">
        <v>1801</v>
      </c>
      <c r="R726">
        <v>77</v>
      </c>
      <c r="S726">
        <v>61</v>
      </c>
      <c r="T726">
        <f>VLOOKUP(O726,Nuclides!A:D,4,FALSE)</f>
        <v>10</v>
      </c>
    </row>
    <row r="727" spans="2:20" x14ac:dyDescent="0.2">
      <c r="B727" s="8">
        <v>92235</v>
      </c>
      <c r="C727" s="9">
        <v>3.9106800000000003E-5</v>
      </c>
      <c r="D727" s="8" t="s">
        <v>2983</v>
      </c>
      <c r="E727" s="1">
        <v>2.22165504E+16</v>
      </c>
      <c r="F727" s="1">
        <f t="shared" si="33"/>
        <v>3.1199586257997337E-17</v>
      </c>
      <c r="G727" s="1">
        <f t="shared" si="34"/>
        <v>0</v>
      </c>
      <c r="H727" s="1">
        <f t="shared" si="35"/>
        <v>0</v>
      </c>
      <c r="K727">
        <f>VLOOKUP(B727,Nuclides!A:C,2,FALSE)</f>
        <v>143</v>
      </c>
      <c r="L727">
        <f>VLOOKUP(B727,Nuclides!A:C,3,FALSE)</f>
        <v>92</v>
      </c>
      <c r="O727" s="1">
        <v>61139</v>
      </c>
      <c r="P727" s="1">
        <v>4.1879999999999999E-10</v>
      </c>
      <c r="Q727" t="s">
        <v>1802</v>
      </c>
      <c r="R727">
        <v>78</v>
      </c>
      <c r="S727">
        <v>61</v>
      </c>
      <c r="T727">
        <f>VLOOKUP(O727,Nuclides!A:D,4,FALSE)</f>
        <v>249</v>
      </c>
    </row>
    <row r="728" spans="2:20" x14ac:dyDescent="0.2">
      <c r="B728" s="8">
        <v>92236</v>
      </c>
      <c r="C728" s="9">
        <v>1.4918500000000001E-3</v>
      </c>
      <c r="D728" s="8" t="s">
        <v>2984</v>
      </c>
      <c r="E728" s="1">
        <v>739078992000000</v>
      </c>
      <c r="F728" s="1">
        <f t="shared" si="33"/>
        <v>9.3785263559479616E-16</v>
      </c>
      <c r="G728" s="1">
        <f t="shared" si="34"/>
        <v>1.6536361613361805E-2</v>
      </c>
      <c r="H728" s="1">
        <f t="shared" si="35"/>
        <v>1.6536361124280384E-2</v>
      </c>
      <c r="K728">
        <f>VLOOKUP(B728,Nuclides!A:C,2,FALSE)</f>
        <v>144</v>
      </c>
      <c r="L728">
        <f>VLOOKUP(B728,Nuclides!A:C,3,FALSE)</f>
        <v>92</v>
      </c>
      <c r="O728" s="1">
        <v>61147</v>
      </c>
      <c r="P728" s="1">
        <v>6.9799999999999994E-11</v>
      </c>
      <c r="Q728" t="s">
        <v>1810</v>
      </c>
      <c r="R728">
        <v>86</v>
      </c>
      <c r="S728">
        <v>61</v>
      </c>
      <c r="T728">
        <f>VLOOKUP(O728,Nuclides!A:D,4,FALSE)</f>
        <v>82788207.840000004</v>
      </c>
    </row>
    <row r="729" spans="2:20" x14ac:dyDescent="0.2">
      <c r="B729" s="8">
        <v>92237</v>
      </c>
      <c r="C729" s="9">
        <v>7.2702999999999997E-6</v>
      </c>
      <c r="D729" s="8" t="s">
        <v>2985</v>
      </c>
      <c r="E729" s="1">
        <v>583200</v>
      </c>
      <c r="F729" s="1">
        <f t="shared" si="33"/>
        <v>1.1885239721535413E-6</v>
      </c>
      <c r="G729" s="1">
        <f t="shared" si="34"/>
        <v>107838.69032827715</v>
      </c>
      <c r="H729" s="1">
        <f t="shared" si="35"/>
        <v>5.6866476629356843E-12</v>
      </c>
      <c r="K729">
        <f>VLOOKUP(B729,Nuclides!A:C,2,FALSE)</f>
        <v>145</v>
      </c>
      <c r="L729">
        <f>VLOOKUP(B729,Nuclides!A:C,3,FALSE)</f>
        <v>92</v>
      </c>
      <c r="O729" s="1">
        <v>61148</v>
      </c>
      <c r="P729" s="1">
        <v>4.8860000000000005E-10</v>
      </c>
      <c r="Q729" t="s">
        <v>1811</v>
      </c>
      <c r="R729">
        <v>87</v>
      </c>
      <c r="S729">
        <v>61</v>
      </c>
      <c r="T729">
        <f>VLOOKUP(O729,Nuclides!A:D,4,FALSE)</f>
        <v>463795.20000000001</v>
      </c>
    </row>
    <row r="730" spans="2:20" x14ac:dyDescent="0.2">
      <c r="B730" s="1">
        <v>20060</v>
      </c>
      <c r="C730" s="1">
        <v>0</v>
      </c>
      <c r="D730" s="8" t="s">
        <v>3313</v>
      </c>
      <c r="O730" s="1">
        <v>61149</v>
      </c>
      <c r="P730" s="1">
        <v>4.4671999999999996E-9</v>
      </c>
      <c r="Q730" t="s">
        <v>1812</v>
      </c>
      <c r="R730">
        <v>88</v>
      </c>
      <c r="S730">
        <v>61</v>
      </c>
      <c r="T730">
        <f>VLOOKUP(O730,Nuclides!A:D,4,FALSE)</f>
        <v>191088</v>
      </c>
    </row>
    <row r="731" spans="2:20" x14ac:dyDescent="0.2">
      <c r="B731" s="1">
        <v>30078</v>
      </c>
      <c r="C731" s="1">
        <v>1.3029299999999999E-7</v>
      </c>
      <c r="D731" s="8" t="s">
        <v>3314</v>
      </c>
      <c r="E731">
        <f>VLOOKUP(B731,Nuclides!A:F,4,FALSE)</f>
        <v>1.47</v>
      </c>
      <c r="F731" s="1">
        <f t="shared" si="33"/>
        <v>0.47152869425846616</v>
      </c>
      <c r="G731" s="1">
        <f t="shared" si="34"/>
        <v>611319960.05693138</v>
      </c>
      <c r="O731" s="1">
        <v>61150</v>
      </c>
      <c r="P731" s="1">
        <v>1.5216400000000001E-8</v>
      </c>
      <c r="Q731" t="s">
        <v>1813</v>
      </c>
      <c r="R731">
        <v>89</v>
      </c>
      <c r="S731">
        <v>61</v>
      </c>
      <c r="T731">
        <f>VLOOKUP(O731,Nuclides!A:D,4,FALSE)</f>
        <v>9712.7999999999993</v>
      </c>
    </row>
    <row r="732" spans="2:20" x14ac:dyDescent="0.2">
      <c r="B732" s="1">
        <v>36094</v>
      </c>
      <c r="C732" s="1">
        <v>9.7686300000000004E-6</v>
      </c>
      <c r="D732" s="8" t="s">
        <v>3315</v>
      </c>
      <c r="E732">
        <f>VLOOKUP(B732,Nuclides!A:F,4,FALSE)</f>
        <v>0.21199999999999999</v>
      </c>
      <c r="F732" s="1">
        <f t="shared" si="33"/>
        <v>3.2695621724525723</v>
      </c>
      <c r="G732" s="1">
        <f t="shared" si="34"/>
        <v>117277014667.9879</v>
      </c>
      <c r="O732" s="1">
        <v>61151</v>
      </c>
      <c r="P732" s="1">
        <v>7.5034999999999997E-8</v>
      </c>
      <c r="Q732" t="s">
        <v>1814</v>
      </c>
      <c r="R732">
        <v>90</v>
      </c>
      <c r="S732">
        <v>61</v>
      </c>
      <c r="T732">
        <f>VLOOKUP(O732,Nuclides!A:D,4,FALSE)</f>
        <v>102240</v>
      </c>
    </row>
    <row r="733" spans="2:20" x14ac:dyDescent="0.2">
      <c r="B733" s="1">
        <v>50132</v>
      </c>
      <c r="C733" s="1">
        <v>2.5678699999999999E-5</v>
      </c>
      <c r="D733" s="8" t="s">
        <v>3316</v>
      </c>
      <c r="E733">
        <f>VLOOKUP(B733,Nuclides!A:F,4,FALSE)</f>
        <v>39.700000000000003</v>
      </c>
      <c r="F733" s="1">
        <f t="shared" si="33"/>
        <v>1.7459626714356302E-2</v>
      </c>
      <c r="G733" s="1">
        <f t="shared" si="34"/>
        <v>5546726851.9116592</v>
      </c>
      <c r="O733" s="1">
        <v>61152</v>
      </c>
      <c r="P733" s="1">
        <v>1.7149899999999999E-7</v>
      </c>
      <c r="Q733" t="s">
        <v>1815</v>
      </c>
      <c r="R733">
        <v>91</v>
      </c>
      <c r="S733">
        <v>61</v>
      </c>
      <c r="T733">
        <f>VLOOKUP(O733,Nuclides!A:D,4,FALSE)</f>
        <v>247.2</v>
      </c>
    </row>
    <row r="734" spans="2:20" x14ac:dyDescent="0.2">
      <c r="B734" s="1">
        <v>50138</v>
      </c>
      <c r="C734" s="1">
        <v>1.7450000000000001E-9</v>
      </c>
      <c r="D734" s="8" t="s">
        <v>3317</v>
      </c>
      <c r="E734">
        <f>VLOOKUP(B734,Nuclides!A:F,4,FALSE)</f>
        <v>0.14000000000000001</v>
      </c>
      <c r="F734" s="1">
        <f t="shared" si="33"/>
        <v>4.9510512897138943</v>
      </c>
      <c r="G734" s="1">
        <f t="shared" si="34"/>
        <v>21623502.4400713</v>
      </c>
      <c r="O734" s="1">
        <v>61153</v>
      </c>
      <c r="P734" s="1">
        <v>4.65008E-7</v>
      </c>
      <c r="Q734" t="s">
        <v>1816</v>
      </c>
      <c r="R734">
        <v>92</v>
      </c>
      <c r="S734">
        <v>61</v>
      </c>
      <c r="T734">
        <f>VLOOKUP(O734,Nuclides!A:D,4,FALSE)</f>
        <v>315</v>
      </c>
    </row>
    <row r="735" spans="2:20" x14ac:dyDescent="0.2">
      <c r="B735" s="1">
        <v>54142</v>
      </c>
      <c r="C735" s="1">
        <v>3.2187899999999997E-5</v>
      </c>
      <c r="D735" s="8" t="s">
        <v>3318</v>
      </c>
      <c r="E735">
        <f>VLOOKUP(B735,Nuclides!A:F,4,FALSE)</f>
        <v>1.23</v>
      </c>
      <c r="F735" s="1">
        <f t="shared" si="33"/>
        <v>0.56353429313816694</v>
      </c>
      <c r="G735" s="1">
        <f t="shared" si="34"/>
        <v>173056998342.29965</v>
      </c>
      <c r="O735" s="1">
        <v>61154</v>
      </c>
      <c r="P735" s="1">
        <v>6.4229999999999997E-7</v>
      </c>
      <c r="Q735" t="s">
        <v>1817</v>
      </c>
      <c r="R735">
        <v>93</v>
      </c>
      <c r="S735">
        <v>61</v>
      </c>
      <c r="T735">
        <f>VLOOKUP(O735,Nuclides!A:D,4,FALSE)</f>
        <v>160.80000000000001</v>
      </c>
    </row>
    <row r="736" spans="2:20" x14ac:dyDescent="0.2">
      <c r="B736" s="1">
        <v>55146</v>
      </c>
      <c r="C736" s="1">
        <v>3.9275299999999996E-6</v>
      </c>
      <c r="D736" s="8" t="s">
        <v>3319</v>
      </c>
      <c r="E736">
        <f>VLOOKUP(B736,Nuclides!A:F,4,FALSE)</f>
        <v>0.32200000000000001</v>
      </c>
      <c r="F736" s="1">
        <f t="shared" si="33"/>
        <v>2.1526309955277805</v>
      </c>
      <c r="G736" s="1">
        <f t="shared" si="34"/>
        <v>43321038523.133011</v>
      </c>
      <c r="O736" s="1">
        <v>61155</v>
      </c>
      <c r="P736" s="1">
        <v>8.9148599999999999E-7</v>
      </c>
      <c r="Q736" t="s">
        <v>1818</v>
      </c>
      <c r="R736">
        <v>94</v>
      </c>
      <c r="S736">
        <v>61</v>
      </c>
      <c r="T736">
        <f>VLOOKUP(O736,Nuclides!A:D,4,FALSE)</f>
        <v>41.5</v>
      </c>
    </row>
    <row r="737" spans="15:20" x14ac:dyDescent="0.2">
      <c r="O737" s="1">
        <v>62133</v>
      </c>
      <c r="P737" s="1">
        <v>7.1607800000000004E-7</v>
      </c>
      <c r="Q737" t="s">
        <v>1830</v>
      </c>
      <c r="R737">
        <v>71</v>
      </c>
      <c r="S737">
        <v>62</v>
      </c>
      <c r="T737">
        <f>VLOOKUP(O737,Nuclides!A:D,4,FALSE)</f>
        <v>2.89</v>
      </c>
    </row>
    <row r="738" spans="15:20" x14ac:dyDescent="0.2">
      <c r="O738" s="1">
        <v>62134</v>
      </c>
      <c r="P738" s="1">
        <v>7.1712500000000004E-7</v>
      </c>
      <c r="Q738" t="s">
        <v>1831</v>
      </c>
      <c r="R738">
        <v>72</v>
      </c>
      <c r="S738">
        <v>62</v>
      </c>
      <c r="T738">
        <f>VLOOKUP(O738,Nuclides!A:D,4,FALSE)</f>
        <v>9.5</v>
      </c>
    </row>
    <row r="739" spans="15:20" x14ac:dyDescent="0.2">
      <c r="O739" s="1">
        <v>62135</v>
      </c>
      <c r="P739" s="1">
        <v>3.5514199999999999E-7</v>
      </c>
      <c r="Q739" t="s">
        <v>1832</v>
      </c>
      <c r="R739">
        <v>73</v>
      </c>
      <c r="S739">
        <v>62</v>
      </c>
      <c r="T739">
        <f>VLOOKUP(O739,Nuclides!A:D,4,FALSE)</f>
        <v>10.3</v>
      </c>
    </row>
    <row r="740" spans="15:20" x14ac:dyDescent="0.2">
      <c r="O740" s="1">
        <v>62136</v>
      </c>
      <c r="P740" s="1">
        <v>2.3054900000000001E-7</v>
      </c>
      <c r="Q740" t="s">
        <v>1833</v>
      </c>
      <c r="R740">
        <v>74</v>
      </c>
      <c r="S740">
        <v>62</v>
      </c>
      <c r="T740">
        <f>VLOOKUP(O740,Nuclides!A:D,4,FALSE)</f>
        <v>47</v>
      </c>
    </row>
    <row r="741" spans="15:20" x14ac:dyDescent="0.2">
      <c r="O741" s="1">
        <v>62137</v>
      </c>
      <c r="P741" s="1">
        <v>8.1665999999999998E-8</v>
      </c>
      <c r="Q741" t="s">
        <v>1834</v>
      </c>
      <c r="R741">
        <v>75</v>
      </c>
      <c r="S741">
        <v>62</v>
      </c>
      <c r="T741">
        <f>VLOOKUP(O741,Nuclides!A:D,4,FALSE)</f>
        <v>45</v>
      </c>
    </row>
    <row r="742" spans="15:20" x14ac:dyDescent="0.2">
      <c r="O742" s="1">
        <v>62138</v>
      </c>
      <c r="P742" s="1">
        <v>3.8041000000000003E-8</v>
      </c>
      <c r="Q742" t="s">
        <v>1835</v>
      </c>
      <c r="R742">
        <v>76</v>
      </c>
      <c r="S742">
        <v>62</v>
      </c>
      <c r="T742">
        <f>VLOOKUP(O742,Nuclides!A:D,4,FALSE)</f>
        <v>186</v>
      </c>
    </row>
    <row r="743" spans="15:20" x14ac:dyDescent="0.2">
      <c r="O743" s="1">
        <v>62139</v>
      </c>
      <c r="P743" s="1">
        <v>9.3532000000000003E-9</v>
      </c>
      <c r="Q743" t="s">
        <v>1836</v>
      </c>
      <c r="R743">
        <v>77</v>
      </c>
      <c r="S743">
        <v>62</v>
      </c>
      <c r="T743">
        <f>VLOOKUP(O743,Nuclides!A:D,4,FALSE)</f>
        <v>154.19999999999999</v>
      </c>
    </row>
    <row r="744" spans="15:20" x14ac:dyDescent="0.2">
      <c r="O744" s="1">
        <v>62140</v>
      </c>
      <c r="P744" s="1">
        <v>2.0242000000000001E-9</v>
      </c>
      <c r="Q744" t="s">
        <v>1837</v>
      </c>
      <c r="R744">
        <v>78</v>
      </c>
      <c r="S744">
        <v>62</v>
      </c>
      <c r="T744">
        <f>VLOOKUP(O744,Nuclides!A:D,4,FALSE)</f>
        <v>889.2</v>
      </c>
    </row>
    <row r="745" spans="15:20" x14ac:dyDescent="0.2">
      <c r="O745" s="1">
        <v>62141</v>
      </c>
      <c r="P745" s="1">
        <v>2.7919999999999998E-10</v>
      </c>
      <c r="Q745" t="s">
        <v>1838</v>
      </c>
      <c r="R745">
        <v>79</v>
      </c>
      <c r="S745">
        <v>62</v>
      </c>
      <c r="T745">
        <f>VLOOKUP(O745,Nuclides!A:D,4,FALSE)</f>
        <v>612</v>
      </c>
    </row>
    <row r="746" spans="15:20" x14ac:dyDescent="0.2">
      <c r="O746" s="1">
        <v>62150</v>
      </c>
      <c r="P746" s="1">
        <v>6.9799999999999994E-11</v>
      </c>
      <c r="Q746" t="s">
        <v>1847</v>
      </c>
      <c r="R746">
        <v>88</v>
      </c>
      <c r="S746">
        <v>62</v>
      </c>
      <c r="T746" t="str">
        <f>VLOOKUP(O746,Nuclides!A:D,4,FALSE)</f>
        <v>STABLE</v>
      </c>
    </row>
    <row r="747" spans="15:20" x14ac:dyDescent="0.2">
      <c r="O747" s="1">
        <v>62151</v>
      </c>
      <c r="P747" s="1">
        <v>4.8860000000000005E-10</v>
      </c>
      <c r="Q747" t="s">
        <v>1848</v>
      </c>
      <c r="R747">
        <v>89</v>
      </c>
      <c r="S747">
        <v>62</v>
      </c>
      <c r="T747">
        <f>VLOOKUP(O747,Nuclides!A:D,4,FALSE)</f>
        <v>2840184000</v>
      </c>
    </row>
    <row r="748" spans="15:20" x14ac:dyDescent="0.2">
      <c r="O748" s="1">
        <v>62152</v>
      </c>
      <c r="P748" s="1">
        <v>4.5370000000000004E-9</v>
      </c>
      <c r="Q748" t="s">
        <v>1849</v>
      </c>
      <c r="R748">
        <v>90</v>
      </c>
      <c r="S748">
        <v>62</v>
      </c>
      <c r="T748" t="str">
        <f>VLOOKUP(O748,Nuclides!A:D,4,FALSE)</f>
        <v>STABLE</v>
      </c>
    </row>
    <row r="749" spans="15:20" x14ac:dyDescent="0.2">
      <c r="O749" s="1">
        <v>62153</v>
      </c>
      <c r="P749" s="1">
        <v>1.1866E-8</v>
      </c>
      <c r="Q749" t="s">
        <v>1850</v>
      </c>
      <c r="R749">
        <v>91</v>
      </c>
      <c r="S749">
        <v>62</v>
      </c>
      <c r="T749">
        <f>VLOOKUP(O749,Nuclides!A:D,4,FALSE)</f>
        <v>166622.39999999999</v>
      </c>
    </row>
    <row r="750" spans="15:20" x14ac:dyDescent="0.2">
      <c r="O750" s="1">
        <v>62154</v>
      </c>
      <c r="P750" s="1">
        <v>5.0395600000000002E-8</v>
      </c>
      <c r="Q750" t="s">
        <v>1851</v>
      </c>
      <c r="R750">
        <v>92</v>
      </c>
      <c r="S750">
        <v>62</v>
      </c>
      <c r="T750" t="str">
        <f>VLOOKUP(O750,Nuclides!A:D,4,FALSE)</f>
        <v>STABLE</v>
      </c>
    </row>
    <row r="751" spans="15:20" x14ac:dyDescent="0.2">
      <c r="O751" s="1">
        <v>62155</v>
      </c>
      <c r="P751" s="1">
        <v>9.0391000000000005E-8</v>
      </c>
      <c r="Q751" t="s">
        <v>1852</v>
      </c>
      <c r="R751">
        <v>93</v>
      </c>
      <c r="S751">
        <v>62</v>
      </c>
      <c r="T751">
        <f>VLOOKUP(O751,Nuclides!A:D,4,FALSE)</f>
        <v>1338</v>
      </c>
    </row>
    <row r="752" spans="15:20" x14ac:dyDescent="0.2">
      <c r="O752" s="1">
        <v>62156</v>
      </c>
      <c r="P752" s="1">
        <v>2.11983E-7</v>
      </c>
      <c r="Q752" t="s">
        <v>1853</v>
      </c>
      <c r="R752">
        <v>94</v>
      </c>
      <c r="S752">
        <v>62</v>
      </c>
      <c r="T752">
        <f>VLOOKUP(O752,Nuclides!A:D,4,FALSE)</f>
        <v>33840</v>
      </c>
    </row>
    <row r="753" spans="15:20" x14ac:dyDescent="0.2">
      <c r="O753" s="1">
        <v>62157</v>
      </c>
      <c r="P753" s="1">
        <v>2.26222E-7</v>
      </c>
      <c r="Q753" t="s">
        <v>1854</v>
      </c>
      <c r="R753">
        <v>95</v>
      </c>
      <c r="S753">
        <v>62</v>
      </c>
      <c r="T753">
        <f>VLOOKUP(O753,Nuclides!A:D,4,FALSE)</f>
        <v>481.79999999999899</v>
      </c>
    </row>
    <row r="754" spans="15:20" x14ac:dyDescent="0.2">
      <c r="O754" s="1">
        <v>62158</v>
      </c>
      <c r="P754" s="1">
        <v>2.90298E-7</v>
      </c>
      <c r="Q754" t="s">
        <v>1855</v>
      </c>
      <c r="R754">
        <v>96</v>
      </c>
      <c r="S754">
        <v>62</v>
      </c>
      <c r="T754">
        <f>VLOOKUP(O754,Nuclides!A:D,4,FALSE)</f>
        <v>318</v>
      </c>
    </row>
    <row r="755" spans="15:20" x14ac:dyDescent="0.2">
      <c r="O755" s="1">
        <v>63138</v>
      </c>
      <c r="P755" s="1">
        <v>2.3850700000000001E-7</v>
      </c>
      <c r="Q755" t="s">
        <v>1869</v>
      </c>
      <c r="R755">
        <v>75</v>
      </c>
      <c r="S755">
        <v>63</v>
      </c>
      <c r="T755">
        <f>VLOOKUP(O755,Nuclides!A:D,4,FALSE)</f>
        <v>12.1</v>
      </c>
    </row>
    <row r="756" spans="15:20" x14ac:dyDescent="0.2">
      <c r="O756" s="1">
        <v>63139</v>
      </c>
      <c r="P756" s="1">
        <v>1.89926E-7</v>
      </c>
      <c r="Q756" t="s">
        <v>1870</v>
      </c>
      <c r="R756">
        <v>76</v>
      </c>
      <c r="S756">
        <v>63</v>
      </c>
      <c r="T756">
        <f>VLOOKUP(O756,Nuclides!A:D,4,FALSE)</f>
        <v>17.899999999999999</v>
      </c>
    </row>
    <row r="757" spans="15:20" x14ac:dyDescent="0.2">
      <c r="O757" s="1">
        <v>63140</v>
      </c>
      <c r="P757" s="1">
        <v>8.4248599999999994E-8</v>
      </c>
      <c r="Q757" t="s">
        <v>1871</v>
      </c>
      <c r="R757">
        <v>77</v>
      </c>
      <c r="S757">
        <v>63</v>
      </c>
      <c r="T757">
        <f>VLOOKUP(O757,Nuclides!A:D,4,FALSE)</f>
        <v>1.51</v>
      </c>
    </row>
    <row r="758" spans="15:20" x14ac:dyDescent="0.2">
      <c r="O758" s="1">
        <v>63141</v>
      </c>
      <c r="P758" s="1">
        <v>5.3606399999999999E-8</v>
      </c>
      <c r="Q758" t="s">
        <v>1872</v>
      </c>
      <c r="R758">
        <v>78</v>
      </c>
      <c r="S758">
        <v>63</v>
      </c>
      <c r="T758">
        <f>VLOOKUP(O758,Nuclides!A:D,4,FALSE)</f>
        <v>40.700000000000003</v>
      </c>
    </row>
    <row r="759" spans="15:20" x14ac:dyDescent="0.2">
      <c r="O759" s="1">
        <v>63142</v>
      </c>
      <c r="P759" s="1">
        <v>1.3960000000000001E-8</v>
      </c>
      <c r="Q759" t="s">
        <v>1873</v>
      </c>
      <c r="R759">
        <v>79</v>
      </c>
      <c r="S759">
        <v>63</v>
      </c>
      <c r="T759">
        <f>VLOOKUP(O759,Nuclides!A:D,4,FALSE)</f>
        <v>2.34</v>
      </c>
    </row>
    <row r="760" spans="15:20" x14ac:dyDescent="0.2">
      <c r="O760" s="1">
        <v>63143</v>
      </c>
      <c r="P760" s="1">
        <v>7.0498000000000002E-9</v>
      </c>
      <c r="Q760" t="s">
        <v>1874</v>
      </c>
      <c r="R760">
        <v>80</v>
      </c>
      <c r="S760">
        <v>63</v>
      </c>
      <c r="T760">
        <f>VLOOKUP(O760,Nuclides!A:D,4,FALSE)</f>
        <v>155.39999999999901</v>
      </c>
    </row>
    <row r="761" spans="15:20" x14ac:dyDescent="0.2">
      <c r="O761" s="1">
        <v>63144</v>
      </c>
      <c r="P761" s="1">
        <v>9.0739999999999999E-10</v>
      </c>
      <c r="Q761" t="s">
        <v>1875</v>
      </c>
      <c r="R761">
        <v>81</v>
      </c>
      <c r="S761">
        <v>63</v>
      </c>
      <c r="T761">
        <f>VLOOKUP(O761,Nuclides!A:D,4,FALSE)</f>
        <v>10.199999999999999</v>
      </c>
    </row>
    <row r="762" spans="15:20" x14ac:dyDescent="0.2">
      <c r="O762" s="1">
        <v>63145</v>
      </c>
      <c r="P762" s="1">
        <v>4.1879999999999999E-10</v>
      </c>
      <c r="Q762" t="s">
        <v>1876</v>
      </c>
      <c r="R762">
        <v>82</v>
      </c>
      <c r="S762">
        <v>63</v>
      </c>
      <c r="T762">
        <f>VLOOKUP(O762,Nuclides!A:D,4,FALSE)</f>
        <v>512352</v>
      </c>
    </row>
    <row r="763" spans="15:20" x14ac:dyDescent="0.2">
      <c r="O763" s="1">
        <v>63146</v>
      </c>
      <c r="P763" s="1">
        <v>6.9799999999999994E-11</v>
      </c>
      <c r="Q763" t="s">
        <v>1877</v>
      </c>
      <c r="R763">
        <v>83</v>
      </c>
      <c r="S763">
        <v>63</v>
      </c>
      <c r="T763">
        <f>VLOOKUP(O763,Nuclides!A:D,4,FALSE)</f>
        <v>398304</v>
      </c>
    </row>
    <row r="764" spans="15:20" x14ac:dyDescent="0.2">
      <c r="O764" s="1">
        <v>63147</v>
      </c>
      <c r="P764" s="1">
        <v>6.9799999999999994E-11</v>
      </c>
      <c r="Q764" t="s">
        <v>1878</v>
      </c>
      <c r="R764">
        <v>84</v>
      </c>
      <c r="S764">
        <v>63</v>
      </c>
      <c r="T764">
        <f>VLOOKUP(O764,Nuclides!A:D,4,FALSE)</f>
        <v>2082240</v>
      </c>
    </row>
    <row r="765" spans="15:20" x14ac:dyDescent="0.2">
      <c r="O765" s="1">
        <v>63154</v>
      </c>
      <c r="P765" s="1">
        <v>3.4899999999999998E-10</v>
      </c>
      <c r="Q765" t="s">
        <v>1885</v>
      </c>
      <c r="R765">
        <v>91</v>
      </c>
      <c r="S765">
        <v>63</v>
      </c>
      <c r="T765">
        <f>VLOOKUP(O765,Nuclides!A:D,4,FALSE)</f>
        <v>271426917.60000002</v>
      </c>
    </row>
    <row r="766" spans="15:20" x14ac:dyDescent="0.2">
      <c r="O766" s="1">
        <v>63155</v>
      </c>
      <c r="P766" s="1">
        <v>1.7450000000000001E-9</v>
      </c>
      <c r="Q766" t="s">
        <v>1886</v>
      </c>
      <c r="R766">
        <v>92</v>
      </c>
      <c r="S766">
        <v>63</v>
      </c>
      <c r="T766">
        <f>VLOOKUP(O766,Nuclides!A:D,4,FALSE)</f>
        <v>149993272.80000001</v>
      </c>
    </row>
    <row r="767" spans="15:20" x14ac:dyDescent="0.2">
      <c r="O767" s="1">
        <v>63156</v>
      </c>
      <c r="P767" s="1">
        <v>4.8859999999999999E-9</v>
      </c>
      <c r="Q767" t="s">
        <v>1887</v>
      </c>
      <c r="R767">
        <v>93</v>
      </c>
      <c r="S767">
        <v>63</v>
      </c>
      <c r="T767">
        <f>VLOOKUP(O767,Nuclides!A:D,4,FALSE)</f>
        <v>1312416</v>
      </c>
    </row>
    <row r="768" spans="15:20" x14ac:dyDescent="0.2">
      <c r="O768" s="1">
        <v>63157</v>
      </c>
      <c r="P768" s="1">
        <v>1.9683600000000001E-8</v>
      </c>
      <c r="Q768" t="s">
        <v>1888</v>
      </c>
      <c r="R768">
        <v>94</v>
      </c>
      <c r="S768">
        <v>63</v>
      </c>
      <c r="T768">
        <f>VLOOKUP(O768,Nuclides!A:D,4,FALSE)</f>
        <v>54648</v>
      </c>
    </row>
    <row r="769" spans="15:20" x14ac:dyDescent="0.2">
      <c r="O769" s="1">
        <v>63158</v>
      </c>
      <c r="P769" s="1">
        <v>3.3364400000000002E-8</v>
      </c>
      <c r="Q769" t="s">
        <v>1889</v>
      </c>
      <c r="R769">
        <v>95</v>
      </c>
      <c r="S769">
        <v>63</v>
      </c>
      <c r="T769">
        <f>VLOOKUP(O769,Nuclides!A:D,4,FALSE)</f>
        <v>2754</v>
      </c>
    </row>
    <row r="770" spans="15:20" x14ac:dyDescent="0.2">
      <c r="O770" s="1">
        <v>63159</v>
      </c>
      <c r="P770" s="1">
        <v>6.6938199999999998E-8</v>
      </c>
      <c r="Q770" t="s">
        <v>1890</v>
      </c>
      <c r="R770">
        <v>96</v>
      </c>
      <c r="S770">
        <v>63</v>
      </c>
      <c r="T770">
        <f>VLOOKUP(O770,Nuclides!A:D,4,FALSE)</f>
        <v>1086</v>
      </c>
    </row>
    <row r="771" spans="15:20" x14ac:dyDescent="0.2">
      <c r="O771" s="1">
        <v>63160</v>
      </c>
      <c r="P771" s="1">
        <v>7.8385400000000005E-8</v>
      </c>
      <c r="Q771" t="s">
        <v>1891</v>
      </c>
      <c r="R771">
        <v>97</v>
      </c>
      <c r="S771">
        <v>63</v>
      </c>
      <c r="T771">
        <f>VLOOKUP(O771,Nuclides!A:D,4,FALSE)</f>
        <v>38</v>
      </c>
    </row>
    <row r="772" spans="15:20" x14ac:dyDescent="0.2">
      <c r="O772" s="1">
        <v>64142</v>
      </c>
      <c r="P772" s="1">
        <v>8.7668800000000005E-8</v>
      </c>
      <c r="Q772" t="s">
        <v>1907</v>
      </c>
      <c r="R772">
        <v>78</v>
      </c>
      <c r="S772">
        <v>64</v>
      </c>
      <c r="T772">
        <f>VLOOKUP(O772,Nuclides!A:D,4,FALSE)</f>
        <v>70.2</v>
      </c>
    </row>
    <row r="773" spans="15:20" x14ac:dyDescent="0.2">
      <c r="O773" s="1">
        <v>64143</v>
      </c>
      <c r="P773" s="1">
        <v>6.0935400000000004E-8</v>
      </c>
      <c r="Q773" t="s">
        <v>1908</v>
      </c>
      <c r="R773">
        <v>79</v>
      </c>
      <c r="S773">
        <v>64</v>
      </c>
      <c r="T773">
        <f>VLOOKUP(O773,Nuclides!A:D,4,FALSE)</f>
        <v>39</v>
      </c>
    </row>
    <row r="774" spans="15:20" x14ac:dyDescent="0.2">
      <c r="O774" s="1">
        <v>64144</v>
      </c>
      <c r="P774" s="1">
        <v>4.4951200000000001E-8</v>
      </c>
      <c r="Q774" t="s">
        <v>1909</v>
      </c>
      <c r="R774">
        <v>80</v>
      </c>
      <c r="S774">
        <v>64</v>
      </c>
      <c r="T774">
        <f>VLOOKUP(O774,Nuclides!A:D,4,FALSE)</f>
        <v>268.2</v>
      </c>
    </row>
    <row r="775" spans="15:20" x14ac:dyDescent="0.2">
      <c r="O775" s="1">
        <v>64145</v>
      </c>
      <c r="P775" s="1">
        <v>1.8845999999999999E-8</v>
      </c>
      <c r="Q775" t="s">
        <v>1910</v>
      </c>
      <c r="R775">
        <v>81</v>
      </c>
      <c r="S775">
        <v>64</v>
      </c>
      <c r="T775">
        <f>VLOOKUP(O775,Nuclides!A:D,4,FALSE)</f>
        <v>1380</v>
      </c>
    </row>
    <row r="776" spans="15:20" x14ac:dyDescent="0.2">
      <c r="O776" s="1">
        <v>64146</v>
      </c>
      <c r="P776" s="1">
        <v>9.7719999999999998E-9</v>
      </c>
      <c r="Q776" t="s">
        <v>1911</v>
      </c>
      <c r="R776">
        <v>82</v>
      </c>
      <c r="S776">
        <v>64</v>
      </c>
      <c r="T776">
        <f>VLOOKUP(O776,Nuclides!A:D,4,FALSE)</f>
        <v>4170528</v>
      </c>
    </row>
    <row r="777" spans="15:20" x14ac:dyDescent="0.2">
      <c r="O777" s="1">
        <v>64147</v>
      </c>
      <c r="P777" s="1">
        <v>2.8618000000000002E-9</v>
      </c>
      <c r="Q777" t="s">
        <v>1912</v>
      </c>
      <c r="R777">
        <v>83</v>
      </c>
      <c r="S777">
        <v>64</v>
      </c>
      <c r="T777">
        <f>VLOOKUP(O777,Nuclides!A:D,4,FALSE)</f>
        <v>137016</v>
      </c>
    </row>
    <row r="778" spans="15:20" x14ac:dyDescent="0.2">
      <c r="O778" s="1">
        <v>64148</v>
      </c>
      <c r="P778" s="1">
        <v>1.1167999999999999E-9</v>
      </c>
      <c r="Q778" t="s">
        <v>1913</v>
      </c>
      <c r="R778">
        <v>84</v>
      </c>
      <c r="S778">
        <v>64</v>
      </c>
      <c r="T778">
        <f>VLOOKUP(O778,Nuclides!A:D,4,FALSE)</f>
        <v>2243745360</v>
      </c>
    </row>
    <row r="779" spans="15:20" x14ac:dyDescent="0.2">
      <c r="O779" s="1">
        <v>64149</v>
      </c>
      <c r="P779" s="1">
        <v>4.8860000000000005E-10</v>
      </c>
      <c r="Q779" t="s">
        <v>1914</v>
      </c>
      <c r="R779">
        <v>85</v>
      </c>
      <c r="S779">
        <v>64</v>
      </c>
      <c r="T779">
        <f>VLOOKUP(O779,Nuclides!A:D,4,FALSE)</f>
        <v>801792</v>
      </c>
    </row>
    <row r="780" spans="15:20" x14ac:dyDescent="0.2">
      <c r="O780" s="1">
        <v>64156</v>
      </c>
      <c r="P780" s="1">
        <v>6.9799999999999994E-11</v>
      </c>
      <c r="Q780" t="s">
        <v>1921</v>
      </c>
      <c r="R780">
        <v>92</v>
      </c>
      <c r="S780">
        <v>64</v>
      </c>
      <c r="T780" t="str">
        <f>VLOOKUP(O780,Nuclides!A:D,4,FALSE)</f>
        <v>STABLE</v>
      </c>
    </row>
    <row r="781" spans="15:20" x14ac:dyDescent="0.2">
      <c r="O781" s="1">
        <v>64157</v>
      </c>
      <c r="P781" s="1">
        <v>3.4899999999999998E-10</v>
      </c>
      <c r="Q781" t="s">
        <v>1922</v>
      </c>
      <c r="R781">
        <v>93</v>
      </c>
      <c r="S781">
        <v>64</v>
      </c>
      <c r="T781" t="str">
        <f>VLOOKUP(O781,Nuclides!A:D,4,FALSE)</f>
        <v>STABLE</v>
      </c>
    </row>
    <row r="782" spans="15:20" x14ac:dyDescent="0.2">
      <c r="O782" s="1">
        <v>64158</v>
      </c>
      <c r="P782" s="1">
        <v>1.3959999999999999E-9</v>
      </c>
      <c r="Q782" t="s">
        <v>1923</v>
      </c>
      <c r="R782">
        <v>94</v>
      </c>
      <c r="S782">
        <v>64</v>
      </c>
      <c r="T782" t="str">
        <f>VLOOKUP(O782,Nuclides!A:D,4,FALSE)</f>
        <v>STABLE</v>
      </c>
    </row>
    <row r="783" spans="15:20" x14ac:dyDescent="0.2">
      <c r="O783" s="1">
        <v>64159</v>
      </c>
      <c r="P783" s="1">
        <v>1.6054000000000001E-9</v>
      </c>
      <c r="Q783" t="s">
        <v>1924</v>
      </c>
      <c r="R783">
        <v>95</v>
      </c>
      <c r="S783">
        <v>64</v>
      </c>
      <c r="T783">
        <f>VLOOKUP(O783,Nuclides!A:D,4,FALSE)</f>
        <v>66524.399999999994</v>
      </c>
    </row>
    <row r="784" spans="15:20" x14ac:dyDescent="0.2">
      <c r="O784" s="1">
        <v>64160</v>
      </c>
      <c r="P784" s="1">
        <v>7.3289999999999998E-9</v>
      </c>
      <c r="Q784" t="s">
        <v>1925</v>
      </c>
      <c r="R784">
        <v>96</v>
      </c>
      <c r="S784">
        <v>64</v>
      </c>
      <c r="T784">
        <f>VLOOKUP(O784,Nuclides!A:D,4,FALSE)</f>
        <v>9.7828559999999996E+26</v>
      </c>
    </row>
    <row r="785" spans="15:20" x14ac:dyDescent="0.2">
      <c r="O785" s="1">
        <v>64161</v>
      </c>
      <c r="P785" s="1">
        <v>1.1307599999999999E-8</v>
      </c>
      <c r="Q785" t="s">
        <v>1926</v>
      </c>
      <c r="R785">
        <v>97</v>
      </c>
      <c r="S785">
        <v>64</v>
      </c>
      <c r="T785">
        <f>VLOOKUP(O785,Nuclides!A:D,4,FALSE)</f>
        <v>219.6</v>
      </c>
    </row>
    <row r="786" spans="15:20" x14ac:dyDescent="0.2">
      <c r="O786" s="1">
        <v>64162</v>
      </c>
      <c r="P786" s="1">
        <v>1.77292E-8</v>
      </c>
      <c r="Q786" t="s">
        <v>1927</v>
      </c>
      <c r="R786">
        <v>98</v>
      </c>
      <c r="S786">
        <v>64</v>
      </c>
      <c r="T786">
        <f>VLOOKUP(O786,Nuclides!A:D,4,FALSE)</f>
        <v>504</v>
      </c>
    </row>
    <row r="787" spans="15:20" x14ac:dyDescent="0.2">
      <c r="O787" s="1">
        <v>64163</v>
      </c>
      <c r="P787" s="1">
        <v>2.0660800000000001E-8</v>
      </c>
      <c r="Q787" t="s">
        <v>1928</v>
      </c>
      <c r="R787">
        <v>99</v>
      </c>
      <c r="S787">
        <v>64</v>
      </c>
      <c r="T787">
        <f>VLOOKUP(O787,Nuclides!A:D,4,FALSE)</f>
        <v>68</v>
      </c>
    </row>
    <row r="788" spans="15:20" x14ac:dyDescent="0.2">
      <c r="O788" s="1">
        <v>65144</v>
      </c>
      <c r="P788" s="1">
        <v>1.8497E-8</v>
      </c>
      <c r="Q788" t="s">
        <v>1943</v>
      </c>
      <c r="R788">
        <v>79</v>
      </c>
      <c r="S788">
        <v>65</v>
      </c>
      <c r="T788">
        <f>VLOOKUP(O788,Nuclides!A:D,4,FALSE)</f>
        <v>1</v>
      </c>
    </row>
    <row r="789" spans="15:20" x14ac:dyDescent="0.2">
      <c r="O789" s="1">
        <v>65145</v>
      </c>
      <c r="P789" s="1">
        <v>1.1447200000000001E-8</v>
      </c>
      <c r="Q789" t="s">
        <v>1944</v>
      </c>
      <c r="R789">
        <v>80</v>
      </c>
      <c r="S789">
        <v>65</v>
      </c>
      <c r="T789">
        <f>VLOOKUP(O789,Nuclides!A:D,4,FALSE)</f>
        <v>30.9</v>
      </c>
    </row>
    <row r="790" spans="15:20" x14ac:dyDescent="0.2">
      <c r="O790" s="1">
        <v>65146</v>
      </c>
      <c r="P790" s="1">
        <v>8.376E-9</v>
      </c>
      <c r="Q790" t="s">
        <v>1945</v>
      </c>
      <c r="R790">
        <v>81</v>
      </c>
      <c r="S790">
        <v>65</v>
      </c>
      <c r="T790">
        <f>VLOOKUP(O790,Nuclides!A:D,4,FALSE)</f>
        <v>8</v>
      </c>
    </row>
    <row r="791" spans="15:20" x14ac:dyDescent="0.2">
      <c r="O791" s="1">
        <v>65147</v>
      </c>
      <c r="P791" s="1">
        <v>3.0014E-9</v>
      </c>
      <c r="Q791" t="s">
        <v>1946</v>
      </c>
      <c r="R791">
        <v>82</v>
      </c>
      <c r="S791">
        <v>65</v>
      </c>
      <c r="T791">
        <f>VLOOKUP(O791,Nuclides!A:D,4,FALSE)</f>
        <v>5904</v>
      </c>
    </row>
    <row r="792" spans="15:20" x14ac:dyDescent="0.2">
      <c r="O792" s="1">
        <v>65148</v>
      </c>
      <c r="P792" s="1">
        <v>1.2563999999999999E-9</v>
      </c>
      <c r="Q792" t="s">
        <v>1947</v>
      </c>
      <c r="R792">
        <v>83</v>
      </c>
      <c r="S792">
        <v>65</v>
      </c>
      <c r="T792">
        <f>VLOOKUP(O792,Nuclides!A:D,4,FALSE)</f>
        <v>3600</v>
      </c>
    </row>
    <row r="793" spans="15:20" x14ac:dyDescent="0.2">
      <c r="O793" s="1">
        <v>65149</v>
      </c>
      <c r="P793" s="1">
        <v>3.4899999999999998E-10</v>
      </c>
      <c r="Q793" t="s">
        <v>1948</v>
      </c>
      <c r="R793">
        <v>84</v>
      </c>
      <c r="S793">
        <v>65</v>
      </c>
      <c r="T793">
        <f>VLOOKUP(O793,Nuclides!A:D,4,FALSE)</f>
        <v>14824.8</v>
      </c>
    </row>
    <row r="794" spans="15:20" x14ac:dyDescent="0.2">
      <c r="O794" s="1">
        <v>65150</v>
      </c>
      <c r="P794" s="1">
        <v>6.9799999999999994E-11</v>
      </c>
      <c r="Q794" t="s">
        <v>1949</v>
      </c>
      <c r="R794">
        <v>85</v>
      </c>
      <c r="S794">
        <v>65</v>
      </c>
      <c r="T794">
        <f>VLOOKUP(O794,Nuclides!A:D,4,FALSE)</f>
        <v>12528</v>
      </c>
    </row>
    <row r="795" spans="15:20" x14ac:dyDescent="0.2">
      <c r="O795" s="1">
        <v>65160</v>
      </c>
      <c r="P795" s="1">
        <v>6.9799999999999994E-11</v>
      </c>
      <c r="Q795" t="s">
        <v>1959</v>
      </c>
      <c r="R795">
        <v>95</v>
      </c>
      <c r="S795">
        <v>65</v>
      </c>
      <c r="T795">
        <f>VLOOKUP(O795,Nuclides!A:D,4,FALSE)</f>
        <v>6246720</v>
      </c>
    </row>
    <row r="796" spans="15:20" x14ac:dyDescent="0.2">
      <c r="O796" s="1">
        <v>65161</v>
      </c>
      <c r="P796" s="1">
        <v>2.094E-10</v>
      </c>
      <c r="Q796" t="s">
        <v>1960</v>
      </c>
      <c r="R796">
        <v>96</v>
      </c>
      <c r="S796">
        <v>65</v>
      </c>
      <c r="T796">
        <f>VLOOKUP(O796,Nuclides!A:D,4,FALSE)</f>
        <v>595296</v>
      </c>
    </row>
    <row r="797" spans="15:20" x14ac:dyDescent="0.2">
      <c r="O797" s="1">
        <v>65162</v>
      </c>
      <c r="P797" s="1">
        <v>8.3759999999999998E-10</v>
      </c>
      <c r="Q797" t="s">
        <v>1961</v>
      </c>
      <c r="R797">
        <v>97</v>
      </c>
      <c r="S797">
        <v>65</v>
      </c>
      <c r="T797">
        <f>VLOOKUP(O797,Nuclides!A:D,4,FALSE)</f>
        <v>456</v>
      </c>
    </row>
    <row r="798" spans="15:20" x14ac:dyDescent="0.2">
      <c r="O798" s="1">
        <v>65163</v>
      </c>
      <c r="P798" s="1">
        <v>1.6054000000000001E-9</v>
      </c>
      <c r="Q798" t="s">
        <v>1962</v>
      </c>
      <c r="R798">
        <v>98</v>
      </c>
      <c r="S798">
        <v>65</v>
      </c>
      <c r="T798">
        <f>VLOOKUP(O798,Nuclides!A:D,4,FALSE)</f>
        <v>1170</v>
      </c>
    </row>
    <row r="799" spans="15:20" x14ac:dyDescent="0.2">
      <c r="O799" s="1">
        <v>65164</v>
      </c>
      <c r="P799" s="1">
        <v>2.5127999999999998E-9</v>
      </c>
      <c r="Q799" t="s">
        <v>1963</v>
      </c>
      <c r="R799">
        <v>99</v>
      </c>
      <c r="S799">
        <v>65</v>
      </c>
      <c r="T799">
        <f>VLOOKUP(O799,Nuclides!A:D,4,FALSE)</f>
        <v>180</v>
      </c>
    </row>
    <row r="800" spans="15:20" x14ac:dyDescent="0.2">
      <c r="O800" s="1">
        <v>65165</v>
      </c>
      <c r="P800" s="1">
        <v>5.0953999999999996E-9</v>
      </c>
      <c r="Q800" t="s">
        <v>1964</v>
      </c>
      <c r="R800">
        <v>100</v>
      </c>
      <c r="S800">
        <v>65</v>
      </c>
      <c r="T800">
        <f>VLOOKUP(O800,Nuclides!A:D,4,FALSE)</f>
        <v>126.6</v>
      </c>
    </row>
    <row r="801" spans="15:20" x14ac:dyDescent="0.2">
      <c r="O801" s="1">
        <v>66145</v>
      </c>
      <c r="P801" s="1">
        <v>4.4671999999999996E-9</v>
      </c>
      <c r="Q801" t="s">
        <v>1977</v>
      </c>
      <c r="R801">
        <v>79</v>
      </c>
      <c r="S801">
        <v>66</v>
      </c>
      <c r="T801">
        <f>VLOOKUP(O801,Nuclides!A:D,4,FALSE)</f>
        <v>6</v>
      </c>
    </row>
    <row r="802" spans="15:20" x14ac:dyDescent="0.2">
      <c r="O802" s="1">
        <v>66146</v>
      </c>
      <c r="P802" s="1">
        <v>3.4201999999999998E-9</v>
      </c>
      <c r="Q802" t="s">
        <v>1978</v>
      </c>
      <c r="R802">
        <v>80</v>
      </c>
      <c r="S802">
        <v>66</v>
      </c>
      <c r="T802">
        <f>VLOOKUP(O802,Nuclides!A:D,4,FALSE)</f>
        <v>33.200000000000003</v>
      </c>
    </row>
    <row r="803" spans="15:20" x14ac:dyDescent="0.2">
      <c r="O803" s="1">
        <v>66147</v>
      </c>
      <c r="P803" s="1">
        <v>2.3732E-9</v>
      </c>
      <c r="Q803" t="s">
        <v>1979</v>
      </c>
      <c r="R803">
        <v>81</v>
      </c>
      <c r="S803">
        <v>66</v>
      </c>
      <c r="T803">
        <f>VLOOKUP(O803,Nuclides!A:D,4,FALSE)</f>
        <v>67</v>
      </c>
    </row>
    <row r="804" spans="15:20" x14ac:dyDescent="0.2">
      <c r="O804" s="1">
        <v>66148</v>
      </c>
      <c r="P804" s="1">
        <v>1.7450000000000001E-9</v>
      </c>
      <c r="Q804" t="s">
        <v>1980</v>
      </c>
      <c r="R804">
        <v>82</v>
      </c>
      <c r="S804">
        <v>66</v>
      </c>
      <c r="T804">
        <f>VLOOKUP(O804,Nuclides!A:D,4,FALSE)</f>
        <v>198</v>
      </c>
    </row>
    <row r="805" spans="15:20" x14ac:dyDescent="0.2">
      <c r="O805" s="1">
        <v>66149</v>
      </c>
      <c r="P805" s="1">
        <v>4.8860000000000005E-10</v>
      </c>
      <c r="Q805" t="s">
        <v>1981</v>
      </c>
      <c r="R805">
        <v>83</v>
      </c>
      <c r="S805">
        <v>66</v>
      </c>
      <c r="T805">
        <f>VLOOKUP(O805,Nuclides!A:D,4,FALSE)</f>
        <v>252</v>
      </c>
    </row>
    <row r="806" spans="15:20" x14ac:dyDescent="0.2">
      <c r="O806" s="1">
        <v>66150</v>
      </c>
      <c r="P806" s="1">
        <v>2.7919999999999998E-10</v>
      </c>
      <c r="Q806" t="s">
        <v>1982</v>
      </c>
      <c r="R806">
        <v>84</v>
      </c>
      <c r="S806">
        <v>66</v>
      </c>
      <c r="T806">
        <f>VLOOKUP(O806,Nuclides!A:D,4,FALSE)</f>
        <v>430.2</v>
      </c>
    </row>
    <row r="807" spans="15:20" x14ac:dyDescent="0.2">
      <c r="O807" s="1">
        <v>66153</v>
      </c>
      <c r="P807" s="1">
        <v>6.9799999999999994E-11</v>
      </c>
      <c r="Q807" t="s">
        <v>1985</v>
      </c>
      <c r="R807">
        <v>87</v>
      </c>
      <c r="S807">
        <v>66</v>
      </c>
      <c r="T807">
        <f>VLOOKUP(O807,Nuclides!A:D,4,FALSE)</f>
        <v>23040</v>
      </c>
    </row>
    <row r="808" spans="15:20" x14ac:dyDescent="0.2">
      <c r="O808" s="1">
        <v>66162</v>
      </c>
      <c r="P808" s="1">
        <v>6.9799999999999994E-11</v>
      </c>
      <c r="Q808" t="s">
        <v>1994</v>
      </c>
      <c r="R808">
        <v>96</v>
      </c>
      <c r="S808">
        <v>66</v>
      </c>
      <c r="T808" t="str">
        <f>VLOOKUP(O808,Nuclides!A:D,4,FALSE)</f>
        <v>STABLE</v>
      </c>
    </row>
    <row r="809" spans="15:20" x14ac:dyDescent="0.2">
      <c r="O809" s="1">
        <v>66164</v>
      </c>
      <c r="P809" s="1">
        <v>6.9799999999999994E-11</v>
      </c>
      <c r="Q809" t="s">
        <v>1996</v>
      </c>
      <c r="R809">
        <v>98</v>
      </c>
      <c r="S809">
        <v>66</v>
      </c>
      <c r="T809" t="str">
        <f>VLOOKUP(O809,Nuclides!A:D,4,FALSE)</f>
        <v>STABLE</v>
      </c>
    </row>
    <row r="810" spans="15:20" x14ac:dyDescent="0.2">
      <c r="O810" s="1">
        <v>66166</v>
      </c>
      <c r="P810" s="1">
        <v>2.7919999999999998E-10</v>
      </c>
      <c r="Q810" t="s">
        <v>1998</v>
      </c>
      <c r="R810">
        <v>100</v>
      </c>
      <c r="S810">
        <v>66</v>
      </c>
      <c r="T810">
        <f>VLOOKUP(O810,Nuclides!A:D,4,FALSE)</f>
        <v>293760</v>
      </c>
    </row>
    <row r="811" spans="15:20" x14ac:dyDescent="0.2">
      <c r="O811" s="1">
        <v>66167</v>
      </c>
      <c r="P811" s="1">
        <v>1.047E-9</v>
      </c>
      <c r="Q811" t="s">
        <v>1999</v>
      </c>
      <c r="R811">
        <v>101</v>
      </c>
      <c r="S811">
        <v>66</v>
      </c>
      <c r="T811">
        <f>VLOOKUP(O811,Nuclides!A:D,4,FALSE)</f>
        <v>372</v>
      </c>
    </row>
    <row r="812" spans="15:20" x14ac:dyDescent="0.2">
      <c r="O812" s="1">
        <v>66168</v>
      </c>
      <c r="P812" s="1">
        <v>1.4658E-9</v>
      </c>
      <c r="Q812" t="s">
        <v>2000</v>
      </c>
      <c r="R812">
        <v>102</v>
      </c>
      <c r="S812">
        <v>66</v>
      </c>
      <c r="T812">
        <f>VLOOKUP(O812,Nuclides!A:D,4,FALSE)</f>
        <v>522</v>
      </c>
    </row>
    <row r="813" spans="15:20" x14ac:dyDescent="0.2">
      <c r="O813" s="1">
        <v>67147</v>
      </c>
      <c r="P813" s="1">
        <v>4.8860000000000005E-10</v>
      </c>
      <c r="Q813" t="s">
        <v>2011</v>
      </c>
      <c r="R813">
        <v>80</v>
      </c>
      <c r="S813">
        <v>67</v>
      </c>
      <c r="T813">
        <f>VLOOKUP(O813,Nuclides!A:D,4,FALSE)</f>
        <v>5.8</v>
      </c>
    </row>
    <row r="814" spans="15:20" x14ac:dyDescent="0.2">
      <c r="O814" s="1">
        <v>67148</v>
      </c>
      <c r="P814" s="1">
        <v>1.047E-9</v>
      </c>
      <c r="Q814" t="s">
        <v>2012</v>
      </c>
      <c r="R814">
        <v>81</v>
      </c>
      <c r="S814">
        <v>67</v>
      </c>
      <c r="T814">
        <f>VLOOKUP(O814,Nuclides!A:D,4,FALSE)</f>
        <v>2.2000000000000002</v>
      </c>
    </row>
    <row r="815" spans="15:20" x14ac:dyDescent="0.2">
      <c r="O815" s="1">
        <v>67149</v>
      </c>
      <c r="P815" s="1">
        <v>4.8860000000000005E-10</v>
      </c>
      <c r="Q815" t="s">
        <v>2013</v>
      </c>
      <c r="R815">
        <v>82</v>
      </c>
      <c r="S815">
        <v>67</v>
      </c>
      <c r="T815">
        <f>VLOOKUP(O815,Nuclides!A:D,4,FALSE)</f>
        <v>21.1</v>
      </c>
    </row>
    <row r="816" spans="15:20" x14ac:dyDescent="0.2">
      <c r="O816" s="1">
        <v>67150</v>
      </c>
      <c r="P816" s="1">
        <v>2.7919999999999998E-10</v>
      </c>
      <c r="Q816" t="s">
        <v>2014</v>
      </c>
      <c r="R816">
        <v>83</v>
      </c>
      <c r="S816">
        <v>67</v>
      </c>
      <c r="T816">
        <f>VLOOKUP(O816,Nuclides!A:D,4,FALSE)</f>
        <v>72</v>
      </c>
    </row>
    <row r="817" spans="15:20" x14ac:dyDescent="0.2">
      <c r="O817" s="1">
        <v>67153</v>
      </c>
      <c r="P817" s="1">
        <v>6.9799999999999994E-11</v>
      </c>
      <c r="Q817" t="s">
        <v>2017</v>
      </c>
      <c r="R817">
        <v>86</v>
      </c>
      <c r="S817">
        <v>67</v>
      </c>
      <c r="T817">
        <f>VLOOKUP(O817,Nuclides!A:D,4,FALSE)</f>
        <v>120.6</v>
      </c>
    </row>
    <row r="818" spans="15:20" x14ac:dyDescent="0.2">
      <c r="O818" s="1">
        <v>67168</v>
      </c>
      <c r="P818" s="1">
        <v>1.3959999999999999E-10</v>
      </c>
      <c r="Q818" t="s">
        <v>2032</v>
      </c>
      <c r="R818">
        <v>101</v>
      </c>
      <c r="S818">
        <v>67</v>
      </c>
      <c r="T818">
        <f>VLOOKUP(O818,Nuclides!A:D,4,FALSE)</f>
        <v>179.4</v>
      </c>
    </row>
    <row r="819" spans="15:20" x14ac:dyDescent="0.2">
      <c r="O819" s="1">
        <v>67169</v>
      </c>
      <c r="P819" s="1">
        <v>2.094E-10</v>
      </c>
      <c r="Q819" t="s">
        <v>2033</v>
      </c>
      <c r="R819">
        <v>102</v>
      </c>
      <c r="S819">
        <v>67</v>
      </c>
      <c r="T819">
        <f>VLOOKUP(O819,Nuclides!A:D,4,FALSE)</f>
        <v>283.2</v>
      </c>
    </row>
    <row r="820" spans="15:20" x14ac:dyDescent="0.2">
      <c r="O820" s="1">
        <v>67170</v>
      </c>
      <c r="P820" s="1">
        <v>6.9799999999999994E-11</v>
      </c>
      <c r="Q820" t="s">
        <v>2034</v>
      </c>
      <c r="R820">
        <v>103</v>
      </c>
      <c r="S820">
        <v>67</v>
      </c>
      <c r="T820">
        <f>VLOOKUP(O820,Nuclides!A:D,4,FALSE)</f>
        <v>165.6</v>
      </c>
    </row>
    <row r="821" spans="15:20" x14ac:dyDescent="0.2">
      <c r="O821" s="1">
        <v>68147</v>
      </c>
      <c r="P821" s="1">
        <v>6.9799999999999994E-11</v>
      </c>
      <c r="Q821" t="s">
        <v>2044</v>
      </c>
      <c r="R821">
        <v>79</v>
      </c>
      <c r="S821">
        <v>68</v>
      </c>
      <c r="T821">
        <f>VLOOKUP(O821,Nuclides!A:D,4,FALSE)</f>
        <v>2.5</v>
      </c>
    </row>
    <row r="822" spans="15:20" x14ac:dyDescent="0.2">
      <c r="O822" s="1">
        <v>68148</v>
      </c>
      <c r="P822" s="1">
        <v>6.9799999999999994E-11</v>
      </c>
      <c r="Q822" t="s">
        <v>2045</v>
      </c>
      <c r="R822">
        <v>80</v>
      </c>
      <c r="S822">
        <v>68</v>
      </c>
      <c r="T822">
        <f>VLOOKUP(O822,Nuclides!A:D,4,FALSE)</f>
        <v>4.5999999999999996</v>
      </c>
    </row>
    <row r="823" spans="15:20" x14ac:dyDescent="0.2">
      <c r="O823" s="1">
        <v>68149</v>
      </c>
      <c r="P823" s="1">
        <v>1.3959999999999999E-10</v>
      </c>
      <c r="Q823" t="s">
        <v>2046</v>
      </c>
      <c r="R823">
        <v>81</v>
      </c>
      <c r="S823">
        <v>68</v>
      </c>
      <c r="T823">
        <f>VLOOKUP(O823,Nuclides!A:D,4,FALSE)</f>
        <v>4</v>
      </c>
    </row>
    <row r="824" spans="15:20" x14ac:dyDescent="0.2">
      <c r="O824" s="1">
        <v>68150</v>
      </c>
      <c r="P824" s="1">
        <v>6.9799999999999994E-11</v>
      </c>
      <c r="Q824" t="s">
        <v>2047</v>
      </c>
      <c r="R824">
        <v>82</v>
      </c>
      <c r="S824">
        <v>68</v>
      </c>
      <c r="T824">
        <f>VLOOKUP(O824,Nuclides!A:D,4,FALSE)</f>
        <v>18.5</v>
      </c>
    </row>
    <row r="825" spans="15:20" x14ac:dyDescent="0.2">
      <c r="O825" s="1">
        <v>68173</v>
      </c>
      <c r="P825" s="1">
        <v>6.9799999999999994E-11</v>
      </c>
      <c r="Q825" t="s">
        <v>2070</v>
      </c>
      <c r="R825">
        <v>105</v>
      </c>
      <c r="S825">
        <v>68</v>
      </c>
      <c r="T825">
        <f>VLOOKUP(O825,Nuclides!A:D,4,FALSE)</f>
        <v>84</v>
      </c>
    </row>
    <row r="826" spans="15:20" x14ac:dyDescent="0.2">
      <c r="O826" s="1">
        <v>69151</v>
      </c>
      <c r="P826" s="1">
        <v>1.3959999999999999E-10</v>
      </c>
      <c r="Q826" t="s">
        <v>2083</v>
      </c>
      <c r="R826">
        <v>82</v>
      </c>
      <c r="S826">
        <v>69</v>
      </c>
      <c r="T826">
        <f>VLOOKUP(O826,Nuclides!A:D,4,FALSE)</f>
        <v>4.17</v>
      </c>
    </row>
    <row r="827" spans="15:20" x14ac:dyDescent="0.2">
      <c r="O827" s="1">
        <v>69175</v>
      </c>
      <c r="P827" s="1">
        <v>1.3959999999999999E-10</v>
      </c>
      <c r="Q827" t="s">
        <v>2107</v>
      </c>
      <c r="R827">
        <v>106</v>
      </c>
      <c r="S827">
        <v>69</v>
      </c>
      <c r="T827">
        <f>VLOOKUP(O827,Nuclides!A:D,4,FALSE)</f>
        <v>912</v>
      </c>
    </row>
    <row r="828" spans="15:20" x14ac:dyDescent="0.2">
      <c r="O828" s="1">
        <v>90230</v>
      </c>
      <c r="P828" s="1">
        <v>2.094E-10</v>
      </c>
      <c r="Q828" t="s">
        <v>2927</v>
      </c>
      <c r="R828">
        <v>140</v>
      </c>
      <c r="S828">
        <v>90</v>
      </c>
      <c r="T828">
        <f>VLOOKUP(O828,Nuclides!A:D,4,FALSE)</f>
        <v>2379443040000</v>
      </c>
    </row>
    <row r="829" spans="15:20" x14ac:dyDescent="0.2">
      <c r="O829" s="1">
        <v>90231</v>
      </c>
      <c r="P829" s="1">
        <v>4.1879999999999999E-10</v>
      </c>
      <c r="Q829" t="s">
        <v>2928</v>
      </c>
      <c r="R829">
        <v>141</v>
      </c>
      <c r="S829">
        <v>90</v>
      </c>
      <c r="T829">
        <f>VLOOKUP(O829,Nuclides!A:D,4,FALSE)</f>
        <v>91872</v>
      </c>
    </row>
    <row r="830" spans="15:20" x14ac:dyDescent="0.2">
      <c r="O830" s="1">
        <v>90232</v>
      </c>
      <c r="P830" s="1">
        <v>7.6779999999999997E-10</v>
      </c>
      <c r="Q830" t="s">
        <v>2929</v>
      </c>
      <c r="R830">
        <v>142</v>
      </c>
      <c r="S830">
        <v>90</v>
      </c>
      <c r="T830">
        <f>VLOOKUP(O830,Nuclides!A:D,4,FALSE)</f>
        <v>4.418064E+17</v>
      </c>
    </row>
    <row r="831" spans="15:20" x14ac:dyDescent="0.2">
      <c r="O831" s="1">
        <v>90233</v>
      </c>
      <c r="P831" s="1">
        <v>3.4899999999999998E-10</v>
      </c>
      <c r="Q831" t="s">
        <v>2930</v>
      </c>
      <c r="R831">
        <v>143</v>
      </c>
      <c r="S831">
        <v>90</v>
      </c>
      <c r="T831">
        <f>VLOOKUP(O831,Nuclides!A:D,4,FALSE)</f>
        <v>1309.8</v>
      </c>
    </row>
    <row r="832" spans="15:20" x14ac:dyDescent="0.2">
      <c r="O832" s="1">
        <v>90234</v>
      </c>
      <c r="P832" s="1">
        <v>2.094E-10</v>
      </c>
      <c r="Q832" t="s">
        <v>2931</v>
      </c>
      <c r="R832">
        <v>144</v>
      </c>
      <c r="S832">
        <v>90</v>
      </c>
      <c r="T832">
        <f>VLOOKUP(O832,Nuclides!A:D,4,FALSE)</f>
        <v>2082240</v>
      </c>
    </row>
    <row r="833" spans="15:20" x14ac:dyDescent="0.2">
      <c r="O833" s="1">
        <v>90236</v>
      </c>
      <c r="P833" s="1">
        <v>1.3959999999999999E-10</v>
      </c>
      <c r="Q833" t="s">
        <v>2933</v>
      </c>
      <c r="R833">
        <v>146</v>
      </c>
      <c r="S833">
        <v>90</v>
      </c>
      <c r="T833">
        <f>VLOOKUP(O833,Nuclides!A:D,4,FALSE)</f>
        <v>2238</v>
      </c>
    </row>
    <row r="834" spans="15:20" x14ac:dyDescent="0.2">
      <c r="O834" s="1">
        <v>91230</v>
      </c>
      <c r="P834" s="1">
        <v>2.094E-10</v>
      </c>
      <c r="Q834" t="s">
        <v>2955</v>
      </c>
      <c r="R834">
        <v>139</v>
      </c>
      <c r="S834">
        <v>91</v>
      </c>
      <c r="T834">
        <f>VLOOKUP(O834,Nuclides!A:D,4,FALSE)</f>
        <v>1503359.99999999</v>
      </c>
    </row>
    <row r="835" spans="15:20" x14ac:dyDescent="0.2">
      <c r="O835" s="1">
        <v>91231</v>
      </c>
      <c r="P835" s="1">
        <v>3.4201999999999998E-9</v>
      </c>
      <c r="Q835" t="s">
        <v>2956</v>
      </c>
      <c r="R835">
        <v>140</v>
      </c>
      <c r="S835">
        <v>91</v>
      </c>
      <c r="T835">
        <f>VLOOKUP(O835,Nuclides!A:D,4,FALSE)</f>
        <v>1033826976000</v>
      </c>
    </row>
    <row r="836" spans="15:20" x14ac:dyDescent="0.2">
      <c r="O836" s="1">
        <v>91232</v>
      </c>
      <c r="P836" s="1">
        <v>1.1447200000000001E-8</v>
      </c>
      <c r="Q836" t="s">
        <v>2957</v>
      </c>
      <c r="R836">
        <v>141</v>
      </c>
      <c r="S836">
        <v>91</v>
      </c>
      <c r="T836">
        <f>VLOOKUP(O836,Nuclides!A:D,4,FALSE)</f>
        <v>114048</v>
      </c>
    </row>
    <row r="837" spans="15:20" x14ac:dyDescent="0.2">
      <c r="O837" s="1">
        <v>91233</v>
      </c>
      <c r="P837" s="1">
        <v>6.0935400000000004E-8</v>
      </c>
      <c r="Q837" t="s">
        <v>2958</v>
      </c>
      <c r="R837">
        <v>142</v>
      </c>
      <c r="S837">
        <v>91</v>
      </c>
      <c r="T837">
        <f>VLOOKUP(O837,Nuclides!A:D,4,FALSE)</f>
        <v>2330640</v>
      </c>
    </row>
    <row r="838" spans="15:20" x14ac:dyDescent="0.2">
      <c r="O838" s="1">
        <v>91234</v>
      </c>
      <c r="P838" s="1">
        <v>1.47557E-7</v>
      </c>
      <c r="Q838" t="s">
        <v>2959</v>
      </c>
      <c r="R838">
        <v>143</v>
      </c>
      <c r="S838">
        <v>91</v>
      </c>
      <c r="T838">
        <f>VLOOKUP(O838,Nuclides!A:D,4,FALSE)</f>
        <v>24120</v>
      </c>
    </row>
    <row r="839" spans="15:20" x14ac:dyDescent="0.2">
      <c r="O839" s="1">
        <v>91235</v>
      </c>
      <c r="P839" s="1">
        <v>4.2061499999999998E-7</v>
      </c>
      <c r="Q839" t="s">
        <v>2960</v>
      </c>
      <c r="R839">
        <v>144</v>
      </c>
      <c r="S839">
        <v>91</v>
      </c>
      <c r="T839">
        <f>VLOOKUP(O839,Nuclides!A:D,4,FALSE)</f>
        <v>1464</v>
      </c>
    </row>
    <row r="840" spans="15:20" x14ac:dyDescent="0.2">
      <c r="O840" s="1">
        <v>91236</v>
      </c>
      <c r="P840" s="1">
        <v>7.5998199999999996E-7</v>
      </c>
      <c r="Q840" t="s">
        <v>2961</v>
      </c>
      <c r="R840">
        <v>145</v>
      </c>
      <c r="S840">
        <v>91</v>
      </c>
      <c r="T840">
        <f>VLOOKUP(O840,Nuclides!A:D,4,FALSE)</f>
        <v>546</v>
      </c>
    </row>
    <row r="841" spans="15:20" x14ac:dyDescent="0.2">
      <c r="O841" s="1">
        <v>91237</v>
      </c>
      <c r="P841" s="1">
        <v>5.42765E-7</v>
      </c>
      <c r="Q841" t="s">
        <v>2962</v>
      </c>
      <c r="R841">
        <v>146</v>
      </c>
      <c r="S841">
        <v>91</v>
      </c>
      <c r="T841">
        <f>VLOOKUP(O841,Nuclides!A:D,4,FALSE)</f>
        <v>522</v>
      </c>
    </row>
    <row r="842" spans="15:20" x14ac:dyDescent="0.2">
      <c r="O842" s="1">
        <v>92230</v>
      </c>
      <c r="P842" s="1">
        <v>2.6524000000000001E-9</v>
      </c>
      <c r="Q842" t="s">
        <v>2978</v>
      </c>
      <c r="R842">
        <v>138</v>
      </c>
      <c r="S842">
        <v>92</v>
      </c>
      <c r="T842">
        <f>VLOOKUP(O842,Nuclides!A:D,4,FALSE)</f>
        <v>1797120</v>
      </c>
    </row>
    <row r="843" spans="15:20" x14ac:dyDescent="0.2">
      <c r="O843" s="1">
        <v>92231</v>
      </c>
      <c r="P843" s="1">
        <v>3.4201999999999997E-8</v>
      </c>
      <c r="Q843" t="s">
        <v>2979</v>
      </c>
      <c r="R843">
        <v>139</v>
      </c>
      <c r="S843">
        <v>92</v>
      </c>
      <c r="T843">
        <f>VLOOKUP(O843,Nuclides!A:D,4,FALSE)</f>
        <v>362880</v>
      </c>
    </row>
    <row r="844" spans="15:20" x14ac:dyDescent="0.2">
      <c r="O844" s="1">
        <v>92232</v>
      </c>
      <c r="P844" s="1">
        <v>1.1668500000000001E-6</v>
      </c>
      <c r="Q844" t="s">
        <v>2980</v>
      </c>
      <c r="R844">
        <v>140</v>
      </c>
      <c r="S844">
        <v>92</v>
      </c>
      <c r="T844">
        <f>VLOOKUP(O844,Nuclides!A:D,4,FALSE)</f>
        <v>2174318640</v>
      </c>
    </row>
    <row r="845" spans="15:20" x14ac:dyDescent="0.2">
      <c r="O845" s="1">
        <v>92233</v>
      </c>
      <c r="P845" s="1">
        <v>2.3815399999999999E-5</v>
      </c>
      <c r="Q845" t="s">
        <v>2981</v>
      </c>
      <c r="R845">
        <v>141</v>
      </c>
      <c r="S845">
        <v>92</v>
      </c>
      <c r="T845">
        <f>VLOOKUP(O845,Nuclides!A:D,4,FALSE)</f>
        <v>5023969920000</v>
      </c>
    </row>
    <row r="846" spans="15:20" x14ac:dyDescent="0.2">
      <c r="O846" s="1">
        <v>92234</v>
      </c>
      <c r="P846" s="1">
        <v>1.3395599999999999E-4</v>
      </c>
      <c r="Q846" t="s">
        <v>2982</v>
      </c>
      <c r="R846">
        <v>142</v>
      </c>
      <c r="S846">
        <v>92</v>
      </c>
      <c r="T846">
        <f>VLOOKUP(O846,Nuclides!A:D,4,FALSE)</f>
        <v>7747390800000</v>
      </c>
    </row>
    <row r="847" spans="15:20" x14ac:dyDescent="0.2">
      <c r="O847" s="1">
        <v>92235</v>
      </c>
      <c r="P847" s="1">
        <v>4.66799E-5</v>
      </c>
      <c r="Q847" t="s">
        <v>2983</v>
      </c>
      <c r="R847">
        <v>143</v>
      </c>
      <c r="S847">
        <v>92</v>
      </c>
      <c r="T847">
        <f>VLOOKUP(O847,Nuclides!A:D,4,FALSE)</f>
        <v>2.22165504E+16</v>
      </c>
    </row>
    <row r="848" spans="15:20" x14ac:dyDescent="0.2">
      <c r="O848" s="1">
        <v>92236</v>
      </c>
      <c r="P848" s="1">
        <v>1.3475200000000001E-3</v>
      </c>
      <c r="Q848" t="s">
        <v>2984</v>
      </c>
      <c r="R848">
        <v>144</v>
      </c>
      <c r="S848">
        <v>92</v>
      </c>
      <c r="T848">
        <f>VLOOKUP(O848,Nuclides!A:D,4,FALSE)</f>
        <v>739078992000000</v>
      </c>
    </row>
    <row r="849" spans="15:20" x14ac:dyDescent="0.2">
      <c r="O849" s="1">
        <v>92237</v>
      </c>
      <c r="P849" s="1">
        <v>4.0387699999999997E-3</v>
      </c>
      <c r="Q849" t="s">
        <v>2985</v>
      </c>
      <c r="R849">
        <v>145</v>
      </c>
      <c r="S849">
        <v>92</v>
      </c>
      <c r="T849">
        <f>VLOOKUP(O849,Nuclides!A:D,4,FALSE)</f>
        <v>583200</v>
      </c>
    </row>
    <row r="850" spans="15:20" x14ac:dyDescent="0.2">
      <c r="O850" s="1">
        <v>92238</v>
      </c>
      <c r="P850" s="1">
        <v>1.95415E-4</v>
      </c>
      <c r="Q850" t="s">
        <v>2986</v>
      </c>
      <c r="R850">
        <v>146</v>
      </c>
      <c r="S850">
        <v>92</v>
      </c>
      <c r="T850">
        <f>VLOOKUP(O850,Nuclides!A:D,4,FALSE)</f>
        <v>1.409993568E+17</v>
      </c>
    </row>
  </sheetData>
  <autoFilter ref="O1:T850" xr:uid="{3DDB7729-95CA-47EA-A7BD-F60904465D4C}"/>
  <phoneticPr fontId="1" type="noConversion"/>
  <conditionalFormatting sqref="G3:G7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31:G7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1472-8755-4E16-8344-EAB7B532FDB2}">
  <dimension ref="B2:J763"/>
  <sheetViews>
    <sheetView topLeftCell="A637" workbookViewId="0">
      <selection activeCell="D660" sqref="D660"/>
    </sheetView>
  </sheetViews>
  <sheetFormatPr defaultRowHeight="14.25" x14ac:dyDescent="0.2"/>
  <cols>
    <col min="2" max="10" width="9" style="5"/>
  </cols>
  <sheetData>
    <row r="2" spans="2:10" x14ac:dyDescent="0.2">
      <c r="B2" s="12" t="s">
        <v>3286</v>
      </c>
      <c r="C2" s="12" t="s">
        <v>3301</v>
      </c>
      <c r="D2" s="12" t="s">
        <v>3296</v>
      </c>
      <c r="E2" s="10" t="s">
        <v>3308</v>
      </c>
      <c r="F2" s="10" t="s">
        <v>3310</v>
      </c>
      <c r="G2" s="10" t="s">
        <v>3299</v>
      </c>
      <c r="H2" s="14" t="s">
        <v>3303</v>
      </c>
      <c r="I2" s="12" t="s">
        <v>3305</v>
      </c>
      <c r="J2" s="12" t="s">
        <v>3307</v>
      </c>
    </row>
    <row r="3" spans="2:10" x14ac:dyDescent="0.2">
      <c r="B3" s="5">
        <v>2006</v>
      </c>
      <c r="C3" s="7">
        <v>3.4899999999999998E-10</v>
      </c>
      <c r="D3" s="5" t="s">
        <v>19</v>
      </c>
      <c r="E3" s="5">
        <v>4</v>
      </c>
      <c r="F3" s="5">
        <v>2</v>
      </c>
      <c r="G3" s="5">
        <v>0.80669999999999997</v>
      </c>
      <c r="H3" s="5">
        <f>LN(2)/G3</f>
        <v>0.85923785863387292</v>
      </c>
      <c r="I3" s="7">
        <f>2*6240000000000000*C3*(1-EXP(-H3*10*24*3600))</f>
        <v>4355520</v>
      </c>
      <c r="J3" s="7">
        <f>EXP(-H3*365*24*3600)*I3</f>
        <v>0</v>
      </c>
    </row>
    <row r="4" spans="2:10" x14ac:dyDescent="0.2">
      <c r="B4" s="5">
        <v>3008</v>
      </c>
      <c r="C4" s="7">
        <v>2.094E-10</v>
      </c>
      <c r="D4" s="5" t="s">
        <v>35</v>
      </c>
      <c r="E4" s="5">
        <v>5</v>
      </c>
      <c r="F4" s="5">
        <v>3</v>
      </c>
      <c r="G4" s="5">
        <v>0.83989999999999998</v>
      </c>
      <c r="H4" s="5">
        <f t="shared" ref="H4:H67" si="0">LN(2)/G4</f>
        <v>0.82527346179300543</v>
      </c>
      <c r="I4" s="7">
        <f t="shared" ref="I4:I67" si="1">2*6240000000000000*C4*(1-EXP(-H4*10*24*3600))</f>
        <v>2613312</v>
      </c>
      <c r="J4" s="7">
        <f t="shared" ref="J4:J67" si="2">EXP(-H4*365*24*3600)*I4</f>
        <v>0</v>
      </c>
    </row>
    <row r="5" spans="2:10" x14ac:dyDescent="0.2">
      <c r="B5" s="5">
        <v>4007</v>
      </c>
      <c r="C5" s="7">
        <v>3.3959800000000001E-6</v>
      </c>
      <c r="D5" s="5" t="s">
        <v>43</v>
      </c>
      <c r="E5" s="5">
        <v>3</v>
      </c>
      <c r="F5" s="5">
        <v>4</v>
      </c>
      <c r="G5" s="5">
        <v>4598208</v>
      </c>
      <c r="H5" s="5">
        <f t="shared" si="0"/>
        <v>1.507428938751673E-7</v>
      </c>
      <c r="I5" s="7">
        <f t="shared" si="1"/>
        <v>5175538585.2180557</v>
      </c>
      <c r="J5" s="7">
        <f t="shared" si="2"/>
        <v>44606107.357110895</v>
      </c>
    </row>
    <row r="6" spans="2:10" x14ac:dyDescent="0.2">
      <c r="B6" s="5">
        <v>4010</v>
      </c>
      <c r="C6" s="7">
        <v>1.2319699999999999E-7</v>
      </c>
      <c r="D6" s="5" t="s">
        <v>49</v>
      </c>
      <c r="E6" s="5">
        <v>6</v>
      </c>
      <c r="F6" s="5">
        <v>4</v>
      </c>
      <c r="G6" s="5">
        <v>47651976000000</v>
      </c>
      <c r="H6" s="5">
        <f t="shared" si="0"/>
        <v>1.4546032268629223E-14</v>
      </c>
      <c r="I6" s="7">
        <f t="shared" si="1"/>
        <v>19.322931080632873</v>
      </c>
      <c r="J6" s="7">
        <f t="shared" si="2"/>
        <v>19.322922216748974</v>
      </c>
    </row>
    <row r="7" spans="2:10" x14ac:dyDescent="0.2">
      <c r="B7" s="5">
        <v>5008</v>
      </c>
      <c r="C7" s="7">
        <v>5.5839999999999995E-10</v>
      </c>
      <c r="D7" s="5" t="s">
        <v>65</v>
      </c>
      <c r="E7" s="5">
        <v>3</v>
      </c>
      <c r="F7" s="5">
        <v>5</v>
      </c>
      <c r="G7" s="5">
        <v>0.77</v>
      </c>
      <c r="H7" s="5">
        <f t="shared" si="0"/>
        <v>0.90019114358434449</v>
      </c>
      <c r="I7" s="7">
        <f t="shared" si="1"/>
        <v>6968831.9999999991</v>
      </c>
      <c r="J7" s="7">
        <f t="shared" si="2"/>
        <v>0</v>
      </c>
    </row>
    <row r="8" spans="2:10" x14ac:dyDescent="0.2">
      <c r="B8" s="5">
        <v>6010</v>
      </c>
      <c r="C8" s="7">
        <v>1.43788E-8</v>
      </c>
      <c r="D8" s="5" t="s">
        <v>89</v>
      </c>
      <c r="E8" s="5">
        <v>4</v>
      </c>
      <c r="F8" s="5">
        <v>6</v>
      </c>
      <c r="G8" s="5">
        <v>19.308</v>
      </c>
      <c r="H8" s="5">
        <f t="shared" si="0"/>
        <v>3.5899481073127473E-2</v>
      </c>
      <c r="I8" s="7">
        <f t="shared" si="1"/>
        <v>179447424</v>
      </c>
      <c r="J8" s="7">
        <f t="shared" si="2"/>
        <v>0</v>
      </c>
    </row>
    <row r="9" spans="2:10" x14ac:dyDescent="0.2">
      <c r="B9" s="5">
        <v>6011</v>
      </c>
      <c r="C9" s="7">
        <v>8.1646499999999998E-6</v>
      </c>
      <c r="D9" s="5" t="s">
        <v>91</v>
      </c>
      <c r="E9" s="5">
        <v>5</v>
      </c>
      <c r="F9" s="5">
        <v>6</v>
      </c>
      <c r="G9" s="5">
        <v>1221.8399999999999</v>
      </c>
      <c r="H9" s="5">
        <f t="shared" si="0"/>
        <v>5.6729782996132495E-4</v>
      </c>
      <c r="I9" s="7">
        <f t="shared" si="1"/>
        <v>101894832000</v>
      </c>
      <c r="J9" s="7">
        <f t="shared" si="2"/>
        <v>0</v>
      </c>
    </row>
    <row r="10" spans="2:10" x14ac:dyDescent="0.2">
      <c r="B10" s="5">
        <v>24045</v>
      </c>
      <c r="C10" s="7">
        <v>6.9799999999999994E-11</v>
      </c>
      <c r="D10" s="5" t="s">
        <v>519</v>
      </c>
      <c r="E10" s="5">
        <v>21</v>
      </c>
      <c r="F10" s="5">
        <v>24</v>
      </c>
      <c r="G10" s="5">
        <v>6.0900000000000003E-2</v>
      </c>
      <c r="H10" s="5">
        <f t="shared" si="0"/>
        <v>11.381727102790563</v>
      </c>
      <c r="I10" s="7">
        <f t="shared" si="1"/>
        <v>871103.99999999988</v>
      </c>
      <c r="J10" s="7">
        <f t="shared" si="2"/>
        <v>0</v>
      </c>
    </row>
    <row r="11" spans="2:10" x14ac:dyDescent="0.2">
      <c r="B11" s="5">
        <v>24051</v>
      </c>
      <c r="C11" s="7">
        <v>6.9799999999999994E-11</v>
      </c>
      <c r="D11" s="5" t="s">
        <v>525</v>
      </c>
      <c r="E11" s="5">
        <v>27</v>
      </c>
      <c r="F11" s="5">
        <v>24</v>
      </c>
      <c r="G11" s="5">
        <v>2393496</v>
      </c>
      <c r="H11" s="5">
        <f t="shared" si="0"/>
        <v>2.8959613074763664E-7</v>
      </c>
      <c r="I11" s="7">
        <f t="shared" si="1"/>
        <v>192830.69207774702</v>
      </c>
      <c r="J11" s="7">
        <f t="shared" si="2"/>
        <v>20.839792510094178</v>
      </c>
    </row>
    <row r="12" spans="2:10" x14ac:dyDescent="0.2">
      <c r="B12" s="5">
        <v>25050</v>
      </c>
      <c r="C12" s="7">
        <v>6.9799999999999994E-11</v>
      </c>
      <c r="D12" s="5" t="s">
        <v>546</v>
      </c>
      <c r="E12" s="5">
        <v>25</v>
      </c>
      <c r="F12" s="5">
        <v>25</v>
      </c>
      <c r="G12" s="5">
        <v>0.28319</v>
      </c>
      <c r="H12" s="5">
        <f t="shared" si="0"/>
        <v>2.4476400316393421</v>
      </c>
      <c r="I12" s="7">
        <f t="shared" si="1"/>
        <v>871103.99999999988</v>
      </c>
      <c r="J12" s="7">
        <f t="shared" si="2"/>
        <v>0</v>
      </c>
    </row>
    <row r="13" spans="2:10" x14ac:dyDescent="0.2">
      <c r="B13" s="5">
        <v>25051</v>
      </c>
      <c r="C13" s="7">
        <v>6.9799999999999994E-11</v>
      </c>
      <c r="D13" s="5" t="s">
        <v>547</v>
      </c>
      <c r="E13" s="5">
        <v>26</v>
      </c>
      <c r="F13" s="5">
        <v>25</v>
      </c>
      <c r="G13" s="5">
        <v>2772</v>
      </c>
      <c r="H13" s="5">
        <f t="shared" si="0"/>
        <v>2.5005309544009569E-4</v>
      </c>
      <c r="I13" s="7">
        <f t="shared" si="1"/>
        <v>871103.99999999988</v>
      </c>
      <c r="J13" s="7">
        <f t="shared" si="2"/>
        <v>0</v>
      </c>
    </row>
    <row r="14" spans="2:10" x14ac:dyDescent="0.2">
      <c r="B14" s="5">
        <v>25053</v>
      </c>
      <c r="C14" s="7">
        <v>6.9799999999999994E-11</v>
      </c>
      <c r="D14" s="5" t="s">
        <v>549</v>
      </c>
      <c r="E14" s="5">
        <v>28</v>
      </c>
      <c r="F14" s="5">
        <v>25</v>
      </c>
      <c r="G14" s="5">
        <v>118025424000000</v>
      </c>
      <c r="H14" s="5">
        <f t="shared" si="0"/>
        <v>5.8728632956230289E-15</v>
      </c>
      <c r="I14" s="7">
        <f t="shared" si="1"/>
        <v>4.4201157369982971E-3</v>
      </c>
      <c r="J14" s="7">
        <f t="shared" si="2"/>
        <v>4.4201149183636908E-3</v>
      </c>
    </row>
    <row r="15" spans="2:10" x14ac:dyDescent="0.2">
      <c r="B15" s="5">
        <v>26049</v>
      </c>
      <c r="C15" s="7">
        <v>6.9799999999999994E-11</v>
      </c>
      <c r="D15" s="5" t="s">
        <v>572</v>
      </c>
      <c r="E15" s="5">
        <v>23</v>
      </c>
      <c r="F15" s="5">
        <v>26</v>
      </c>
      <c r="G15" s="5">
        <v>6.4699999999999994E-2</v>
      </c>
      <c r="H15" s="5">
        <f t="shared" si="0"/>
        <v>10.713248540339187</v>
      </c>
      <c r="I15" s="7">
        <f t="shared" si="1"/>
        <v>871103.99999999988</v>
      </c>
      <c r="J15" s="7">
        <f t="shared" si="2"/>
        <v>0</v>
      </c>
    </row>
    <row r="16" spans="2:10" x14ac:dyDescent="0.2">
      <c r="B16" s="5">
        <v>26050</v>
      </c>
      <c r="C16" s="7">
        <v>1.3959999999999999E-10</v>
      </c>
      <c r="D16" s="5" t="s">
        <v>573</v>
      </c>
      <c r="E16" s="5">
        <v>24</v>
      </c>
      <c r="F16" s="5">
        <v>26</v>
      </c>
      <c r="G16" s="5">
        <v>0.155</v>
      </c>
      <c r="H16" s="5">
        <f t="shared" si="0"/>
        <v>4.4719172939351308</v>
      </c>
      <c r="I16" s="7">
        <f t="shared" si="1"/>
        <v>1742207.9999999998</v>
      </c>
      <c r="J16" s="7">
        <f t="shared" si="2"/>
        <v>0</v>
      </c>
    </row>
    <row r="17" spans="2:10" x14ac:dyDescent="0.2">
      <c r="B17" s="5">
        <v>26052</v>
      </c>
      <c r="C17" s="7">
        <v>1.3959999999999999E-10</v>
      </c>
      <c r="D17" s="5" t="s">
        <v>575</v>
      </c>
      <c r="E17" s="5">
        <v>26</v>
      </c>
      <c r="F17" s="5">
        <v>26</v>
      </c>
      <c r="G17" s="5">
        <v>29790</v>
      </c>
      <c r="H17" s="5">
        <f t="shared" si="0"/>
        <v>2.3267780482039118E-5</v>
      </c>
      <c r="I17" s="7">
        <f t="shared" si="1"/>
        <v>1742207.9967616729</v>
      </c>
      <c r="J17" s="7">
        <f t="shared" si="2"/>
        <v>0</v>
      </c>
    </row>
    <row r="18" spans="2:10" x14ac:dyDescent="0.2">
      <c r="B18" s="5">
        <v>26053</v>
      </c>
      <c r="C18" s="7">
        <v>2.094E-10</v>
      </c>
      <c r="D18" s="5" t="s">
        <v>576</v>
      </c>
      <c r="E18" s="5">
        <v>27</v>
      </c>
      <c r="F18" s="5">
        <v>26</v>
      </c>
      <c r="G18" s="5">
        <v>510.599999999999</v>
      </c>
      <c r="H18" s="5">
        <f t="shared" si="0"/>
        <v>1.357515042224729E-3</v>
      </c>
      <c r="I18" s="7">
        <f t="shared" si="1"/>
        <v>2613312</v>
      </c>
      <c r="J18" s="7">
        <f t="shared" si="2"/>
        <v>0</v>
      </c>
    </row>
    <row r="19" spans="2:10" x14ac:dyDescent="0.2">
      <c r="B19" s="5">
        <v>26055</v>
      </c>
      <c r="C19" s="7">
        <v>1.3959999999999999E-10</v>
      </c>
      <c r="D19" s="5" t="s">
        <v>578</v>
      </c>
      <c r="E19" s="5">
        <v>29</v>
      </c>
      <c r="F19" s="5">
        <v>26</v>
      </c>
      <c r="G19" s="5">
        <v>86594054.400000006</v>
      </c>
      <c r="H19" s="5">
        <f t="shared" si="0"/>
        <v>8.0045585734803657E-9</v>
      </c>
      <c r="I19" s="7">
        <f t="shared" si="1"/>
        <v>12007.4343702029</v>
      </c>
      <c r="J19" s="7">
        <f t="shared" si="2"/>
        <v>9328.6865663154895</v>
      </c>
    </row>
    <row r="20" spans="2:10" x14ac:dyDescent="0.2">
      <c r="B20" s="5">
        <v>26063</v>
      </c>
      <c r="C20" s="7">
        <v>6.9799999999999994E-11</v>
      </c>
      <c r="D20" s="5" t="s">
        <v>586</v>
      </c>
      <c r="E20" s="5">
        <v>37</v>
      </c>
      <c r="F20" s="5">
        <v>26</v>
      </c>
      <c r="G20" s="5">
        <v>6.1</v>
      </c>
      <c r="H20" s="5">
        <f t="shared" si="0"/>
        <v>0.11363068533769595</v>
      </c>
      <c r="I20" s="7">
        <f t="shared" si="1"/>
        <v>871103.99999999988</v>
      </c>
      <c r="J20" s="7">
        <f t="shared" si="2"/>
        <v>0</v>
      </c>
    </row>
    <row r="21" spans="2:10" x14ac:dyDescent="0.2">
      <c r="B21" s="5">
        <v>26064</v>
      </c>
      <c r="C21" s="7">
        <v>1.3959999999999999E-10</v>
      </c>
      <c r="D21" s="5" t="s">
        <v>587</v>
      </c>
      <c r="E21" s="5">
        <v>38</v>
      </c>
      <c r="F21" s="5">
        <v>26</v>
      </c>
      <c r="G21" s="5">
        <v>2</v>
      </c>
      <c r="H21" s="5">
        <f t="shared" si="0"/>
        <v>0.34657359027997264</v>
      </c>
      <c r="I21" s="7">
        <f t="shared" si="1"/>
        <v>1742207.9999999998</v>
      </c>
      <c r="J21" s="7">
        <f t="shared" si="2"/>
        <v>0</v>
      </c>
    </row>
    <row r="22" spans="2:10" x14ac:dyDescent="0.2">
      <c r="B22" s="5">
        <v>27053</v>
      </c>
      <c r="C22" s="7">
        <v>2.094E-10</v>
      </c>
      <c r="D22" s="5" t="s">
        <v>601</v>
      </c>
      <c r="E22" s="5">
        <v>26</v>
      </c>
      <c r="F22" s="5">
        <v>27</v>
      </c>
      <c r="G22" s="5">
        <v>0.24</v>
      </c>
      <c r="H22" s="5">
        <f t="shared" si="0"/>
        <v>2.8881132523331057</v>
      </c>
      <c r="I22" s="7">
        <f t="shared" si="1"/>
        <v>2613312</v>
      </c>
      <c r="J22" s="7">
        <f t="shared" si="2"/>
        <v>0</v>
      </c>
    </row>
    <row r="23" spans="2:10" x14ac:dyDescent="0.2">
      <c r="B23" s="5">
        <v>27054</v>
      </c>
      <c r="C23" s="7">
        <v>6.9799999999999997E-10</v>
      </c>
      <c r="D23" s="5" t="s">
        <v>602</v>
      </c>
      <c r="E23" s="5">
        <v>27</v>
      </c>
      <c r="F23" s="5">
        <v>27</v>
      </c>
      <c r="G23" s="5">
        <v>0.193</v>
      </c>
      <c r="H23" s="5">
        <f t="shared" si="0"/>
        <v>3.5914361687043797</v>
      </c>
      <c r="I23" s="7">
        <f t="shared" si="1"/>
        <v>8711040</v>
      </c>
      <c r="J23" s="7">
        <f t="shared" si="2"/>
        <v>0</v>
      </c>
    </row>
    <row r="24" spans="2:10" x14ac:dyDescent="0.2">
      <c r="B24" s="5">
        <v>27055</v>
      </c>
      <c r="C24" s="7">
        <v>8.3759999999999998E-10</v>
      </c>
      <c r="D24" s="5" t="s">
        <v>603</v>
      </c>
      <c r="E24" s="5">
        <v>28</v>
      </c>
      <c r="F24" s="5">
        <v>27</v>
      </c>
      <c r="G24" s="5">
        <v>63108</v>
      </c>
      <c r="H24" s="5">
        <f t="shared" si="0"/>
        <v>1.0983507329656229E-5</v>
      </c>
      <c r="I24" s="7">
        <f t="shared" si="1"/>
        <v>10452457.494219838</v>
      </c>
      <c r="J24" s="7">
        <f t="shared" si="2"/>
        <v>3.8911857013946342E-144</v>
      </c>
    </row>
    <row r="25" spans="2:10" x14ac:dyDescent="0.2">
      <c r="B25" s="5">
        <v>27056</v>
      </c>
      <c r="C25" s="7">
        <v>1.3959999999999999E-9</v>
      </c>
      <c r="D25" s="5" t="s">
        <v>604</v>
      </c>
      <c r="E25" s="5">
        <v>29</v>
      </c>
      <c r="F25" s="5">
        <v>27</v>
      </c>
      <c r="G25" s="5">
        <v>6673190.4000000004</v>
      </c>
      <c r="H25" s="5">
        <f t="shared" si="0"/>
        <v>1.0387043363245641E-7</v>
      </c>
      <c r="I25" s="7">
        <f t="shared" si="1"/>
        <v>1495421.9433910674</v>
      </c>
      <c r="J25" s="7">
        <f t="shared" si="2"/>
        <v>56514.977264570334</v>
      </c>
    </row>
    <row r="26" spans="2:10" x14ac:dyDescent="0.2">
      <c r="B26" s="5">
        <v>27057</v>
      </c>
      <c r="C26" s="7">
        <v>6.2819999999999996E-10</v>
      </c>
      <c r="D26" s="5" t="s">
        <v>605</v>
      </c>
      <c r="E26" s="5">
        <v>30</v>
      </c>
      <c r="F26" s="5">
        <v>27</v>
      </c>
      <c r="G26" s="5">
        <v>23478336</v>
      </c>
      <c r="H26" s="5">
        <f t="shared" si="0"/>
        <v>2.9522840995202781E-8</v>
      </c>
      <c r="I26" s="7">
        <f t="shared" si="1"/>
        <v>197450.04949302378</v>
      </c>
      <c r="J26" s="7">
        <f t="shared" si="2"/>
        <v>77824.269105375322</v>
      </c>
    </row>
    <row r="27" spans="2:10" x14ac:dyDescent="0.2">
      <c r="B27" s="5">
        <v>27058</v>
      </c>
      <c r="C27" s="7">
        <v>8.3759999999999998E-10</v>
      </c>
      <c r="D27" s="5" t="s">
        <v>606</v>
      </c>
      <c r="E27" s="5">
        <v>31</v>
      </c>
      <c r="F27" s="5">
        <v>27</v>
      </c>
      <c r="G27" s="5">
        <v>6122304</v>
      </c>
      <c r="H27" s="5">
        <f t="shared" si="0"/>
        <v>1.1321672046339831E-7</v>
      </c>
      <c r="I27" s="7">
        <f t="shared" si="1"/>
        <v>974108.92722282896</v>
      </c>
      <c r="J27" s="7">
        <f t="shared" si="2"/>
        <v>27415.83142541429</v>
      </c>
    </row>
    <row r="28" spans="2:10" x14ac:dyDescent="0.2">
      <c r="B28" s="5">
        <v>27060</v>
      </c>
      <c r="C28" s="7">
        <v>1.3959999999999999E-10</v>
      </c>
      <c r="D28" s="5" t="s">
        <v>608</v>
      </c>
      <c r="E28" s="5">
        <v>33</v>
      </c>
      <c r="F28" s="5">
        <v>27</v>
      </c>
      <c r="G28" s="5">
        <v>166344192</v>
      </c>
      <c r="H28" s="5">
        <f t="shared" si="0"/>
        <v>4.166945489506152E-9</v>
      </c>
      <c r="I28" s="7">
        <f t="shared" si="1"/>
        <v>6261.091022138362</v>
      </c>
      <c r="J28" s="7">
        <f t="shared" si="2"/>
        <v>5490.0955605091367</v>
      </c>
    </row>
    <row r="29" spans="2:10" x14ac:dyDescent="0.2">
      <c r="B29" s="5">
        <v>27062</v>
      </c>
      <c r="C29" s="7">
        <v>6.9799999999999994E-11</v>
      </c>
      <c r="D29" s="5" t="s">
        <v>610</v>
      </c>
      <c r="E29" s="5">
        <v>35</v>
      </c>
      <c r="F29" s="5">
        <v>27</v>
      </c>
      <c r="G29" s="5">
        <v>90</v>
      </c>
      <c r="H29" s="5">
        <f t="shared" si="0"/>
        <v>7.7016353395549476E-3</v>
      </c>
      <c r="I29" s="7">
        <f t="shared" si="1"/>
        <v>871103.99999999988</v>
      </c>
      <c r="J29" s="7">
        <f t="shared" si="2"/>
        <v>0</v>
      </c>
    </row>
    <row r="30" spans="2:10" x14ac:dyDescent="0.2">
      <c r="B30" s="5">
        <v>28053</v>
      </c>
      <c r="C30" s="7">
        <v>6.9799999999999994E-11</v>
      </c>
      <c r="D30" s="5" t="s">
        <v>631</v>
      </c>
      <c r="E30" s="5">
        <v>25</v>
      </c>
      <c r="F30" s="5">
        <v>28</v>
      </c>
      <c r="G30" s="5">
        <v>5.5199999999999999E-2</v>
      </c>
      <c r="H30" s="5">
        <f t="shared" si="0"/>
        <v>12.557014140578719</v>
      </c>
      <c r="I30" s="7">
        <f t="shared" si="1"/>
        <v>871103.99999999988</v>
      </c>
      <c r="J30" s="7">
        <f t="shared" si="2"/>
        <v>0</v>
      </c>
    </row>
    <row r="31" spans="2:10" x14ac:dyDescent="0.2">
      <c r="B31" s="5">
        <v>28054</v>
      </c>
      <c r="C31" s="7">
        <v>3.4899999999999998E-10</v>
      </c>
      <c r="D31" s="5" t="s">
        <v>632</v>
      </c>
      <c r="E31" s="5">
        <v>26</v>
      </c>
      <c r="F31" s="5">
        <v>28</v>
      </c>
      <c r="G31" s="5">
        <v>0.1142</v>
      </c>
      <c r="H31" s="5">
        <f t="shared" si="0"/>
        <v>6.0695900224163335</v>
      </c>
      <c r="I31" s="7">
        <f t="shared" si="1"/>
        <v>4355520</v>
      </c>
      <c r="J31" s="7">
        <f t="shared" si="2"/>
        <v>0</v>
      </c>
    </row>
    <row r="32" spans="2:10" x14ac:dyDescent="0.2">
      <c r="B32" s="5">
        <v>28055</v>
      </c>
      <c r="C32" s="7">
        <v>6.2819999999999996E-10</v>
      </c>
      <c r="D32" s="5" t="s">
        <v>633</v>
      </c>
      <c r="E32" s="5">
        <v>27</v>
      </c>
      <c r="F32" s="5">
        <v>28</v>
      </c>
      <c r="G32" s="5">
        <v>0.20469999999999999</v>
      </c>
      <c r="H32" s="5">
        <f t="shared" si="0"/>
        <v>3.3861611165605536</v>
      </c>
      <c r="I32" s="7">
        <f t="shared" si="1"/>
        <v>7839935.9999999991</v>
      </c>
      <c r="J32" s="7">
        <f t="shared" si="2"/>
        <v>0</v>
      </c>
    </row>
    <row r="33" spans="2:10" x14ac:dyDescent="0.2">
      <c r="B33" s="5">
        <v>28056</v>
      </c>
      <c r="C33" s="7">
        <v>1.1866E-9</v>
      </c>
      <c r="D33" s="5" t="s">
        <v>634</v>
      </c>
      <c r="E33" s="5">
        <v>28</v>
      </c>
      <c r="F33" s="5">
        <v>28</v>
      </c>
      <c r="G33" s="5">
        <v>524880</v>
      </c>
      <c r="H33" s="5">
        <f t="shared" si="0"/>
        <v>1.3205821912817126E-6</v>
      </c>
      <c r="I33" s="7">
        <f t="shared" si="1"/>
        <v>10077295.690785496</v>
      </c>
      <c r="J33" s="7">
        <f t="shared" si="2"/>
        <v>8.2559704674961877E-12</v>
      </c>
    </row>
    <row r="34" spans="2:10" x14ac:dyDescent="0.2">
      <c r="B34" s="5">
        <v>28057</v>
      </c>
      <c r="C34" s="7">
        <v>3.1409999999999998E-9</v>
      </c>
      <c r="D34" s="5" t="s">
        <v>635</v>
      </c>
      <c r="E34" s="5">
        <v>29</v>
      </c>
      <c r="F34" s="5">
        <v>28</v>
      </c>
      <c r="G34" s="5">
        <v>128160</v>
      </c>
      <c r="H34" s="5">
        <f t="shared" si="0"/>
        <v>5.4084517833953281E-6</v>
      </c>
      <c r="I34" s="7">
        <f t="shared" si="1"/>
        <v>38833354.77870217</v>
      </c>
      <c r="J34" s="7">
        <f t="shared" si="2"/>
        <v>3.2774178909134233E-67</v>
      </c>
    </row>
    <row r="35" spans="2:10" x14ac:dyDescent="0.2">
      <c r="B35" s="5">
        <v>28059</v>
      </c>
      <c r="C35" s="7">
        <v>5.4443999999999999E-9</v>
      </c>
      <c r="D35" s="5" t="s">
        <v>637</v>
      </c>
      <c r="E35" s="5">
        <v>31</v>
      </c>
      <c r="F35" s="5">
        <v>28</v>
      </c>
      <c r="G35" s="5">
        <v>2398377600000</v>
      </c>
      <c r="H35" s="5">
        <f t="shared" si="0"/>
        <v>2.8900669375829115E-13</v>
      </c>
      <c r="I35" s="7">
        <f t="shared" si="1"/>
        <v>16.966263226681704</v>
      </c>
      <c r="J35" s="7">
        <f t="shared" si="2"/>
        <v>16.966108594910601</v>
      </c>
    </row>
    <row r="36" spans="2:10" x14ac:dyDescent="0.2">
      <c r="B36" s="5">
        <v>28063</v>
      </c>
      <c r="C36" s="7">
        <v>9.0739999999999999E-10</v>
      </c>
      <c r="D36" s="5" t="s">
        <v>641</v>
      </c>
      <c r="E36" s="5">
        <v>35</v>
      </c>
      <c r="F36" s="5">
        <v>28</v>
      </c>
      <c r="G36" s="5">
        <v>3193629120</v>
      </c>
      <c r="H36" s="5">
        <f t="shared" si="0"/>
        <v>2.1704060005563365E-10</v>
      </c>
      <c r="I36" s="7">
        <f t="shared" si="1"/>
        <v>2123.3782510338251</v>
      </c>
      <c r="J36" s="7">
        <f t="shared" si="2"/>
        <v>2108.8942176705191</v>
      </c>
    </row>
    <row r="37" spans="2:10" x14ac:dyDescent="0.2">
      <c r="B37" s="5">
        <v>28067</v>
      </c>
      <c r="C37" s="7">
        <v>6.9799999999999994E-11</v>
      </c>
      <c r="D37" s="5" t="s">
        <v>645</v>
      </c>
      <c r="E37" s="5">
        <v>39</v>
      </c>
      <c r="F37" s="5">
        <v>28</v>
      </c>
      <c r="G37" s="5">
        <v>21</v>
      </c>
      <c r="H37" s="5">
        <f t="shared" si="0"/>
        <v>3.3007008598092635E-2</v>
      </c>
      <c r="I37" s="7">
        <f t="shared" si="1"/>
        <v>871103.99999999988</v>
      </c>
      <c r="J37" s="7">
        <f t="shared" si="2"/>
        <v>0</v>
      </c>
    </row>
    <row r="38" spans="2:10" x14ac:dyDescent="0.2">
      <c r="B38" s="5">
        <v>28068</v>
      </c>
      <c r="C38" s="7">
        <v>4.1879999999999999E-10</v>
      </c>
      <c r="D38" s="5" t="s">
        <v>646</v>
      </c>
      <c r="E38" s="5">
        <v>40</v>
      </c>
      <c r="F38" s="5">
        <v>28</v>
      </c>
      <c r="G38" s="5">
        <v>29</v>
      </c>
      <c r="H38" s="5">
        <f t="shared" si="0"/>
        <v>2.3901626915860182E-2</v>
      </c>
      <c r="I38" s="7">
        <f t="shared" si="1"/>
        <v>5226624</v>
      </c>
      <c r="J38" s="7">
        <f t="shared" si="2"/>
        <v>0</v>
      </c>
    </row>
    <row r="39" spans="2:10" x14ac:dyDescent="0.2">
      <c r="B39" s="5">
        <v>29057</v>
      </c>
      <c r="C39" s="7">
        <v>2.094E-9</v>
      </c>
      <c r="D39" s="5" t="s">
        <v>661</v>
      </c>
      <c r="E39" s="5">
        <v>28</v>
      </c>
      <c r="F39" s="5">
        <v>29</v>
      </c>
      <c r="G39" s="5">
        <v>0.1963</v>
      </c>
      <c r="H39" s="5">
        <f t="shared" si="0"/>
        <v>3.5310605224653351</v>
      </c>
      <c r="I39" s="7">
        <f t="shared" si="1"/>
        <v>26133120</v>
      </c>
      <c r="J39" s="7">
        <f t="shared" si="2"/>
        <v>0</v>
      </c>
    </row>
    <row r="40" spans="2:10" x14ac:dyDescent="0.2">
      <c r="B40" s="5">
        <v>29058</v>
      </c>
      <c r="C40" s="7">
        <v>5.1652000000000003E-9</v>
      </c>
      <c r="D40" s="5" t="s">
        <v>662</v>
      </c>
      <c r="E40" s="5">
        <v>29</v>
      </c>
      <c r="F40" s="5">
        <v>29</v>
      </c>
      <c r="G40" s="5">
        <v>3.2040000000000002</v>
      </c>
      <c r="H40" s="5">
        <f t="shared" si="0"/>
        <v>0.21633807133581312</v>
      </c>
      <c r="I40" s="7">
        <f t="shared" si="1"/>
        <v>64461696.000000007</v>
      </c>
      <c r="J40" s="7">
        <f t="shared" si="2"/>
        <v>0</v>
      </c>
    </row>
    <row r="41" spans="2:10" x14ac:dyDescent="0.2">
      <c r="B41" s="5">
        <v>29059</v>
      </c>
      <c r="C41" s="7">
        <v>7.8176000000000008E-9</v>
      </c>
      <c r="D41" s="5" t="s">
        <v>663</v>
      </c>
      <c r="E41" s="5">
        <v>30</v>
      </c>
      <c r="F41" s="5">
        <v>29</v>
      </c>
      <c r="G41" s="5">
        <v>81.5</v>
      </c>
      <c r="H41" s="5">
        <f t="shared" si="0"/>
        <v>8.504873381103624E-3</v>
      </c>
      <c r="I41" s="7">
        <f t="shared" si="1"/>
        <v>97563648.000000015</v>
      </c>
      <c r="J41" s="7">
        <f t="shared" si="2"/>
        <v>0</v>
      </c>
    </row>
    <row r="42" spans="2:10" x14ac:dyDescent="0.2">
      <c r="B42" s="5">
        <v>29060</v>
      </c>
      <c r="C42" s="7">
        <v>2.0451400000000001E-8</v>
      </c>
      <c r="D42" s="5" t="s">
        <v>664</v>
      </c>
      <c r="E42" s="5">
        <v>31</v>
      </c>
      <c r="F42" s="5">
        <v>29</v>
      </c>
      <c r="G42" s="5">
        <v>1422</v>
      </c>
      <c r="H42" s="5">
        <f t="shared" si="0"/>
        <v>4.8744527465537644E-4</v>
      </c>
      <c r="I42" s="7">
        <f t="shared" si="1"/>
        <v>255233472</v>
      </c>
      <c r="J42" s="7">
        <f t="shared" si="2"/>
        <v>0</v>
      </c>
    </row>
    <row r="43" spans="2:10" x14ac:dyDescent="0.2">
      <c r="B43" s="5">
        <v>29061</v>
      </c>
      <c r="C43" s="7">
        <v>1.6193600000000001E-8</v>
      </c>
      <c r="D43" s="5" t="s">
        <v>665</v>
      </c>
      <c r="E43" s="5">
        <v>32</v>
      </c>
      <c r="F43" s="5">
        <v>29</v>
      </c>
      <c r="G43" s="5">
        <v>12020.4</v>
      </c>
      <c r="H43" s="5">
        <f t="shared" si="0"/>
        <v>5.7664235845724375E-5</v>
      </c>
      <c r="I43" s="7">
        <f t="shared" si="1"/>
        <v>202096128</v>
      </c>
      <c r="J43" s="7">
        <f t="shared" si="2"/>
        <v>0</v>
      </c>
    </row>
    <row r="44" spans="2:10" x14ac:dyDescent="0.2">
      <c r="B44" s="5">
        <v>29062</v>
      </c>
      <c r="C44" s="7">
        <v>2.3732E-8</v>
      </c>
      <c r="D44" s="5" t="s">
        <v>666</v>
      </c>
      <c r="E44" s="5">
        <v>33</v>
      </c>
      <c r="F44" s="5">
        <v>29</v>
      </c>
      <c r="G44" s="5">
        <v>580.38</v>
      </c>
      <c r="H44" s="5">
        <f t="shared" si="0"/>
        <v>1.1942988741168636E-3</v>
      </c>
      <c r="I44" s="7">
        <f t="shared" si="1"/>
        <v>296175360</v>
      </c>
      <c r="J44" s="7">
        <f t="shared" si="2"/>
        <v>0</v>
      </c>
    </row>
    <row r="45" spans="2:10" x14ac:dyDescent="0.2">
      <c r="B45" s="5">
        <v>29064</v>
      </c>
      <c r="C45" s="7">
        <v>1.0679399999999999E-8</v>
      </c>
      <c r="D45" s="5" t="s">
        <v>668</v>
      </c>
      <c r="E45" s="5">
        <v>35</v>
      </c>
      <c r="F45" s="5">
        <v>29</v>
      </c>
      <c r="G45" s="5">
        <v>45723.6</v>
      </c>
      <c r="H45" s="5">
        <f t="shared" si="0"/>
        <v>1.5159505825436871E-5</v>
      </c>
      <c r="I45" s="7">
        <f t="shared" si="1"/>
        <v>133278638.81709844</v>
      </c>
      <c r="J45" s="7">
        <f t="shared" si="2"/>
        <v>3.173374114325715E-200</v>
      </c>
    </row>
    <row r="46" spans="2:10" x14ac:dyDescent="0.2">
      <c r="B46" s="5">
        <v>29066</v>
      </c>
      <c r="C46" s="7">
        <v>1.9544000000000002E-9</v>
      </c>
      <c r="D46" s="5" t="s">
        <v>670</v>
      </c>
      <c r="E46" s="5">
        <v>37</v>
      </c>
      <c r="F46" s="5">
        <v>29</v>
      </c>
      <c r="G46" s="5">
        <v>307.2</v>
      </c>
      <c r="H46" s="5">
        <f t="shared" si="0"/>
        <v>2.2563384783852386E-3</v>
      </c>
      <c r="I46" s="7">
        <f t="shared" si="1"/>
        <v>24390912.000000004</v>
      </c>
      <c r="J46" s="7">
        <f t="shared" si="2"/>
        <v>0</v>
      </c>
    </row>
    <row r="47" spans="2:10" x14ac:dyDescent="0.2">
      <c r="B47" s="5">
        <v>29067</v>
      </c>
      <c r="C47" s="7">
        <v>2.094E-10</v>
      </c>
      <c r="D47" s="5" t="s">
        <v>671</v>
      </c>
      <c r="E47" s="5">
        <v>38</v>
      </c>
      <c r="F47" s="5">
        <v>29</v>
      </c>
      <c r="G47" s="5">
        <v>222588</v>
      </c>
      <c r="H47" s="5">
        <f t="shared" si="0"/>
        <v>3.1140366082625535E-6</v>
      </c>
      <c r="I47" s="7">
        <f t="shared" si="1"/>
        <v>2436011.5002333764</v>
      </c>
      <c r="J47" s="7">
        <f t="shared" si="2"/>
        <v>5.4589834514084575E-37</v>
      </c>
    </row>
    <row r="48" spans="2:10" x14ac:dyDescent="0.2">
      <c r="B48" s="5">
        <v>29068</v>
      </c>
      <c r="C48" s="7">
        <v>1.3959999999999999E-10</v>
      </c>
      <c r="D48" s="5" t="s">
        <v>672</v>
      </c>
      <c r="E48" s="5">
        <v>39</v>
      </c>
      <c r="F48" s="5">
        <v>29</v>
      </c>
      <c r="G48" s="5">
        <v>30.9</v>
      </c>
      <c r="H48" s="5">
        <f t="shared" si="0"/>
        <v>2.2431947590936741E-2</v>
      </c>
      <c r="I48" s="7">
        <f t="shared" si="1"/>
        <v>1742207.9999999998</v>
      </c>
      <c r="J48" s="7">
        <f t="shared" si="2"/>
        <v>0</v>
      </c>
    </row>
    <row r="49" spans="2:10" x14ac:dyDescent="0.2">
      <c r="B49" s="5">
        <v>29069</v>
      </c>
      <c r="C49" s="7">
        <v>9.0739999999999999E-10</v>
      </c>
      <c r="D49" s="5" t="s">
        <v>673</v>
      </c>
      <c r="E49" s="5">
        <v>40</v>
      </c>
      <c r="F49" s="5">
        <v>29</v>
      </c>
      <c r="G49" s="5">
        <v>171</v>
      </c>
      <c r="H49" s="5">
        <f t="shared" si="0"/>
        <v>4.0534922839762884E-3</v>
      </c>
      <c r="I49" s="7">
        <f t="shared" si="1"/>
        <v>11324352</v>
      </c>
      <c r="J49" s="7">
        <f t="shared" si="2"/>
        <v>0</v>
      </c>
    </row>
    <row r="50" spans="2:10" x14ac:dyDescent="0.2">
      <c r="B50" s="5">
        <v>29070</v>
      </c>
      <c r="C50" s="7">
        <v>1.6054000000000001E-9</v>
      </c>
      <c r="D50" s="5" t="s">
        <v>674</v>
      </c>
      <c r="E50" s="5">
        <v>41</v>
      </c>
      <c r="F50" s="5">
        <v>29</v>
      </c>
      <c r="G50" s="5">
        <v>44.5</v>
      </c>
      <c r="H50" s="5">
        <f t="shared" si="0"/>
        <v>1.5576341136178546E-2</v>
      </c>
      <c r="I50" s="7">
        <f t="shared" si="1"/>
        <v>20035392</v>
      </c>
      <c r="J50" s="7">
        <f t="shared" si="2"/>
        <v>0</v>
      </c>
    </row>
    <row r="51" spans="2:10" x14ac:dyDescent="0.2">
      <c r="B51" s="5">
        <v>29071</v>
      </c>
      <c r="C51" s="7">
        <v>6.4914000000000001E-9</v>
      </c>
      <c r="D51" s="5" t="s">
        <v>675</v>
      </c>
      <c r="E51" s="5">
        <v>42</v>
      </c>
      <c r="F51" s="5">
        <v>29</v>
      </c>
      <c r="G51" s="5">
        <v>19.399999999999999</v>
      </c>
      <c r="H51" s="5">
        <f t="shared" si="0"/>
        <v>3.5729236111337388E-2</v>
      </c>
      <c r="I51" s="7">
        <f t="shared" si="1"/>
        <v>81012672</v>
      </c>
      <c r="J51" s="7">
        <f t="shared" si="2"/>
        <v>0</v>
      </c>
    </row>
    <row r="52" spans="2:10" x14ac:dyDescent="0.2">
      <c r="B52" s="5">
        <v>29072</v>
      </c>
      <c r="C52" s="7">
        <v>1.34714E-8</v>
      </c>
      <c r="D52" s="5" t="s">
        <v>676</v>
      </c>
      <c r="E52" s="5">
        <v>43</v>
      </c>
      <c r="F52" s="5">
        <v>29</v>
      </c>
      <c r="G52" s="5">
        <v>6.63</v>
      </c>
      <c r="H52" s="5">
        <f t="shared" si="0"/>
        <v>0.10454708605730699</v>
      </c>
      <c r="I52" s="7">
        <f t="shared" si="1"/>
        <v>168123072</v>
      </c>
      <c r="J52" s="7">
        <f t="shared" si="2"/>
        <v>0</v>
      </c>
    </row>
    <row r="53" spans="2:10" x14ac:dyDescent="0.2">
      <c r="B53" s="5">
        <v>29073</v>
      </c>
      <c r="C53" s="7">
        <v>3.7691999999999998E-8</v>
      </c>
      <c r="D53" s="5" t="s">
        <v>677</v>
      </c>
      <c r="E53" s="5">
        <v>44</v>
      </c>
      <c r="F53" s="5">
        <v>29</v>
      </c>
      <c r="G53" s="5">
        <v>4.2</v>
      </c>
      <c r="H53" s="5">
        <f t="shared" si="0"/>
        <v>0.16503504299046315</v>
      </c>
      <c r="I53" s="7">
        <f t="shared" si="1"/>
        <v>470396160</v>
      </c>
      <c r="J53" s="7">
        <f t="shared" si="2"/>
        <v>0</v>
      </c>
    </row>
    <row r="54" spans="2:10" x14ac:dyDescent="0.2">
      <c r="B54" s="5">
        <v>30057</v>
      </c>
      <c r="C54" s="7">
        <v>5.07446E-8</v>
      </c>
      <c r="D54" s="5" t="s">
        <v>690</v>
      </c>
      <c r="E54" s="5">
        <v>27</v>
      </c>
      <c r="F54" s="5">
        <v>30</v>
      </c>
      <c r="G54" s="5">
        <v>3.7999999999999999E-2</v>
      </c>
      <c r="H54" s="5">
        <f t="shared" si="0"/>
        <v>18.240715277893297</v>
      </c>
      <c r="I54" s="7">
        <f t="shared" si="1"/>
        <v>633292608</v>
      </c>
      <c r="J54" s="7">
        <f t="shared" si="2"/>
        <v>0</v>
      </c>
    </row>
    <row r="55" spans="2:10" x14ac:dyDescent="0.2">
      <c r="B55" s="5">
        <v>30058</v>
      </c>
      <c r="C55" s="7">
        <v>9.4230000000000004E-8</v>
      </c>
      <c r="D55" s="5" t="s">
        <v>691</v>
      </c>
      <c r="E55" s="5">
        <v>28</v>
      </c>
      <c r="F55" s="5">
        <v>30</v>
      </c>
      <c r="G55" s="5">
        <v>8.5999999999999993E-2</v>
      </c>
      <c r="H55" s="5">
        <f t="shared" si="0"/>
        <v>8.0598509367435511</v>
      </c>
      <c r="I55" s="7">
        <f t="shared" si="1"/>
        <v>1175990400</v>
      </c>
      <c r="J55" s="7">
        <f t="shared" si="2"/>
        <v>0</v>
      </c>
    </row>
    <row r="56" spans="2:10" x14ac:dyDescent="0.2">
      <c r="B56" s="5">
        <v>30059</v>
      </c>
      <c r="C56" s="7">
        <v>6.4913999999999995E-8</v>
      </c>
      <c r="D56" s="5" t="s">
        <v>692</v>
      </c>
      <c r="E56" s="5">
        <v>29</v>
      </c>
      <c r="F56" s="5">
        <v>30</v>
      </c>
      <c r="G56" s="5">
        <v>0.182</v>
      </c>
      <c r="H56" s="5">
        <f t="shared" si="0"/>
        <v>3.8085009920876116</v>
      </c>
      <c r="I56" s="7">
        <f t="shared" si="1"/>
        <v>810126719.99999988</v>
      </c>
      <c r="J56" s="7">
        <f t="shared" si="2"/>
        <v>0</v>
      </c>
    </row>
    <row r="57" spans="2:10" x14ac:dyDescent="0.2">
      <c r="B57" s="5">
        <v>30060</v>
      </c>
      <c r="C57" s="7">
        <v>8.3341200000000003E-8</v>
      </c>
      <c r="D57" s="5" t="s">
        <v>693</v>
      </c>
      <c r="E57" s="5">
        <v>30</v>
      </c>
      <c r="F57" s="5">
        <v>30</v>
      </c>
      <c r="G57" s="5">
        <v>142.79999999999899</v>
      </c>
      <c r="H57" s="5">
        <f t="shared" si="0"/>
        <v>4.8539718526607158E-3</v>
      </c>
      <c r="I57" s="7">
        <f t="shared" si="1"/>
        <v>1040098176</v>
      </c>
      <c r="J57" s="7">
        <f t="shared" si="2"/>
        <v>0</v>
      </c>
    </row>
    <row r="58" spans="2:10" x14ac:dyDescent="0.2">
      <c r="B58" s="5">
        <v>30061</v>
      </c>
      <c r="C58" s="7">
        <v>3.6505399999999997E-8</v>
      </c>
      <c r="D58" s="5" t="s">
        <v>694</v>
      </c>
      <c r="E58" s="5">
        <v>31</v>
      </c>
      <c r="F58" s="5">
        <v>30</v>
      </c>
      <c r="G58" s="5">
        <v>89.1</v>
      </c>
      <c r="H58" s="5">
        <f t="shared" si="0"/>
        <v>7.7794296359140888E-3</v>
      </c>
      <c r="I58" s="7">
        <f t="shared" si="1"/>
        <v>455587391.99999994</v>
      </c>
      <c r="J58" s="7">
        <f t="shared" si="2"/>
        <v>0</v>
      </c>
    </row>
    <row r="59" spans="2:10" x14ac:dyDescent="0.2">
      <c r="B59" s="5">
        <v>30062</v>
      </c>
      <c r="C59" s="7">
        <v>2.8827399999999999E-8</v>
      </c>
      <c r="D59" s="5" t="s">
        <v>695</v>
      </c>
      <c r="E59" s="5">
        <v>32</v>
      </c>
      <c r="F59" s="5">
        <v>30</v>
      </c>
      <c r="G59" s="5">
        <v>33069.599999999999</v>
      </c>
      <c r="H59" s="5">
        <f t="shared" si="0"/>
        <v>2.0960252938044166E-5</v>
      </c>
      <c r="I59" s="7">
        <f t="shared" si="1"/>
        <v>359765947.08984405</v>
      </c>
      <c r="J59" s="7">
        <f t="shared" si="2"/>
        <v>3.0638384404713986E-279</v>
      </c>
    </row>
    <row r="60" spans="2:10" x14ac:dyDescent="0.2">
      <c r="B60" s="5">
        <v>30063</v>
      </c>
      <c r="C60" s="7">
        <v>8.3061999999999993E-9</v>
      </c>
      <c r="D60" s="5" t="s">
        <v>696</v>
      </c>
      <c r="E60" s="5">
        <v>33</v>
      </c>
      <c r="F60" s="5">
        <v>30</v>
      </c>
      <c r="G60" s="5">
        <v>2308.1999999999998</v>
      </c>
      <c r="H60" s="5">
        <f t="shared" si="0"/>
        <v>3.002977127458389E-4</v>
      </c>
      <c r="I60" s="7">
        <f t="shared" si="1"/>
        <v>103661375.99999999</v>
      </c>
      <c r="J60" s="7">
        <f t="shared" si="2"/>
        <v>0</v>
      </c>
    </row>
    <row r="61" spans="2:10" x14ac:dyDescent="0.2">
      <c r="B61" s="5">
        <v>30064</v>
      </c>
      <c r="C61" s="7">
        <v>4.5370000000000004E-9</v>
      </c>
      <c r="D61" s="5" t="s">
        <v>697</v>
      </c>
      <c r="E61" s="5">
        <v>34</v>
      </c>
      <c r="F61" s="5">
        <v>30</v>
      </c>
      <c r="G61" s="5">
        <v>2.209032E+28</v>
      </c>
      <c r="H61" s="5">
        <f t="shared" si="0"/>
        <v>3.1377869608043038E-29</v>
      </c>
      <c r="I61" s="7">
        <f t="shared" si="1"/>
        <v>0</v>
      </c>
      <c r="J61" s="7">
        <f t="shared" si="2"/>
        <v>0</v>
      </c>
    </row>
    <row r="62" spans="2:10" x14ac:dyDescent="0.2">
      <c r="B62" s="5">
        <v>30065</v>
      </c>
      <c r="C62" s="7">
        <v>4.1879999999999999E-10</v>
      </c>
      <c r="D62" s="5" t="s">
        <v>698</v>
      </c>
      <c r="E62" s="5">
        <v>35</v>
      </c>
      <c r="F62" s="5">
        <v>30</v>
      </c>
      <c r="G62" s="5">
        <v>21075552</v>
      </c>
      <c r="H62" s="5">
        <f t="shared" si="0"/>
        <v>3.2888684507999854E-8</v>
      </c>
      <c r="I62" s="7">
        <f t="shared" si="1"/>
        <v>146428.52825221032</v>
      </c>
      <c r="J62" s="7">
        <f t="shared" si="2"/>
        <v>51902.133281137569</v>
      </c>
    </row>
    <row r="63" spans="2:10" x14ac:dyDescent="0.2">
      <c r="B63" s="5">
        <v>30070</v>
      </c>
      <c r="C63" s="7">
        <v>1.3959999999999999E-10</v>
      </c>
      <c r="D63" s="5" t="s">
        <v>703</v>
      </c>
      <c r="E63" s="5">
        <v>40</v>
      </c>
      <c r="F63" s="5">
        <v>30</v>
      </c>
      <c r="G63" s="5">
        <v>7.2582480000000003E+24</v>
      </c>
      <c r="H63" s="5">
        <f t="shared" si="0"/>
        <v>9.5497864024478805E-26</v>
      </c>
      <c r="I63" s="7">
        <f t="shared" si="1"/>
        <v>0</v>
      </c>
      <c r="J63" s="7">
        <f t="shared" si="2"/>
        <v>0</v>
      </c>
    </row>
    <row r="64" spans="2:10" x14ac:dyDescent="0.2">
      <c r="B64" s="5">
        <v>30071</v>
      </c>
      <c r="C64" s="7">
        <v>4.1879999999999999E-10</v>
      </c>
      <c r="D64" s="5" t="s">
        <v>704</v>
      </c>
      <c r="E64" s="5">
        <v>41</v>
      </c>
      <c r="F64" s="5">
        <v>30</v>
      </c>
      <c r="G64" s="5">
        <v>147</v>
      </c>
      <c r="H64" s="5">
        <f t="shared" si="0"/>
        <v>4.7152869425846622E-3</v>
      </c>
      <c r="I64" s="7">
        <f t="shared" si="1"/>
        <v>5226624</v>
      </c>
      <c r="J64" s="7">
        <f t="shared" si="2"/>
        <v>0</v>
      </c>
    </row>
    <row r="65" spans="2:10" x14ac:dyDescent="0.2">
      <c r="B65" s="5">
        <v>30072</v>
      </c>
      <c r="C65" s="7">
        <v>4.8859999999999999E-9</v>
      </c>
      <c r="D65" s="5" t="s">
        <v>705</v>
      </c>
      <c r="E65" s="5">
        <v>42</v>
      </c>
      <c r="F65" s="5">
        <v>30</v>
      </c>
      <c r="G65" s="5">
        <v>167400</v>
      </c>
      <c r="H65" s="5">
        <f t="shared" si="0"/>
        <v>4.1406641610510472E-6</v>
      </c>
      <c r="I65" s="7">
        <f t="shared" si="1"/>
        <v>59273298.620832644</v>
      </c>
      <c r="J65" s="7">
        <f t="shared" si="2"/>
        <v>1.1552930793696212E-49</v>
      </c>
    </row>
    <row r="66" spans="2:10" x14ac:dyDescent="0.2">
      <c r="B66" s="5">
        <v>30073</v>
      </c>
      <c r="C66" s="7">
        <v>1.06096E-8</v>
      </c>
      <c r="D66" s="5" t="s">
        <v>706</v>
      </c>
      <c r="E66" s="5">
        <v>43</v>
      </c>
      <c r="F66" s="5">
        <v>30</v>
      </c>
      <c r="G66" s="5">
        <v>23.5</v>
      </c>
      <c r="H66" s="5">
        <f t="shared" si="0"/>
        <v>2.9495624704678522E-2</v>
      </c>
      <c r="I66" s="7">
        <f t="shared" si="1"/>
        <v>132407808</v>
      </c>
      <c r="J66" s="7">
        <f t="shared" si="2"/>
        <v>0</v>
      </c>
    </row>
    <row r="67" spans="2:10" x14ac:dyDescent="0.2">
      <c r="B67" s="5">
        <v>30074</v>
      </c>
      <c r="C67" s="7">
        <v>5.2070799999999999E-8</v>
      </c>
      <c r="D67" s="5" t="s">
        <v>707</v>
      </c>
      <c r="E67" s="5">
        <v>44</v>
      </c>
      <c r="F67" s="5">
        <v>30</v>
      </c>
      <c r="G67" s="5">
        <v>95.6</v>
      </c>
      <c r="H67" s="5">
        <f t="shared" si="0"/>
        <v>7.2504935205015206E-3</v>
      </c>
      <c r="I67" s="7">
        <f t="shared" si="1"/>
        <v>649843584</v>
      </c>
      <c r="J67" s="7">
        <f t="shared" si="2"/>
        <v>0</v>
      </c>
    </row>
    <row r="68" spans="2:10" x14ac:dyDescent="0.2">
      <c r="B68" s="5">
        <v>30075</v>
      </c>
      <c r="C68" s="7">
        <v>6.7287199999999997E-8</v>
      </c>
      <c r="D68" s="5" t="s">
        <v>708</v>
      </c>
      <c r="E68" s="5">
        <v>45</v>
      </c>
      <c r="F68" s="5">
        <v>30</v>
      </c>
      <c r="G68" s="5">
        <v>10.199999999999999</v>
      </c>
      <c r="H68" s="5">
        <f t="shared" ref="H68:H131" si="3">LN(2)/G68</f>
        <v>6.7955605937249544E-2</v>
      </c>
      <c r="I68" s="7">
        <f t="shared" ref="I68:I131" si="4">2*6240000000000000*C68*(1-EXP(-H68*10*24*3600))</f>
        <v>839744256</v>
      </c>
      <c r="J68" s="7">
        <f t="shared" ref="J68:J131" si="5">EXP(-H68*365*24*3600)*I68</f>
        <v>0</v>
      </c>
    </row>
    <row r="69" spans="2:10" x14ac:dyDescent="0.2">
      <c r="B69" s="5">
        <v>30076</v>
      </c>
      <c r="C69" s="7">
        <v>2.0088399999999999E-7</v>
      </c>
      <c r="D69" s="5" t="s">
        <v>709</v>
      </c>
      <c r="E69" s="5">
        <v>46</v>
      </c>
      <c r="F69" s="5">
        <v>30</v>
      </c>
      <c r="G69" s="5">
        <v>5.7</v>
      </c>
      <c r="H69" s="5">
        <f t="shared" si="3"/>
        <v>0.12160476851928864</v>
      </c>
      <c r="I69" s="7">
        <f t="shared" si="4"/>
        <v>2507032320</v>
      </c>
      <c r="J69" s="7">
        <f t="shared" si="5"/>
        <v>0</v>
      </c>
    </row>
    <row r="70" spans="2:10" x14ac:dyDescent="0.2">
      <c r="B70" s="5">
        <v>30077</v>
      </c>
      <c r="C70" s="7">
        <v>1.9606800000000001E-7</v>
      </c>
      <c r="D70" s="5" t="s">
        <v>710</v>
      </c>
      <c r="E70" s="5">
        <v>47</v>
      </c>
      <c r="F70" s="5">
        <v>30</v>
      </c>
      <c r="G70" s="5">
        <v>2.08</v>
      </c>
      <c r="H70" s="5">
        <f t="shared" si="3"/>
        <v>0.33324383680766601</v>
      </c>
      <c r="I70" s="7">
        <f t="shared" si="4"/>
        <v>2446928640</v>
      </c>
      <c r="J70" s="7">
        <f t="shared" si="5"/>
        <v>0</v>
      </c>
    </row>
    <row r="71" spans="2:10" x14ac:dyDescent="0.2">
      <c r="B71" s="5">
        <v>30078</v>
      </c>
      <c r="C71" s="7">
        <v>3.26106E-7</v>
      </c>
      <c r="D71" s="5" t="s">
        <v>711</v>
      </c>
      <c r="E71" s="5">
        <v>48</v>
      </c>
      <c r="F71" s="5">
        <v>30</v>
      </c>
      <c r="G71" s="5">
        <v>1.47</v>
      </c>
      <c r="H71" s="5">
        <f t="shared" si="3"/>
        <v>0.47152869425846616</v>
      </c>
      <c r="I71" s="7">
        <f t="shared" si="4"/>
        <v>4069802880</v>
      </c>
      <c r="J71" s="7">
        <f t="shared" si="5"/>
        <v>0</v>
      </c>
    </row>
    <row r="72" spans="2:10" x14ac:dyDescent="0.2">
      <c r="B72" s="5">
        <v>31062</v>
      </c>
      <c r="C72" s="7">
        <v>2.3850700000000001E-7</v>
      </c>
      <c r="D72" s="5" t="s">
        <v>721</v>
      </c>
      <c r="E72" s="5">
        <v>31</v>
      </c>
      <c r="F72" s="5">
        <v>31</v>
      </c>
      <c r="G72" s="5">
        <v>0.116121</v>
      </c>
      <c r="H72" s="5">
        <f t="shared" si="3"/>
        <v>5.9691802564561556</v>
      </c>
      <c r="I72" s="7">
        <f t="shared" si="4"/>
        <v>2976567360</v>
      </c>
      <c r="J72" s="7">
        <f t="shared" si="5"/>
        <v>0</v>
      </c>
    </row>
    <row r="73" spans="2:10" x14ac:dyDescent="0.2">
      <c r="B73" s="5">
        <v>31063</v>
      </c>
      <c r="C73" s="7">
        <v>2.8429499999999999E-7</v>
      </c>
      <c r="D73" s="5" t="s">
        <v>722</v>
      </c>
      <c r="E73" s="5">
        <v>32</v>
      </c>
      <c r="F73" s="5">
        <v>31</v>
      </c>
      <c r="G73" s="5">
        <v>32.4</v>
      </c>
      <c r="H73" s="5">
        <f t="shared" si="3"/>
        <v>2.1393431498763743E-2</v>
      </c>
      <c r="I73" s="7">
        <f t="shared" si="4"/>
        <v>3548001600</v>
      </c>
      <c r="J73" s="7">
        <f t="shared" si="5"/>
        <v>0</v>
      </c>
    </row>
    <row r="74" spans="2:10" x14ac:dyDescent="0.2">
      <c r="B74" s="5">
        <v>31064</v>
      </c>
      <c r="C74" s="7">
        <v>1.6682200000000001E-8</v>
      </c>
      <c r="D74" s="5" t="s">
        <v>723</v>
      </c>
      <c r="E74" s="5">
        <v>33</v>
      </c>
      <c r="F74" s="5">
        <v>31</v>
      </c>
      <c r="G74" s="5">
        <v>157.61999999999901</v>
      </c>
      <c r="H74" s="5">
        <f t="shared" si="3"/>
        <v>4.3975839396012536E-3</v>
      </c>
      <c r="I74" s="7">
        <f t="shared" si="4"/>
        <v>208193856</v>
      </c>
      <c r="J74" s="7">
        <f t="shared" si="5"/>
        <v>0</v>
      </c>
    </row>
    <row r="75" spans="2:10" x14ac:dyDescent="0.2">
      <c r="B75" s="5">
        <v>31065</v>
      </c>
      <c r="C75" s="7">
        <v>5.84924E-8</v>
      </c>
      <c r="D75" s="5" t="s">
        <v>724</v>
      </c>
      <c r="E75" s="5">
        <v>34</v>
      </c>
      <c r="F75" s="5">
        <v>31</v>
      </c>
      <c r="G75" s="5">
        <v>912</v>
      </c>
      <c r="H75" s="5">
        <f t="shared" si="3"/>
        <v>7.6002980324555401E-4</v>
      </c>
      <c r="I75" s="7">
        <f t="shared" si="4"/>
        <v>729985152</v>
      </c>
      <c r="J75" s="7">
        <f t="shared" si="5"/>
        <v>0</v>
      </c>
    </row>
    <row r="76" spans="2:10" x14ac:dyDescent="0.2">
      <c r="B76" s="5">
        <v>31066</v>
      </c>
      <c r="C76" s="7">
        <v>1.1796199999999999E-8</v>
      </c>
      <c r="D76" s="5" t="s">
        <v>725</v>
      </c>
      <c r="E76" s="5">
        <v>35</v>
      </c>
      <c r="F76" s="5">
        <v>31</v>
      </c>
      <c r="G76" s="5">
        <v>34164</v>
      </c>
      <c r="H76" s="5">
        <f t="shared" si="3"/>
        <v>2.0288818070481948E-5</v>
      </c>
      <c r="I76" s="7">
        <f t="shared" si="4"/>
        <v>147216572.41098943</v>
      </c>
      <c r="J76" s="7">
        <f t="shared" si="5"/>
        <v>1.9684054129099052E-270</v>
      </c>
    </row>
    <row r="77" spans="2:10" x14ac:dyDescent="0.2">
      <c r="B77" s="5">
        <v>31067</v>
      </c>
      <c r="C77" s="7">
        <v>6.7705999999999998E-9</v>
      </c>
      <c r="D77" s="5" t="s">
        <v>726</v>
      </c>
      <c r="E77" s="5">
        <v>36</v>
      </c>
      <c r="F77" s="5">
        <v>31</v>
      </c>
      <c r="G77" s="5">
        <v>281810.88</v>
      </c>
      <c r="H77" s="5">
        <f t="shared" si="3"/>
        <v>2.4596182395794844E-6</v>
      </c>
      <c r="I77" s="7">
        <f t="shared" si="4"/>
        <v>74406461.604772449</v>
      </c>
      <c r="J77" s="7">
        <f t="shared" si="5"/>
        <v>1.5307303279212735E-26</v>
      </c>
    </row>
    <row r="78" spans="2:10" x14ac:dyDescent="0.2">
      <c r="B78" s="5">
        <v>31068</v>
      </c>
      <c r="C78" s="7">
        <v>5.5839999999999995E-10</v>
      </c>
      <c r="D78" s="5" t="s">
        <v>727</v>
      </c>
      <c r="E78" s="5">
        <v>37</v>
      </c>
      <c r="F78" s="5">
        <v>31</v>
      </c>
      <c r="G78" s="5">
        <v>4062.5999999999899</v>
      </c>
      <c r="H78" s="5">
        <f t="shared" si="3"/>
        <v>1.7061664465119555E-4</v>
      </c>
      <c r="I78" s="7">
        <f t="shared" si="4"/>
        <v>6968831.9999999991</v>
      </c>
      <c r="J78" s="7">
        <f t="shared" si="5"/>
        <v>0</v>
      </c>
    </row>
    <row r="79" spans="2:10" x14ac:dyDescent="0.2">
      <c r="B79" s="5">
        <v>31073</v>
      </c>
      <c r="C79" s="7">
        <v>1.2563999999999999E-9</v>
      </c>
      <c r="D79" s="5" t="s">
        <v>732</v>
      </c>
      <c r="E79" s="5">
        <v>42</v>
      </c>
      <c r="F79" s="5">
        <v>31</v>
      </c>
      <c r="G79" s="5">
        <v>17496</v>
      </c>
      <c r="H79" s="5">
        <f t="shared" si="3"/>
        <v>3.9617465738451376E-5</v>
      </c>
      <c r="I79" s="7">
        <f t="shared" si="4"/>
        <v>15679871.999999978</v>
      </c>
      <c r="J79" s="7">
        <f t="shared" si="5"/>
        <v>0</v>
      </c>
    </row>
    <row r="80" spans="2:10" x14ac:dyDescent="0.2">
      <c r="B80" s="5">
        <v>31074</v>
      </c>
      <c r="C80" s="7">
        <v>4.5370000000000004E-9</v>
      </c>
      <c r="D80" s="5" t="s">
        <v>733</v>
      </c>
      <c r="E80" s="5">
        <v>43</v>
      </c>
      <c r="F80" s="5">
        <v>31</v>
      </c>
      <c r="G80" s="5">
        <v>487.19999999999902</v>
      </c>
      <c r="H80" s="5">
        <f t="shared" si="3"/>
        <v>1.4227158878488233E-3</v>
      </c>
      <c r="I80" s="7">
        <f t="shared" si="4"/>
        <v>56621760.000000007</v>
      </c>
      <c r="J80" s="7">
        <f t="shared" si="5"/>
        <v>0</v>
      </c>
    </row>
    <row r="81" spans="2:10" x14ac:dyDescent="0.2">
      <c r="B81" s="5">
        <v>31075</v>
      </c>
      <c r="C81" s="7">
        <v>3.0572399999999999E-8</v>
      </c>
      <c r="D81" s="5" t="s">
        <v>734</v>
      </c>
      <c r="E81" s="5">
        <v>44</v>
      </c>
      <c r="F81" s="5">
        <v>31</v>
      </c>
      <c r="G81" s="5">
        <v>126</v>
      </c>
      <c r="H81" s="5">
        <f t="shared" si="3"/>
        <v>5.5011680996821053E-3</v>
      </c>
      <c r="I81" s="7">
        <f t="shared" si="4"/>
        <v>381543552</v>
      </c>
      <c r="J81" s="7">
        <f t="shared" si="5"/>
        <v>0</v>
      </c>
    </row>
    <row r="82" spans="2:10" x14ac:dyDescent="0.2">
      <c r="B82" s="5">
        <v>31076</v>
      </c>
      <c r="C82" s="7">
        <v>6.3308600000000006E-8</v>
      </c>
      <c r="D82" s="5" t="s">
        <v>735</v>
      </c>
      <c r="E82" s="5">
        <v>45</v>
      </c>
      <c r="F82" s="5">
        <v>31</v>
      </c>
      <c r="G82" s="5">
        <v>32.6</v>
      </c>
      <c r="H82" s="5">
        <f t="shared" si="3"/>
        <v>2.1262183452759056E-2</v>
      </c>
      <c r="I82" s="7">
        <f t="shared" si="4"/>
        <v>790091328.00000012</v>
      </c>
      <c r="J82" s="7">
        <f t="shared" si="5"/>
        <v>0</v>
      </c>
    </row>
    <row r="83" spans="2:10" x14ac:dyDescent="0.2">
      <c r="B83" s="5">
        <v>31077</v>
      </c>
      <c r="C83" s="7">
        <v>2.3041000000000001E-7</v>
      </c>
      <c r="D83" s="5" t="s">
        <v>736</v>
      </c>
      <c r="E83" s="5">
        <v>46</v>
      </c>
      <c r="F83" s="5">
        <v>31</v>
      </c>
      <c r="G83" s="5">
        <v>13.2</v>
      </c>
      <c r="H83" s="5">
        <f t="shared" si="3"/>
        <v>5.2511150042420102E-2</v>
      </c>
      <c r="I83" s="7">
        <f t="shared" si="4"/>
        <v>2875516800</v>
      </c>
      <c r="J83" s="7">
        <f t="shared" si="5"/>
        <v>0</v>
      </c>
    </row>
    <row r="84" spans="2:10" x14ac:dyDescent="0.2">
      <c r="B84" s="5">
        <v>31078</v>
      </c>
      <c r="C84" s="7">
        <v>3.8452800000000001E-7</v>
      </c>
      <c r="D84" s="5" t="s">
        <v>737</v>
      </c>
      <c r="E84" s="5">
        <v>47</v>
      </c>
      <c r="F84" s="5">
        <v>31</v>
      </c>
      <c r="G84" s="5">
        <v>5.09</v>
      </c>
      <c r="H84" s="5">
        <f t="shared" si="3"/>
        <v>0.13617822800784779</v>
      </c>
      <c r="I84" s="7">
        <f t="shared" si="4"/>
        <v>4798909440</v>
      </c>
      <c r="J84" s="7">
        <f t="shared" si="5"/>
        <v>0</v>
      </c>
    </row>
    <row r="85" spans="2:10" x14ac:dyDescent="0.2">
      <c r="B85" s="5">
        <v>31079</v>
      </c>
      <c r="C85" s="7">
        <v>7.8315600000000003E-7</v>
      </c>
      <c r="D85" s="5" t="s">
        <v>738</v>
      </c>
      <c r="E85" s="5">
        <v>48</v>
      </c>
      <c r="F85" s="5">
        <v>31</v>
      </c>
      <c r="G85" s="5">
        <v>2.847</v>
      </c>
      <c r="H85" s="5">
        <f t="shared" si="3"/>
        <v>0.24346581684578339</v>
      </c>
      <c r="I85" s="7">
        <f t="shared" si="4"/>
        <v>9773786880</v>
      </c>
      <c r="J85" s="7">
        <f t="shared" si="5"/>
        <v>0</v>
      </c>
    </row>
    <row r="86" spans="2:10" x14ac:dyDescent="0.2">
      <c r="B86" s="5">
        <v>31080</v>
      </c>
      <c r="C86" s="7">
        <v>6.6798600000000004E-7</v>
      </c>
      <c r="D86" s="5" t="s">
        <v>739</v>
      </c>
      <c r="E86" s="5">
        <v>49</v>
      </c>
      <c r="F86" s="5">
        <v>31</v>
      </c>
      <c r="G86" s="5">
        <v>1.9</v>
      </c>
      <c r="H86" s="5">
        <f t="shared" si="3"/>
        <v>0.36481430555786598</v>
      </c>
      <c r="I86" s="7">
        <f t="shared" si="4"/>
        <v>8336465280</v>
      </c>
      <c r="J86" s="7">
        <f t="shared" si="5"/>
        <v>0</v>
      </c>
    </row>
    <row r="87" spans="2:10" x14ac:dyDescent="0.2">
      <c r="B87" s="5">
        <v>31081</v>
      </c>
      <c r="C87" s="7">
        <v>1.12839E-6</v>
      </c>
      <c r="D87" s="5" t="s">
        <v>740</v>
      </c>
      <c r="E87" s="5">
        <v>50</v>
      </c>
      <c r="F87" s="5">
        <v>31</v>
      </c>
      <c r="G87" s="5">
        <v>1.2170000000000001</v>
      </c>
      <c r="H87" s="5">
        <f t="shared" si="3"/>
        <v>0.56955396923578083</v>
      </c>
      <c r="I87" s="7">
        <f t="shared" si="4"/>
        <v>14082307200</v>
      </c>
      <c r="J87" s="7">
        <f t="shared" si="5"/>
        <v>0</v>
      </c>
    </row>
    <row r="88" spans="2:10" x14ac:dyDescent="0.2">
      <c r="B88" s="5">
        <v>31082</v>
      </c>
      <c r="C88" s="7">
        <v>4.8154999999999997E-7</v>
      </c>
      <c r="D88" s="5" t="s">
        <v>741</v>
      </c>
      <c r="E88" s="5">
        <v>51</v>
      </c>
      <c r="F88" s="5">
        <v>31</v>
      </c>
      <c r="G88" s="5">
        <v>0.59899999999999998</v>
      </c>
      <c r="H88" s="5">
        <f t="shared" si="3"/>
        <v>1.1571739241401424</v>
      </c>
      <c r="I88" s="7">
        <f t="shared" si="4"/>
        <v>6009744000</v>
      </c>
      <c r="J88" s="7">
        <f t="shared" si="5"/>
        <v>0</v>
      </c>
    </row>
    <row r="89" spans="2:10" x14ac:dyDescent="0.2">
      <c r="B89" s="5">
        <v>31083</v>
      </c>
      <c r="C89" s="7">
        <v>3.66101E-7</v>
      </c>
      <c r="D89" s="5" t="s">
        <v>742</v>
      </c>
      <c r="E89" s="5">
        <v>52</v>
      </c>
      <c r="F89" s="5">
        <v>31</v>
      </c>
      <c r="G89" s="5">
        <v>0.30809999999999998</v>
      </c>
      <c r="H89" s="5">
        <f t="shared" si="3"/>
        <v>2.2497474214863531</v>
      </c>
      <c r="I89" s="7">
        <f t="shared" si="4"/>
        <v>4568940480</v>
      </c>
      <c r="J89" s="7">
        <f t="shared" si="5"/>
        <v>0</v>
      </c>
    </row>
    <row r="90" spans="2:10" x14ac:dyDescent="0.2">
      <c r="B90" s="5">
        <v>32061</v>
      </c>
      <c r="C90" s="7">
        <v>1.5363000000000001E-7</v>
      </c>
      <c r="D90" s="5" t="s">
        <v>749</v>
      </c>
      <c r="E90" s="5">
        <v>29</v>
      </c>
      <c r="F90" s="5">
        <v>32</v>
      </c>
      <c r="G90" s="5">
        <v>4.3999999999999997E-2</v>
      </c>
      <c r="H90" s="5">
        <f t="shared" si="3"/>
        <v>15.753345012726029</v>
      </c>
      <c r="I90" s="7">
        <f t="shared" si="4"/>
        <v>1917302400</v>
      </c>
      <c r="J90" s="7">
        <f t="shared" si="5"/>
        <v>0</v>
      </c>
    </row>
    <row r="91" spans="2:10" x14ac:dyDescent="0.2">
      <c r="B91" s="5">
        <v>32062</v>
      </c>
      <c r="C91" s="7">
        <v>9.2066199999999996E-8</v>
      </c>
      <c r="D91" s="5" t="s">
        <v>750</v>
      </c>
      <c r="E91" s="5">
        <v>30</v>
      </c>
      <c r="F91" s="5">
        <v>32</v>
      </c>
      <c r="G91" s="5">
        <v>0.129</v>
      </c>
      <c r="H91" s="5">
        <f t="shared" si="3"/>
        <v>5.3732339578290329</v>
      </c>
      <c r="I91" s="7">
        <f t="shared" si="4"/>
        <v>1148986176</v>
      </c>
      <c r="J91" s="7">
        <f t="shared" si="5"/>
        <v>0</v>
      </c>
    </row>
    <row r="92" spans="2:10" x14ac:dyDescent="0.2">
      <c r="B92" s="5">
        <v>32063</v>
      </c>
      <c r="C92" s="7">
        <v>2.0242E-8</v>
      </c>
      <c r="D92" s="5" t="s">
        <v>751</v>
      </c>
      <c r="E92" s="5">
        <v>31</v>
      </c>
      <c r="F92" s="5">
        <v>32</v>
      </c>
      <c r="G92" s="5">
        <v>0.15</v>
      </c>
      <c r="H92" s="5">
        <f t="shared" si="3"/>
        <v>4.6209812037329687</v>
      </c>
      <c r="I92" s="7">
        <f t="shared" si="4"/>
        <v>252620160</v>
      </c>
      <c r="J92" s="7">
        <f t="shared" si="5"/>
        <v>0</v>
      </c>
    </row>
    <row r="93" spans="2:10" x14ac:dyDescent="0.2">
      <c r="B93" s="5">
        <v>32064</v>
      </c>
      <c r="C93" s="7">
        <v>7.3987999999999997E-9</v>
      </c>
      <c r="D93" s="5" t="s">
        <v>752</v>
      </c>
      <c r="E93" s="5">
        <v>32</v>
      </c>
      <c r="F93" s="5">
        <v>32</v>
      </c>
      <c r="G93" s="5">
        <v>63.7</v>
      </c>
      <c r="H93" s="5">
        <f t="shared" si="3"/>
        <v>1.0881431405964604E-2</v>
      </c>
      <c r="I93" s="7">
        <f t="shared" si="4"/>
        <v>92337024</v>
      </c>
      <c r="J93" s="7">
        <f t="shared" si="5"/>
        <v>0</v>
      </c>
    </row>
    <row r="94" spans="2:10" x14ac:dyDescent="0.2">
      <c r="B94" s="5">
        <v>32065</v>
      </c>
      <c r="C94" s="7">
        <v>1.1167999999999999E-9</v>
      </c>
      <c r="D94" s="5" t="s">
        <v>753</v>
      </c>
      <c r="E94" s="5">
        <v>33</v>
      </c>
      <c r="F94" s="5">
        <v>32</v>
      </c>
      <c r="G94" s="5">
        <v>30.9</v>
      </c>
      <c r="H94" s="5">
        <f t="shared" si="3"/>
        <v>2.2431947590936741E-2</v>
      </c>
      <c r="I94" s="7">
        <f t="shared" si="4"/>
        <v>13937663.999999998</v>
      </c>
      <c r="J94" s="7">
        <f t="shared" si="5"/>
        <v>0</v>
      </c>
    </row>
    <row r="95" spans="2:10" x14ac:dyDescent="0.2">
      <c r="B95" s="5">
        <v>32066</v>
      </c>
      <c r="C95" s="7">
        <v>6.9799999999999994E-11</v>
      </c>
      <c r="D95" s="5" t="s">
        <v>754</v>
      </c>
      <c r="E95" s="5">
        <v>34</v>
      </c>
      <c r="F95" s="5">
        <v>32</v>
      </c>
      <c r="G95" s="5">
        <v>8135.99999999999</v>
      </c>
      <c r="H95" s="5">
        <f t="shared" si="3"/>
        <v>8.519508118976723E-5</v>
      </c>
      <c r="I95" s="7">
        <f t="shared" si="4"/>
        <v>871103.99999999988</v>
      </c>
      <c r="J95" s="7">
        <f t="shared" si="5"/>
        <v>0</v>
      </c>
    </row>
    <row r="96" spans="2:10" x14ac:dyDescent="0.2">
      <c r="B96" s="5">
        <v>32075</v>
      </c>
      <c r="C96" s="7">
        <v>1.3959999999999999E-9</v>
      </c>
      <c r="D96" s="5" t="s">
        <v>763</v>
      </c>
      <c r="E96" s="5">
        <v>43</v>
      </c>
      <c r="F96" s="5">
        <v>32</v>
      </c>
      <c r="G96" s="5">
        <v>4966.8</v>
      </c>
      <c r="H96" s="5">
        <f t="shared" si="3"/>
        <v>1.3955608853989394E-4</v>
      </c>
      <c r="I96" s="7">
        <f t="shared" si="4"/>
        <v>17422080</v>
      </c>
      <c r="J96" s="7">
        <f t="shared" si="5"/>
        <v>0</v>
      </c>
    </row>
    <row r="97" spans="2:10" x14ac:dyDescent="0.2">
      <c r="B97" s="5">
        <v>32077</v>
      </c>
      <c r="C97" s="7">
        <v>3.4411399999999998E-8</v>
      </c>
      <c r="D97" s="5" t="s">
        <v>765</v>
      </c>
      <c r="E97" s="5">
        <v>45</v>
      </c>
      <c r="F97" s="5">
        <v>32</v>
      </c>
      <c r="G97" s="5">
        <v>40680</v>
      </c>
      <c r="H97" s="5">
        <f t="shared" si="3"/>
        <v>1.7039016237953423E-5</v>
      </c>
      <c r="I97" s="7">
        <f t="shared" si="4"/>
        <v>429454098.47602123</v>
      </c>
      <c r="J97" s="7">
        <f t="shared" si="5"/>
        <v>1.853832773209887E-225</v>
      </c>
    </row>
    <row r="98" spans="2:10" x14ac:dyDescent="0.2">
      <c r="B98" s="5">
        <v>32078</v>
      </c>
      <c r="C98" s="7">
        <v>2.0032599999999999E-7</v>
      </c>
      <c r="D98" s="5" t="s">
        <v>766</v>
      </c>
      <c r="E98" s="5">
        <v>46</v>
      </c>
      <c r="F98" s="5">
        <v>32</v>
      </c>
      <c r="G98" s="5">
        <v>5280</v>
      </c>
      <c r="H98" s="5">
        <f t="shared" si="3"/>
        <v>1.3127787510605024E-4</v>
      </c>
      <c r="I98" s="7">
        <f t="shared" si="4"/>
        <v>2500068480</v>
      </c>
      <c r="J98" s="7">
        <f t="shared" si="5"/>
        <v>0</v>
      </c>
    </row>
    <row r="99" spans="2:10" x14ac:dyDescent="0.2">
      <c r="B99" s="5">
        <v>32079</v>
      </c>
      <c r="C99" s="7">
        <v>3.5472399999999999E-7</v>
      </c>
      <c r="D99" s="5" t="s">
        <v>767</v>
      </c>
      <c r="E99" s="5">
        <v>47</v>
      </c>
      <c r="F99" s="5">
        <v>32</v>
      </c>
      <c r="G99" s="5">
        <v>18.98</v>
      </c>
      <c r="H99" s="5">
        <f t="shared" si="3"/>
        <v>3.651987252686751E-2</v>
      </c>
      <c r="I99" s="7">
        <f t="shared" si="4"/>
        <v>4426955520</v>
      </c>
      <c r="J99" s="7">
        <f t="shared" si="5"/>
        <v>0</v>
      </c>
    </row>
    <row r="100" spans="2:10" x14ac:dyDescent="0.2">
      <c r="B100" s="5">
        <v>32080</v>
      </c>
      <c r="C100" s="7">
        <v>1.21026E-6</v>
      </c>
      <c r="D100" s="5" t="s">
        <v>768</v>
      </c>
      <c r="E100" s="5">
        <v>48</v>
      </c>
      <c r="F100" s="5">
        <v>32</v>
      </c>
      <c r="G100" s="5">
        <v>29.5</v>
      </c>
      <c r="H100" s="5">
        <f t="shared" si="3"/>
        <v>2.3496514595252382E-2</v>
      </c>
      <c r="I100" s="7">
        <f t="shared" si="4"/>
        <v>15104044800</v>
      </c>
      <c r="J100" s="7">
        <f t="shared" si="5"/>
        <v>0</v>
      </c>
    </row>
    <row r="101" spans="2:10" x14ac:dyDescent="0.2">
      <c r="B101" s="5">
        <v>32081</v>
      </c>
      <c r="C101" s="7">
        <v>1.30372E-6</v>
      </c>
      <c r="D101" s="5" t="s">
        <v>769</v>
      </c>
      <c r="E101" s="5">
        <v>49</v>
      </c>
      <c r="F101" s="5">
        <v>32</v>
      </c>
      <c r="G101" s="5">
        <v>7.6</v>
      </c>
      <c r="H101" s="5">
        <f t="shared" si="3"/>
        <v>9.1203576389466495E-2</v>
      </c>
      <c r="I101" s="7">
        <f t="shared" si="4"/>
        <v>16270425600</v>
      </c>
      <c r="J101" s="7">
        <f t="shared" si="5"/>
        <v>0</v>
      </c>
    </row>
    <row r="102" spans="2:10" x14ac:dyDescent="0.2">
      <c r="B102" s="5">
        <v>32082</v>
      </c>
      <c r="C102" s="7">
        <v>2.9413699999999999E-6</v>
      </c>
      <c r="D102" s="5" t="s">
        <v>770</v>
      </c>
      <c r="E102" s="5">
        <v>50</v>
      </c>
      <c r="F102" s="5">
        <v>32</v>
      </c>
      <c r="G102" s="5">
        <v>4.5599999999999996</v>
      </c>
      <c r="H102" s="5">
        <f t="shared" si="3"/>
        <v>0.15200596064911082</v>
      </c>
      <c r="I102" s="7">
        <f t="shared" si="4"/>
        <v>36708297600</v>
      </c>
      <c r="J102" s="7">
        <f t="shared" si="5"/>
        <v>0</v>
      </c>
    </row>
    <row r="103" spans="2:10" x14ac:dyDescent="0.2">
      <c r="B103" s="5">
        <v>32083</v>
      </c>
      <c r="C103" s="7">
        <v>1.4849299999999999E-6</v>
      </c>
      <c r="D103" s="5" t="s">
        <v>771</v>
      </c>
      <c r="E103" s="5">
        <v>51</v>
      </c>
      <c r="F103" s="5">
        <v>32</v>
      </c>
      <c r="G103" s="5">
        <v>1.85</v>
      </c>
      <c r="H103" s="5">
        <f t="shared" si="3"/>
        <v>0.37467415165402446</v>
      </c>
      <c r="I103" s="7">
        <f t="shared" si="4"/>
        <v>18531926400</v>
      </c>
      <c r="J103" s="7">
        <f t="shared" si="5"/>
        <v>0</v>
      </c>
    </row>
    <row r="104" spans="2:10" x14ac:dyDescent="0.2">
      <c r="B104" s="5">
        <v>32084</v>
      </c>
      <c r="C104" s="7">
        <v>1.9867899999999999E-6</v>
      </c>
      <c r="D104" s="5" t="s">
        <v>772</v>
      </c>
      <c r="E104" s="5">
        <v>52</v>
      </c>
      <c r="F104" s="5">
        <v>32</v>
      </c>
      <c r="G104" s="5">
        <v>0.95399999999999996</v>
      </c>
      <c r="H104" s="5">
        <f t="shared" si="3"/>
        <v>0.72656937165612712</v>
      </c>
      <c r="I104" s="7">
        <f t="shared" si="4"/>
        <v>24795139200</v>
      </c>
      <c r="J104" s="7">
        <f t="shared" si="5"/>
        <v>0</v>
      </c>
    </row>
    <row r="105" spans="2:10" x14ac:dyDescent="0.2">
      <c r="B105" s="5">
        <v>33066</v>
      </c>
      <c r="C105" s="7">
        <v>7.8364499999999997E-7</v>
      </c>
      <c r="D105" s="5" t="s">
        <v>781</v>
      </c>
      <c r="E105" s="5">
        <v>33</v>
      </c>
      <c r="F105" s="5">
        <v>33</v>
      </c>
      <c r="G105" s="5">
        <v>9.5769999999999994E-2</v>
      </c>
      <c r="H105" s="5">
        <f t="shared" si="3"/>
        <v>7.2376232699169396</v>
      </c>
      <c r="I105" s="7">
        <f t="shared" si="4"/>
        <v>9779889600</v>
      </c>
      <c r="J105" s="7">
        <f t="shared" si="5"/>
        <v>0</v>
      </c>
    </row>
    <row r="106" spans="2:10" x14ac:dyDescent="0.2">
      <c r="B106" s="5">
        <v>33067</v>
      </c>
      <c r="C106" s="7">
        <v>7.7205799999999999E-7</v>
      </c>
      <c r="D106" s="5" t="s">
        <v>782</v>
      </c>
      <c r="E106" s="5">
        <v>34</v>
      </c>
      <c r="F106" s="5">
        <v>33</v>
      </c>
      <c r="G106" s="5">
        <v>42.5</v>
      </c>
      <c r="H106" s="5">
        <f t="shared" si="3"/>
        <v>1.6309345424939888E-2</v>
      </c>
      <c r="I106" s="7">
        <f t="shared" si="4"/>
        <v>9635283840</v>
      </c>
      <c r="J106" s="7">
        <f t="shared" si="5"/>
        <v>0</v>
      </c>
    </row>
    <row r="107" spans="2:10" x14ac:dyDescent="0.2">
      <c r="B107" s="5">
        <v>33068</v>
      </c>
      <c r="C107" s="7">
        <v>1.76105E-7</v>
      </c>
      <c r="D107" s="5" t="s">
        <v>783</v>
      </c>
      <c r="E107" s="5">
        <v>35</v>
      </c>
      <c r="F107" s="5">
        <v>33</v>
      </c>
      <c r="G107" s="5">
        <v>151.6</v>
      </c>
      <c r="H107" s="5">
        <f t="shared" si="3"/>
        <v>4.5722109535616447E-3</v>
      </c>
      <c r="I107" s="7">
        <f t="shared" si="4"/>
        <v>2197790400</v>
      </c>
      <c r="J107" s="7">
        <f t="shared" si="5"/>
        <v>0</v>
      </c>
    </row>
    <row r="108" spans="2:10" x14ac:dyDescent="0.2">
      <c r="B108" s="5">
        <v>33069</v>
      </c>
      <c r="C108" s="7">
        <v>1.1866000000000001E-7</v>
      </c>
      <c r="D108" s="5" t="s">
        <v>784</v>
      </c>
      <c r="E108" s="5">
        <v>36</v>
      </c>
      <c r="F108" s="5">
        <v>33</v>
      </c>
      <c r="G108" s="5">
        <v>912</v>
      </c>
      <c r="H108" s="5">
        <f t="shared" si="3"/>
        <v>7.6002980324555401E-4</v>
      </c>
      <c r="I108" s="7">
        <f t="shared" si="4"/>
        <v>1480876800</v>
      </c>
      <c r="J108" s="7">
        <f t="shared" si="5"/>
        <v>0</v>
      </c>
    </row>
    <row r="109" spans="2:10" x14ac:dyDescent="0.2">
      <c r="B109" s="5">
        <v>33070</v>
      </c>
      <c r="C109" s="7">
        <v>1.45184E-8</v>
      </c>
      <c r="D109" s="5" t="s">
        <v>785</v>
      </c>
      <c r="E109" s="5">
        <v>37</v>
      </c>
      <c r="F109" s="5">
        <v>33</v>
      </c>
      <c r="G109" s="5">
        <v>3156</v>
      </c>
      <c r="H109" s="5">
        <f t="shared" si="3"/>
        <v>2.196283842078407E-4</v>
      </c>
      <c r="I109" s="7">
        <f t="shared" si="4"/>
        <v>181189632</v>
      </c>
      <c r="J109" s="7">
        <f t="shared" si="5"/>
        <v>0</v>
      </c>
    </row>
    <row r="110" spans="2:10" x14ac:dyDescent="0.2">
      <c r="B110" s="5">
        <v>33071</v>
      </c>
      <c r="C110" s="7">
        <v>6.7705999999999998E-9</v>
      </c>
      <c r="D110" s="5" t="s">
        <v>786</v>
      </c>
      <c r="E110" s="5">
        <v>38</v>
      </c>
      <c r="F110" s="5">
        <v>33</v>
      </c>
      <c r="G110" s="5">
        <v>235080</v>
      </c>
      <c r="H110" s="5">
        <f t="shared" si="3"/>
        <v>2.9485587058020475E-6</v>
      </c>
      <c r="I110" s="7">
        <f t="shared" si="4"/>
        <v>77883261.70875214</v>
      </c>
      <c r="J110" s="7">
        <f t="shared" si="5"/>
        <v>3.2229024689823082E-33</v>
      </c>
    </row>
    <row r="111" spans="2:10" x14ac:dyDescent="0.2">
      <c r="B111" s="5">
        <v>33072</v>
      </c>
      <c r="C111" s="7">
        <v>3.4899999999999998E-10</v>
      </c>
      <c r="D111" s="5" t="s">
        <v>787</v>
      </c>
      <c r="E111" s="5">
        <v>39</v>
      </c>
      <c r="F111" s="5">
        <v>33</v>
      </c>
      <c r="G111" s="5">
        <v>93600</v>
      </c>
      <c r="H111" s="5">
        <f t="shared" si="3"/>
        <v>7.4054185957259116E-6</v>
      </c>
      <c r="I111" s="7">
        <f t="shared" si="4"/>
        <v>4348270.6078901319</v>
      </c>
      <c r="J111" s="7">
        <f t="shared" si="5"/>
        <v>1.6381896533816637E-95</v>
      </c>
    </row>
    <row r="112" spans="2:10" x14ac:dyDescent="0.2">
      <c r="B112" s="5">
        <v>33073</v>
      </c>
      <c r="C112" s="7">
        <v>6.9799999999999994E-11</v>
      </c>
      <c r="D112" s="5" t="s">
        <v>788</v>
      </c>
      <c r="E112" s="5">
        <v>40</v>
      </c>
      <c r="F112" s="5">
        <v>33</v>
      </c>
      <c r="G112" s="5">
        <v>6937920</v>
      </c>
      <c r="H112" s="5">
        <f t="shared" si="3"/>
        <v>9.9907058680403535E-8</v>
      </c>
      <c r="I112" s="7">
        <f t="shared" si="4"/>
        <v>72039.495529840118</v>
      </c>
      <c r="J112" s="7">
        <f t="shared" si="5"/>
        <v>3084.981051189292</v>
      </c>
    </row>
    <row r="113" spans="2:10" x14ac:dyDescent="0.2">
      <c r="B113" s="5">
        <v>33076</v>
      </c>
      <c r="C113" s="7">
        <v>1.3959999999999999E-10</v>
      </c>
      <c r="D113" s="5" t="s">
        <v>791</v>
      </c>
      <c r="E113" s="5">
        <v>43</v>
      </c>
      <c r="F113" s="5">
        <v>33</v>
      </c>
      <c r="G113" s="5">
        <v>94538.880000000005</v>
      </c>
      <c r="H113" s="5">
        <f t="shared" si="3"/>
        <v>7.3318742570246785E-6</v>
      </c>
      <c r="I113" s="7">
        <f t="shared" si="4"/>
        <v>1739118.0058577363</v>
      </c>
      <c r="J113" s="7">
        <f t="shared" si="5"/>
        <v>6.6624408699343553E-95</v>
      </c>
    </row>
    <row r="114" spans="2:10" x14ac:dyDescent="0.2">
      <c r="B114" s="5">
        <v>33077</v>
      </c>
      <c r="C114" s="7">
        <v>1.8845999999999999E-9</v>
      </c>
      <c r="D114" s="5" t="s">
        <v>792</v>
      </c>
      <c r="E114" s="5">
        <v>44</v>
      </c>
      <c r="F114" s="5">
        <v>33</v>
      </c>
      <c r="G114" s="5">
        <v>139788</v>
      </c>
      <c r="H114" s="5">
        <f t="shared" si="3"/>
        <v>4.958559966234192E-6</v>
      </c>
      <c r="I114" s="7">
        <f t="shared" si="4"/>
        <v>23195594.442130931</v>
      </c>
      <c r="J114" s="7">
        <f t="shared" si="5"/>
        <v>2.8406034197405738E-61</v>
      </c>
    </row>
    <row r="115" spans="2:10" x14ac:dyDescent="0.2">
      <c r="B115" s="5">
        <v>33078</v>
      </c>
      <c r="C115" s="7">
        <v>1.10284E-8</v>
      </c>
      <c r="D115" s="5" t="s">
        <v>793</v>
      </c>
      <c r="E115" s="5">
        <v>45</v>
      </c>
      <c r="F115" s="5">
        <v>33</v>
      </c>
      <c r="G115" s="5">
        <v>5442</v>
      </c>
      <c r="H115" s="5">
        <f t="shared" si="3"/>
        <v>1.2736993395074335E-4</v>
      </c>
      <c r="I115" s="7">
        <f t="shared" si="4"/>
        <v>137634432</v>
      </c>
      <c r="J115" s="7">
        <f t="shared" si="5"/>
        <v>0</v>
      </c>
    </row>
    <row r="116" spans="2:10" x14ac:dyDescent="0.2">
      <c r="B116" s="5">
        <v>33079</v>
      </c>
      <c r="C116" s="7">
        <v>6.9241599999999997E-8</v>
      </c>
      <c r="D116" s="5" t="s">
        <v>794</v>
      </c>
      <c r="E116" s="5">
        <v>46</v>
      </c>
      <c r="F116" s="5">
        <v>33</v>
      </c>
      <c r="G116" s="5">
        <v>540.6</v>
      </c>
      <c r="H116" s="5">
        <f t="shared" si="3"/>
        <v>1.2821812440990479E-3</v>
      </c>
      <c r="I116" s="7">
        <f t="shared" si="4"/>
        <v>864135168</v>
      </c>
      <c r="J116" s="7">
        <f t="shared" si="5"/>
        <v>0</v>
      </c>
    </row>
    <row r="117" spans="2:10" x14ac:dyDescent="0.2">
      <c r="B117" s="5">
        <v>33080</v>
      </c>
      <c r="C117" s="7">
        <v>1.8915800000000001E-7</v>
      </c>
      <c r="D117" s="5" t="s">
        <v>795</v>
      </c>
      <c r="E117" s="5">
        <v>47</v>
      </c>
      <c r="F117" s="5">
        <v>33</v>
      </c>
      <c r="G117" s="5">
        <v>15.2</v>
      </c>
      <c r="H117" s="5">
        <f t="shared" si="3"/>
        <v>4.5601788194733248E-2</v>
      </c>
      <c r="I117" s="7">
        <f t="shared" si="4"/>
        <v>2360691840</v>
      </c>
      <c r="J117" s="7">
        <f t="shared" si="5"/>
        <v>0</v>
      </c>
    </row>
    <row r="118" spans="2:10" x14ac:dyDescent="0.2">
      <c r="B118" s="5">
        <v>33081</v>
      </c>
      <c r="C118" s="7">
        <v>8.6258799999999999E-7</v>
      </c>
      <c r="D118" s="5" t="s">
        <v>796</v>
      </c>
      <c r="E118" s="5">
        <v>48</v>
      </c>
      <c r="F118" s="5">
        <v>33</v>
      </c>
      <c r="G118" s="5">
        <v>33.299999999999997</v>
      </c>
      <c r="H118" s="5">
        <f t="shared" si="3"/>
        <v>2.0815230647445806E-2</v>
      </c>
      <c r="I118" s="7">
        <f t="shared" si="4"/>
        <v>10765098240</v>
      </c>
      <c r="J118" s="7">
        <f t="shared" si="5"/>
        <v>0</v>
      </c>
    </row>
    <row r="119" spans="2:10" x14ac:dyDescent="0.2">
      <c r="B119" s="5">
        <v>33082</v>
      </c>
      <c r="C119" s="7">
        <v>1.51864E-6</v>
      </c>
      <c r="D119" s="5" t="s">
        <v>797</v>
      </c>
      <c r="E119" s="5">
        <v>49</v>
      </c>
      <c r="F119" s="5">
        <v>33</v>
      </c>
      <c r="G119" s="5">
        <v>19.100000000000001</v>
      </c>
      <c r="H119" s="5">
        <f t="shared" si="3"/>
        <v>3.6290428301567812E-2</v>
      </c>
      <c r="I119" s="7">
        <f t="shared" si="4"/>
        <v>18952627200</v>
      </c>
      <c r="J119" s="7">
        <f t="shared" si="5"/>
        <v>0</v>
      </c>
    </row>
    <row r="120" spans="2:10" x14ac:dyDescent="0.2">
      <c r="B120" s="5">
        <v>33083</v>
      </c>
      <c r="C120" s="7">
        <v>4.4794800000000004E-6</v>
      </c>
      <c r="D120" s="5" t="s">
        <v>798</v>
      </c>
      <c r="E120" s="5">
        <v>50</v>
      </c>
      <c r="F120" s="5">
        <v>33</v>
      </c>
      <c r="G120" s="5">
        <v>13.4</v>
      </c>
      <c r="H120" s="5">
        <f t="shared" si="3"/>
        <v>5.1727401534324272E-2</v>
      </c>
      <c r="I120" s="7">
        <f t="shared" si="4"/>
        <v>55903910400.000008</v>
      </c>
      <c r="J120" s="7">
        <f t="shared" si="5"/>
        <v>0</v>
      </c>
    </row>
    <row r="121" spans="2:10" x14ac:dyDescent="0.2">
      <c r="B121" s="5">
        <v>33084</v>
      </c>
      <c r="C121" s="7">
        <v>3.6082399999999999E-6</v>
      </c>
      <c r="D121" s="5" t="s">
        <v>799</v>
      </c>
      <c r="E121" s="5">
        <v>51</v>
      </c>
      <c r="F121" s="5">
        <v>33</v>
      </c>
      <c r="G121" s="5">
        <v>4.0199999999999996</v>
      </c>
      <c r="H121" s="5">
        <f t="shared" si="3"/>
        <v>0.17242467178108092</v>
      </c>
      <c r="I121" s="7">
        <f t="shared" si="4"/>
        <v>45030835200</v>
      </c>
      <c r="J121" s="7">
        <f t="shared" si="5"/>
        <v>0</v>
      </c>
    </row>
    <row r="122" spans="2:10" x14ac:dyDescent="0.2">
      <c r="B122" s="5">
        <v>33085</v>
      </c>
      <c r="C122" s="7">
        <v>5.3098999999999998E-6</v>
      </c>
      <c r="D122" s="5" t="s">
        <v>800</v>
      </c>
      <c r="E122" s="5">
        <v>52</v>
      </c>
      <c r="F122" s="5">
        <v>33</v>
      </c>
      <c r="G122" s="5">
        <v>2.0209999999999999</v>
      </c>
      <c r="H122" s="5">
        <f t="shared" si="3"/>
        <v>0.34297238028695959</v>
      </c>
      <c r="I122" s="7">
        <f t="shared" si="4"/>
        <v>66267552000</v>
      </c>
      <c r="J122" s="7">
        <f t="shared" si="5"/>
        <v>0</v>
      </c>
    </row>
    <row r="123" spans="2:10" x14ac:dyDescent="0.2">
      <c r="B123" s="5">
        <v>33086</v>
      </c>
      <c r="C123" s="7">
        <v>2.7526999999999999E-6</v>
      </c>
      <c r="D123" s="5" t="s">
        <v>801</v>
      </c>
      <c r="E123" s="5">
        <v>53</v>
      </c>
      <c r="F123" s="5">
        <v>33</v>
      </c>
      <c r="G123" s="5">
        <v>0.94499999999999995</v>
      </c>
      <c r="H123" s="5">
        <f t="shared" si="3"/>
        <v>0.73348907995761414</v>
      </c>
      <c r="I123" s="7">
        <f t="shared" si="4"/>
        <v>34353696000</v>
      </c>
      <c r="J123" s="7">
        <f t="shared" si="5"/>
        <v>0</v>
      </c>
    </row>
    <row r="124" spans="2:10" x14ac:dyDescent="0.2">
      <c r="B124" s="5">
        <v>33087</v>
      </c>
      <c r="C124" s="7">
        <v>4.0763899999999998E-6</v>
      </c>
      <c r="D124" s="5" t="s">
        <v>802</v>
      </c>
      <c r="E124" s="5">
        <v>54</v>
      </c>
      <c r="F124" s="5">
        <v>33</v>
      </c>
      <c r="G124" s="5">
        <v>0.48399999999999999</v>
      </c>
      <c r="H124" s="5">
        <f t="shared" si="3"/>
        <v>1.4321222738841846</v>
      </c>
      <c r="I124" s="7">
        <f t="shared" si="4"/>
        <v>50873347200</v>
      </c>
      <c r="J124" s="7">
        <f t="shared" si="5"/>
        <v>0</v>
      </c>
    </row>
    <row r="125" spans="2:10" x14ac:dyDescent="0.2">
      <c r="B125" s="5">
        <v>34068</v>
      </c>
      <c r="C125" s="7">
        <v>1.38176E-6</v>
      </c>
      <c r="D125" s="5" t="s">
        <v>811</v>
      </c>
      <c r="E125" s="5">
        <v>34</v>
      </c>
      <c r="F125" s="5">
        <v>34</v>
      </c>
      <c r="G125" s="5">
        <v>35.5</v>
      </c>
      <c r="H125" s="5">
        <f t="shared" si="3"/>
        <v>1.9525272691829444E-2</v>
      </c>
      <c r="I125" s="7">
        <f t="shared" si="4"/>
        <v>17244364800</v>
      </c>
      <c r="J125" s="7">
        <f t="shared" si="5"/>
        <v>0</v>
      </c>
    </row>
    <row r="126" spans="2:10" x14ac:dyDescent="0.2">
      <c r="B126" s="5">
        <v>34069</v>
      </c>
      <c r="C126" s="7">
        <v>9.7182500000000001E-7</v>
      </c>
      <c r="D126" s="5" t="s">
        <v>812</v>
      </c>
      <c r="E126" s="5">
        <v>35</v>
      </c>
      <c r="F126" s="5">
        <v>34</v>
      </c>
      <c r="G126" s="5">
        <v>27.4</v>
      </c>
      <c r="H126" s="5">
        <f t="shared" si="3"/>
        <v>2.5297342356202384E-2</v>
      </c>
      <c r="I126" s="7">
        <f t="shared" si="4"/>
        <v>12128376000</v>
      </c>
      <c r="J126" s="7">
        <f t="shared" si="5"/>
        <v>0</v>
      </c>
    </row>
    <row r="127" spans="2:10" x14ac:dyDescent="0.2">
      <c r="B127" s="5">
        <v>34070</v>
      </c>
      <c r="C127" s="7">
        <v>2.2852499999999999E-7</v>
      </c>
      <c r="D127" s="5" t="s">
        <v>813</v>
      </c>
      <c r="E127" s="5">
        <v>36</v>
      </c>
      <c r="F127" s="5">
        <v>34</v>
      </c>
      <c r="G127" s="5">
        <v>2466</v>
      </c>
      <c r="H127" s="5">
        <f t="shared" si="3"/>
        <v>2.8108158173558204E-4</v>
      </c>
      <c r="I127" s="7">
        <f t="shared" si="4"/>
        <v>2851992000</v>
      </c>
      <c r="J127" s="7">
        <f t="shared" si="5"/>
        <v>0</v>
      </c>
    </row>
    <row r="128" spans="2:10" x14ac:dyDescent="0.2">
      <c r="B128" s="5">
        <v>34071</v>
      </c>
      <c r="C128" s="7">
        <v>1.07143E-7</v>
      </c>
      <c r="D128" s="5" t="s">
        <v>814</v>
      </c>
      <c r="E128" s="5">
        <v>37</v>
      </c>
      <c r="F128" s="5">
        <v>34</v>
      </c>
      <c r="G128" s="5">
        <v>284.39999999999998</v>
      </c>
      <c r="H128" s="5">
        <f t="shared" si="3"/>
        <v>2.4372263732768823E-3</v>
      </c>
      <c r="I128" s="7">
        <f t="shared" si="4"/>
        <v>1337144640</v>
      </c>
      <c r="J128" s="7">
        <f t="shared" si="5"/>
        <v>0</v>
      </c>
    </row>
    <row r="129" spans="2:10" x14ac:dyDescent="0.2">
      <c r="B129" s="5">
        <v>34072</v>
      </c>
      <c r="C129" s="7">
        <v>1.6333199999999999E-8</v>
      </c>
      <c r="D129" s="5" t="s">
        <v>815</v>
      </c>
      <c r="E129" s="5">
        <v>38</v>
      </c>
      <c r="F129" s="5">
        <v>34</v>
      </c>
      <c r="G129" s="5">
        <v>725760</v>
      </c>
      <c r="H129" s="5">
        <f t="shared" si="3"/>
        <v>9.5506390619481007E-7</v>
      </c>
      <c r="I129" s="7">
        <f t="shared" si="4"/>
        <v>114524894.78037055</v>
      </c>
      <c r="J129" s="7">
        <f t="shared" si="5"/>
        <v>9.5154613977723054E-6</v>
      </c>
    </row>
    <row r="130" spans="2:10" x14ac:dyDescent="0.2">
      <c r="B130" s="5">
        <v>34073</v>
      </c>
      <c r="C130" s="7">
        <v>4.8859999999999999E-9</v>
      </c>
      <c r="D130" s="5" t="s">
        <v>816</v>
      </c>
      <c r="E130" s="5">
        <v>39</v>
      </c>
      <c r="F130" s="5">
        <v>34</v>
      </c>
      <c r="G130" s="5">
        <v>25740</v>
      </c>
      <c r="H130" s="5">
        <f t="shared" si="3"/>
        <v>2.6928794893548767E-5</v>
      </c>
      <c r="I130" s="7">
        <f t="shared" si="4"/>
        <v>60977279.995206363</v>
      </c>
      <c r="J130" s="7">
        <f t="shared" si="5"/>
        <v>0</v>
      </c>
    </row>
    <row r="131" spans="2:10" x14ac:dyDescent="0.2">
      <c r="B131" s="5">
        <v>34075</v>
      </c>
      <c r="C131" s="7">
        <v>6.9799999999999994E-11</v>
      </c>
      <c r="D131" s="5" t="s">
        <v>818</v>
      </c>
      <c r="E131" s="5">
        <v>41</v>
      </c>
      <c r="F131" s="5">
        <v>34</v>
      </c>
      <c r="G131" s="5">
        <v>10348992</v>
      </c>
      <c r="H131" s="5">
        <f t="shared" si="3"/>
        <v>6.6977265086294909E-8</v>
      </c>
      <c r="I131" s="7">
        <f t="shared" si="4"/>
        <v>48978.536277357161</v>
      </c>
      <c r="J131" s="7">
        <f t="shared" si="5"/>
        <v>5925.0382057474935</v>
      </c>
    </row>
    <row r="132" spans="2:10" x14ac:dyDescent="0.2">
      <c r="B132" s="5">
        <v>34079</v>
      </c>
      <c r="C132" s="7">
        <v>1.6752E-9</v>
      </c>
      <c r="D132" s="5" t="s">
        <v>822</v>
      </c>
      <c r="E132" s="5">
        <v>45</v>
      </c>
      <c r="F132" s="5">
        <v>34</v>
      </c>
      <c r="G132" s="5">
        <v>10287777600000</v>
      </c>
      <c r="H132" s="5">
        <f t="shared" ref="H132:H195" si="6">LN(2)/G132</f>
        <v>6.7375793636902231E-14</v>
      </c>
      <c r="I132" s="7">
        <f t="shared" ref="I132:I195" si="7">2*6240000000000000*C132*(1-EXP(-H132*10*24*3600))</f>
        <v>1.2170232453315748</v>
      </c>
      <c r="J132" s="7">
        <f t="shared" ref="J132:J195" si="8">EXP(-H132*365*24*3600)*I132</f>
        <v>1.2170206594483259</v>
      </c>
    </row>
    <row r="133" spans="2:10" x14ac:dyDescent="0.2">
      <c r="B133" s="5">
        <v>34081</v>
      </c>
      <c r="C133" s="7">
        <v>6.1423999999999995E-8</v>
      </c>
      <c r="D133" s="5" t="s">
        <v>824</v>
      </c>
      <c r="E133" s="5">
        <v>47</v>
      </c>
      <c r="F133" s="5">
        <v>34</v>
      </c>
      <c r="G133" s="5">
        <v>1107</v>
      </c>
      <c r="H133" s="5">
        <f t="shared" si="6"/>
        <v>6.261492145979632E-4</v>
      </c>
      <c r="I133" s="7">
        <f t="shared" si="7"/>
        <v>766571519.99999988</v>
      </c>
      <c r="J133" s="7">
        <f t="shared" si="8"/>
        <v>0</v>
      </c>
    </row>
    <row r="134" spans="2:10" x14ac:dyDescent="0.2">
      <c r="B134" s="5">
        <v>34083</v>
      </c>
      <c r="C134" s="7">
        <v>9.2422199999999995E-7</v>
      </c>
      <c r="D134" s="5" t="s">
        <v>826</v>
      </c>
      <c r="E134" s="5">
        <v>49</v>
      </c>
      <c r="F134" s="5">
        <v>34</v>
      </c>
      <c r="G134" s="5">
        <v>1335</v>
      </c>
      <c r="H134" s="5">
        <f t="shared" si="6"/>
        <v>5.192113712059515E-4</v>
      </c>
      <c r="I134" s="7">
        <f t="shared" si="7"/>
        <v>11534290560</v>
      </c>
      <c r="J134" s="7">
        <f t="shared" si="8"/>
        <v>0</v>
      </c>
    </row>
    <row r="135" spans="2:10" x14ac:dyDescent="0.2">
      <c r="B135" s="5">
        <v>34084</v>
      </c>
      <c r="C135" s="7">
        <v>4.1990300000000004E-6</v>
      </c>
      <c r="D135" s="5" t="s">
        <v>827</v>
      </c>
      <c r="E135" s="5">
        <v>50</v>
      </c>
      <c r="F135" s="5">
        <v>34</v>
      </c>
      <c r="G135" s="5">
        <v>195.6</v>
      </c>
      <c r="H135" s="5">
        <f t="shared" si="6"/>
        <v>3.5436972421265095E-3</v>
      </c>
      <c r="I135" s="7">
        <f t="shared" si="7"/>
        <v>52403894400.000008</v>
      </c>
      <c r="J135" s="7">
        <f t="shared" si="8"/>
        <v>0</v>
      </c>
    </row>
    <row r="136" spans="2:10" x14ac:dyDescent="0.2">
      <c r="B136" s="5">
        <v>34085</v>
      </c>
      <c r="C136" s="7">
        <v>5.0480099999999996E-6</v>
      </c>
      <c r="D136" s="5" t="s">
        <v>828</v>
      </c>
      <c r="E136" s="5">
        <v>51</v>
      </c>
      <c r="F136" s="5">
        <v>34</v>
      </c>
      <c r="G136" s="5">
        <v>32.9</v>
      </c>
      <c r="H136" s="5">
        <f t="shared" si="6"/>
        <v>2.106830336048466E-2</v>
      </c>
      <c r="I136" s="7">
        <f t="shared" si="7"/>
        <v>62999164799.999992</v>
      </c>
      <c r="J136" s="7">
        <f t="shared" si="8"/>
        <v>0</v>
      </c>
    </row>
    <row r="137" spans="2:10" x14ac:dyDescent="0.2">
      <c r="B137" s="5">
        <v>34086</v>
      </c>
      <c r="C137" s="7">
        <v>9.4065299999999992E-6</v>
      </c>
      <c r="D137" s="5" t="s">
        <v>829</v>
      </c>
      <c r="E137" s="5">
        <v>52</v>
      </c>
      <c r="F137" s="5">
        <v>34</v>
      </c>
      <c r="G137" s="5">
        <v>14.3</v>
      </c>
      <c r="H137" s="5">
        <f t="shared" si="6"/>
        <v>4.8471830808387781E-2</v>
      </c>
      <c r="I137" s="7">
        <f t="shared" si="7"/>
        <v>117393494399.99998</v>
      </c>
      <c r="J137" s="7">
        <f t="shared" si="8"/>
        <v>0</v>
      </c>
    </row>
    <row r="138" spans="2:10" x14ac:dyDescent="0.2">
      <c r="B138" s="5">
        <v>34087</v>
      </c>
      <c r="C138" s="7">
        <v>7.6673899999999998E-6</v>
      </c>
      <c r="D138" s="5" t="s">
        <v>830</v>
      </c>
      <c r="E138" s="5">
        <v>53</v>
      </c>
      <c r="F138" s="5">
        <v>34</v>
      </c>
      <c r="G138" s="5">
        <v>5.5</v>
      </c>
      <c r="H138" s="5">
        <f t="shared" si="6"/>
        <v>0.12602676010180824</v>
      </c>
      <c r="I138" s="7">
        <f t="shared" si="7"/>
        <v>95689027200</v>
      </c>
      <c r="J138" s="7">
        <f t="shared" si="8"/>
        <v>0</v>
      </c>
    </row>
    <row r="139" spans="2:10" x14ac:dyDescent="0.2">
      <c r="B139" s="5">
        <v>34088</v>
      </c>
      <c r="C139" s="7">
        <v>8.9306299999999992E-6</v>
      </c>
      <c r="D139" s="5" t="s">
        <v>831</v>
      </c>
      <c r="E139" s="5">
        <v>54</v>
      </c>
      <c r="F139" s="5">
        <v>34</v>
      </c>
      <c r="G139" s="5">
        <v>1.53</v>
      </c>
      <c r="H139" s="5">
        <f t="shared" si="6"/>
        <v>0.45303737291499691</v>
      </c>
      <c r="I139" s="7">
        <f t="shared" si="7"/>
        <v>111454262399.99998</v>
      </c>
      <c r="J139" s="7">
        <f t="shared" si="8"/>
        <v>0</v>
      </c>
    </row>
    <row r="140" spans="2:10" x14ac:dyDescent="0.2">
      <c r="B140" s="5">
        <v>34089</v>
      </c>
      <c r="C140" s="7">
        <v>5.8637600000000003E-6</v>
      </c>
      <c r="D140" s="5" t="s">
        <v>832</v>
      </c>
      <c r="E140" s="5">
        <v>55</v>
      </c>
      <c r="F140" s="5">
        <v>34</v>
      </c>
      <c r="G140" s="5">
        <v>0.43</v>
      </c>
      <c r="H140" s="5">
        <f t="shared" si="6"/>
        <v>1.61197018734871</v>
      </c>
      <c r="I140" s="7">
        <f t="shared" si="7"/>
        <v>73179724800</v>
      </c>
      <c r="J140" s="7">
        <f t="shared" si="8"/>
        <v>0</v>
      </c>
    </row>
    <row r="141" spans="2:10" x14ac:dyDescent="0.2">
      <c r="B141" s="5">
        <v>34090</v>
      </c>
      <c r="C141" s="7">
        <v>4.5967499999999997E-6</v>
      </c>
      <c r="D141" s="5" t="s">
        <v>833</v>
      </c>
      <c r="E141" s="5">
        <v>56</v>
      </c>
      <c r="F141" s="5">
        <v>34</v>
      </c>
      <c r="G141" s="5">
        <v>0.19500000000000001</v>
      </c>
      <c r="H141" s="5">
        <f t="shared" si="6"/>
        <v>3.5546009259484372</v>
      </c>
      <c r="I141" s="7">
        <f t="shared" si="7"/>
        <v>57367439999.999992</v>
      </c>
      <c r="J141" s="7">
        <f t="shared" si="8"/>
        <v>0</v>
      </c>
    </row>
    <row r="142" spans="2:10" x14ac:dyDescent="0.2">
      <c r="B142" s="5">
        <v>34091</v>
      </c>
      <c r="C142" s="7">
        <v>1.25054E-6</v>
      </c>
      <c r="D142" s="5" t="s">
        <v>834</v>
      </c>
      <c r="E142" s="5">
        <v>57</v>
      </c>
      <c r="F142" s="5">
        <v>34</v>
      </c>
      <c r="G142" s="5">
        <v>0.27</v>
      </c>
      <c r="H142" s="5">
        <f t="shared" si="6"/>
        <v>2.5672117798516489</v>
      </c>
      <c r="I142" s="7">
        <f t="shared" si="7"/>
        <v>15606739200</v>
      </c>
      <c r="J142" s="7">
        <f t="shared" si="8"/>
        <v>0</v>
      </c>
    </row>
    <row r="143" spans="2:10" x14ac:dyDescent="0.2">
      <c r="B143" s="5">
        <v>35070</v>
      </c>
      <c r="C143" s="7">
        <v>8.5107100000000004E-7</v>
      </c>
      <c r="D143" s="5" t="s">
        <v>837</v>
      </c>
      <c r="E143" s="5">
        <v>35</v>
      </c>
      <c r="F143" s="5">
        <v>35</v>
      </c>
      <c r="G143" s="5">
        <v>7.9099999999999906E-2</v>
      </c>
      <c r="H143" s="5">
        <f t="shared" si="6"/>
        <v>8.7629226366617718</v>
      </c>
      <c r="I143" s="7">
        <f t="shared" si="7"/>
        <v>10621366080</v>
      </c>
      <c r="J143" s="7">
        <f t="shared" si="8"/>
        <v>0</v>
      </c>
    </row>
    <row r="144" spans="2:10" x14ac:dyDescent="0.2">
      <c r="B144" s="5">
        <v>35071</v>
      </c>
      <c r="C144" s="7">
        <v>1.47557E-7</v>
      </c>
      <c r="D144" s="5" t="s">
        <v>838</v>
      </c>
      <c r="E144" s="5">
        <v>36</v>
      </c>
      <c r="F144" s="5">
        <v>35</v>
      </c>
      <c r="G144" s="5">
        <v>21.4</v>
      </c>
      <c r="H144" s="5">
        <f t="shared" si="6"/>
        <v>3.2390055166352585E-2</v>
      </c>
      <c r="I144" s="7">
        <f t="shared" si="7"/>
        <v>1841511360</v>
      </c>
      <c r="J144" s="7">
        <f t="shared" si="8"/>
        <v>0</v>
      </c>
    </row>
    <row r="145" spans="2:10" x14ac:dyDescent="0.2">
      <c r="B145" s="5">
        <v>35072</v>
      </c>
      <c r="C145" s="7">
        <v>6.8613400000000002E-8</v>
      </c>
      <c r="D145" s="5" t="s">
        <v>839</v>
      </c>
      <c r="E145" s="5">
        <v>37</v>
      </c>
      <c r="F145" s="5">
        <v>35</v>
      </c>
      <c r="G145" s="5">
        <v>78.599999999999994</v>
      </c>
      <c r="H145" s="5">
        <f t="shared" si="6"/>
        <v>8.818666419337727E-3</v>
      </c>
      <c r="I145" s="7">
        <f t="shared" si="7"/>
        <v>856295232</v>
      </c>
      <c r="J145" s="7">
        <f t="shared" si="8"/>
        <v>0</v>
      </c>
    </row>
    <row r="146" spans="2:10" x14ac:dyDescent="0.2">
      <c r="B146" s="5">
        <v>35073</v>
      </c>
      <c r="C146" s="7">
        <v>6.9800000000000003E-9</v>
      </c>
      <c r="D146" s="5" t="s">
        <v>840</v>
      </c>
      <c r="E146" s="5">
        <v>38</v>
      </c>
      <c r="F146" s="5">
        <v>35</v>
      </c>
      <c r="G146" s="5">
        <v>204</v>
      </c>
      <c r="H146" s="5">
        <f t="shared" si="6"/>
        <v>3.3977802968624769E-3</v>
      </c>
      <c r="I146" s="7">
        <f t="shared" si="7"/>
        <v>87110400</v>
      </c>
      <c r="J146" s="7">
        <f t="shared" si="8"/>
        <v>0</v>
      </c>
    </row>
    <row r="147" spans="2:10" x14ac:dyDescent="0.2">
      <c r="B147" s="5">
        <v>35074</v>
      </c>
      <c r="C147" s="7">
        <v>2.5826000000000002E-9</v>
      </c>
      <c r="D147" s="5" t="s">
        <v>841</v>
      </c>
      <c r="E147" s="5">
        <v>39</v>
      </c>
      <c r="F147" s="5">
        <v>35</v>
      </c>
      <c r="G147" s="5">
        <v>1524</v>
      </c>
      <c r="H147" s="5">
        <f t="shared" si="6"/>
        <v>4.5482098461938666E-4</v>
      </c>
      <c r="I147" s="7">
        <f t="shared" si="7"/>
        <v>32230848.000000004</v>
      </c>
      <c r="J147" s="7">
        <f t="shared" si="8"/>
        <v>0</v>
      </c>
    </row>
    <row r="148" spans="2:10" x14ac:dyDescent="0.2">
      <c r="B148" s="5">
        <v>35075</v>
      </c>
      <c r="C148" s="7">
        <v>2.094E-10</v>
      </c>
      <c r="D148" s="5" t="s">
        <v>842</v>
      </c>
      <c r="E148" s="5">
        <v>40</v>
      </c>
      <c r="F148" s="5">
        <v>35</v>
      </c>
      <c r="G148" s="5">
        <v>5802</v>
      </c>
      <c r="H148" s="5">
        <f t="shared" si="6"/>
        <v>1.1946693908306538E-4</v>
      </c>
      <c r="I148" s="7">
        <f t="shared" si="7"/>
        <v>2613312</v>
      </c>
      <c r="J148" s="7">
        <f t="shared" si="8"/>
        <v>0</v>
      </c>
    </row>
    <row r="149" spans="2:10" x14ac:dyDescent="0.2">
      <c r="B149" s="5">
        <v>35076</v>
      </c>
      <c r="C149" s="7">
        <v>6.9799999999999994E-11</v>
      </c>
      <c r="D149" s="5" t="s">
        <v>843</v>
      </c>
      <c r="E149" s="5">
        <v>41</v>
      </c>
      <c r="F149" s="5">
        <v>35</v>
      </c>
      <c r="G149" s="5">
        <v>58320</v>
      </c>
      <c r="H149" s="5">
        <f t="shared" si="6"/>
        <v>1.1885239721535413E-5</v>
      </c>
      <c r="I149" s="7">
        <f t="shared" si="7"/>
        <v>871073.7749958958</v>
      </c>
      <c r="J149" s="7">
        <f t="shared" si="8"/>
        <v>1.4483452465187685E-157</v>
      </c>
    </row>
    <row r="150" spans="2:10" x14ac:dyDescent="0.2">
      <c r="B150" s="5">
        <v>35080</v>
      </c>
      <c r="C150" s="7">
        <v>1.3959999999999999E-10</v>
      </c>
      <c r="D150" s="5" t="s">
        <v>847</v>
      </c>
      <c r="E150" s="5">
        <v>45</v>
      </c>
      <c r="F150" s="5">
        <v>35</v>
      </c>
      <c r="G150" s="5">
        <v>1060.8</v>
      </c>
      <c r="H150" s="5">
        <f t="shared" si="6"/>
        <v>6.5341928785816864E-4</v>
      </c>
      <c r="I150" s="7">
        <f t="shared" si="7"/>
        <v>1742207.9999999998</v>
      </c>
      <c r="J150" s="7">
        <f t="shared" si="8"/>
        <v>0</v>
      </c>
    </row>
    <row r="151" spans="2:10" x14ac:dyDescent="0.2">
      <c r="B151" s="5">
        <v>35082</v>
      </c>
      <c r="C151" s="7">
        <v>1.0051199999999999E-8</v>
      </c>
      <c r="D151" s="5" t="s">
        <v>849</v>
      </c>
      <c r="E151" s="5">
        <v>47</v>
      </c>
      <c r="F151" s="5">
        <v>35</v>
      </c>
      <c r="G151" s="5">
        <v>127015.19999999899</v>
      </c>
      <c r="H151" s="5">
        <f t="shared" si="6"/>
        <v>5.4571986703949669E-6</v>
      </c>
      <c r="I151" s="7">
        <f t="shared" si="7"/>
        <v>124315081.66158687</v>
      </c>
      <c r="J151" s="7">
        <f t="shared" si="8"/>
        <v>2.2553695570106742E-67</v>
      </c>
    </row>
    <row r="152" spans="2:10" x14ac:dyDescent="0.2">
      <c r="B152" s="5">
        <v>35083</v>
      </c>
      <c r="C152" s="7">
        <v>8.5574799999999999E-8</v>
      </c>
      <c r="D152" s="5" t="s">
        <v>850</v>
      </c>
      <c r="E152" s="5">
        <v>48</v>
      </c>
      <c r="F152" s="5">
        <v>35</v>
      </c>
      <c r="G152" s="5">
        <v>8546.4</v>
      </c>
      <c r="H152" s="5">
        <f t="shared" si="6"/>
        <v>8.1103994729938379E-5</v>
      </c>
      <c r="I152" s="7">
        <f t="shared" si="7"/>
        <v>1067973504</v>
      </c>
      <c r="J152" s="7">
        <f t="shared" si="8"/>
        <v>0</v>
      </c>
    </row>
    <row r="153" spans="2:10" x14ac:dyDescent="0.2">
      <c r="B153" s="5">
        <v>35084</v>
      </c>
      <c r="C153" s="7">
        <v>2.9211300000000002E-7</v>
      </c>
      <c r="D153" s="5" t="s">
        <v>851</v>
      </c>
      <c r="E153" s="5">
        <v>49</v>
      </c>
      <c r="F153" s="5">
        <v>35</v>
      </c>
      <c r="G153" s="5">
        <v>1905.6</v>
      </c>
      <c r="H153" s="5">
        <f t="shared" si="6"/>
        <v>3.6374222321575639E-4</v>
      </c>
      <c r="I153" s="7">
        <f t="shared" si="7"/>
        <v>3645570240</v>
      </c>
      <c r="J153" s="7">
        <f t="shared" si="8"/>
        <v>0</v>
      </c>
    </row>
    <row r="154" spans="2:10" x14ac:dyDescent="0.2">
      <c r="B154" s="5">
        <v>35085</v>
      </c>
      <c r="C154" s="7">
        <v>1.9753399999999998E-6</v>
      </c>
      <c r="D154" s="5" t="s">
        <v>852</v>
      </c>
      <c r="E154" s="5">
        <v>50</v>
      </c>
      <c r="F154" s="5">
        <v>35</v>
      </c>
      <c r="G154" s="5">
        <v>174</v>
      </c>
      <c r="H154" s="5">
        <f t="shared" si="6"/>
        <v>3.9836044859766972E-3</v>
      </c>
      <c r="I154" s="7">
        <f t="shared" si="7"/>
        <v>24652243199.999996</v>
      </c>
      <c r="J154" s="7">
        <f t="shared" si="8"/>
        <v>0</v>
      </c>
    </row>
    <row r="155" spans="2:10" x14ac:dyDescent="0.2">
      <c r="B155" s="5">
        <v>35086</v>
      </c>
      <c r="C155" s="7">
        <v>3.5823500000000001E-6</v>
      </c>
      <c r="D155" s="5" t="s">
        <v>853</v>
      </c>
      <c r="E155" s="5">
        <v>51</v>
      </c>
      <c r="F155" s="5">
        <v>35</v>
      </c>
      <c r="G155" s="5">
        <v>55.1</v>
      </c>
      <c r="H155" s="5">
        <f t="shared" si="6"/>
        <v>1.2579803639926411E-2</v>
      </c>
      <c r="I155" s="7">
        <f t="shared" si="7"/>
        <v>44707728000</v>
      </c>
      <c r="J155" s="7">
        <f t="shared" si="8"/>
        <v>0</v>
      </c>
    </row>
    <row r="156" spans="2:10" x14ac:dyDescent="0.2">
      <c r="B156" s="5">
        <v>35087</v>
      </c>
      <c r="C156" s="7">
        <v>8.5490999999999992E-6</v>
      </c>
      <c r="D156" s="5" t="s">
        <v>854</v>
      </c>
      <c r="E156" s="5">
        <v>52</v>
      </c>
      <c r="F156" s="5">
        <v>35</v>
      </c>
      <c r="G156" s="5">
        <v>55.65</v>
      </c>
      <c r="H156" s="5">
        <f t="shared" si="6"/>
        <v>1.2455474942676466E-2</v>
      </c>
      <c r="I156" s="7">
        <f t="shared" si="7"/>
        <v>106692767999.99998</v>
      </c>
      <c r="J156" s="7">
        <f t="shared" si="8"/>
        <v>0</v>
      </c>
    </row>
    <row r="157" spans="2:10" x14ac:dyDescent="0.2">
      <c r="B157" s="5">
        <v>35088</v>
      </c>
      <c r="C157" s="7">
        <v>1.15686E-5</v>
      </c>
      <c r="D157" s="5" t="s">
        <v>855</v>
      </c>
      <c r="E157" s="5">
        <v>53</v>
      </c>
      <c r="F157" s="5">
        <v>35</v>
      </c>
      <c r="G157" s="5">
        <v>16.34</v>
      </c>
      <c r="H157" s="5">
        <f t="shared" si="6"/>
        <v>4.242026808812395E-2</v>
      </c>
      <c r="I157" s="7">
        <f t="shared" si="7"/>
        <v>144376128000</v>
      </c>
      <c r="J157" s="7">
        <f t="shared" si="8"/>
        <v>0</v>
      </c>
    </row>
    <row r="158" spans="2:10" x14ac:dyDescent="0.2">
      <c r="B158" s="5">
        <v>35089</v>
      </c>
      <c r="C158" s="7">
        <v>1.78453E-5</v>
      </c>
      <c r="D158" s="5" t="s">
        <v>856</v>
      </c>
      <c r="E158" s="5">
        <v>54</v>
      </c>
      <c r="F158" s="5">
        <v>35</v>
      </c>
      <c r="G158" s="5">
        <v>4.3570000000000002</v>
      </c>
      <c r="H158" s="5">
        <f t="shared" si="6"/>
        <v>0.15908817547852772</v>
      </c>
      <c r="I158" s="7">
        <f t="shared" si="7"/>
        <v>222709344000</v>
      </c>
      <c r="J158" s="7">
        <f t="shared" si="8"/>
        <v>0</v>
      </c>
    </row>
    <row r="159" spans="2:10" x14ac:dyDescent="0.2">
      <c r="B159" s="5">
        <v>35090</v>
      </c>
      <c r="C159" s="7">
        <v>1.3694599999999999E-5</v>
      </c>
      <c r="D159" s="5" t="s">
        <v>857</v>
      </c>
      <c r="E159" s="5">
        <v>55</v>
      </c>
      <c r="F159" s="5">
        <v>35</v>
      </c>
      <c r="G159" s="5">
        <v>1.92</v>
      </c>
      <c r="H159" s="5">
        <f t="shared" si="6"/>
        <v>0.36101415654163821</v>
      </c>
      <c r="I159" s="7">
        <f t="shared" si="7"/>
        <v>170908608000</v>
      </c>
      <c r="J159" s="7">
        <f t="shared" si="8"/>
        <v>0</v>
      </c>
    </row>
    <row r="160" spans="2:10" x14ac:dyDescent="0.2">
      <c r="B160" s="5">
        <v>35091</v>
      </c>
      <c r="C160" s="7">
        <v>1.28729E-5</v>
      </c>
      <c r="D160" s="5" t="s">
        <v>858</v>
      </c>
      <c r="E160" s="5">
        <v>56</v>
      </c>
      <c r="F160" s="5">
        <v>35</v>
      </c>
      <c r="G160" s="5">
        <v>0.54300000000000004</v>
      </c>
      <c r="H160" s="5">
        <f t="shared" si="6"/>
        <v>1.2765141446776156</v>
      </c>
      <c r="I160" s="7">
        <f t="shared" si="7"/>
        <v>160653792000</v>
      </c>
      <c r="J160" s="7">
        <f t="shared" si="8"/>
        <v>0</v>
      </c>
    </row>
    <row r="161" spans="2:10" x14ac:dyDescent="0.2">
      <c r="B161" s="5">
        <v>35092</v>
      </c>
      <c r="C161" s="7">
        <v>5.4033600000000004E-6</v>
      </c>
      <c r="D161" s="5" t="s">
        <v>859</v>
      </c>
      <c r="E161" s="5">
        <v>57</v>
      </c>
      <c r="F161" s="5">
        <v>35</v>
      </c>
      <c r="G161" s="5">
        <v>0.314</v>
      </c>
      <c r="H161" s="5">
        <f t="shared" si="6"/>
        <v>2.2074750973246666</v>
      </c>
      <c r="I161" s="7">
        <f t="shared" si="7"/>
        <v>67433932800.000008</v>
      </c>
      <c r="J161" s="7">
        <f t="shared" si="8"/>
        <v>0</v>
      </c>
    </row>
    <row r="162" spans="2:10" x14ac:dyDescent="0.2">
      <c r="B162" s="5">
        <v>36071</v>
      </c>
      <c r="C162" s="7">
        <v>3.3900499999999998E-6</v>
      </c>
      <c r="D162" s="5" t="s">
        <v>868</v>
      </c>
      <c r="E162" s="5">
        <v>35</v>
      </c>
      <c r="F162" s="5">
        <v>36</v>
      </c>
      <c r="G162" s="5">
        <v>0.1</v>
      </c>
      <c r="H162" s="5">
        <f t="shared" si="6"/>
        <v>6.9314718055994522</v>
      </c>
      <c r="I162" s="7">
        <f t="shared" si="7"/>
        <v>42307824000</v>
      </c>
      <c r="J162" s="7">
        <f t="shared" si="8"/>
        <v>0</v>
      </c>
    </row>
    <row r="163" spans="2:10" x14ac:dyDescent="0.2">
      <c r="B163" s="5">
        <v>36072</v>
      </c>
      <c r="C163" s="7">
        <v>2.6595900000000001E-6</v>
      </c>
      <c r="D163" s="5" t="s">
        <v>869</v>
      </c>
      <c r="E163" s="5">
        <v>36</v>
      </c>
      <c r="F163" s="5">
        <v>36</v>
      </c>
      <c r="G163" s="5">
        <v>17.100000000000001</v>
      </c>
      <c r="H163" s="5">
        <f t="shared" si="6"/>
        <v>4.0534922839762878E-2</v>
      </c>
      <c r="I163" s="7">
        <f t="shared" si="7"/>
        <v>33191683200</v>
      </c>
      <c r="J163" s="7">
        <f t="shared" si="8"/>
        <v>0</v>
      </c>
    </row>
    <row r="164" spans="2:10" x14ac:dyDescent="0.2">
      <c r="B164" s="5">
        <v>36073</v>
      </c>
      <c r="C164" s="7">
        <v>6.2331399999999999E-7</v>
      </c>
      <c r="D164" s="5" t="s">
        <v>870</v>
      </c>
      <c r="E164" s="5">
        <v>37</v>
      </c>
      <c r="F164" s="5">
        <v>36</v>
      </c>
      <c r="G164" s="5">
        <v>27.3</v>
      </c>
      <c r="H164" s="5">
        <f t="shared" si="6"/>
        <v>2.539000661391741E-2</v>
      </c>
      <c r="I164" s="7">
        <f t="shared" si="7"/>
        <v>7778958720</v>
      </c>
      <c r="J164" s="7">
        <f t="shared" si="8"/>
        <v>0</v>
      </c>
    </row>
    <row r="165" spans="2:10" x14ac:dyDescent="0.2">
      <c r="B165" s="5">
        <v>36074</v>
      </c>
      <c r="C165" s="7">
        <v>1.0400199999999999E-7</v>
      </c>
      <c r="D165" s="5" t="s">
        <v>871</v>
      </c>
      <c r="E165" s="5">
        <v>38</v>
      </c>
      <c r="F165" s="5">
        <v>36</v>
      </c>
      <c r="G165" s="5">
        <v>690</v>
      </c>
      <c r="H165" s="5">
        <f t="shared" si="6"/>
        <v>1.0045611312462974E-3</v>
      </c>
      <c r="I165" s="7">
        <f t="shared" si="7"/>
        <v>1297944960</v>
      </c>
      <c r="J165" s="7">
        <f t="shared" si="8"/>
        <v>0</v>
      </c>
    </row>
    <row r="166" spans="2:10" x14ac:dyDescent="0.2">
      <c r="B166" s="5">
        <v>36075</v>
      </c>
      <c r="C166" s="7">
        <v>3.8808800000000003E-8</v>
      </c>
      <c r="D166" s="5" t="s">
        <v>872</v>
      </c>
      <c r="E166" s="5">
        <v>39</v>
      </c>
      <c r="F166" s="5">
        <v>36</v>
      </c>
      <c r="G166" s="5">
        <v>276</v>
      </c>
      <c r="H166" s="5">
        <f t="shared" si="6"/>
        <v>2.5114028281157438E-3</v>
      </c>
      <c r="I166" s="7">
        <f t="shared" si="7"/>
        <v>484333824.00000006</v>
      </c>
      <c r="J166" s="7">
        <f t="shared" si="8"/>
        <v>0</v>
      </c>
    </row>
    <row r="167" spans="2:10" x14ac:dyDescent="0.2">
      <c r="B167" s="5">
        <v>36076</v>
      </c>
      <c r="C167" s="7">
        <v>4.9557999999999998E-9</v>
      </c>
      <c r="D167" s="5" t="s">
        <v>873</v>
      </c>
      <c r="E167" s="5">
        <v>40</v>
      </c>
      <c r="F167" s="5">
        <v>36</v>
      </c>
      <c r="G167" s="5">
        <v>53280</v>
      </c>
      <c r="H167" s="5">
        <f t="shared" si="6"/>
        <v>1.3009519154653629E-5</v>
      </c>
      <c r="I167" s="7">
        <f t="shared" si="7"/>
        <v>61847571.616938844</v>
      </c>
      <c r="J167" s="7">
        <f t="shared" si="8"/>
        <v>4.1125292741415418E-171</v>
      </c>
    </row>
    <row r="168" spans="2:10" x14ac:dyDescent="0.2">
      <c r="B168" s="5">
        <v>36077</v>
      </c>
      <c r="C168" s="7">
        <v>1.4658E-9</v>
      </c>
      <c r="D168" s="5" t="s">
        <v>874</v>
      </c>
      <c r="E168" s="5">
        <v>41</v>
      </c>
      <c r="F168" s="5">
        <v>36</v>
      </c>
      <c r="G168" s="5">
        <v>4464</v>
      </c>
      <c r="H168" s="5">
        <f t="shared" si="6"/>
        <v>1.5527490603941426E-4</v>
      </c>
      <c r="I168" s="7">
        <f t="shared" si="7"/>
        <v>18293184</v>
      </c>
      <c r="J168" s="7">
        <f t="shared" si="8"/>
        <v>0</v>
      </c>
    </row>
    <row r="169" spans="2:10" x14ac:dyDescent="0.2">
      <c r="B169" s="5">
        <v>36078</v>
      </c>
      <c r="C169" s="7">
        <v>6.9799999999999994E-11</v>
      </c>
      <c r="D169" s="5" t="s">
        <v>875</v>
      </c>
      <c r="E169" s="5">
        <v>42</v>
      </c>
      <c r="F169" s="5">
        <v>36</v>
      </c>
      <c r="G169" s="5">
        <v>4.73364E+28</v>
      </c>
      <c r="H169" s="5">
        <f t="shared" si="6"/>
        <v>1.4643005817086752E-29</v>
      </c>
      <c r="I169" s="7">
        <f t="shared" si="7"/>
        <v>0</v>
      </c>
      <c r="J169" s="7">
        <f t="shared" si="8"/>
        <v>0</v>
      </c>
    </row>
    <row r="170" spans="2:10" x14ac:dyDescent="0.2">
      <c r="B170" s="5">
        <v>36079</v>
      </c>
      <c r="C170" s="7">
        <v>6.9799999999999994E-11</v>
      </c>
      <c r="D170" s="5" t="s">
        <v>876</v>
      </c>
      <c r="E170" s="5">
        <v>43</v>
      </c>
      <c r="F170" s="5">
        <v>36</v>
      </c>
      <c r="G170" s="5">
        <v>126144</v>
      </c>
      <c r="H170" s="5">
        <f t="shared" si="6"/>
        <v>5.4948882274221945E-6</v>
      </c>
      <c r="I170" s="7">
        <f t="shared" si="7"/>
        <v>863549.23912335758</v>
      </c>
      <c r="J170" s="7">
        <f t="shared" si="8"/>
        <v>4.7729643422035211E-70</v>
      </c>
    </row>
    <row r="171" spans="2:10" x14ac:dyDescent="0.2">
      <c r="B171" s="5">
        <v>36085</v>
      </c>
      <c r="C171" s="7">
        <v>5.90508E-8</v>
      </c>
      <c r="D171" s="5" t="s">
        <v>882</v>
      </c>
      <c r="E171" s="5">
        <v>49</v>
      </c>
      <c r="F171" s="5">
        <v>36</v>
      </c>
      <c r="G171" s="5">
        <v>338897066.39999998</v>
      </c>
      <c r="H171" s="5">
        <f t="shared" si="6"/>
        <v>2.045302982179917E-9</v>
      </c>
      <c r="I171" s="7">
        <f t="shared" si="7"/>
        <v>1301152.173776685</v>
      </c>
      <c r="J171" s="7">
        <f t="shared" si="8"/>
        <v>1219876.3298372417</v>
      </c>
    </row>
    <row r="172" spans="2:10" x14ac:dyDescent="0.2">
      <c r="B172" s="5">
        <v>36087</v>
      </c>
      <c r="C172" s="7">
        <v>1.6130799999999999E-6</v>
      </c>
      <c r="D172" s="5" t="s">
        <v>884</v>
      </c>
      <c r="E172" s="5">
        <v>51</v>
      </c>
      <c r="F172" s="5">
        <v>36</v>
      </c>
      <c r="G172" s="5">
        <v>4578</v>
      </c>
      <c r="H172" s="5">
        <f t="shared" si="6"/>
        <v>1.5140829632152584E-4</v>
      </c>
      <c r="I172" s="7">
        <f t="shared" si="7"/>
        <v>20131238400</v>
      </c>
      <c r="J172" s="7">
        <f t="shared" si="8"/>
        <v>0</v>
      </c>
    </row>
    <row r="173" spans="2:10" x14ac:dyDescent="0.2">
      <c r="B173" s="5">
        <v>36088</v>
      </c>
      <c r="C173" s="7">
        <v>5.8275300000000001E-6</v>
      </c>
      <c r="D173" s="5" t="s">
        <v>885</v>
      </c>
      <c r="E173" s="5">
        <v>52</v>
      </c>
      <c r="F173" s="5">
        <v>36</v>
      </c>
      <c r="G173" s="5">
        <v>10170</v>
      </c>
      <c r="H173" s="5">
        <f t="shared" si="6"/>
        <v>6.8156064951813692E-5</v>
      </c>
      <c r="I173" s="7">
        <f t="shared" si="7"/>
        <v>72727574400</v>
      </c>
      <c r="J173" s="7">
        <f t="shared" si="8"/>
        <v>0</v>
      </c>
    </row>
    <row r="174" spans="2:10" x14ac:dyDescent="0.2">
      <c r="B174" s="5">
        <v>36089</v>
      </c>
      <c r="C174" s="7">
        <v>9.9878199999999992E-6</v>
      </c>
      <c r="D174" s="5" t="s">
        <v>886</v>
      </c>
      <c r="E174" s="5">
        <v>53</v>
      </c>
      <c r="F174" s="5">
        <v>36</v>
      </c>
      <c r="G174" s="5">
        <v>189</v>
      </c>
      <c r="H174" s="5">
        <f t="shared" si="6"/>
        <v>3.6674453997880704E-3</v>
      </c>
      <c r="I174" s="7">
        <f t="shared" si="7"/>
        <v>124647993599.99998</v>
      </c>
      <c r="J174" s="7">
        <f t="shared" si="8"/>
        <v>0</v>
      </c>
    </row>
    <row r="175" spans="2:10" x14ac:dyDescent="0.2">
      <c r="B175" s="5">
        <v>36090</v>
      </c>
      <c r="C175" s="7">
        <v>2.0305500000000001E-5</v>
      </c>
      <c r="D175" s="5" t="s">
        <v>887</v>
      </c>
      <c r="E175" s="5">
        <v>54</v>
      </c>
      <c r="F175" s="5">
        <v>36</v>
      </c>
      <c r="G175" s="5">
        <v>32.32</v>
      </c>
      <c r="H175" s="5">
        <f t="shared" si="6"/>
        <v>2.1446385537127018E-2</v>
      </c>
      <c r="I175" s="7">
        <f t="shared" si="7"/>
        <v>253412640000</v>
      </c>
      <c r="J175" s="7">
        <f t="shared" si="8"/>
        <v>0</v>
      </c>
    </row>
    <row r="176" spans="2:10" x14ac:dyDescent="0.2">
      <c r="B176" s="5">
        <v>36091</v>
      </c>
      <c r="C176" s="7">
        <v>2.0797399999999998E-5</v>
      </c>
      <c r="D176" s="5" t="s">
        <v>888</v>
      </c>
      <c r="E176" s="5">
        <v>55</v>
      </c>
      <c r="F176" s="5">
        <v>36</v>
      </c>
      <c r="G176" s="5">
        <v>8.57</v>
      </c>
      <c r="H176" s="5">
        <f t="shared" si="6"/>
        <v>8.0880651173855928E-2</v>
      </c>
      <c r="I176" s="7">
        <f t="shared" si="7"/>
        <v>259551551999.99997</v>
      </c>
      <c r="J176" s="7">
        <f t="shared" si="8"/>
        <v>0</v>
      </c>
    </row>
    <row r="177" spans="2:10" x14ac:dyDescent="0.2">
      <c r="B177" s="5">
        <v>36092</v>
      </c>
      <c r="C177" s="7">
        <v>2.4842400000000001E-5</v>
      </c>
      <c r="D177" s="5" t="s">
        <v>889</v>
      </c>
      <c r="E177" s="5">
        <v>56</v>
      </c>
      <c r="F177" s="5">
        <v>36</v>
      </c>
      <c r="G177" s="5">
        <v>1.84</v>
      </c>
      <c r="H177" s="5">
        <f t="shared" si="6"/>
        <v>0.37671042421736156</v>
      </c>
      <c r="I177" s="7">
        <f t="shared" si="7"/>
        <v>310033152000</v>
      </c>
      <c r="J177" s="7">
        <f t="shared" si="8"/>
        <v>0</v>
      </c>
    </row>
    <row r="178" spans="2:10" x14ac:dyDescent="0.2">
      <c r="B178" s="5">
        <v>36093</v>
      </c>
      <c r="C178" s="7">
        <v>1.28574E-5</v>
      </c>
      <c r="D178" s="5" t="s">
        <v>890</v>
      </c>
      <c r="E178" s="5">
        <v>57</v>
      </c>
      <c r="F178" s="5">
        <v>36</v>
      </c>
      <c r="G178" s="5">
        <v>1.286</v>
      </c>
      <c r="H178" s="5">
        <f t="shared" si="6"/>
        <v>0.53899469716947535</v>
      </c>
      <c r="I178" s="7">
        <f t="shared" si="7"/>
        <v>160460352000</v>
      </c>
      <c r="J178" s="7">
        <f t="shared" si="8"/>
        <v>0</v>
      </c>
    </row>
    <row r="179" spans="2:10" x14ac:dyDescent="0.2">
      <c r="B179" s="5">
        <v>36094</v>
      </c>
      <c r="C179" s="7">
        <v>1.13819E-5</v>
      </c>
      <c r="D179" s="5" t="s">
        <v>891</v>
      </c>
      <c r="E179" s="5">
        <v>58</v>
      </c>
      <c r="F179" s="5">
        <v>36</v>
      </c>
      <c r="G179" s="5">
        <v>0.21199999999999999</v>
      </c>
      <c r="H179" s="5">
        <f t="shared" si="6"/>
        <v>3.2695621724525723</v>
      </c>
      <c r="I179" s="7">
        <f t="shared" si="7"/>
        <v>142046112000</v>
      </c>
      <c r="J179" s="7">
        <f t="shared" si="8"/>
        <v>0</v>
      </c>
    </row>
    <row r="180" spans="2:10" x14ac:dyDescent="0.2">
      <c r="B180" s="5">
        <v>36095</v>
      </c>
      <c r="C180" s="7">
        <v>4.6708799999999999E-6</v>
      </c>
      <c r="D180" s="5" t="s">
        <v>892</v>
      </c>
      <c r="E180" s="5">
        <v>59</v>
      </c>
      <c r="F180" s="5">
        <v>36</v>
      </c>
      <c r="G180" s="5">
        <v>0.114</v>
      </c>
      <c r="H180" s="5">
        <f t="shared" si="6"/>
        <v>6.0802384259644322</v>
      </c>
      <c r="I180" s="7">
        <f t="shared" si="7"/>
        <v>58292582400</v>
      </c>
      <c r="J180" s="7">
        <f t="shared" si="8"/>
        <v>0</v>
      </c>
    </row>
    <row r="181" spans="2:10" x14ac:dyDescent="0.2">
      <c r="B181" s="5">
        <v>36096</v>
      </c>
      <c r="C181" s="7">
        <v>5.5634799999999996E-6</v>
      </c>
      <c r="D181" s="5" t="s">
        <v>893</v>
      </c>
      <c r="E181" s="5">
        <v>60</v>
      </c>
      <c r="F181" s="5">
        <v>36</v>
      </c>
      <c r="G181" s="5">
        <v>0.08</v>
      </c>
      <c r="H181" s="5">
        <f t="shared" si="6"/>
        <v>8.6643397569993166</v>
      </c>
      <c r="I181" s="7">
        <f t="shared" si="7"/>
        <v>69432230400</v>
      </c>
      <c r="J181" s="7">
        <f t="shared" si="8"/>
        <v>0</v>
      </c>
    </row>
    <row r="182" spans="2:10" x14ac:dyDescent="0.2">
      <c r="B182" s="5">
        <v>36097</v>
      </c>
      <c r="C182" s="7">
        <v>5.58679E-7</v>
      </c>
      <c r="D182" s="5" t="s">
        <v>894</v>
      </c>
      <c r="E182" s="5">
        <v>61</v>
      </c>
      <c r="F182" s="5">
        <v>36</v>
      </c>
      <c r="G182" s="5">
        <v>6.3E-2</v>
      </c>
      <c r="H182" s="5">
        <f t="shared" si="6"/>
        <v>11.00233619936421</v>
      </c>
      <c r="I182" s="7">
        <f t="shared" si="7"/>
        <v>6972313920</v>
      </c>
      <c r="J182" s="7">
        <f t="shared" si="8"/>
        <v>0</v>
      </c>
    </row>
    <row r="183" spans="2:10" x14ac:dyDescent="0.2">
      <c r="B183" s="5">
        <v>37074</v>
      </c>
      <c r="C183" s="7">
        <v>2.8262000000000003E-7</v>
      </c>
      <c r="D183" s="5" t="s">
        <v>899</v>
      </c>
      <c r="E183" s="5">
        <v>37</v>
      </c>
      <c r="F183" s="5">
        <v>37</v>
      </c>
      <c r="G183" s="5">
        <v>6.4899999999999999E-2</v>
      </c>
      <c r="H183" s="5">
        <f t="shared" si="6"/>
        <v>10.680233906932902</v>
      </c>
      <c r="I183" s="7">
        <f t="shared" si="7"/>
        <v>3527097600.0000005</v>
      </c>
      <c r="J183" s="7">
        <f t="shared" si="8"/>
        <v>0</v>
      </c>
    </row>
    <row r="184" spans="2:10" x14ac:dyDescent="0.2">
      <c r="B184" s="5">
        <v>37075</v>
      </c>
      <c r="C184" s="7">
        <v>3.2666399999999998E-8</v>
      </c>
      <c r="D184" s="5" t="s">
        <v>900</v>
      </c>
      <c r="E184" s="5">
        <v>38</v>
      </c>
      <c r="F184" s="5">
        <v>37</v>
      </c>
      <c r="G184" s="5">
        <v>19</v>
      </c>
      <c r="H184" s="5">
        <f t="shared" si="6"/>
        <v>3.6481430555786593E-2</v>
      </c>
      <c r="I184" s="7">
        <f t="shared" si="7"/>
        <v>407676672</v>
      </c>
      <c r="J184" s="7">
        <f t="shared" si="8"/>
        <v>0</v>
      </c>
    </row>
    <row r="185" spans="2:10" x14ac:dyDescent="0.2">
      <c r="B185" s="5">
        <v>37076</v>
      </c>
      <c r="C185" s="7">
        <v>1.43788E-8</v>
      </c>
      <c r="D185" s="5" t="s">
        <v>901</v>
      </c>
      <c r="E185" s="5">
        <v>39</v>
      </c>
      <c r="F185" s="5">
        <v>37</v>
      </c>
      <c r="G185" s="5">
        <v>36.5</v>
      </c>
      <c r="H185" s="5">
        <f t="shared" si="6"/>
        <v>1.8990333713971103E-2</v>
      </c>
      <c r="I185" s="7">
        <f t="shared" si="7"/>
        <v>179447424</v>
      </c>
      <c r="J185" s="7">
        <f t="shared" si="8"/>
        <v>0</v>
      </c>
    </row>
    <row r="186" spans="2:10" x14ac:dyDescent="0.2">
      <c r="B186" s="5">
        <v>37077</v>
      </c>
      <c r="C186" s="7">
        <v>1.1866E-9</v>
      </c>
      <c r="D186" s="5" t="s">
        <v>902</v>
      </c>
      <c r="E186" s="5">
        <v>40</v>
      </c>
      <c r="F186" s="5">
        <v>37</v>
      </c>
      <c r="G186" s="5">
        <v>226.2</v>
      </c>
      <c r="H186" s="5">
        <f t="shared" si="6"/>
        <v>3.0643111430589979E-3</v>
      </c>
      <c r="I186" s="7">
        <f t="shared" si="7"/>
        <v>14808768</v>
      </c>
      <c r="J186" s="7">
        <f t="shared" si="8"/>
        <v>0</v>
      </c>
    </row>
    <row r="187" spans="2:10" x14ac:dyDescent="0.2">
      <c r="B187" s="5">
        <v>37078</v>
      </c>
      <c r="C187" s="7">
        <v>2.7919999999999998E-10</v>
      </c>
      <c r="D187" s="5" t="s">
        <v>903</v>
      </c>
      <c r="E187" s="5">
        <v>41</v>
      </c>
      <c r="F187" s="5">
        <v>37</v>
      </c>
      <c r="G187" s="5">
        <v>1059.5999999999999</v>
      </c>
      <c r="H187" s="5">
        <f t="shared" si="6"/>
        <v>6.5415928705166604E-4</v>
      </c>
      <c r="I187" s="7">
        <f t="shared" si="7"/>
        <v>3484415.9999999995</v>
      </c>
      <c r="J187" s="7">
        <f t="shared" si="8"/>
        <v>0</v>
      </c>
    </row>
    <row r="188" spans="2:10" x14ac:dyDescent="0.2">
      <c r="B188" s="5">
        <v>37086</v>
      </c>
      <c r="C188" s="7">
        <v>4.6068000000000003E-9</v>
      </c>
      <c r="D188" s="5" t="s">
        <v>911</v>
      </c>
      <c r="E188" s="5">
        <v>49</v>
      </c>
      <c r="F188" s="5">
        <v>37</v>
      </c>
      <c r="G188" s="5">
        <v>1610668.8</v>
      </c>
      <c r="H188" s="5">
        <f t="shared" si="6"/>
        <v>4.3034743117886513E-7</v>
      </c>
      <c r="I188" s="7">
        <f t="shared" si="7"/>
        <v>17852786.870253444</v>
      </c>
      <c r="J188" s="7">
        <f t="shared" si="8"/>
        <v>22.787988831913196</v>
      </c>
    </row>
    <row r="189" spans="2:10" x14ac:dyDescent="0.2">
      <c r="B189" s="5">
        <v>37087</v>
      </c>
      <c r="C189" s="7">
        <v>7.4825600000000003E-8</v>
      </c>
      <c r="D189" s="5" t="s">
        <v>912</v>
      </c>
      <c r="E189" s="5">
        <v>50</v>
      </c>
      <c r="F189" s="5">
        <v>37</v>
      </c>
      <c r="G189" s="5">
        <v>1.56841272E+18</v>
      </c>
      <c r="H189" s="5">
        <f t="shared" si="6"/>
        <v>4.419418254653949E-19</v>
      </c>
      <c r="I189" s="7">
        <f t="shared" si="7"/>
        <v>3.5653912880206917E-4</v>
      </c>
      <c r="J189" s="7">
        <f t="shared" si="8"/>
        <v>3.5653912879710006E-4</v>
      </c>
    </row>
    <row r="190" spans="2:10" x14ac:dyDescent="0.2">
      <c r="B190" s="5">
        <v>37088</v>
      </c>
      <c r="C190" s="7">
        <v>3.0844599999999998E-7</v>
      </c>
      <c r="D190" s="5" t="s">
        <v>913</v>
      </c>
      <c r="E190" s="5">
        <v>51</v>
      </c>
      <c r="F190" s="5">
        <v>37</v>
      </c>
      <c r="G190" s="5">
        <v>1066.3799999999901</v>
      </c>
      <c r="H190" s="5">
        <f t="shared" si="6"/>
        <v>6.5000016932045964E-4</v>
      </c>
      <c r="I190" s="7">
        <f t="shared" si="7"/>
        <v>3849406080</v>
      </c>
      <c r="J190" s="7">
        <f t="shared" si="8"/>
        <v>0</v>
      </c>
    </row>
    <row r="191" spans="2:10" x14ac:dyDescent="0.2">
      <c r="B191" s="5">
        <v>37089</v>
      </c>
      <c r="C191" s="7">
        <v>1.5353200000000001E-6</v>
      </c>
      <c r="D191" s="5" t="s">
        <v>914</v>
      </c>
      <c r="E191" s="5">
        <v>52</v>
      </c>
      <c r="F191" s="5">
        <v>37</v>
      </c>
      <c r="G191" s="5">
        <v>919.2</v>
      </c>
      <c r="H191" s="5">
        <f t="shared" si="6"/>
        <v>7.5407656718880028E-4</v>
      </c>
      <c r="I191" s="7">
        <f t="shared" si="7"/>
        <v>19160793600</v>
      </c>
      <c r="J191" s="7">
        <f t="shared" si="8"/>
        <v>0</v>
      </c>
    </row>
    <row r="192" spans="2:10" x14ac:dyDescent="0.2">
      <c r="B192" s="5">
        <v>37090</v>
      </c>
      <c r="C192" s="7">
        <v>4.2028699999999996E-6</v>
      </c>
      <c r="D192" s="5" t="s">
        <v>915</v>
      </c>
      <c r="E192" s="5">
        <v>53</v>
      </c>
      <c r="F192" s="5">
        <v>37</v>
      </c>
      <c r="G192" s="5">
        <v>158</v>
      </c>
      <c r="H192" s="5">
        <f t="shared" si="6"/>
        <v>4.3870074718983876E-3</v>
      </c>
      <c r="I192" s="7">
        <f t="shared" si="7"/>
        <v>52451817599.999992</v>
      </c>
      <c r="J192" s="7">
        <f t="shared" si="8"/>
        <v>0</v>
      </c>
    </row>
    <row r="193" spans="2:10" x14ac:dyDescent="0.2">
      <c r="B193" s="5">
        <v>37091</v>
      </c>
      <c r="C193" s="7">
        <v>1.1511999999999999E-5</v>
      </c>
      <c r="D193" s="5" t="s">
        <v>916</v>
      </c>
      <c r="E193" s="5">
        <v>54</v>
      </c>
      <c r="F193" s="5">
        <v>37</v>
      </c>
      <c r="G193" s="5">
        <v>58.2</v>
      </c>
      <c r="H193" s="5">
        <f t="shared" si="6"/>
        <v>1.1909745370445795E-2</v>
      </c>
      <c r="I193" s="7">
        <f t="shared" si="7"/>
        <v>143669760000</v>
      </c>
      <c r="J193" s="7">
        <f t="shared" si="8"/>
        <v>0</v>
      </c>
    </row>
    <row r="194" spans="2:10" x14ac:dyDescent="0.2">
      <c r="B194" s="5">
        <v>37092</v>
      </c>
      <c r="C194" s="7">
        <v>1.8562800000000001E-5</v>
      </c>
      <c r="D194" s="5" t="s">
        <v>917</v>
      </c>
      <c r="E194" s="5">
        <v>55</v>
      </c>
      <c r="F194" s="5">
        <v>37</v>
      </c>
      <c r="G194" s="5">
        <v>4.492</v>
      </c>
      <c r="H194" s="5">
        <f t="shared" si="6"/>
        <v>0.15430703040070021</v>
      </c>
      <c r="I194" s="7">
        <f t="shared" si="7"/>
        <v>231663744000.00003</v>
      </c>
      <c r="J194" s="7">
        <f t="shared" si="8"/>
        <v>0</v>
      </c>
    </row>
    <row r="195" spans="2:10" x14ac:dyDescent="0.2">
      <c r="B195" s="5">
        <v>37093</v>
      </c>
      <c r="C195" s="7">
        <v>3.0247799999999999E-5</v>
      </c>
      <c r="D195" s="5" t="s">
        <v>918</v>
      </c>
      <c r="E195" s="5">
        <v>56</v>
      </c>
      <c r="F195" s="5">
        <v>37</v>
      </c>
      <c r="G195" s="5">
        <v>5.84</v>
      </c>
      <c r="H195" s="5">
        <f t="shared" si="6"/>
        <v>0.1186895857123194</v>
      </c>
      <c r="I195" s="7">
        <f t="shared" si="7"/>
        <v>377492544000</v>
      </c>
      <c r="J195" s="7">
        <f t="shared" si="8"/>
        <v>0</v>
      </c>
    </row>
    <row r="196" spans="2:10" x14ac:dyDescent="0.2">
      <c r="B196" s="5">
        <v>37094</v>
      </c>
      <c r="C196" s="7">
        <v>2.4550599999999998E-5</v>
      </c>
      <c r="D196" s="5" t="s">
        <v>919</v>
      </c>
      <c r="E196" s="5">
        <v>57</v>
      </c>
      <c r="F196" s="5">
        <v>37</v>
      </c>
      <c r="G196" s="5">
        <v>2.702</v>
      </c>
      <c r="H196" s="5">
        <f t="shared" ref="H196:H259" si="9">LN(2)/G196</f>
        <v>0.25653115490745571</v>
      </c>
      <c r="I196" s="7">
        <f t="shared" ref="I196:I259" si="10">2*6240000000000000*C196*(1-EXP(-H196*10*24*3600))</f>
        <v>306391488000</v>
      </c>
      <c r="J196" s="7">
        <f t="shared" ref="J196:J259" si="11">EXP(-H196*365*24*3600)*I196</f>
        <v>0</v>
      </c>
    </row>
    <row r="197" spans="2:10" x14ac:dyDescent="0.2">
      <c r="B197" s="5">
        <v>37095</v>
      </c>
      <c r="C197" s="7">
        <v>2.6670899999999999E-5</v>
      </c>
      <c r="D197" s="5" t="s">
        <v>920</v>
      </c>
      <c r="E197" s="5">
        <v>58</v>
      </c>
      <c r="F197" s="5">
        <v>37</v>
      </c>
      <c r="G197" s="5">
        <v>0.37769999999999998</v>
      </c>
      <c r="H197" s="5">
        <f t="shared" si="9"/>
        <v>1.8351791913157143</v>
      </c>
      <c r="I197" s="7">
        <f t="shared" si="10"/>
        <v>332852832000</v>
      </c>
      <c r="J197" s="7">
        <f t="shared" si="11"/>
        <v>0</v>
      </c>
    </row>
    <row r="198" spans="2:10" x14ac:dyDescent="0.2">
      <c r="B198" s="5">
        <v>37096</v>
      </c>
      <c r="C198" s="7">
        <v>1.3219E-5</v>
      </c>
      <c r="D198" s="5" t="s">
        <v>921</v>
      </c>
      <c r="E198" s="5">
        <v>59</v>
      </c>
      <c r="F198" s="5">
        <v>37</v>
      </c>
      <c r="G198" s="5">
        <v>0.20300000000000001</v>
      </c>
      <c r="H198" s="5">
        <f t="shared" si="9"/>
        <v>3.4145181308371688</v>
      </c>
      <c r="I198" s="7">
        <f t="shared" si="10"/>
        <v>164973120000</v>
      </c>
      <c r="J198" s="7">
        <f t="shared" si="11"/>
        <v>0</v>
      </c>
    </row>
    <row r="199" spans="2:10" x14ac:dyDescent="0.2">
      <c r="B199" s="5">
        <v>37097</v>
      </c>
      <c r="C199" s="7">
        <v>1.0947999999999999E-5</v>
      </c>
      <c r="D199" s="5" t="s">
        <v>922</v>
      </c>
      <c r="E199" s="5">
        <v>60</v>
      </c>
      <c r="F199" s="5">
        <v>37</v>
      </c>
      <c r="G199" s="5">
        <v>0.1691</v>
      </c>
      <c r="H199" s="5">
        <f t="shared" si="9"/>
        <v>4.0990371410996174</v>
      </c>
      <c r="I199" s="7">
        <f t="shared" si="10"/>
        <v>136631039999.99998</v>
      </c>
      <c r="J199" s="7">
        <f t="shared" si="11"/>
        <v>0</v>
      </c>
    </row>
    <row r="200" spans="2:10" x14ac:dyDescent="0.2">
      <c r="B200" s="5">
        <v>37098</v>
      </c>
      <c r="C200" s="7">
        <v>3.9120099999999998E-6</v>
      </c>
      <c r="D200" s="5" t="s">
        <v>923</v>
      </c>
      <c r="E200" s="5">
        <v>61</v>
      </c>
      <c r="F200" s="5">
        <v>37</v>
      </c>
      <c r="G200" s="5">
        <v>0.10199999999999999</v>
      </c>
      <c r="H200" s="5">
        <f t="shared" si="9"/>
        <v>6.7955605937249546</v>
      </c>
      <c r="I200" s="7">
        <f t="shared" si="10"/>
        <v>48821884800</v>
      </c>
      <c r="J200" s="7">
        <f t="shared" si="11"/>
        <v>0</v>
      </c>
    </row>
    <row r="201" spans="2:10" x14ac:dyDescent="0.2">
      <c r="B201" s="5">
        <v>37099</v>
      </c>
      <c r="C201" s="7">
        <v>1.76447E-6</v>
      </c>
      <c r="D201" s="5" t="s">
        <v>924</v>
      </c>
      <c r="E201" s="5">
        <v>62</v>
      </c>
      <c r="F201" s="5">
        <v>37</v>
      </c>
      <c r="G201" s="5">
        <v>5.3999999999999999E-2</v>
      </c>
      <c r="H201" s="5">
        <f t="shared" si="9"/>
        <v>12.836058899258246</v>
      </c>
      <c r="I201" s="7">
        <f t="shared" si="10"/>
        <v>22020585600</v>
      </c>
      <c r="J201" s="7">
        <f t="shared" si="11"/>
        <v>0</v>
      </c>
    </row>
    <row r="202" spans="2:10" x14ac:dyDescent="0.2">
      <c r="B202" s="5">
        <v>37100</v>
      </c>
      <c r="C202" s="7">
        <v>1.0498600000000001E-6</v>
      </c>
      <c r="D202" s="5" t="s">
        <v>925</v>
      </c>
      <c r="E202" s="5">
        <v>63</v>
      </c>
      <c r="F202" s="5">
        <v>37</v>
      </c>
      <c r="G202" s="5">
        <v>5.0999999999999997E-2</v>
      </c>
      <c r="H202" s="5">
        <f t="shared" si="9"/>
        <v>13.591121187449909</v>
      </c>
      <c r="I202" s="7">
        <f t="shared" si="10"/>
        <v>13102252800</v>
      </c>
      <c r="J202" s="7">
        <f t="shared" si="11"/>
        <v>0</v>
      </c>
    </row>
    <row r="203" spans="2:10" x14ac:dyDescent="0.2">
      <c r="B203" s="5">
        <v>38077</v>
      </c>
      <c r="C203" s="7">
        <v>1.2375500000000001E-7</v>
      </c>
      <c r="D203" s="5" t="s">
        <v>933</v>
      </c>
      <c r="E203" s="5">
        <v>39</v>
      </c>
      <c r="F203" s="5">
        <v>38</v>
      </c>
      <c r="G203" s="5">
        <v>9</v>
      </c>
      <c r="H203" s="5">
        <f t="shared" si="9"/>
        <v>7.7016353395549478E-2</v>
      </c>
      <c r="I203" s="7">
        <f t="shared" si="10"/>
        <v>1544462400.0000002</v>
      </c>
      <c r="J203" s="7">
        <f t="shared" si="11"/>
        <v>0</v>
      </c>
    </row>
    <row r="204" spans="2:10" x14ac:dyDescent="0.2">
      <c r="B204" s="5">
        <v>38078</v>
      </c>
      <c r="C204" s="7">
        <v>1.8845999999999999E-8</v>
      </c>
      <c r="D204" s="5" t="s">
        <v>934</v>
      </c>
      <c r="E204" s="5">
        <v>40</v>
      </c>
      <c r="F204" s="5">
        <v>38</v>
      </c>
      <c r="G204" s="5">
        <v>160</v>
      </c>
      <c r="H204" s="5">
        <f t="shared" si="9"/>
        <v>4.3321698784996579E-3</v>
      </c>
      <c r="I204" s="7">
        <f t="shared" si="10"/>
        <v>235198080</v>
      </c>
      <c r="J204" s="7">
        <f t="shared" si="11"/>
        <v>0</v>
      </c>
    </row>
    <row r="205" spans="2:10" x14ac:dyDescent="0.2">
      <c r="B205" s="5">
        <v>38079</v>
      </c>
      <c r="C205" s="7">
        <v>5.7236000000000004E-9</v>
      </c>
      <c r="D205" s="5" t="s">
        <v>935</v>
      </c>
      <c r="E205" s="5">
        <v>41</v>
      </c>
      <c r="F205" s="5">
        <v>38</v>
      </c>
      <c r="G205" s="5">
        <v>135</v>
      </c>
      <c r="H205" s="5">
        <f t="shared" si="9"/>
        <v>5.1344235597032984E-3</v>
      </c>
      <c r="I205" s="7">
        <f t="shared" si="10"/>
        <v>71430528</v>
      </c>
      <c r="J205" s="7">
        <f t="shared" si="11"/>
        <v>0</v>
      </c>
    </row>
    <row r="206" spans="2:10" x14ac:dyDescent="0.2">
      <c r="B206" s="5">
        <v>38080</v>
      </c>
      <c r="C206" s="7">
        <v>4.8860000000000005E-10</v>
      </c>
      <c r="D206" s="5" t="s">
        <v>936</v>
      </c>
      <c r="E206" s="5">
        <v>42</v>
      </c>
      <c r="F206" s="5">
        <v>38</v>
      </c>
      <c r="G206" s="5">
        <v>6378</v>
      </c>
      <c r="H206" s="5">
        <f t="shared" si="9"/>
        <v>1.0867782699277912E-4</v>
      </c>
      <c r="I206" s="7">
        <f t="shared" si="10"/>
        <v>6097728.0000000009</v>
      </c>
      <c r="J206" s="7">
        <f t="shared" si="11"/>
        <v>0</v>
      </c>
    </row>
    <row r="207" spans="2:10" x14ac:dyDescent="0.2">
      <c r="B207" s="5">
        <v>38081</v>
      </c>
      <c r="C207" s="7">
        <v>2.094E-10</v>
      </c>
      <c r="D207" s="5" t="s">
        <v>937</v>
      </c>
      <c r="E207" s="5">
        <v>43</v>
      </c>
      <c r="F207" s="5">
        <v>38</v>
      </c>
      <c r="G207" s="5">
        <v>1338</v>
      </c>
      <c r="H207" s="5">
        <f t="shared" si="9"/>
        <v>5.1804722014943589E-4</v>
      </c>
      <c r="I207" s="7">
        <f t="shared" si="10"/>
        <v>2613312</v>
      </c>
      <c r="J207" s="7">
        <f t="shared" si="11"/>
        <v>0</v>
      </c>
    </row>
    <row r="208" spans="2:10" x14ac:dyDescent="0.2">
      <c r="B208" s="5">
        <v>38089</v>
      </c>
      <c r="C208" s="7">
        <v>4.1391399999999998E-8</v>
      </c>
      <c r="D208" s="5" t="s">
        <v>945</v>
      </c>
      <c r="E208" s="5">
        <v>51</v>
      </c>
      <c r="F208" s="5">
        <v>38</v>
      </c>
      <c r="G208" s="5">
        <v>4368643.2</v>
      </c>
      <c r="H208" s="5">
        <f t="shared" si="9"/>
        <v>1.5866417760094148E-7</v>
      </c>
      <c r="I208" s="7">
        <f t="shared" si="10"/>
        <v>66174325.566337332</v>
      </c>
      <c r="J208" s="7">
        <f t="shared" si="11"/>
        <v>444261.93427764502</v>
      </c>
    </row>
    <row r="209" spans="2:10" x14ac:dyDescent="0.2">
      <c r="B209" s="5">
        <v>38090</v>
      </c>
      <c r="C209" s="7">
        <v>2.9993099999999999E-7</v>
      </c>
      <c r="D209" s="5" t="s">
        <v>946</v>
      </c>
      <c r="E209" s="5">
        <v>52</v>
      </c>
      <c r="F209" s="5">
        <v>38</v>
      </c>
      <c r="G209" s="5">
        <v>912014640</v>
      </c>
      <c r="H209" s="5">
        <f t="shared" si="9"/>
        <v>7.6001760296298017E-10</v>
      </c>
      <c r="I209" s="7">
        <f t="shared" si="10"/>
        <v>2457144.8066517552</v>
      </c>
      <c r="J209" s="7">
        <f t="shared" si="11"/>
        <v>2398952.3303859518</v>
      </c>
    </row>
    <row r="210" spans="2:10" x14ac:dyDescent="0.2">
      <c r="B210" s="5">
        <v>38091</v>
      </c>
      <c r="C210" s="7">
        <v>1.02913E-6</v>
      </c>
      <c r="D210" s="5" t="s">
        <v>947</v>
      </c>
      <c r="E210" s="5">
        <v>53</v>
      </c>
      <c r="F210" s="5">
        <v>38</v>
      </c>
      <c r="G210" s="5">
        <v>34740</v>
      </c>
      <c r="H210" s="5">
        <f t="shared" si="9"/>
        <v>1.9952423159468777E-5</v>
      </c>
      <c r="I210" s="7">
        <f t="shared" si="10"/>
        <v>12843541981.275421</v>
      </c>
      <c r="J210" s="7">
        <f t="shared" si="11"/>
        <v>6.9514811072387512E-264</v>
      </c>
    </row>
    <row r="211" spans="2:10" x14ac:dyDescent="0.2">
      <c r="B211" s="5">
        <v>38092</v>
      </c>
      <c r="C211" s="7">
        <v>4.5028000000000003E-6</v>
      </c>
      <c r="D211" s="5" t="s">
        <v>948</v>
      </c>
      <c r="E211" s="5">
        <v>54</v>
      </c>
      <c r="F211" s="5">
        <v>38</v>
      </c>
      <c r="G211" s="5">
        <v>9399.6</v>
      </c>
      <c r="H211" s="5">
        <f t="shared" si="9"/>
        <v>7.3742199727642167E-5</v>
      </c>
      <c r="I211" s="7">
        <f t="shared" si="10"/>
        <v>56194944000.000008</v>
      </c>
      <c r="J211" s="7">
        <f t="shared" si="11"/>
        <v>0</v>
      </c>
    </row>
    <row r="212" spans="2:10" x14ac:dyDescent="0.2">
      <c r="B212" s="5">
        <v>38093</v>
      </c>
      <c r="C212" s="7">
        <v>9.5610599999999996E-6</v>
      </c>
      <c r="D212" s="5" t="s">
        <v>949</v>
      </c>
      <c r="E212" s="5">
        <v>55</v>
      </c>
      <c r="F212" s="5">
        <v>38</v>
      </c>
      <c r="G212" s="5">
        <v>445.79999999999899</v>
      </c>
      <c r="H212" s="5">
        <f t="shared" si="9"/>
        <v>1.5548388976221329E-3</v>
      </c>
      <c r="I212" s="7">
        <f t="shared" si="10"/>
        <v>119322028800</v>
      </c>
      <c r="J212" s="7">
        <f t="shared" si="11"/>
        <v>0</v>
      </c>
    </row>
    <row r="213" spans="2:10" x14ac:dyDescent="0.2">
      <c r="B213" s="5">
        <v>38094</v>
      </c>
      <c r="C213" s="7">
        <v>2.42979E-5</v>
      </c>
      <c r="D213" s="5" t="s">
        <v>950</v>
      </c>
      <c r="E213" s="5">
        <v>56</v>
      </c>
      <c r="F213" s="5">
        <v>38</v>
      </c>
      <c r="G213" s="5">
        <v>75.3</v>
      </c>
      <c r="H213" s="5">
        <f t="shared" si="9"/>
        <v>9.2051418401055147E-3</v>
      </c>
      <c r="I213" s="7">
        <f t="shared" si="10"/>
        <v>303237792000</v>
      </c>
      <c r="J213" s="7">
        <f t="shared" si="11"/>
        <v>0</v>
      </c>
    </row>
    <row r="214" spans="2:10" x14ac:dyDescent="0.2">
      <c r="B214" s="5">
        <v>38095</v>
      </c>
      <c r="C214" s="7">
        <v>2.46254E-5</v>
      </c>
      <c r="D214" s="5" t="s">
        <v>951</v>
      </c>
      <c r="E214" s="5">
        <v>57</v>
      </c>
      <c r="F214" s="5">
        <v>38</v>
      </c>
      <c r="G214" s="5">
        <v>23.9</v>
      </c>
      <c r="H214" s="5">
        <f t="shared" si="9"/>
        <v>2.9001974082006082E-2</v>
      </c>
      <c r="I214" s="7">
        <f t="shared" si="10"/>
        <v>307324992000</v>
      </c>
      <c r="J214" s="7">
        <f t="shared" si="11"/>
        <v>0</v>
      </c>
    </row>
    <row r="215" spans="2:10" x14ac:dyDescent="0.2">
      <c r="B215" s="5">
        <v>38096</v>
      </c>
      <c r="C215" s="7">
        <v>3.47111E-5</v>
      </c>
      <c r="D215" s="5" t="s">
        <v>952</v>
      </c>
      <c r="E215" s="5">
        <v>58</v>
      </c>
      <c r="F215" s="5">
        <v>38</v>
      </c>
      <c r="G215" s="5">
        <v>1.07</v>
      </c>
      <c r="H215" s="5">
        <f t="shared" si="9"/>
        <v>0.64780110332705165</v>
      </c>
      <c r="I215" s="7">
        <f t="shared" si="10"/>
        <v>433194528000</v>
      </c>
      <c r="J215" s="7">
        <f t="shared" si="11"/>
        <v>0</v>
      </c>
    </row>
    <row r="216" spans="2:10" x14ac:dyDescent="0.2">
      <c r="B216" s="5">
        <v>38097</v>
      </c>
      <c r="C216" s="7">
        <v>2.2148199999999999E-5</v>
      </c>
      <c r="D216" s="5" t="s">
        <v>953</v>
      </c>
      <c r="E216" s="5">
        <v>59</v>
      </c>
      <c r="F216" s="5">
        <v>38</v>
      </c>
      <c r="G216" s="5">
        <v>0.42899999999999999</v>
      </c>
      <c r="H216" s="5">
        <f t="shared" si="9"/>
        <v>1.6157276936129261</v>
      </c>
      <c r="I216" s="7">
        <f t="shared" si="10"/>
        <v>276409536000</v>
      </c>
      <c r="J216" s="7">
        <f t="shared" si="11"/>
        <v>0</v>
      </c>
    </row>
    <row r="217" spans="2:10" x14ac:dyDescent="0.2">
      <c r="B217" s="5">
        <v>38098</v>
      </c>
      <c r="C217" s="7">
        <v>2.07114E-5</v>
      </c>
      <c r="D217" s="5" t="s">
        <v>954</v>
      </c>
      <c r="E217" s="5">
        <v>60</v>
      </c>
      <c r="F217" s="5">
        <v>38</v>
      </c>
      <c r="G217" s="5">
        <v>0.65300000000000002</v>
      </c>
      <c r="H217" s="5">
        <f t="shared" si="9"/>
        <v>1.0614811340887369</v>
      </c>
      <c r="I217" s="7">
        <f t="shared" si="10"/>
        <v>258478272000</v>
      </c>
      <c r="J217" s="7">
        <f t="shared" si="11"/>
        <v>0</v>
      </c>
    </row>
    <row r="218" spans="2:10" x14ac:dyDescent="0.2">
      <c r="B218" s="5">
        <v>38099</v>
      </c>
      <c r="C218" s="7">
        <v>7.7651100000000003E-6</v>
      </c>
      <c r="D218" s="5" t="s">
        <v>955</v>
      </c>
      <c r="E218" s="5">
        <v>61</v>
      </c>
      <c r="F218" s="5">
        <v>38</v>
      </c>
      <c r="G218" s="5">
        <v>0.26900000000000002</v>
      </c>
      <c r="H218" s="5">
        <f t="shared" si="9"/>
        <v>2.5767553180667111</v>
      </c>
      <c r="I218" s="7">
        <f t="shared" si="10"/>
        <v>96908572800</v>
      </c>
      <c r="J218" s="7">
        <f t="shared" si="11"/>
        <v>0</v>
      </c>
    </row>
    <row r="219" spans="2:10" x14ac:dyDescent="0.2">
      <c r="B219" s="5">
        <v>38100</v>
      </c>
      <c r="C219" s="7">
        <v>6.7033800000000004E-6</v>
      </c>
      <c r="D219" s="5" t="s">
        <v>956</v>
      </c>
      <c r="E219" s="5">
        <v>62</v>
      </c>
      <c r="F219" s="5">
        <v>38</v>
      </c>
      <c r="G219" s="5">
        <v>0.20200000000000001</v>
      </c>
      <c r="H219" s="5">
        <f t="shared" si="9"/>
        <v>3.431421685940323</v>
      </c>
      <c r="I219" s="7">
        <f t="shared" si="10"/>
        <v>83658182400</v>
      </c>
      <c r="J219" s="7">
        <f t="shared" si="11"/>
        <v>0</v>
      </c>
    </row>
    <row r="220" spans="2:10" x14ac:dyDescent="0.2">
      <c r="B220" s="5">
        <v>39080</v>
      </c>
      <c r="C220" s="7">
        <v>2.9618199999999999E-6</v>
      </c>
      <c r="D220" s="5" t="s">
        <v>968</v>
      </c>
      <c r="E220" s="5">
        <v>41</v>
      </c>
      <c r="F220" s="5">
        <v>39</v>
      </c>
      <c r="G220" s="5">
        <v>30.1</v>
      </c>
      <c r="H220" s="5">
        <f t="shared" si="9"/>
        <v>2.3028145533552997E-2</v>
      </c>
      <c r="I220" s="7">
        <f t="shared" si="10"/>
        <v>36963513600</v>
      </c>
      <c r="J220" s="7">
        <f t="shared" si="11"/>
        <v>0</v>
      </c>
    </row>
    <row r="221" spans="2:10" x14ac:dyDescent="0.2">
      <c r="B221" s="5">
        <v>39081</v>
      </c>
      <c r="C221" s="7">
        <v>5.2992199999999997E-7</v>
      </c>
      <c r="D221" s="5" t="s">
        <v>969</v>
      </c>
      <c r="E221" s="5">
        <v>42</v>
      </c>
      <c r="F221" s="5">
        <v>39</v>
      </c>
      <c r="G221" s="5">
        <v>70.400000000000006</v>
      </c>
      <c r="H221" s="5">
        <f t="shared" si="9"/>
        <v>9.8458406329537673E-3</v>
      </c>
      <c r="I221" s="7">
        <f t="shared" si="10"/>
        <v>6613426560</v>
      </c>
      <c r="J221" s="7">
        <f t="shared" si="11"/>
        <v>0</v>
      </c>
    </row>
    <row r="222" spans="2:10" x14ac:dyDescent="0.2">
      <c r="B222" s="5">
        <v>39082</v>
      </c>
      <c r="C222" s="7">
        <v>8.6831200000000003E-8</v>
      </c>
      <c r="D222" s="5" t="s">
        <v>970</v>
      </c>
      <c r="E222" s="5">
        <v>43</v>
      </c>
      <c r="F222" s="5">
        <v>39</v>
      </c>
      <c r="G222" s="5">
        <v>8.3000000000000007</v>
      </c>
      <c r="H222" s="5">
        <f t="shared" si="9"/>
        <v>8.3511708501198226E-2</v>
      </c>
      <c r="I222" s="7">
        <f t="shared" si="10"/>
        <v>1083653376</v>
      </c>
      <c r="J222" s="7">
        <f t="shared" si="11"/>
        <v>0</v>
      </c>
    </row>
    <row r="223" spans="2:10" x14ac:dyDescent="0.2">
      <c r="B223" s="5">
        <v>39083</v>
      </c>
      <c r="C223" s="7">
        <v>4.1321600000000003E-8</v>
      </c>
      <c r="D223" s="5" t="s">
        <v>971</v>
      </c>
      <c r="E223" s="5">
        <v>44</v>
      </c>
      <c r="F223" s="5">
        <v>39</v>
      </c>
      <c r="G223" s="5">
        <v>424.8</v>
      </c>
      <c r="H223" s="5">
        <f t="shared" si="9"/>
        <v>1.6317024024480821E-3</v>
      </c>
      <c r="I223" s="7">
        <f t="shared" si="10"/>
        <v>515693568.00000006</v>
      </c>
      <c r="J223" s="7">
        <f t="shared" si="11"/>
        <v>0</v>
      </c>
    </row>
    <row r="224" spans="2:10" x14ac:dyDescent="0.2">
      <c r="B224" s="5">
        <v>39084</v>
      </c>
      <c r="C224" s="7">
        <v>5.2350000000000002E-9</v>
      </c>
      <c r="D224" s="5" t="s">
        <v>972</v>
      </c>
      <c r="E224" s="5">
        <v>45</v>
      </c>
      <c r="F224" s="5">
        <v>39</v>
      </c>
      <c r="G224" s="5">
        <v>2370</v>
      </c>
      <c r="H224" s="5">
        <f t="shared" si="9"/>
        <v>2.9246716479322586E-4</v>
      </c>
      <c r="I224" s="7">
        <f t="shared" si="10"/>
        <v>65332800</v>
      </c>
      <c r="J224" s="7">
        <f t="shared" si="11"/>
        <v>0</v>
      </c>
    </row>
    <row r="225" spans="2:10" x14ac:dyDescent="0.2">
      <c r="B225" s="5">
        <v>39085</v>
      </c>
      <c r="C225" s="7">
        <v>1.3959999999999999E-9</v>
      </c>
      <c r="D225" s="5" t="s">
        <v>973</v>
      </c>
      <c r="E225" s="5">
        <v>46</v>
      </c>
      <c r="F225" s="5">
        <v>39</v>
      </c>
      <c r="G225" s="5">
        <v>9648</v>
      </c>
      <c r="H225" s="5">
        <f t="shared" si="9"/>
        <v>7.184361324211705E-5</v>
      </c>
      <c r="I225" s="7">
        <f t="shared" si="10"/>
        <v>17422080</v>
      </c>
      <c r="J225" s="7">
        <f t="shared" si="11"/>
        <v>0</v>
      </c>
    </row>
    <row r="226" spans="2:10" x14ac:dyDescent="0.2">
      <c r="B226" s="5">
        <v>39086</v>
      </c>
      <c r="C226" s="7">
        <v>1.3959999999999999E-10</v>
      </c>
      <c r="D226" s="5" t="s">
        <v>974</v>
      </c>
      <c r="E226" s="5">
        <v>47</v>
      </c>
      <c r="F226" s="5">
        <v>39</v>
      </c>
      <c r="G226" s="5">
        <v>53064</v>
      </c>
      <c r="H226" s="5">
        <f t="shared" si="9"/>
        <v>1.3062475134930372E-5</v>
      </c>
      <c r="I226" s="7">
        <f t="shared" si="10"/>
        <v>1742186.1394134241</v>
      </c>
      <c r="J226" s="7">
        <f t="shared" si="11"/>
        <v>2.1807230962847406E-173</v>
      </c>
    </row>
    <row r="227" spans="2:10" x14ac:dyDescent="0.2">
      <c r="B227" s="5">
        <v>39087</v>
      </c>
      <c r="C227" s="7">
        <v>6.9799999999999994E-11</v>
      </c>
      <c r="D227" s="5" t="s">
        <v>975</v>
      </c>
      <c r="E227" s="5">
        <v>48</v>
      </c>
      <c r="F227" s="5">
        <v>39</v>
      </c>
      <c r="G227" s="5">
        <v>287280</v>
      </c>
      <c r="H227" s="5">
        <f t="shared" si="9"/>
        <v>2.4127930261763619E-6</v>
      </c>
      <c r="I227" s="7">
        <f t="shared" si="10"/>
        <v>762782.00809286721</v>
      </c>
      <c r="J227" s="7">
        <f t="shared" si="11"/>
        <v>6.8707226924005383E-28</v>
      </c>
    </row>
    <row r="228" spans="2:10" x14ac:dyDescent="0.2">
      <c r="B228" s="5">
        <v>39090</v>
      </c>
      <c r="C228" s="7">
        <v>1.3262E-9</v>
      </c>
      <c r="D228" s="5" t="s">
        <v>978</v>
      </c>
      <c r="E228" s="5">
        <v>51</v>
      </c>
      <c r="F228" s="5">
        <v>39</v>
      </c>
      <c r="G228" s="5">
        <v>230590.8</v>
      </c>
      <c r="H228" s="5">
        <f t="shared" si="9"/>
        <v>3.0059619922388289E-6</v>
      </c>
      <c r="I228" s="7">
        <f t="shared" si="10"/>
        <v>15318168.718351856</v>
      </c>
      <c r="J228" s="7">
        <f t="shared" si="11"/>
        <v>1.0370975085947581E-34</v>
      </c>
    </row>
    <row r="229" spans="2:10" x14ac:dyDescent="0.2">
      <c r="B229" s="5">
        <v>39091</v>
      </c>
      <c r="C229" s="7">
        <v>1.6123799999999998E-8</v>
      </c>
      <c r="D229" s="5" t="s">
        <v>979</v>
      </c>
      <c r="E229" s="5">
        <v>52</v>
      </c>
      <c r="F229" s="5">
        <v>39</v>
      </c>
      <c r="G229" s="5">
        <v>5055264</v>
      </c>
      <c r="H229" s="5">
        <f t="shared" si="9"/>
        <v>1.3711394312145624E-7</v>
      </c>
      <c r="I229" s="7">
        <f t="shared" si="10"/>
        <v>22480533.737578016</v>
      </c>
      <c r="J229" s="7">
        <f t="shared" si="11"/>
        <v>297787.37830407446</v>
      </c>
    </row>
    <row r="230" spans="2:10" x14ac:dyDescent="0.2">
      <c r="B230" s="5">
        <v>39092</v>
      </c>
      <c r="C230" s="7">
        <v>9.7580399999999999E-8</v>
      </c>
      <c r="D230" s="5" t="s">
        <v>980</v>
      </c>
      <c r="E230" s="5">
        <v>53</v>
      </c>
      <c r="F230" s="5">
        <v>39</v>
      </c>
      <c r="G230" s="5">
        <v>12744</v>
      </c>
      <c r="H230" s="5">
        <f t="shared" si="9"/>
        <v>5.4390080081602739E-5</v>
      </c>
      <c r="I230" s="7">
        <f t="shared" si="10"/>
        <v>1217803392</v>
      </c>
      <c r="J230" s="7">
        <f t="shared" si="11"/>
        <v>0</v>
      </c>
    </row>
    <row r="231" spans="2:10" x14ac:dyDescent="0.2">
      <c r="B231" s="5">
        <v>39093</v>
      </c>
      <c r="C231" s="7">
        <v>6.3720400000000002E-7</v>
      </c>
      <c r="D231" s="5" t="s">
        <v>981</v>
      </c>
      <c r="E231" s="5">
        <v>54</v>
      </c>
      <c r="F231" s="5">
        <v>39</v>
      </c>
      <c r="G231" s="5">
        <v>36648</v>
      </c>
      <c r="H231" s="5">
        <f t="shared" si="9"/>
        <v>1.891364277886775E-5</v>
      </c>
      <c r="I231" s="7">
        <f t="shared" si="10"/>
        <v>7952305283.9097757</v>
      </c>
      <c r="J231" s="7">
        <f t="shared" si="11"/>
        <v>7.2598725278525062E-250</v>
      </c>
    </row>
    <row r="232" spans="2:10" x14ac:dyDescent="0.2">
      <c r="B232" s="5">
        <v>39094</v>
      </c>
      <c r="C232" s="7">
        <v>2.2451899999999998E-6</v>
      </c>
      <c r="D232" s="5" t="s">
        <v>982</v>
      </c>
      <c r="E232" s="5">
        <v>55</v>
      </c>
      <c r="F232" s="5">
        <v>39</v>
      </c>
      <c r="G232" s="5">
        <v>1122</v>
      </c>
      <c r="H232" s="5">
        <f t="shared" si="9"/>
        <v>6.1777823579317766E-4</v>
      </c>
      <c r="I232" s="7">
        <f t="shared" si="10"/>
        <v>28019971199.999996</v>
      </c>
      <c r="J232" s="7">
        <f t="shared" si="11"/>
        <v>0</v>
      </c>
    </row>
    <row r="233" spans="2:10" x14ac:dyDescent="0.2">
      <c r="B233" s="5">
        <v>39095</v>
      </c>
      <c r="C233" s="7">
        <v>8.2075700000000004E-6</v>
      </c>
      <c r="D233" s="5" t="s">
        <v>983</v>
      </c>
      <c r="E233" s="5">
        <v>56</v>
      </c>
      <c r="F233" s="5">
        <v>39</v>
      </c>
      <c r="G233" s="5">
        <v>618</v>
      </c>
      <c r="H233" s="5">
        <f t="shared" si="9"/>
        <v>1.1215973795468371E-3</v>
      </c>
      <c r="I233" s="7">
        <f t="shared" si="10"/>
        <v>102430473600</v>
      </c>
      <c r="J233" s="7">
        <f t="shared" si="11"/>
        <v>0</v>
      </c>
    </row>
    <row r="234" spans="2:10" x14ac:dyDescent="0.2">
      <c r="B234" s="5">
        <v>39096</v>
      </c>
      <c r="C234" s="7">
        <v>1.5322799999999998E-5</v>
      </c>
      <c r="D234" s="5" t="s">
        <v>984</v>
      </c>
      <c r="E234" s="5">
        <v>57</v>
      </c>
      <c r="F234" s="5">
        <v>39</v>
      </c>
      <c r="G234" s="5">
        <v>5.34</v>
      </c>
      <c r="H234" s="5">
        <f t="shared" si="9"/>
        <v>0.12980284280148788</v>
      </c>
      <c r="I234" s="7">
        <f t="shared" si="10"/>
        <v>191228543999.99997</v>
      </c>
      <c r="J234" s="7">
        <f t="shared" si="11"/>
        <v>0</v>
      </c>
    </row>
    <row r="235" spans="2:10" x14ac:dyDescent="0.2">
      <c r="B235" s="5">
        <v>39097</v>
      </c>
      <c r="C235" s="7">
        <v>2.64968E-5</v>
      </c>
      <c r="D235" s="5" t="s">
        <v>985</v>
      </c>
      <c r="E235" s="5">
        <v>58</v>
      </c>
      <c r="F235" s="5">
        <v>39</v>
      </c>
      <c r="G235" s="5">
        <v>3.75</v>
      </c>
      <c r="H235" s="5">
        <f t="shared" si="9"/>
        <v>0.18483924814931874</v>
      </c>
      <c r="I235" s="7">
        <f t="shared" si="10"/>
        <v>330680064000</v>
      </c>
      <c r="J235" s="7">
        <f t="shared" si="11"/>
        <v>0</v>
      </c>
    </row>
    <row r="236" spans="2:10" x14ac:dyDescent="0.2">
      <c r="B236" s="5">
        <v>39098</v>
      </c>
      <c r="C236" s="7">
        <v>2.36196E-5</v>
      </c>
      <c r="D236" s="5" t="s">
        <v>986</v>
      </c>
      <c r="E236" s="5">
        <v>59</v>
      </c>
      <c r="F236" s="5">
        <v>39</v>
      </c>
      <c r="G236" s="5">
        <v>0.54800000000000004</v>
      </c>
      <c r="H236" s="5">
        <f t="shared" si="9"/>
        <v>1.264867117810119</v>
      </c>
      <c r="I236" s="7">
        <f t="shared" si="10"/>
        <v>294772608000</v>
      </c>
      <c r="J236" s="7">
        <f t="shared" si="11"/>
        <v>0</v>
      </c>
    </row>
    <row r="237" spans="2:10" x14ac:dyDescent="0.2">
      <c r="B237" s="5">
        <v>39099</v>
      </c>
      <c r="C237" s="7">
        <v>2.86367E-5</v>
      </c>
      <c r="D237" s="5" t="s">
        <v>987</v>
      </c>
      <c r="E237" s="5">
        <v>60</v>
      </c>
      <c r="F237" s="5">
        <v>39</v>
      </c>
      <c r="G237" s="5">
        <v>1.484</v>
      </c>
      <c r="H237" s="5">
        <f t="shared" si="9"/>
        <v>0.46708031035036746</v>
      </c>
      <c r="I237" s="7">
        <f t="shared" si="10"/>
        <v>357386016000</v>
      </c>
      <c r="J237" s="7">
        <f t="shared" si="11"/>
        <v>0</v>
      </c>
    </row>
    <row r="238" spans="2:10" x14ac:dyDescent="0.2">
      <c r="B238" s="5">
        <v>39100</v>
      </c>
      <c r="C238" s="7">
        <v>1.96514E-5</v>
      </c>
      <c r="D238" s="5" t="s">
        <v>988</v>
      </c>
      <c r="E238" s="5">
        <v>61</v>
      </c>
      <c r="F238" s="5">
        <v>39</v>
      </c>
      <c r="G238" s="5">
        <v>0.73499999999999999</v>
      </c>
      <c r="H238" s="5">
        <f t="shared" si="9"/>
        <v>0.94305738851693233</v>
      </c>
      <c r="I238" s="7">
        <f t="shared" si="10"/>
        <v>245249472000</v>
      </c>
      <c r="J238" s="7">
        <f t="shared" si="11"/>
        <v>0</v>
      </c>
    </row>
    <row r="239" spans="2:10" x14ac:dyDescent="0.2">
      <c r="B239" s="5">
        <v>39101</v>
      </c>
      <c r="C239" s="7">
        <v>1.24008E-5</v>
      </c>
      <c r="D239" s="5" t="s">
        <v>989</v>
      </c>
      <c r="E239" s="5">
        <v>62</v>
      </c>
      <c r="F239" s="5">
        <v>39</v>
      </c>
      <c r="G239" s="5">
        <v>0.45</v>
      </c>
      <c r="H239" s="5">
        <f t="shared" si="9"/>
        <v>1.5403270679109895</v>
      </c>
      <c r="I239" s="7">
        <f t="shared" si="10"/>
        <v>154761984000</v>
      </c>
      <c r="J239" s="7">
        <f t="shared" si="11"/>
        <v>0</v>
      </c>
    </row>
    <row r="240" spans="2:10" x14ac:dyDescent="0.2">
      <c r="B240" s="5">
        <v>39102</v>
      </c>
      <c r="C240" s="7">
        <v>6.2177800000000003E-6</v>
      </c>
      <c r="D240" s="5" t="s">
        <v>990</v>
      </c>
      <c r="E240" s="5">
        <v>63</v>
      </c>
      <c r="F240" s="5">
        <v>39</v>
      </c>
      <c r="G240" s="5">
        <v>0.36</v>
      </c>
      <c r="H240" s="5">
        <f t="shared" si="9"/>
        <v>1.925408834888737</v>
      </c>
      <c r="I240" s="7">
        <f t="shared" si="10"/>
        <v>77597894400</v>
      </c>
      <c r="J240" s="7">
        <f t="shared" si="11"/>
        <v>0</v>
      </c>
    </row>
    <row r="241" spans="2:10" x14ac:dyDescent="0.2">
      <c r="B241" s="5">
        <v>40081</v>
      </c>
      <c r="C241" s="7">
        <v>4.1241299999999996E-6</v>
      </c>
      <c r="D241" s="5" t="s">
        <v>1001</v>
      </c>
      <c r="E241" s="5">
        <v>41</v>
      </c>
      <c r="F241" s="5">
        <v>40</v>
      </c>
      <c r="G241" s="5">
        <v>5.5</v>
      </c>
      <c r="H241" s="5">
        <f t="shared" si="9"/>
        <v>0.12602676010180824</v>
      </c>
      <c r="I241" s="7">
        <f t="shared" si="10"/>
        <v>51469142399.999992</v>
      </c>
      <c r="J241" s="7">
        <f t="shared" si="11"/>
        <v>0</v>
      </c>
    </row>
    <row r="242" spans="2:10" x14ac:dyDescent="0.2">
      <c r="B242" s="5">
        <v>40082</v>
      </c>
      <c r="C242" s="7">
        <v>5.1135500000000002E-7</v>
      </c>
      <c r="D242" s="5" t="s">
        <v>1002</v>
      </c>
      <c r="E242" s="5">
        <v>42</v>
      </c>
      <c r="F242" s="5">
        <v>40</v>
      </c>
      <c r="G242" s="5">
        <v>32</v>
      </c>
      <c r="H242" s="5">
        <f t="shared" si="9"/>
        <v>2.166084939249829E-2</v>
      </c>
      <c r="I242" s="7">
        <f t="shared" si="10"/>
        <v>6381710400</v>
      </c>
      <c r="J242" s="7">
        <f t="shared" si="11"/>
        <v>0</v>
      </c>
    </row>
    <row r="243" spans="2:10" x14ac:dyDescent="0.2">
      <c r="B243" s="5">
        <v>40083</v>
      </c>
      <c r="C243" s="7">
        <v>2.3711100000000001E-7</v>
      </c>
      <c r="D243" s="5" t="s">
        <v>1003</v>
      </c>
      <c r="E243" s="5">
        <v>43</v>
      </c>
      <c r="F243" s="5">
        <v>40</v>
      </c>
      <c r="G243" s="5">
        <v>42</v>
      </c>
      <c r="H243" s="5">
        <f t="shared" si="9"/>
        <v>1.6503504299046318E-2</v>
      </c>
      <c r="I243" s="7">
        <f t="shared" si="10"/>
        <v>2959145280</v>
      </c>
      <c r="J243" s="7">
        <f t="shared" si="11"/>
        <v>0</v>
      </c>
    </row>
    <row r="244" spans="2:10" x14ac:dyDescent="0.2">
      <c r="B244" s="5">
        <v>40084</v>
      </c>
      <c r="C244" s="7">
        <v>3.9576600000000002E-8</v>
      </c>
      <c r="D244" s="5" t="s">
        <v>1004</v>
      </c>
      <c r="E244" s="5">
        <v>44</v>
      </c>
      <c r="F244" s="5">
        <v>40</v>
      </c>
      <c r="G244" s="5">
        <v>1548</v>
      </c>
      <c r="H244" s="5">
        <f t="shared" si="9"/>
        <v>4.4776949648575278E-4</v>
      </c>
      <c r="I244" s="7">
        <f t="shared" si="10"/>
        <v>493915968.00000006</v>
      </c>
      <c r="J244" s="7">
        <f t="shared" si="11"/>
        <v>0</v>
      </c>
    </row>
    <row r="245" spans="2:10" x14ac:dyDescent="0.2">
      <c r="B245" s="5">
        <v>40085</v>
      </c>
      <c r="C245" s="7">
        <v>1.34016E-8</v>
      </c>
      <c r="D245" s="5" t="s">
        <v>1005</v>
      </c>
      <c r="E245" s="5">
        <v>45</v>
      </c>
      <c r="F245" s="5">
        <v>40</v>
      </c>
      <c r="G245" s="5">
        <v>471.6</v>
      </c>
      <c r="H245" s="5">
        <f t="shared" si="9"/>
        <v>1.4697777365562876E-3</v>
      </c>
      <c r="I245" s="7">
        <f t="shared" si="10"/>
        <v>167251968</v>
      </c>
      <c r="J245" s="7">
        <f t="shared" si="11"/>
        <v>0</v>
      </c>
    </row>
    <row r="246" spans="2:10" x14ac:dyDescent="0.2">
      <c r="B246" s="5">
        <v>40086</v>
      </c>
      <c r="C246" s="7">
        <v>1.8845999999999999E-9</v>
      </c>
      <c r="D246" s="5" t="s">
        <v>1006</v>
      </c>
      <c r="E246" s="5">
        <v>46</v>
      </c>
      <c r="F246" s="5">
        <v>40</v>
      </c>
      <c r="G246" s="5">
        <v>59400</v>
      </c>
      <c r="H246" s="5">
        <f t="shared" si="9"/>
        <v>1.1669144453871133E-5</v>
      </c>
      <c r="I246" s="7">
        <f t="shared" si="10"/>
        <v>23518824.406492516</v>
      </c>
      <c r="J246" s="7">
        <f t="shared" si="11"/>
        <v>3.5633154863105492E-153</v>
      </c>
    </row>
    <row r="247" spans="2:10" x14ac:dyDescent="0.2">
      <c r="B247" s="5">
        <v>40087</v>
      </c>
      <c r="C247" s="7">
        <v>2.7919999999999998E-10</v>
      </c>
      <c r="D247" s="5" t="s">
        <v>1007</v>
      </c>
      <c r="E247" s="5">
        <v>47</v>
      </c>
      <c r="F247" s="5">
        <v>40</v>
      </c>
      <c r="G247" s="5">
        <v>6048</v>
      </c>
      <c r="H247" s="5">
        <f t="shared" si="9"/>
        <v>1.146076687433772E-4</v>
      </c>
      <c r="I247" s="7">
        <f t="shared" si="10"/>
        <v>3484415.9999999995</v>
      </c>
      <c r="J247" s="7">
        <f t="shared" si="11"/>
        <v>0</v>
      </c>
    </row>
    <row r="248" spans="2:10" x14ac:dyDescent="0.2">
      <c r="B248" s="5">
        <v>40093</v>
      </c>
      <c r="C248" s="7">
        <v>6.631E-9</v>
      </c>
      <c r="D248" s="5" t="s">
        <v>1013</v>
      </c>
      <c r="E248" s="5">
        <v>53</v>
      </c>
      <c r="F248" s="5">
        <v>40</v>
      </c>
      <c r="G248" s="5">
        <v>50807736000000</v>
      </c>
      <c r="H248" s="5">
        <f t="shared" si="9"/>
        <v>1.3642552003496973E-14</v>
      </c>
      <c r="I248" s="7">
        <f t="shared" si="10"/>
        <v>0.97544541773284976</v>
      </c>
      <c r="J248" s="7">
        <f t="shared" si="11"/>
        <v>0.97544499806557527</v>
      </c>
    </row>
    <row r="249" spans="2:10" x14ac:dyDescent="0.2">
      <c r="B249" s="5">
        <v>40095</v>
      </c>
      <c r="C249" s="7">
        <v>3.2059100000000002E-7</v>
      </c>
      <c r="D249" s="5" t="s">
        <v>1015</v>
      </c>
      <c r="E249" s="5">
        <v>55</v>
      </c>
      <c r="F249" s="5">
        <v>40</v>
      </c>
      <c r="G249" s="5">
        <v>5532364.7999999998</v>
      </c>
      <c r="H249" s="5">
        <f t="shared" si="9"/>
        <v>1.2528949294159802E-7</v>
      </c>
      <c r="I249" s="7">
        <f t="shared" si="10"/>
        <v>410487668.99530959</v>
      </c>
      <c r="J249" s="7">
        <f t="shared" si="11"/>
        <v>7894895.7262064312</v>
      </c>
    </row>
    <row r="250" spans="2:10" x14ac:dyDescent="0.2">
      <c r="B250" s="5">
        <v>40096</v>
      </c>
      <c r="C250" s="7">
        <v>1.9395299999999998E-6</v>
      </c>
      <c r="D250" s="5" t="s">
        <v>1016</v>
      </c>
      <c r="E250" s="5">
        <v>56</v>
      </c>
      <c r="F250" s="5">
        <v>40</v>
      </c>
      <c r="G250" s="5">
        <v>7.4160360000000004E+26</v>
      </c>
      <c r="H250" s="5">
        <f t="shared" si="9"/>
        <v>9.3465994577149465E-28</v>
      </c>
      <c r="I250" s="7">
        <f t="shared" si="10"/>
        <v>0</v>
      </c>
      <c r="J250" s="7">
        <f t="shared" si="11"/>
        <v>0</v>
      </c>
    </row>
    <row r="251" spans="2:10" x14ac:dyDescent="0.2">
      <c r="B251" s="5">
        <v>40097</v>
      </c>
      <c r="C251" s="7">
        <v>5.0529600000000003E-6</v>
      </c>
      <c r="D251" s="5" t="s">
        <v>1017</v>
      </c>
      <c r="E251" s="5">
        <v>57</v>
      </c>
      <c r="F251" s="5">
        <v>40</v>
      </c>
      <c r="G251" s="5">
        <v>60296.3999999999</v>
      </c>
      <c r="H251" s="5">
        <f t="shared" si="9"/>
        <v>1.149566442706275E-5</v>
      </c>
      <c r="I251" s="7">
        <f t="shared" si="10"/>
        <v>63057877162.954498</v>
      </c>
      <c r="J251" s="7">
        <f t="shared" si="11"/>
        <v>2.2706227316734613E-147</v>
      </c>
    </row>
    <row r="252" spans="2:10" x14ac:dyDescent="0.2">
      <c r="B252" s="5">
        <v>40098</v>
      </c>
      <c r="C252" s="7">
        <v>1.28967E-5</v>
      </c>
      <c r="D252" s="5" t="s">
        <v>1018</v>
      </c>
      <c r="E252" s="5">
        <v>58</v>
      </c>
      <c r="F252" s="5">
        <v>40</v>
      </c>
      <c r="G252" s="5">
        <v>30.7</v>
      </c>
      <c r="H252" s="5">
        <f t="shared" si="9"/>
        <v>2.2578084057327207E-2</v>
      </c>
      <c r="I252" s="7">
        <f t="shared" si="10"/>
        <v>160950816000</v>
      </c>
      <c r="J252" s="7">
        <f t="shared" si="11"/>
        <v>0</v>
      </c>
    </row>
    <row r="253" spans="2:10" x14ac:dyDescent="0.2">
      <c r="B253" s="5">
        <v>40099</v>
      </c>
      <c r="C253" s="7">
        <v>1.52091E-5</v>
      </c>
      <c r="D253" s="5" t="s">
        <v>1019</v>
      </c>
      <c r="E253" s="5">
        <v>59</v>
      </c>
      <c r="F253" s="5">
        <v>40</v>
      </c>
      <c r="G253" s="5">
        <v>2.1</v>
      </c>
      <c r="H253" s="5">
        <f t="shared" si="9"/>
        <v>0.3300700859809263</v>
      </c>
      <c r="I253" s="7">
        <f t="shared" si="10"/>
        <v>189809568000</v>
      </c>
      <c r="J253" s="7">
        <f t="shared" si="11"/>
        <v>0</v>
      </c>
    </row>
    <row r="254" spans="2:10" x14ac:dyDescent="0.2">
      <c r="B254" s="5">
        <v>40100</v>
      </c>
      <c r="C254" s="7">
        <v>2.7160200000000001E-5</v>
      </c>
      <c r="D254" s="5" t="s">
        <v>1020</v>
      </c>
      <c r="E254" s="5">
        <v>60</v>
      </c>
      <c r="F254" s="5">
        <v>40</v>
      </c>
      <c r="G254" s="5">
        <v>7.1</v>
      </c>
      <c r="H254" s="5">
        <f t="shared" si="9"/>
        <v>9.7626363459147228E-2</v>
      </c>
      <c r="I254" s="7">
        <f t="shared" si="10"/>
        <v>338959296000</v>
      </c>
      <c r="J254" s="7">
        <f t="shared" si="11"/>
        <v>0</v>
      </c>
    </row>
    <row r="255" spans="2:10" x14ac:dyDescent="0.2">
      <c r="B255" s="5">
        <v>40101</v>
      </c>
      <c r="C255" s="7">
        <v>1.9953300000000001E-5</v>
      </c>
      <c r="D255" s="5" t="s">
        <v>1021</v>
      </c>
      <c r="E255" s="5">
        <v>61</v>
      </c>
      <c r="F255" s="5">
        <v>40</v>
      </c>
      <c r="G255" s="5">
        <v>2.2999999999999998</v>
      </c>
      <c r="H255" s="5">
        <f t="shared" si="9"/>
        <v>0.30136833937388929</v>
      </c>
      <c r="I255" s="7">
        <f t="shared" si="10"/>
        <v>249017184000</v>
      </c>
      <c r="J255" s="7">
        <f t="shared" si="11"/>
        <v>0</v>
      </c>
    </row>
    <row r="256" spans="2:10" x14ac:dyDescent="0.2">
      <c r="B256" s="5">
        <v>40102</v>
      </c>
      <c r="C256" s="7">
        <v>1.7580100000000001E-5</v>
      </c>
      <c r="D256" s="5" t="s">
        <v>1022</v>
      </c>
      <c r="E256" s="5">
        <v>62</v>
      </c>
      <c r="F256" s="5">
        <v>40</v>
      </c>
      <c r="G256" s="5">
        <v>2.9</v>
      </c>
      <c r="H256" s="5">
        <f t="shared" si="9"/>
        <v>0.23901626915860183</v>
      </c>
      <c r="I256" s="7">
        <f t="shared" si="10"/>
        <v>219399648000.00003</v>
      </c>
      <c r="J256" s="7">
        <f t="shared" si="11"/>
        <v>0</v>
      </c>
    </row>
    <row r="257" spans="2:10" x14ac:dyDescent="0.2">
      <c r="B257" s="5">
        <v>41084</v>
      </c>
      <c r="C257" s="7">
        <v>8.6783699999999994E-6</v>
      </c>
      <c r="D257" s="5" t="s">
        <v>1035</v>
      </c>
      <c r="E257" s="5">
        <v>43</v>
      </c>
      <c r="F257" s="5">
        <v>41</v>
      </c>
      <c r="G257" s="5">
        <v>9.8000000000000007</v>
      </c>
      <c r="H257" s="5">
        <f t="shared" si="9"/>
        <v>7.0729304138769919E-2</v>
      </c>
      <c r="I257" s="7">
        <f t="shared" si="10"/>
        <v>108306057599.99998</v>
      </c>
      <c r="J257" s="7">
        <f t="shared" si="11"/>
        <v>0</v>
      </c>
    </row>
    <row r="258" spans="2:10" x14ac:dyDescent="0.2">
      <c r="B258" s="5">
        <v>41085</v>
      </c>
      <c r="C258" s="7">
        <v>6.61243E-6</v>
      </c>
      <c r="D258" s="5" t="s">
        <v>1036</v>
      </c>
      <c r="E258" s="5">
        <v>44</v>
      </c>
      <c r="F258" s="5">
        <v>41</v>
      </c>
      <c r="G258" s="5">
        <v>20.5</v>
      </c>
      <c r="H258" s="5">
        <f t="shared" si="9"/>
        <v>3.3812057588290013E-2</v>
      </c>
      <c r="I258" s="7">
        <f t="shared" si="10"/>
        <v>82523126400</v>
      </c>
      <c r="J258" s="7">
        <f t="shared" si="11"/>
        <v>0</v>
      </c>
    </row>
    <row r="259" spans="2:10" x14ac:dyDescent="0.2">
      <c r="B259" s="5">
        <v>41086</v>
      </c>
      <c r="C259" s="7">
        <v>3.0097799999999998E-6</v>
      </c>
      <c r="D259" s="5" t="s">
        <v>1037</v>
      </c>
      <c r="E259" s="5">
        <v>45</v>
      </c>
      <c r="F259" s="5">
        <v>41</v>
      </c>
      <c r="G259" s="5">
        <v>88</v>
      </c>
      <c r="H259" s="5">
        <f t="shared" si="9"/>
        <v>7.8766725063630152E-3</v>
      </c>
      <c r="I259" s="7">
        <f t="shared" si="10"/>
        <v>37562054400</v>
      </c>
      <c r="J259" s="7">
        <f t="shared" si="11"/>
        <v>0</v>
      </c>
    </row>
    <row r="260" spans="2:10" x14ac:dyDescent="0.2">
      <c r="B260" s="5">
        <v>41087</v>
      </c>
      <c r="C260" s="7">
        <v>7.1314700000000003E-7</v>
      </c>
      <c r="D260" s="5" t="s">
        <v>1038</v>
      </c>
      <c r="E260" s="5">
        <v>46</v>
      </c>
      <c r="F260" s="5">
        <v>41</v>
      </c>
      <c r="G260" s="5">
        <v>222</v>
      </c>
      <c r="H260" s="5">
        <f t="shared" ref="H260:H323" si="12">LN(2)/G260</f>
        <v>3.1222845971168706E-3</v>
      </c>
      <c r="I260" s="7">
        <f t="shared" ref="I260:I323" si="13">2*6240000000000000*C260*(1-EXP(-H260*10*24*3600))</f>
        <v>8900074560</v>
      </c>
      <c r="J260" s="7">
        <f t="shared" ref="J260:J323" si="14">EXP(-H260*365*24*3600)*I260</f>
        <v>0</v>
      </c>
    </row>
    <row r="261" spans="2:10" x14ac:dyDescent="0.2">
      <c r="B261" s="5">
        <v>41088</v>
      </c>
      <c r="C261" s="7">
        <v>1.3701699999999999E-7</v>
      </c>
      <c r="D261" s="5" t="s">
        <v>1039</v>
      </c>
      <c r="E261" s="5">
        <v>47</v>
      </c>
      <c r="F261" s="5">
        <v>41</v>
      </c>
      <c r="G261" s="5">
        <v>873</v>
      </c>
      <c r="H261" s="5">
        <f t="shared" si="12"/>
        <v>7.9398302469638638E-4</v>
      </c>
      <c r="I261" s="7">
        <f t="shared" si="13"/>
        <v>1709972159.9999998</v>
      </c>
      <c r="J261" s="7">
        <f t="shared" si="14"/>
        <v>0</v>
      </c>
    </row>
    <row r="262" spans="2:10" x14ac:dyDescent="0.2">
      <c r="B262" s="5">
        <v>41089</v>
      </c>
      <c r="C262" s="7">
        <v>6.3797199999999996E-8</v>
      </c>
      <c r="D262" s="5" t="s">
        <v>1040</v>
      </c>
      <c r="E262" s="5">
        <v>48</v>
      </c>
      <c r="F262" s="5">
        <v>41</v>
      </c>
      <c r="G262" s="5">
        <v>7307.99999999999</v>
      </c>
      <c r="H262" s="5">
        <f t="shared" si="12"/>
        <v>9.4847725856588155E-5</v>
      </c>
      <c r="I262" s="7">
        <f t="shared" si="13"/>
        <v>796189056</v>
      </c>
      <c r="J262" s="7">
        <f t="shared" si="14"/>
        <v>0</v>
      </c>
    </row>
    <row r="263" spans="2:10" x14ac:dyDescent="0.2">
      <c r="B263" s="5">
        <v>41090</v>
      </c>
      <c r="C263" s="7">
        <v>7.6082000000000003E-9</v>
      </c>
      <c r="D263" s="5" t="s">
        <v>1041</v>
      </c>
      <c r="E263" s="5">
        <v>49</v>
      </c>
      <c r="F263" s="5">
        <v>41</v>
      </c>
      <c r="G263" s="5">
        <v>52560</v>
      </c>
      <c r="H263" s="5">
        <f t="shared" si="12"/>
        <v>1.3187731745813266E-5</v>
      </c>
      <c r="I263" s="7">
        <f t="shared" si="13"/>
        <v>94949266.801794887</v>
      </c>
      <c r="J263" s="7">
        <f t="shared" si="14"/>
        <v>2.2882012424259049E-173</v>
      </c>
    </row>
    <row r="264" spans="2:10" x14ac:dyDescent="0.2">
      <c r="B264" s="5">
        <v>41091</v>
      </c>
      <c r="C264" s="7">
        <v>2.9316000000000001E-9</v>
      </c>
      <c r="D264" s="5" t="s">
        <v>1042</v>
      </c>
      <c r="E264" s="5">
        <v>50</v>
      </c>
      <c r="F264" s="5">
        <v>41</v>
      </c>
      <c r="G264" s="5">
        <v>21459168000</v>
      </c>
      <c r="H264" s="5">
        <f t="shared" si="12"/>
        <v>3.2300748125926655E-11</v>
      </c>
      <c r="I264" s="7">
        <f t="shared" si="13"/>
        <v>1021.0324902996663</v>
      </c>
      <c r="J264" s="7">
        <f t="shared" si="14"/>
        <v>1019.9929589888134</v>
      </c>
    </row>
    <row r="265" spans="2:10" x14ac:dyDescent="0.2">
      <c r="B265" s="5">
        <v>41092</v>
      </c>
      <c r="C265" s="7">
        <v>4.1879999999999999E-10</v>
      </c>
      <c r="D265" s="5" t="s">
        <v>1043</v>
      </c>
      <c r="E265" s="5">
        <v>51</v>
      </c>
      <c r="F265" s="5">
        <v>41</v>
      </c>
      <c r="G265" s="5">
        <v>1095048720000000</v>
      </c>
      <c r="H265" s="5">
        <f t="shared" si="12"/>
        <v>6.3298296039279903E-16</v>
      </c>
      <c r="I265" s="7">
        <f t="shared" si="13"/>
        <v>2.8584265809996623E-3</v>
      </c>
      <c r="J265" s="7">
        <f t="shared" si="14"/>
        <v>2.8584265239404642E-3</v>
      </c>
    </row>
    <row r="266" spans="2:10" x14ac:dyDescent="0.2">
      <c r="B266" s="5">
        <v>41095</v>
      </c>
      <c r="C266" s="7">
        <v>1.6054000000000001E-9</v>
      </c>
      <c r="D266" s="5" t="s">
        <v>1046</v>
      </c>
      <c r="E266" s="5">
        <v>54</v>
      </c>
      <c r="F266" s="5">
        <v>41</v>
      </c>
      <c r="G266" s="5">
        <v>3023222.4</v>
      </c>
      <c r="H266" s="5">
        <f t="shared" si="12"/>
        <v>2.2927429373371449E-7</v>
      </c>
      <c r="I266" s="7">
        <f t="shared" si="13"/>
        <v>3600488.7565948297</v>
      </c>
      <c r="J266" s="7">
        <f t="shared" si="14"/>
        <v>2607.6012925745686</v>
      </c>
    </row>
    <row r="267" spans="2:10" x14ac:dyDescent="0.2">
      <c r="B267" s="5">
        <v>41096</v>
      </c>
      <c r="C267" s="7">
        <v>1.5844599999999999E-8</v>
      </c>
      <c r="D267" s="5" t="s">
        <v>1047</v>
      </c>
      <c r="E267" s="5">
        <v>55</v>
      </c>
      <c r="F267" s="5">
        <v>41</v>
      </c>
      <c r="G267" s="5">
        <v>84060</v>
      </c>
      <c r="H267" s="5">
        <f t="shared" si="12"/>
        <v>8.2458622479175036E-6</v>
      </c>
      <c r="I267" s="7">
        <f t="shared" si="13"/>
        <v>197581388.07732838</v>
      </c>
      <c r="J267" s="7">
        <f t="shared" si="14"/>
        <v>2.2969543804051906E-105</v>
      </c>
    </row>
    <row r="268" spans="2:10" x14ac:dyDescent="0.2">
      <c r="B268" s="5">
        <v>41097</v>
      </c>
      <c r="C268" s="7">
        <v>1.4406699999999999E-7</v>
      </c>
      <c r="D268" s="5" t="s">
        <v>1048</v>
      </c>
      <c r="E268" s="5">
        <v>56</v>
      </c>
      <c r="F268" s="5">
        <v>41</v>
      </c>
      <c r="G268" s="5">
        <v>4326</v>
      </c>
      <c r="H268" s="5">
        <f t="shared" si="12"/>
        <v>1.6022819707811958E-4</v>
      </c>
      <c r="I268" s="7">
        <f t="shared" si="13"/>
        <v>1797956159.9999998</v>
      </c>
      <c r="J268" s="7">
        <f t="shared" si="14"/>
        <v>0</v>
      </c>
    </row>
    <row r="269" spans="2:10" x14ac:dyDescent="0.2">
      <c r="B269" s="5">
        <v>41098</v>
      </c>
      <c r="C269" s="7">
        <v>5.4011200000000004E-7</v>
      </c>
      <c r="D269" s="5" t="s">
        <v>1049</v>
      </c>
      <c r="E269" s="5">
        <v>57</v>
      </c>
      <c r="F269" s="5">
        <v>41</v>
      </c>
      <c r="G269" s="5">
        <v>2.86</v>
      </c>
      <c r="H269" s="5">
        <f t="shared" si="12"/>
        <v>0.24235915404193892</v>
      </c>
      <c r="I269" s="7">
        <f t="shared" si="13"/>
        <v>6740597760.000001</v>
      </c>
      <c r="J269" s="7">
        <f t="shared" si="14"/>
        <v>0</v>
      </c>
    </row>
    <row r="270" spans="2:10" x14ac:dyDescent="0.2">
      <c r="B270" s="5">
        <v>41099</v>
      </c>
      <c r="C270" s="7">
        <v>2.3530300000000002E-6</v>
      </c>
      <c r="D270" s="5" t="s">
        <v>1050</v>
      </c>
      <c r="E270" s="5">
        <v>58</v>
      </c>
      <c r="F270" s="5">
        <v>41</v>
      </c>
      <c r="G270" s="5">
        <v>15</v>
      </c>
      <c r="H270" s="5">
        <f t="shared" si="12"/>
        <v>4.6209812037329684E-2</v>
      </c>
      <c r="I270" s="7">
        <f t="shared" si="13"/>
        <v>29365814400.000004</v>
      </c>
      <c r="J270" s="7">
        <f t="shared" si="14"/>
        <v>0</v>
      </c>
    </row>
    <row r="271" spans="2:10" x14ac:dyDescent="0.2">
      <c r="B271" s="5">
        <v>41100</v>
      </c>
      <c r="C271" s="7">
        <v>5.5206899999999997E-6</v>
      </c>
      <c r="D271" s="5" t="s">
        <v>1051</v>
      </c>
      <c r="E271" s="5">
        <v>59</v>
      </c>
      <c r="F271" s="5">
        <v>41</v>
      </c>
      <c r="G271" s="5">
        <v>1.5</v>
      </c>
      <c r="H271" s="5">
        <f t="shared" si="12"/>
        <v>0.46209812037329684</v>
      </c>
      <c r="I271" s="7">
        <f t="shared" si="13"/>
        <v>68898211200</v>
      </c>
      <c r="J271" s="7">
        <f t="shared" si="14"/>
        <v>0</v>
      </c>
    </row>
    <row r="272" spans="2:10" x14ac:dyDescent="0.2">
      <c r="B272" s="5">
        <v>41101</v>
      </c>
      <c r="C272" s="7">
        <v>1.2611300000000001E-5</v>
      </c>
      <c r="D272" s="5" t="s">
        <v>1052</v>
      </c>
      <c r="E272" s="5">
        <v>60</v>
      </c>
      <c r="F272" s="5">
        <v>41</v>
      </c>
      <c r="G272" s="5">
        <v>7.1</v>
      </c>
      <c r="H272" s="5">
        <f t="shared" si="12"/>
        <v>9.7626363459147228E-2</v>
      </c>
      <c r="I272" s="7">
        <f t="shared" si="13"/>
        <v>157389024000</v>
      </c>
      <c r="J272" s="7">
        <f t="shared" si="14"/>
        <v>0</v>
      </c>
    </row>
    <row r="273" spans="2:10" x14ac:dyDescent="0.2">
      <c r="B273" s="5">
        <v>41102</v>
      </c>
      <c r="C273" s="7">
        <v>1.44658E-5</v>
      </c>
      <c r="D273" s="5" t="s">
        <v>1053</v>
      </c>
      <c r="E273" s="5">
        <v>61</v>
      </c>
      <c r="F273" s="5">
        <v>41</v>
      </c>
      <c r="G273" s="5">
        <v>4.3</v>
      </c>
      <c r="H273" s="5">
        <f t="shared" si="12"/>
        <v>0.16119701873487099</v>
      </c>
      <c r="I273" s="7">
        <f t="shared" si="13"/>
        <v>180533184000</v>
      </c>
      <c r="J273" s="7">
        <f t="shared" si="14"/>
        <v>0</v>
      </c>
    </row>
    <row r="274" spans="2:10" x14ac:dyDescent="0.2">
      <c r="B274" s="5">
        <v>41103</v>
      </c>
      <c r="C274" s="7">
        <v>1.8581699999999999E-5</v>
      </c>
      <c r="D274" s="5" t="s">
        <v>1054</v>
      </c>
      <c r="E274" s="5">
        <v>62</v>
      </c>
      <c r="F274" s="5">
        <v>41</v>
      </c>
      <c r="G274" s="5">
        <v>1.5</v>
      </c>
      <c r="H274" s="5">
        <f t="shared" si="12"/>
        <v>0.46209812037329684</v>
      </c>
      <c r="I274" s="7">
        <f t="shared" si="13"/>
        <v>231899615999.99997</v>
      </c>
      <c r="J274" s="7">
        <f t="shared" si="14"/>
        <v>0</v>
      </c>
    </row>
    <row r="275" spans="2:10" x14ac:dyDescent="0.2">
      <c r="B275" s="5">
        <v>41104</v>
      </c>
      <c r="C275" s="7">
        <v>1.14173E-5</v>
      </c>
      <c r="D275" s="5" t="s">
        <v>1055</v>
      </c>
      <c r="E275" s="5">
        <v>63</v>
      </c>
      <c r="F275" s="5">
        <v>41</v>
      </c>
      <c r="G275" s="5">
        <v>4.9000000000000004</v>
      </c>
      <c r="H275" s="5">
        <f t="shared" si="12"/>
        <v>0.14145860827753984</v>
      </c>
      <c r="I275" s="7">
        <f t="shared" si="13"/>
        <v>142487904000</v>
      </c>
      <c r="J275" s="7">
        <f t="shared" si="14"/>
        <v>0</v>
      </c>
    </row>
    <row r="276" spans="2:10" x14ac:dyDescent="0.2">
      <c r="B276" s="5">
        <v>41105</v>
      </c>
      <c r="C276" s="7">
        <v>9.5032000000000008E-6</v>
      </c>
      <c r="D276" s="5" t="s">
        <v>1056</v>
      </c>
      <c r="E276" s="5">
        <v>64</v>
      </c>
      <c r="F276" s="5">
        <v>41</v>
      </c>
      <c r="G276" s="5">
        <v>2.95</v>
      </c>
      <c r="H276" s="5">
        <f t="shared" si="12"/>
        <v>0.23496514595252382</v>
      </c>
      <c r="I276" s="7">
        <f t="shared" si="13"/>
        <v>118599936000.00002</v>
      </c>
      <c r="J276" s="7">
        <f t="shared" si="14"/>
        <v>0</v>
      </c>
    </row>
    <row r="277" spans="2:10" x14ac:dyDescent="0.2">
      <c r="B277" s="5">
        <v>41106</v>
      </c>
      <c r="C277" s="7">
        <v>3.67253E-6</v>
      </c>
      <c r="D277" s="5" t="s">
        <v>1057</v>
      </c>
      <c r="E277" s="5">
        <v>65</v>
      </c>
      <c r="F277" s="5">
        <v>41</v>
      </c>
      <c r="G277" s="5">
        <v>1.02</v>
      </c>
      <c r="H277" s="5">
        <f t="shared" si="12"/>
        <v>0.67955605937249541</v>
      </c>
      <c r="I277" s="7">
        <f t="shared" si="13"/>
        <v>45833174400</v>
      </c>
      <c r="J277" s="7">
        <f t="shared" si="14"/>
        <v>0</v>
      </c>
    </row>
    <row r="278" spans="2:10" x14ac:dyDescent="0.2">
      <c r="B278" s="5">
        <v>42087</v>
      </c>
      <c r="C278" s="7">
        <v>2.77825E-6</v>
      </c>
      <c r="D278" s="5" t="s">
        <v>1073</v>
      </c>
      <c r="E278" s="5">
        <v>45</v>
      </c>
      <c r="F278" s="5">
        <v>42</v>
      </c>
      <c r="G278" s="5">
        <v>14.02</v>
      </c>
      <c r="H278" s="5">
        <f t="shared" si="12"/>
        <v>4.9439884490723632E-2</v>
      </c>
      <c r="I278" s="7">
        <f t="shared" si="13"/>
        <v>34672560000</v>
      </c>
      <c r="J278" s="7">
        <f t="shared" si="14"/>
        <v>0</v>
      </c>
    </row>
    <row r="279" spans="2:10" x14ac:dyDescent="0.2">
      <c r="B279" s="5">
        <v>42088</v>
      </c>
      <c r="C279" s="7">
        <v>1.35824E-6</v>
      </c>
      <c r="D279" s="5" t="s">
        <v>1074</v>
      </c>
      <c r="E279" s="5">
        <v>46</v>
      </c>
      <c r="F279" s="5">
        <v>42</v>
      </c>
      <c r="G279" s="5">
        <v>480</v>
      </c>
      <c r="H279" s="5">
        <f t="shared" si="12"/>
        <v>1.4440566261665526E-3</v>
      </c>
      <c r="I279" s="7">
        <f t="shared" si="13"/>
        <v>16950835200</v>
      </c>
      <c r="J279" s="7">
        <f t="shared" si="14"/>
        <v>0</v>
      </c>
    </row>
    <row r="280" spans="2:10" x14ac:dyDescent="0.2">
      <c r="B280" s="5">
        <v>42089</v>
      </c>
      <c r="C280" s="7">
        <v>2.7221999999999999E-7</v>
      </c>
      <c r="D280" s="5" t="s">
        <v>1075</v>
      </c>
      <c r="E280" s="5">
        <v>47</v>
      </c>
      <c r="F280" s="5">
        <v>42</v>
      </c>
      <c r="G280" s="5">
        <v>126.6</v>
      </c>
      <c r="H280" s="5">
        <f t="shared" si="12"/>
        <v>5.4750962129537541E-3</v>
      </c>
      <c r="I280" s="7">
        <f t="shared" si="13"/>
        <v>3397305600</v>
      </c>
      <c r="J280" s="7">
        <f t="shared" si="14"/>
        <v>0</v>
      </c>
    </row>
    <row r="281" spans="2:10" x14ac:dyDescent="0.2">
      <c r="B281" s="5">
        <v>42090</v>
      </c>
      <c r="C281" s="7">
        <v>5.5909799999999998E-8</v>
      </c>
      <c r="D281" s="5" t="s">
        <v>1076</v>
      </c>
      <c r="E281" s="5">
        <v>48</v>
      </c>
      <c r="F281" s="5">
        <v>42</v>
      </c>
      <c r="G281" s="5">
        <v>20016</v>
      </c>
      <c r="H281" s="5">
        <f t="shared" si="12"/>
        <v>3.4629655303754263E-5</v>
      </c>
      <c r="I281" s="7">
        <f t="shared" si="13"/>
        <v>697754303.99992931</v>
      </c>
      <c r="J281" s="7">
        <f t="shared" si="14"/>
        <v>0</v>
      </c>
    </row>
    <row r="282" spans="2:10" x14ac:dyDescent="0.2">
      <c r="B282" s="5">
        <v>42091</v>
      </c>
      <c r="C282" s="7">
        <v>2.10098E-8</v>
      </c>
      <c r="D282" s="5" t="s">
        <v>1077</v>
      </c>
      <c r="E282" s="5">
        <v>49</v>
      </c>
      <c r="F282" s="5">
        <v>42</v>
      </c>
      <c r="G282" s="5">
        <v>929.4</v>
      </c>
      <c r="H282" s="5">
        <f t="shared" si="12"/>
        <v>7.4580071073805177E-4</v>
      </c>
      <c r="I282" s="7">
        <f t="shared" si="13"/>
        <v>262202304</v>
      </c>
      <c r="J282" s="7">
        <f t="shared" si="14"/>
        <v>0</v>
      </c>
    </row>
    <row r="283" spans="2:10" x14ac:dyDescent="0.2">
      <c r="B283" s="5">
        <v>42093</v>
      </c>
      <c r="C283" s="7">
        <v>7.6779999999999997E-10</v>
      </c>
      <c r="D283" s="5" t="s">
        <v>1079</v>
      </c>
      <c r="E283" s="5">
        <v>51</v>
      </c>
      <c r="F283" s="5">
        <v>42</v>
      </c>
      <c r="G283" s="5">
        <v>126230400000</v>
      </c>
      <c r="H283" s="5">
        <f t="shared" si="12"/>
        <v>5.4911271814075315E-12</v>
      </c>
      <c r="I283" s="7">
        <f t="shared" si="13"/>
        <v>45.460782627175298</v>
      </c>
      <c r="J283" s="7">
        <f t="shared" si="14"/>
        <v>45.452910947459486</v>
      </c>
    </row>
    <row r="284" spans="2:10" x14ac:dyDescent="0.2">
      <c r="B284" s="5">
        <v>42099</v>
      </c>
      <c r="C284" s="7">
        <v>3.77618E-8</v>
      </c>
      <c r="D284" s="5" t="s">
        <v>1085</v>
      </c>
      <c r="E284" s="5">
        <v>57</v>
      </c>
      <c r="F284" s="5">
        <v>42</v>
      </c>
      <c r="G284" s="5">
        <v>237513.60000000001</v>
      </c>
      <c r="H284" s="5">
        <f t="shared" si="12"/>
        <v>2.9183473306789393E-6</v>
      </c>
      <c r="I284" s="7">
        <f t="shared" si="13"/>
        <v>433404305.76579106</v>
      </c>
      <c r="J284" s="7">
        <f t="shared" si="14"/>
        <v>4.6501670207253422E-32</v>
      </c>
    </row>
    <row r="285" spans="2:10" x14ac:dyDescent="0.2">
      <c r="B285" s="5">
        <v>42100</v>
      </c>
      <c r="C285" s="7">
        <v>2.7940900000000001E-7</v>
      </c>
      <c r="D285" s="5" t="s">
        <v>1086</v>
      </c>
      <c r="E285" s="5">
        <v>58</v>
      </c>
      <c r="F285" s="5">
        <v>42</v>
      </c>
      <c r="G285" s="5">
        <v>2.3037048000000002E+26</v>
      </c>
      <c r="H285" s="5">
        <f t="shared" si="12"/>
        <v>3.0088368117301542E-27</v>
      </c>
      <c r="I285" s="7">
        <f t="shared" si="13"/>
        <v>0</v>
      </c>
      <c r="J285" s="7">
        <f t="shared" si="14"/>
        <v>0</v>
      </c>
    </row>
    <row r="286" spans="2:10" x14ac:dyDescent="0.2">
      <c r="B286" s="5">
        <v>42101</v>
      </c>
      <c r="C286" s="7">
        <v>7.329E-7</v>
      </c>
      <c r="D286" s="5" t="s">
        <v>1087</v>
      </c>
      <c r="E286" s="5">
        <v>59</v>
      </c>
      <c r="F286" s="5">
        <v>42</v>
      </c>
      <c r="G286" s="5">
        <v>876.599999999999</v>
      </c>
      <c r="H286" s="5">
        <f t="shared" si="12"/>
        <v>7.9072231412268543E-4</v>
      </c>
      <c r="I286" s="7">
        <f t="shared" si="13"/>
        <v>9146592000</v>
      </c>
      <c r="J286" s="7">
        <f t="shared" si="14"/>
        <v>0</v>
      </c>
    </row>
    <row r="287" spans="2:10" x14ac:dyDescent="0.2">
      <c r="B287" s="5">
        <v>42102</v>
      </c>
      <c r="C287" s="7">
        <v>3.9265999999999998E-6</v>
      </c>
      <c r="D287" s="5" t="s">
        <v>1088</v>
      </c>
      <c r="E287" s="5">
        <v>60</v>
      </c>
      <c r="F287" s="5">
        <v>42</v>
      </c>
      <c r="G287" s="5">
        <v>678</v>
      </c>
      <c r="H287" s="5">
        <f t="shared" si="12"/>
        <v>1.0223409742772054E-3</v>
      </c>
      <c r="I287" s="7">
        <f t="shared" si="13"/>
        <v>49003968000</v>
      </c>
      <c r="J287" s="7">
        <f t="shared" si="14"/>
        <v>0</v>
      </c>
    </row>
    <row r="288" spans="2:10" x14ac:dyDescent="0.2">
      <c r="B288" s="5">
        <v>42103</v>
      </c>
      <c r="C288" s="7">
        <v>5.9638499999999997E-6</v>
      </c>
      <c r="D288" s="5" t="s">
        <v>1089</v>
      </c>
      <c r="E288" s="5">
        <v>61</v>
      </c>
      <c r="F288" s="5">
        <v>42</v>
      </c>
      <c r="G288" s="5">
        <v>67.5</v>
      </c>
      <c r="H288" s="5">
        <f t="shared" si="12"/>
        <v>1.0268847119406597E-2</v>
      </c>
      <c r="I288" s="7">
        <f t="shared" si="13"/>
        <v>74428848000</v>
      </c>
      <c r="J288" s="7">
        <f t="shared" si="14"/>
        <v>0</v>
      </c>
    </row>
    <row r="289" spans="2:10" x14ac:dyDescent="0.2">
      <c r="B289" s="5">
        <v>42104</v>
      </c>
      <c r="C289" s="7">
        <v>1.07374E-5</v>
      </c>
      <c r="D289" s="5" t="s">
        <v>1090</v>
      </c>
      <c r="E289" s="5">
        <v>62</v>
      </c>
      <c r="F289" s="5">
        <v>42</v>
      </c>
      <c r="G289" s="5">
        <v>60</v>
      </c>
      <c r="H289" s="5">
        <f t="shared" si="12"/>
        <v>1.1552453009332421E-2</v>
      </c>
      <c r="I289" s="7">
        <f t="shared" si="13"/>
        <v>134002752000</v>
      </c>
      <c r="J289" s="7">
        <f t="shared" si="14"/>
        <v>0</v>
      </c>
    </row>
    <row r="290" spans="2:10" x14ac:dyDescent="0.2">
      <c r="B290" s="5">
        <v>42105</v>
      </c>
      <c r="C290" s="7">
        <v>8.3656E-6</v>
      </c>
      <c r="D290" s="5" t="s">
        <v>1091</v>
      </c>
      <c r="E290" s="5">
        <v>63</v>
      </c>
      <c r="F290" s="5">
        <v>42</v>
      </c>
      <c r="G290" s="5">
        <v>35.6</v>
      </c>
      <c r="H290" s="5">
        <f t="shared" si="12"/>
        <v>1.9470426420223182E-2</v>
      </c>
      <c r="I290" s="7">
        <f t="shared" si="13"/>
        <v>104402688000</v>
      </c>
      <c r="J290" s="7">
        <f t="shared" si="14"/>
        <v>0</v>
      </c>
    </row>
    <row r="291" spans="2:10" x14ac:dyDescent="0.2">
      <c r="B291" s="5">
        <v>42106</v>
      </c>
      <c r="C291" s="7">
        <v>9.7631399999999992E-6</v>
      </c>
      <c r="D291" s="5" t="s">
        <v>1092</v>
      </c>
      <c r="E291" s="5">
        <v>64</v>
      </c>
      <c r="F291" s="5">
        <v>42</v>
      </c>
      <c r="G291" s="5">
        <v>8.73</v>
      </c>
      <c r="H291" s="5">
        <f t="shared" si="12"/>
        <v>7.9398302469638637E-2</v>
      </c>
      <c r="I291" s="7">
        <f t="shared" si="13"/>
        <v>121843987199.99998</v>
      </c>
      <c r="J291" s="7">
        <f t="shared" si="14"/>
        <v>0</v>
      </c>
    </row>
    <row r="292" spans="2:10" x14ac:dyDescent="0.2">
      <c r="B292" s="5">
        <v>42107</v>
      </c>
      <c r="C292" s="7">
        <v>4.9592900000000003E-6</v>
      </c>
      <c r="D292" s="5" t="s">
        <v>1093</v>
      </c>
      <c r="E292" s="5">
        <v>65</v>
      </c>
      <c r="F292" s="5">
        <v>42</v>
      </c>
      <c r="G292" s="5">
        <v>3.5</v>
      </c>
      <c r="H292" s="5">
        <f t="shared" si="12"/>
        <v>0.19804205158855578</v>
      </c>
      <c r="I292" s="7">
        <f t="shared" si="13"/>
        <v>61891939200</v>
      </c>
      <c r="J292" s="7">
        <f t="shared" si="14"/>
        <v>0</v>
      </c>
    </row>
    <row r="293" spans="2:10" x14ac:dyDescent="0.2">
      <c r="B293" s="5">
        <v>42108</v>
      </c>
      <c r="C293" s="7">
        <v>3.6742700000000001E-6</v>
      </c>
      <c r="D293" s="5" t="s">
        <v>1094</v>
      </c>
      <c r="E293" s="5">
        <v>66</v>
      </c>
      <c r="F293" s="5">
        <v>42</v>
      </c>
      <c r="G293" s="5">
        <v>1.0900000000000001</v>
      </c>
      <c r="H293" s="5">
        <f t="shared" si="12"/>
        <v>0.63591484455040848</v>
      </c>
      <c r="I293" s="7">
        <f t="shared" si="13"/>
        <v>45854889600</v>
      </c>
      <c r="J293" s="7">
        <f t="shared" si="14"/>
        <v>0</v>
      </c>
    </row>
    <row r="294" spans="2:10" x14ac:dyDescent="0.2">
      <c r="B294" s="5">
        <v>43090</v>
      </c>
      <c r="C294" s="7">
        <v>1.3644499999999999E-6</v>
      </c>
      <c r="D294" s="5" t="s">
        <v>1110</v>
      </c>
      <c r="E294" s="5">
        <v>47</v>
      </c>
      <c r="F294" s="5">
        <v>43</v>
      </c>
      <c r="G294" s="5">
        <v>8.6999999999999993</v>
      </c>
      <c r="H294" s="5">
        <f t="shared" si="12"/>
        <v>7.9672089719533948E-2</v>
      </c>
      <c r="I294" s="7">
        <f t="shared" si="13"/>
        <v>17028335999.999998</v>
      </c>
      <c r="J294" s="7">
        <f t="shared" si="14"/>
        <v>0</v>
      </c>
    </row>
    <row r="295" spans="2:10" x14ac:dyDescent="0.2">
      <c r="B295" s="5">
        <v>43091</v>
      </c>
      <c r="C295" s="7">
        <v>9.4041500000000002E-7</v>
      </c>
      <c r="D295" s="5" t="s">
        <v>1111</v>
      </c>
      <c r="E295" s="5">
        <v>48</v>
      </c>
      <c r="F295" s="5">
        <v>43</v>
      </c>
      <c r="G295" s="5">
        <v>188.4</v>
      </c>
      <c r="H295" s="5">
        <f t="shared" si="12"/>
        <v>3.6791251622077773E-3</v>
      </c>
      <c r="I295" s="7">
        <f t="shared" si="13"/>
        <v>11736379200</v>
      </c>
      <c r="J295" s="7">
        <f t="shared" si="14"/>
        <v>0</v>
      </c>
    </row>
    <row r="296" spans="2:10" x14ac:dyDescent="0.2">
      <c r="B296" s="5">
        <v>43092</v>
      </c>
      <c r="C296" s="7">
        <v>3.5381600000000002E-7</v>
      </c>
      <c r="D296" s="5" t="s">
        <v>1112</v>
      </c>
      <c r="E296" s="5">
        <v>49</v>
      </c>
      <c r="F296" s="5">
        <v>43</v>
      </c>
      <c r="G296" s="5">
        <v>255</v>
      </c>
      <c r="H296" s="5">
        <f t="shared" si="12"/>
        <v>2.7182242374899817E-3</v>
      </c>
      <c r="I296" s="7">
        <f t="shared" si="13"/>
        <v>4415623680</v>
      </c>
      <c r="J296" s="7">
        <f t="shared" si="14"/>
        <v>0</v>
      </c>
    </row>
    <row r="297" spans="2:10" x14ac:dyDescent="0.2">
      <c r="B297" s="5">
        <v>43093</v>
      </c>
      <c r="C297" s="7">
        <v>6.4355600000000002E-8</v>
      </c>
      <c r="D297" s="5" t="s">
        <v>1113</v>
      </c>
      <c r="E297" s="5">
        <v>50</v>
      </c>
      <c r="F297" s="5">
        <v>43</v>
      </c>
      <c r="G297" s="5">
        <v>9900</v>
      </c>
      <c r="H297" s="5">
        <f t="shared" si="12"/>
        <v>7.0014866723226796E-5</v>
      </c>
      <c r="I297" s="7">
        <f t="shared" si="13"/>
        <v>803157888</v>
      </c>
      <c r="J297" s="7">
        <f t="shared" si="14"/>
        <v>0</v>
      </c>
    </row>
    <row r="298" spans="2:10" x14ac:dyDescent="0.2">
      <c r="B298" s="5">
        <v>43094</v>
      </c>
      <c r="C298" s="7">
        <v>1.1935799999999999E-8</v>
      </c>
      <c r="D298" s="5" t="s">
        <v>1114</v>
      </c>
      <c r="E298" s="5">
        <v>51</v>
      </c>
      <c r="F298" s="5">
        <v>43</v>
      </c>
      <c r="G298" s="5">
        <v>17580</v>
      </c>
      <c r="H298" s="5">
        <f t="shared" si="12"/>
        <v>3.9428167267346149E-5</v>
      </c>
      <c r="I298" s="7">
        <f t="shared" si="13"/>
        <v>148958783.99999976</v>
      </c>
      <c r="J298" s="7">
        <f t="shared" si="14"/>
        <v>0</v>
      </c>
    </row>
    <row r="299" spans="2:10" x14ac:dyDescent="0.2">
      <c r="B299" s="5">
        <v>43095</v>
      </c>
      <c r="C299" s="7">
        <v>4.0484000000000002E-9</v>
      </c>
      <c r="D299" s="5" t="s">
        <v>1115</v>
      </c>
      <c r="E299" s="5">
        <v>52</v>
      </c>
      <c r="F299" s="5">
        <v>43</v>
      </c>
      <c r="G299" s="5">
        <v>72000</v>
      </c>
      <c r="H299" s="5">
        <f t="shared" si="12"/>
        <v>9.6270441744436842E-6</v>
      </c>
      <c r="I299" s="7">
        <f t="shared" si="13"/>
        <v>50511697.03125</v>
      </c>
      <c r="J299" s="7">
        <f t="shared" si="14"/>
        <v>7.1162936193484395E-125</v>
      </c>
    </row>
    <row r="300" spans="2:10" x14ac:dyDescent="0.2">
      <c r="B300" s="5">
        <v>43096</v>
      </c>
      <c r="C300" s="7">
        <v>6.2819999999999996E-10</v>
      </c>
      <c r="D300" s="5" t="s">
        <v>1116</v>
      </c>
      <c r="E300" s="5">
        <v>53</v>
      </c>
      <c r="F300" s="5">
        <v>43</v>
      </c>
      <c r="G300" s="5">
        <v>369792</v>
      </c>
      <c r="H300" s="5">
        <f t="shared" si="12"/>
        <v>1.8744244887935522E-6</v>
      </c>
      <c r="I300" s="7">
        <f t="shared" si="13"/>
        <v>6287651.1958625279</v>
      </c>
      <c r="J300" s="7">
        <f t="shared" si="14"/>
        <v>1.3382519246173017E-19</v>
      </c>
    </row>
    <row r="301" spans="2:10" x14ac:dyDescent="0.2">
      <c r="B301" s="5">
        <v>43097</v>
      </c>
      <c r="C301" s="7">
        <v>1.3959999999999999E-10</v>
      </c>
      <c r="D301" s="5" t="s">
        <v>1117</v>
      </c>
      <c r="E301" s="5">
        <v>54</v>
      </c>
      <c r="F301" s="5">
        <v>43</v>
      </c>
      <c r="G301" s="5">
        <v>132857496000000</v>
      </c>
      <c r="H301" s="5">
        <f t="shared" si="12"/>
        <v>5.2172229752090563E-15</v>
      </c>
      <c r="I301" s="7">
        <f t="shared" si="13"/>
        <v>7.853317330244634E-3</v>
      </c>
      <c r="J301" s="7">
        <f t="shared" si="14"/>
        <v>7.8533160381357402E-3</v>
      </c>
    </row>
    <row r="302" spans="2:10" x14ac:dyDescent="0.2">
      <c r="B302" s="5">
        <v>43098</v>
      </c>
      <c r="C302" s="7">
        <v>1.3959999999999999E-10</v>
      </c>
      <c r="D302" s="5" t="s">
        <v>1118</v>
      </c>
      <c r="E302" s="5">
        <v>55</v>
      </c>
      <c r="F302" s="5">
        <v>43</v>
      </c>
      <c r="G302" s="5">
        <v>132541920000000</v>
      </c>
      <c r="H302" s="5">
        <f t="shared" si="12"/>
        <v>5.2296449346738394E-15</v>
      </c>
      <c r="I302" s="7">
        <f t="shared" si="13"/>
        <v>7.8720156228655452E-3</v>
      </c>
      <c r="J302" s="7">
        <f t="shared" si="14"/>
        <v>7.8720143245964401E-3</v>
      </c>
    </row>
    <row r="303" spans="2:10" x14ac:dyDescent="0.2">
      <c r="B303" s="5">
        <v>43099</v>
      </c>
      <c r="C303" s="7">
        <v>6.9799999999999994E-11</v>
      </c>
      <c r="D303" s="5" t="s">
        <v>1119</v>
      </c>
      <c r="E303" s="5">
        <v>56</v>
      </c>
      <c r="F303" s="5">
        <v>43</v>
      </c>
      <c r="G303" s="5">
        <v>6661809360000</v>
      </c>
      <c r="H303" s="5">
        <f t="shared" si="12"/>
        <v>1.040478859575089E-13</v>
      </c>
      <c r="I303" s="7">
        <f t="shared" si="13"/>
        <v>7.830995810642348E-2</v>
      </c>
      <c r="J303" s="7">
        <f t="shared" si="14"/>
        <v>7.8309701151971473E-2</v>
      </c>
    </row>
    <row r="304" spans="2:10" x14ac:dyDescent="0.2">
      <c r="B304" s="5">
        <v>43100</v>
      </c>
      <c r="C304" s="7">
        <v>9.772000000000001E-10</v>
      </c>
      <c r="D304" s="5" t="s">
        <v>1120</v>
      </c>
      <c r="E304" s="5">
        <v>57</v>
      </c>
      <c r="F304" s="5">
        <v>43</v>
      </c>
      <c r="G304" s="5">
        <v>15.46</v>
      </c>
      <c r="H304" s="5">
        <f t="shared" si="12"/>
        <v>4.4834875844757129E-2</v>
      </c>
      <c r="I304" s="7">
        <f t="shared" si="13"/>
        <v>12195456.000000002</v>
      </c>
      <c r="J304" s="7">
        <f t="shared" si="14"/>
        <v>0</v>
      </c>
    </row>
    <row r="305" spans="2:10" x14ac:dyDescent="0.2">
      <c r="B305" s="5">
        <v>43101</v>
      </c>
      <c r="C305" s="7">
        <v>1.04002E-8</v>
      </c>
      <c r="D305" s="5" t="s">
        <v>1121</v>
      </c>
      <c r="E305" s="5">
        <v>58</v>
      </c>
      <c r="F305" s="5">
        <v>43</v>
      </c>
      <c r="G305" s="5">
        <v>841.19999999999902</v>
      </c>
      <c r="H305" s="5">
        <f t="shared" si="12"/>
        <v>8.239980748453948E-4</v>
      </c>
      <c r="I305" s="7">
        <f t="shared" si="13"/>
        <v>129794496</v>
      </c>
      <c r="J305" s="7">
        <f t="shared" si="14"/>
        <v>0</v>
      </c>
    </row>
    <row r="306" spans="2:10" x14ac:dyDescent="0.2">
      <c r="B306" s="5">
        <v>43102</v>
      </c>
      <c r="C306" s="7">
        <v>4.5579400000000002E-8</v>
      </c>
      <c r="D306" s="5" t="s">
        <v>1122</v>
      </c>
      <c r="E306" s="5">
        <v>59</v>
      </c>
      <c r="F306" s="5">
        <v>43</v>
      </c>
      <c r="G306" s="5">
        <v>5.28</v>
      </c>
      <c r="H306" s="5">
        <f t="shared" si="12"/>
        <v>0.13127787510605024</v>
      </c>
      <c r="I306" s="7">
        <f t="shared" si="13"/>
        <v>568830912</v>
      </c>
      <c r="J306" s="7">
        <f t="shared" si="14"/>
        <v>0</v>
      </c>
    </row>
    <row r="307" spans="2:10" x14ac:dyDescent="0.2">
      <c r="B307" s="5">
        <v>43103</v>
      </c>
      <c r="C307" s="7">
        <v>2.8548199999999999E-7</v>
      </c>
      <c r="D307" s="5" t="s">
        <v>1123</v>
      </c>
      <c r="E307" s="5">
        <v>60</v>
      </c>
      <c r="F307" s="5">
        <v>43</v>
      </c>
      <c r="G307" s="5">
        <v>54.2</v>
      </c>
      <c r="H307" s="5">
        <f t="shared" si="12"/>
        <v>1.2788693368264673E-2</v>
      </c>
      <c r="I307" s="7">
        <f t="shared" si="13"/>
        <v>3562815360</v>
      </c>
      <c r="J307" s="7">
        <f t="shared" si="14"/>
        <v>0</v>
      </c>
    </row>
    <row r="308" spans="2:10" x14ac:dyDescent="0.2">
      <c r="B308" s="5">
        <v>43104</v>
      </c>
      <c r="C308" s="7">
        <v>8.6649700000000001E-7</v>
      </c>
      <c r="D308" s="5" t="s">
        <v>1124</v>
      </c>
      <c r="E308" s="5">
        <v>61</v>
      </c>
      <c r="F308" s="5">
        <v>43</v>
      </c>
      <c r="G308" s="5">
        <v>1098</v>
      </c>
      <c r="H308" s="5">
        <f t="shared" si="12"/>
        <v>6.3128158520942197E-4</v>
      </c>
      <c r="I308" s="7">
        <f t="shared" si="13"/>
        <v>10813882560</v>
      </c>
      <c r="J308" s="7">
        <f t="shared" si="14"/>
        <v>0</v>
      </c>
    </row>
    <row r="309" spans="2:10" x14ac:dyDescent="0.2">
      <c r="B309" s="5">
        <v>43105</v>
      </c>
      <c r="C309" s="7">
        <v>3.0029399999999999E-6</v>
      </c>
      <c r="D309" s="5" t="s">
        <v>1125</v>
      </c>
      <c r="E309" s="5">
        <v>62</v>
      </c>
      <c r="F309" s="5">
        <v>43</v>
      </c>
      <c r="G309" s="5">
        <v>456</v>
      </c>
      <c r="H309" s="5">
        <f t="shared" si="12"/>
        <v>1.520059606491108E-3</v>
      </c>
      <c r="I309" s="7">
        <f t="shared" si="13"/>
        <v>37476691200</v>
      </c>
      <c r="J309" s="7">
        <f t="shared" si="14"/>
        <v>0</v>
      </c>
    </row>
    <row r="310" spans="2:10" x14ac:dyDescent="0.2">
      <c r="B310" s="5">
        <v>43106</v>
      </c>
      <c r="C310" s="7">
        <v>3.7869300000000001E-6</v>
      </c>
      <c r="D310" s="5" t="s">
        <v>1126</v>
      </c>
      <c r="E310" s="5">
        <v>63</v>
      </c>
      <c r="F310" s="5">
        <v>43</v>
      </c>
      <c r="G310" s="5">
        <v>35.6</v>
      </c>
      <c r="H310" s="5">
        <f t="shared" si="12"/>
        <v>1.9470426420223182E-2</v>
      </c>
      <c r="I310" s="7">
        <f t="shared" si="13"/>
        <v>47260886400</v>
      </c>
      <c r="J310" s="7">
        <f t="shared" si="14"/>
        <v>0</v>
      </c>
    </row>
    <row r="311" spans="2:10" x14ac:dyDescent="0.2">
      <c r="B311" s="5">
        <v>43107</v>
      </c>
      <c r="C311" s="7">
        <v>6.2084999999999999E-6</v>
      </c>
      <c r="D311" s="5" t="s">
        <v>1127</v>
      </c>
      <c r="E311" s="5">
        <v>64</v>
      </c>
      <c r="F311" s="5">
        <v>43</v>
      </c>
      <c r="G311" s="5">
        <v>21.2</v>
      </c>
      <c r="H311" s="5">
        <f t="shared" si="12"/>
        <v>3.2695621724525725E-2</v>
      </c>
      <c r="I311" s="7">
        <f t="shared" si="13"/>
        <v>77482080000</v>
      </c>
      <c r="J311" s="7">
        <f t="shared" si="14"/>
        <v>0</v>
      </c>
    </row>
    <row r="312" spans="2:10" x14ac:dyDescent="0.2">
      <c r="B312" s="5">
        <v>43108</v>
      </c>
      <c r="C312" s="7">
        <v>4.3597099999999998E-6</v>
      </c>
      <c r="D312" s="5" t="s">
        <v>1128</v>
      </c>
      <c r="E312" s="5">
        <v>65</v>
      </c>
      <c r="F312" s="5">
        <v>43</v>
      </c>
      <c r="G312" s="5">
        <v>5.17</v>
      </c>
      <c r="H312" s="5">
        <f t="shared" si="12"/>
        <v>0.13407102138490237</v>
      </c>
      <c r="I312" s="7">
        <f t="shared" si="13"/>
        <v>54409180800</v>
      </c>
      <c r="J312" s="7">
        <f t="shared" si="14"/>
        <v>0</v>
      </c>
    </row>
    <row r="313" spans="2:10" x14ac:dyDescent="0.2">
      <c r="B313" s="5">
        <v>43109</v>
      </c>
      <c r="C313" s="7">
        <v>4.1331399999999997E-6</v>
      </c>
      <c r="D313" s="5" t="s">
        <v>1129</v>
      </c>
      <c r="E313" s="5">
        <v>66</v>
      </c>
      <c r="F313" s="5">
        <v>43</v>
      </c>
      <c r="G313" s="5">
        <v>0.86</v>
      </c>
      <c r="H313" s="5">
        <f t="shared" si="12"/>
        <v>0.805985093674355</v>
      </c>
      <c r="I313" s="7">
        <f t="shared" si="13"/>
        <v>51581587200</v>
      </c>
      <c r="J313" s="7">
        <f t="shared" si="14"/>
        <v>0</v>
      </c>
    </row>
    <row r="314" spans="2:10" x14ac:dyDescent="0.2">
      <c r="B314" s="5">
        <v>43110</v>
      </c>
      <c r="C314" s="7">
        <v>2.3925299999999999E-6</v>
      </c>
      <c r="D314" s="5" t="s">
        <v>1130</v>
      </c>
      <c r="E314" s="5">
        <v>67</v>
      </c>
      <c r="F314" s="5">
        <v>43</v>
      </c>
      <c r="G314" s="5">
        <v>0.92</v>
      </c>
      <c r="H314" s="5">
        <f t="shared" si="12"/>
        <v>0.75342084843472312</v>
      </c>
      <c r="I314" s="7">
        <f t="shared" si="13"/>
        <v>29858774400</v>
      </c>
      <c r="J314" s="7">
        <f t="shared" si="14"/>
        <v>0</v>
      </c>
    </row>
    <row r="315" spans="2:10" x14ac:dyDescent="0.2">
      <c r="B315" s="5">
        <v>44092</v>
      </c>
      <c r="C315" s="7">
        <v>1.8192000000000001E-6</v>
      </c>
      <c r="D315" s="5" t="s">
        <v>1149</v>
      </c>
      <c r="E315" s="5">
        <v>48</v>
      </c>
      <c r="F315" s="5">
        <v>44</v>
      </c>
      <c r="G315" s="5">
        <v>219</v>
      </c>
      <c r="H315" s="5">
        <f t="shared" si="12"/>
        <v>3.1650556189951841E-3</v>
      </c>
      <c r="I315" s="7">
        <f t="shared" si="13"/>
        <v>22703616000</v>
      </c>
      <c r="J315" s="7">
        <f t="shared" si="14"/>
        <v>0</v>
      </c>
    </row>
    <row r="316" spans="2:10" x14ac:dyDescent="0.2">
      <c r="B316" s="5">
        <v>44093</v>
      </c>
      <c r="C316" s="7">
        <v>7.3422599999999997E-7</v>
      </c>
      <c r="D316" s="5" t="s">
        <v>1150</v>
      </c>
      <c r="E316" s="5">
        <v>49</v>
      </c>
      <c r="F316" s="5">
        <v>44</v>
      </c>
      <c r="G316" s="5">
        <v>59.7</v>
      </c>
      <c r="H316" s="5">
        <f t="shared" si="12"/>
        <v>1.1610505537017509E-2</v>
      </c>
      <c r="I316" s="7">
        <f t="shared" si="13"/>
        <v>9163140480</v>
      </c>
      <c r="J316" s="7">
        <f t="shared" si="14"/>
        <v>0</v>
      </c>
    </row>
    <row r="317" spans="2:10" x14ac:dyDescent="0.2">
      <c r="B317" s="5">
        <v>44094</v>
      </c>
      <c r="C317" s="7">
        <v>5.9595200000000004E-7</v>
      </c>
      <c r="D317" s="5" t="s">
        <v>1151</v>
      </c>
      <c r="E317" s="5">
        <v>50</v>
      </c>
      <c r="F317" s="5">
        <v>44</v>
      </c>
      <c r="G317" s="5">
        <v>3108</v>
      </c>
      <c r="H317" s="5">
        <f t="shared" si="12"/>
        <v>2.2302032836549077E-4</v>
      </c>
      <c r="I317" s="7">
        <f t="shared" si="13"/>
        <v>7437480960.000001</v>
      </c>
      <c r="J317" s="7">
        <f t="shared" si="14"/>
        <v>0</v>
      </c>
    </row>
    <row r="318" spans="2:10" x14ac:dyDescent="0.2">
      <c r="B318" s="5">
        <v>44095</v>
      </c>
      <c r="C318" s="7">
        <v>6.5961000000000004E-8</v>
      </c>
      <c r="D318" s="5" t="s">
        <v>1152</v>
      </c>
      <c r="E318" s="5">
        <v>51</v>
      </c>
      <c r="F318" s="5">
        <v>44</v>
      </c>
      <c r="G318" s="5">
        <v>5914.8</v>
      </c>
      <c r="H318" s="5">
        <f t="shared" si="12"/>
        <v>1.171886083316334E-4</v>
      </c>
      <c r="I318" s="7">
        <f t="shared" si="13"/>
        <v>823193280</v>
      </c>
      <c r="J318" s="7">
        <f t="shared" si="14"/>
        <v>0</v>
      </c>
    </row>
    <row r="319" spans="2:10" x14ac:dyDescent="0.2">
      <c r="B319" s="5">
        <v>44097</v>
      </c>
      <c r="C319" s="7">
        <v>5.3048000000000001E-9</v>
      </c>
      <c r="D319" s="5" t="s">
        <v>1154</v>
      </c>
      <c r="E319" s="5">
        <v>53</v>
      </c>
      <c r="F319" s="5">
        <v>44</v>
      </c>
      <c r="G319" s="5">
        <v>244512</v>
      </c>
      <c r="H319" s="5">
        <f t="shared" si="12"/>
        <v>2.8348186614969625E-6</v>
      </c>
      <c r="I319" s="7">
        <f t="shared" si="13"/>
        <v>60486835.86325261</v>
      </c>
      <c r="J319" s="7">
        <f t="shared" si="14"/>
        <v>9.0414356906283064E-32</v>
      </c>
    </row>
    <row r="320" spans="2:10" x14ac:dyDescent="0.2">
      <c r="B320" s="5">
        <v>44103</v>
      </c>
      <c r="C320" s="7">
        <v>1.7450000000000001E-9</v>
      </c>
      <c r="D320" s="5" t="s">
        <v>1160</v>
      </c>
      <c r="E320" s="5">
        <v>59</v>
      </c>
      <c r="F320" s="5">
        <v>44</v>
      </c>
      <c r="G320" s="5">
        <v>3390940.8</v>
      </c>
      <c r="H320" s="5">
        <f t="shared" si="12"/>
        <v>2.0441146615120656E-7</v>
      </c>
      <c r="I320" s="7">
        <f t="shared" si="13"/>
        <v>3525677.5931778233</v>
      </c>
      <c r="J320" s="7">
        <f t="shared" si="14"/>
        <v>5592.9558680739974</v>
      </c>
    </row>
    <row r="321" spans="2:10" x14ac:dyDescent="0.2">
      <c r="B321" s="5">
        <v>44105</v>
      </c>
      <c r="C321" s="7">
        <v>7.1475199999999994E-8</v>
      </c>
      <c r="D321" s="5" t="s">
        <v>1162</v>
      </c>
      <c r="E321" s="5">
        <v>61</v>
      </c>
      <c r="F321" s="5">
        <v>44</v>
      </c>
      <c r="G321" s="5">
        <v>15984</v>
      </c>
      <c r="H321" s="5">
        <f t="shared" si="12"/>
        <v>4.3365063848845423E-5</v>
      </c>
      <c r="I321" s="7">
        <f t="shared" si="13"/>
        <v>892010495.99999988</v>
      </c>
      <c r="J321" s="7">
        <f t="shared" si="14"/>
        <v>0</v>
      </c>
    </row>
    <row r="322" spans="2:10" x14ac:dyDescent="0.2">
      <c r="B322" s="5">
        <v>44106</v>
      </c>
      <c r="C322" s="7">
        <v>4.52793E-7</v>
      </c>
      <c r="D322" s="5" t="s">
        <v>1163</v>
      </c>
      <c r="E322" s="5">
        <v>62</v>
      </c>
      <c r="F322" s="5">
        <v>44</v>
      </c>
      <c r="G322" s="5">
        <v>32123520</v>
      </c>
      <c r="H322" s="5">
        <f t="shared" si="12"/>
        <v>2.1577560010856383E-8</v>
      </c>
      <c r="I322" s="7">
        <f t="shared" si="13"/>
        <v>104373050.30152202</v>
      </c>
      <c r="J322" s="7">
        <f t="shared" si="14"/>
        <v>52852317.968964212</v>
      </c>
    </row>
    <row r="323" spans="2:10" x14ac:dyDescent="0.2">
      <c r="B323" s="5">
        <v>44107</v>
      </c>
      <c r="C323" s="7">
        <v>8.3411000000000005E-7</v>
      </c>
      <c r="D323" s="5" t="s">
        <v>1164</v>
      </c>
      <c r="E323" s="5">
        <v>63</v>
      </c>
      <c r="F323" s="5">
        <v>44</v>
      </c>
      <c r="G323" s="5">
        <v>225</v>
      </c>
      <c r="H323" s="5">
        <f t="shared" si="12"/>
        <v>3.080654135821979E-3</v>
      </c>
      <c r="I323" s="7">
        <f t="shared" si="13"/>
        <v>10409692800</v>
      </c>
      <c r="J323" s="7">
        <f t="shared" si="14"/>
        <v>0</v>
      </c>
    </row>
    <row r="324" spans="2:10" x14ac:dyDescent="0.2">
      <c r="B324" s="5">
        <v>44108</v>
      </c>
      <c r="C324" s="7">
        <v>2.1219200000000001E-6</v>
      </c>
      <c r="D324" s="5" t="s">
        <v>1165</v>
      </c>
      <c r="E324" s="5">
        <v>64</v>
      </c>
      <c r="F324" s="5">
        <v>44</v>
      </c>
      <c r="G324" s="5">
        <v>273</v>
      </c>
      <c r="H324" s="5">
        <f t="shared" ref="H324:H387" si="15">LN(2)/G324</f>
        <v>2.5390006613917409E-3</v>
      </c>
      <c r="I324" s="7">
        <f t="shared" ref="I324:I387" si="16">2*6240000000000000*C324*(1-EXP(-H324*10*24*3600))</f>
        <v>26481561600</v>
      </c>
      <c r="J324" s="7">
        <f t="shared" ref="J324:J387" si="17">EXP(-H324*365*24*3600)*I324</f>
        <v>0</v>
      </c>
    </row>
    <row r="325" spans="2:10" x14ac:dyDescent="0.2">
      <c r="B325" s="5">
        <v>44109</v>
      </c>
      <c r="C325" s="7">
        <v>2.1755300000000002E-6</v>
      </c>
      <c r="D325" s="5" t="s">
        <v>1166</v>
      </c>
      <c r="E325" s="5">
        <v>65</v>
      </c>
      <c r="F325" s="5">
        <v>44</v>
      </c>
      <c r="G325" s="5">
        <v>34.5</v>
      </c>
      <c r="H325" s="5">
        <f t="shared" si="15"/>
        <v>2.009122262492595E-2</v>
      </c>
      <c r="I325" s="7">
        <f t="shared" si="16"/>
        <v>27150614400.000004</v>
      </c>
      <c r="J325" s="7">
        <f t="shared" si="17"/>
        <v>0</v>
      </c>
    </row>
    <row r="326" spans="2:10" x14ac:dyDescent="0.2">
      <c r="B326" s="5">
        <v>44110</v>
      </c>
      <c r="C326" s="7">
        <v>3.2726400000000001E-6</v>
      </c>
      <c r="D326" s="5" t="s">
        <v>1167</v>
      </c>
      <c r="E326" s="5">
        <v>66</v>
      </c>
      <c r="F326" s="5">
        <v>44</v>
      </c>
      <c r="G326" s="5">
        <v>11.6</v>
      </c>
      <c r="H326" s="5">
        <f t="shared" si="15"/>
        <v>5.9754067289650457E-2</v>
      </c>
      <c r="I326" s="7">
        <f t="shared" si="16"/>
        <v>40842547200</v>
      </c>
      <c r="J326" s="7">
        <f t="shared" si="17"/>
        <v>0</v>
      </c>
    </row>
    <row r="327" spans="2:10" x14ac:dyDescent="0.2">
      <c r="B327" s="5">
        <v>44111</v>
      </c>
      <c r="C327" s="7">
        <v>1.89996E-6</v>
      </c>
      <c r="D327" s="5" t="s">
        <v>1168</v>
      </c>
      <c r="E327" s="5">
        <v>67</v>
      </c>
      <c r="F327" s="5">
        <v>44</v>
      </c>
      <c r="G327" s="5">
        <v>2.12</v>
      </c>
      <c r="H327" s="5">
        <f t="shared" si="15"/>
        <v>0.3269562172452572</v>
      </c>
      <c r="I327" s="7">
        <f t="shared" si="16"/>
        <v>23711500800</v>
      </c>
      <c r="J327" s="7">
        <f t="shared" si="17"/>
        <v>0</v>
      </c>
    </row>
    <row r="328" spans="2:10" x14ac:dyDescent="0.2">
      <c r="B328" s="5">
        <v>44112</v>
      </c>
      <c r="C328" s="7">
        <v>2.14042E-6</v>
      </c>
      <c r="D328" s="5" t="s">
        <v>1169</v>
      </c>
      <c r="E328" s="5">
        <v>68</v>
      </c>
      <c r="F328" s="5">
        <v>44</v>
      </c>
      <c r="G328" s="5">
        <v>1.75</v>
      </c>
      <c r="H328" s="5">
        <f t="shared" si="15"/>
        <v>0.39608410317711157</v>
      </c>
      <c r="I328" s="7">
        <f t="shared" si="16"/>
        <v>26712441600</v>
      </c>
      <c r="J328" s="7">
        <f t="shared" si="17"/>
        <v>0</v>
      </c>
    </row>
    <row r="329" spans="2:10" x14ac:dyDescent="0.2">
      <c r="B329" s="5">
        <v>44113</v>
      </c>
      <c r="C329" s="7">
        <v>9.75315E-7</v>
      </c>
      <c r="D329" s="5" t="s">
        <v>1170</v>
      </c>
      <c r="E329" s="5">
        <v>69</v>
      </c>
      <c r="F329" s="5">
        <v>44</v>
      </c>
      <c r="G329" s="5">
        <v>0.8</v>
      </c>
      <c r="H329" s="5">
        <f t="shared" si="15"/>
        <v>0.86643397569993152</v>
      </c>
      <c r="I329" s="7">
        <f t="shared" si="16"/>
        <v>12171931200</v>
      </c>
      <c r="J329" s="7">
        <f t="shared" si="17"/>
        <v>0</v>
      </c>
    </row>
    <row r="330" spans="2:10" x14ac:dyDescent="0.2">
      <c r="B330" s="5">
        <v>45094</v>
      </c>
      <c r="C330" s="7">
        <v>8.05352E-7</v>
      </c>
      <c r="D330" s="5" t="s">
        <v>1187</v>
      </c>
      <c r="E330" s="5">
        <v>49</v>
      </c>
      <c r="F330" s="5">
        <v>45</v>
      </c>
      <c r="G330" s="5">
        <v>66</v>
      </c>
      <c r="H330" s="5">
        <f t="shared" si="15"/>
        <v>1.050223000848402E-2</v>
      </c>
      <c r="I330" s="7">
        <f t="shared" si="16"/>
        <v>10050792960</v>
      </c>
      <c r="J330" s="7">
        <f t="shared" si="17"/>
        <v>0</v>
      </c>
    </row>
    <row r="331" spans="2:10" x14ac:dyDescent="0.2">
      <c r="B331" s="5">
        <v>45095</v>
      </c>
      <c r="C331" s="7">
        <v>3.7461700000000003E-7</v>
      </c>
      <c r="D331" s="5" t="s">
        <v>1188</v>
      </c>
      <c r="E331" s="5">
        <v>50</v>
      </c>
      <c r="F331" s="5">
        <v>45</v>
      </c>
      <c r="G331" s="5">
        <v>301.2</v>
      </c>
      <c r="H331" s="5">
        <f t="shared" si="15"/>
        <v>2.3012854600263787E-3</v>
      </c>
      <c r="I331" s="7">
        <f t="shared" si="16"/>
        <v>4675220160</v>
      </c>
      <c r="J331" s="7">
        <f t="shared" si="17"/>
        <v>0</v>
      </c>
    </row>
    <row r="332" spans="2:10" x14ac:dyDescent="0.2">
      <c r="B332" s="5">
        <v>45096</v>
      </c>
      <c r="C332" s="7">
        <v>1.0100100000000001E-7</v>
      </c>
      <c r="D332" s="5" t="s">
        <v>1189</v>
      </c>
      <c r="E332" s="5">
        <v>51</v>
      </c>
      <c r="F332" s="5">
        <v>45</v>
      </c>
      <c r="G332" s="5">
        <v>594</v>
      </c>
      <c r="H332" s="5">
        <f t="shared" si="15"/>
        <v>1.1669144453871133E-3</v>
      </c>
      <c r="I332" s="7">
        <f t="shared" si="16"/>
        <v>1260492480</v>
      </c>
      <c r="J332" s="7">
        <f t="shared" si="17"/>
        <v>0</v>
      </c>
    </row>
    <row r="333" spans="2:10" x14ac:dyDescent="0.2">
      <c r="B333" s="5">
        <v>45097</v>
      </c>
      <c r="C333" s="7">
        <v>2.25454E-8</v>
      </c>
      <c r="D333" s="5" t="s">
        <v>1190</v>
      </c>
      <c r="E333" s="5">
        <v>52</v>
      </c>
      <c r="F333" s="5">
        <v>45</v>
      </c>
      <c r="G333" s="5">
        <v>1842</v>
      </c>
      <c r="H333" s="5">
        <f t="shared" si="15"/>
        <v>3.7630140095545346E-4</v>
      </c>
      <c r="I333" s="7">
        <f t="shared" si="16"/>
        <v>281366592</v>
      </c>
      <c r="J333" s="7">
        <f t="shared" si="17"/>
        <v>0</v>
      </c>
    </row>
    <row r="334" spans="2:10" x14ac:dyDescent="0.2">
      <c r="B334" s="5">
        <v>45098</v>
      </c>
      <c r="C334" s="7">
        <v>1.1307599999999999E-8</v>
      </c>
      <c r="D334" s="5" t="s">
        <v>1191</v>
      </c>
      <c r="E334" s="5">
        <v>53</v>
      </c>
      <c r="F334" s="5">
        <v>45</v>
      </c>
      <c r="G334" s="5">
        <v>523.20000000000005</v>
      </c>
      <c r="H334" s="5">
        <f t="shared" si="15"/>
        <v>1.3248225928133509E-3</v>
      </c>
      <c r="I334" s="7">
        <f t="shared" si="16"/>
        <v>141118848</v>
      </c>
      <c r="J334" s="7">
        <f t="shared" si="17"/>
        <v>0</v>
      </c>
    </row>
    <row r="335" spans="2:10" x14ac:dyDescent="0.2">
      <c r="B335" s="5">
        <v>45099</v>
      </c>
      <c r="C335" s="7">
        <v>2.1637999999999999E-9</v>
      </c>
      <c r="D335" s="5" t="s">
        <v>1192</v>
      </c>
      <c r="E335" s="5">
        <v>54</v>
      </c>
      <c r="F335" s="5">
        <v>45</v>
      </c>
      <c r="G335" s="5">
        <v>1391040</v>
      </c>
      <c r="H335" s="5">
        <f t="shared" si="15"/>
        <v>4.9829421192772694E-7</v>
      </c>
      <c r="I335" s="7">
        <f t="shared" si="16"/>
        <v>9446971.7335936185</v>
      </c>
      <c r="J335" s="7">
        <f t="shared" si="17"/>
        <v>1.4148146445868639</v>
      </c>
    </row>
    <row r="336" spans="2:10" x14ac:dyDescent="0.2">
      <c r="B336" s="5">
        <v>45100</v>
      </c>
      <c r="C336" s="7">
        <v>1.4658E-9</v>
      </c>
      <c r="D336" s="5" t="s">
        <v>1193</v>
      </c>
      <c r="E336" s="5">
        <v>55</v>
      </c>
      <c r="F336" s="5">
        <v>45</v>
      </c>
      <c r="G336" s="5">
        <v>74880</v>
      </c>
      <c r="H336" s="5">
        <f t="shared" si="15"/>
        <v>9.2567732446573882E-6</v>
      </c>
      <c r="I336" s="7">
        <f t="shared" si="16"/>
        <v>18287034.125180557</v>
      </c>
      <c r="J336" s="7">
        <f t="shared" si="17"/>
        <v>3.035308190163423E-120</v>
      </c>
    </row>
    <row r="337" spans="2:10" x14ac:dyDescent="0.2">
      <c r="B337" s="5">
        <v>45101</v>
      </c>
      <c r="C337" s="7">
        <v>4.1879999999999999E-10</v>
      </c>
      <c r="D337" s="5" t="s">
        <v>1194</v>
      </c>
      <c r="E337" s="5">
        <v>56</v>
      </c>
      <c r="F337" s="5">
        <v>45</v>
      </c>
      <c r="G337" s="5">
        <v>104140080</v>
      </c>
      <c r="H337" s="5">
        <f t="shared" si="15"/>
        <v>6.6559117350394321E-9</v>
      </c>
      <c r="I337" s="7">
        <f t="shared" si="16"/>
        <v>29970.528615270847</v>
      </c>
      <c r="J337" s="7">
        <f t="shared" si="17"/>
        <v>24296.047598353485</v>
      </c>
    </row>
    <row r="338" spans="2:10" x14ac:dyDescent="0.2">
      <c r="B338" s="5">
        <v>45105</v>
      </c>
      <c r="C338" s="7">
        <v>2.094E-10</v>
      </c>
      <c r="D338" s="5" t="s">
        <v>1198</v>
      </c>
      <c r="E338" s="5">
        <v>60</v>
      </c>
      <c r="F338" s="5">
        <v>45</v>
      </c>
      <c r="G338" s="5">
        <v>127296</v>
      </c>
      <c r="H338" s="5">
        <f t="shared" si="15"/>
        <v>5.4451607321514057E-6</v>
      </c>
      <c r="I338" s="7">
        <f t="shared" si="16"/>
        <v>2589652.735098897</v>
      </c>
      <c r="J338" s="7">
        <f t="shared" si="17"/>
        <v>6.8676151967480764E-69</v>
      </c>
    </row>
    <row r="339" spans="2:10" x14ac:dyDescent="0.2">
      <c r="B339" s="5">
        <v>45106</v>
      </c>
      <c r="C339" s="7">
        <v>1.3959999999999999E-9</v>
      </c>
      <c r="D339" s="5" t="s">
        <v>1199</v>
      </c>
      <c r="E339" s="5">
        <v>61</v>
      </c>
      <c r="F339" s="5">
        <v>45</v>
      </c>
      <c r="G339" s="5">
        <v>30.07</v>
      </c>
      <c r="H339" s="5">
        <f t="shared" si="15"/>
        <v>2.3051120071830571E-2</v>
      </c>
      <c r="I339" s="7">
        <f t="shared" si="16"/>
        <v>17422080</v>
      </c>
      <c r="J339" s="7">
        <f t="shared" si="17"/>
        <v>0</v>
      </c>
    </row>
    <row r="340" spans="2:10" x14ac:dyDescent="0.2">
      <c r="B340" s="5">
        <v>45107</v>
      </c>
      <c r="C340" s="7">
        <v>1.5705000000000001E-8</v>
      </c>
      <c r="D340" s="5" t="s">
        <v>1200</v>
      </c>
      <c r="E340" s="5">
        <v>62</v>
      </c>
      <c r="F340" s="5">
        <v>45</v>
      </c>
      <c r="G340" s="5">
        <v>1302</v>
      </c>
      <c r="H340" s="5">
        <f t="shared" si="15"/>
        <v>5.3237110642084893E-4</v>
      </c>
      <c r="I340" s="7">
        <f t="shared" si="16"/>
        <v>195998400</v>
      </c>
      <c r="J340" s="7">
        <f t="shared" si="17"/>
        <v>0</v>
      </c>
    </row>
    <row r="341" spans="2:10" x14ac:dyDescent="0.2">
      <c r="B341" s="5">
        <v>45108</v>
      </c>
      <c r="C341" s="7">
        <v>5.73058E-8</v>
      </c>
      <c r="D341" s="5" t="s">
        <v>1201</v>
      </c>
      <c r="E341" s="5">
        <v>63</v>
      </c>
      <c r="F341" s="5">
        <v>45</v>
      </c>
      <c r="G341" s="5">
        <v>16.8</v>
      </c>
      <c r="H341" s="5">
        <f t="shared" si="15"/>
        <v>4.1258760747615787E-2</v>
      </c>
      <c r="I341" s="7">
        <f t="shared" si="16"/>
        <v>715176384</v>
      </c>
      <c r="J341" s="7">
        <f t="shared" si="17"/>
        <v>0</v>
      </c>
    </row>
    <row r="342" spans="2:10" x14ac:dyDescent="0.2">
      <c r="B342" s="5">
        <v>45109</v>
      </c>
      <c r="C342" s="7">
        <v>2.6607800000000001E-7</v>
      </c>
      <c r="D342" s="5" t="s">
        <v>1202</v>
      </c>
      <c r="E342" s="5">
        <v>64</v>
      </c>
      <c r="F342" s="5">
        <v>45</v>
      </c>
      <c r="G342" s="5">
        <v>80</v>
      </c>
      <c r="H342" s="5">
        <f t="shared" si="15"/>
        <v>8.6643397569993157E-3</v>
      </c>
      <c r="I342" s="7">
        <f t="shared" si="16"/>
        <v>3320653440</v>
      </c>
      <c r="J342" s="7">
        <f t="shared" si="17"/>
        <v>0</v>
      </c>
    </row>
    <row r="343" spans="2:10" x14ac:dyDescent="0.2">
      <c r="B343" s="5">
        <v>45110</v>
      </c>
      <c r="C343" s="7">
        <v>5.1610100000000005E-7</v>
      </c>
      <c r="D343" s="5" t="s">
        <v>1203</v>
      </c>
      <c r="E343" s="5">
        <v>65</v>
      </c>
      <c r="F343" s="5">
        <v>45</v>
      </c>
      <c r="G343" s="5">
        <v>28.5</v>
      </c>
      <c r="H343" s="5">
        <f t="shared" si="15"/>
        <v>2.4320953703857728E-2</v>
      </c>
      <c r="I343" s="7">
        <f t="shared" si="16"/>
        <v>6440940480.000001</v>
      </c>
      <c r="J343" s="7">
        <f t="shared" si="17"/>
        <v>0</v>
      </c>
    </row>
    <row r="344" spans="2:10" x14ac:dyDescent="0.2">
      <c r="B344" s="5">
        <v>45111</v>
      </c>
      <c r="C344" s="7">
        <v>1.0692000000000001E-6</v>
      </c>
      <c r="D344" s="5" t="s">
        <v>1204</v>
      </c>
      <c r="E344" s="5">
        <v>66</v>
      </c>
      <c r="F344" s="5">
        <v>45</v>
      </c>
      <c r="G344" s="5">
        <v>11</v>
      </c>
      <c r="H344" s="5">
        <f t="shared" si="15"/>
        <v>6.3013380050904122E-2</v>
      </c>
      <c r="I344" s="7">
        <f t="shared" si="16"/>
        <v>13343616000</v>
      </c>
      <c r="J344" s="7">
        <f t="shared" si="17"/>
        <v>0</v>
      </c>
    </row>
    <row r="345" spans="2:10" x14ac:dyDescent="0.2">
      <c r="B345" s="5">
        <v>45112</v>
      </c>
      <c r="C345" s="7">
        <v>1.32885E-6</v>
      </c>
      <c r="D345" s="5" t="s">
        <v>1205</v>
      </c>
      <c r="E345" s="5">
        <v>67</v>
      </c>
      <c r="F345" s="5">
        <v>45</v>
      </c>
      <c r="G345" s="5">
        <v>3.6</v>
      </c>
      <c r="H345" s="5">
        <f t="shared" si="15"/>
        <v>0.19254088348887369</v>
      </c>
      <c r="I345" s="7">
        <f t="shared" si="16"/>
        <v>16584048000</v>
      </c>
      <c r="J345" s="7">
        <f t="shared" si="17"/>
        <v>0</v>
      </c>
    </row>
    <row r="346" spans="2:10" x14ac:dyDescent="0.2">
      <c r="B346" s="5">
        <v>45113</v>
      </c>
      <c r="C346" s="7">
        <v>1.9180999999999999E-6</v>
      </c>
      <c r="D346" s="5" t="s">
        <v>1206</v>
      </c>
      <c r="E346" s="5">
        <v>68</v>
      </c>
      <c r="F346" s="5">
        <v>45</v>
      </c>
      <c r="G346" s="5">
        <v>2.8</v>
      </c>
      <c r="H346" s="5">
        <f t="shared" si="15"/>
        <v>0.24755256448569476</v>
      </c>
      <c r="I346" s="7">
        <f t="shared" si="16"/>
        <v>23937888000</v>
      </c>
      <c r="J346" s="7">
        <f t="shared" si="17"/>
        <v>0</v>
      </c>
    </row>
    <row r="347" spans="2:10" x14ac:dyDescent="0.2">
      <c r="B347" s="5">
        <v>45114</v>
      </c>
      <c r="C347" s="7">
        <v>1.32948E-6</v>
      </c>
      <c r="D347" s="5" t="s">
        <v>1207</v>
      </c>
      <c r="E347" s="5">
        <v>69</v>
      </c>
      <c r="F347" s="5">
        <v>45</v>
      </c>
      <c r="G347" s="5">
        <v>1.85</v>
      </c>
      <c r="H347" s="5">
        <f t="shared" si="15"/>
        <v>0.37467415165402446</v>
      </c>
      <c r="I347" s="7">
        <f t="shared" si="16"/>
        <v>16591910400</v>
      </c>
      <c r="J347" s="7">
        <f t="shared" si="17"/>
        <v>0</v>
      </c>
    </row>
    <row r="348" spans="2:10" x14ac:dyDescent="0.2">
      <c r="B348" s="5">
        <v>46096</v>
      </c>
      <c r="C348" s="7">
        <v>1.2134000000000001E-6</v>
      </c>
      <c r="D348" s="5" t="s">
        <v>1226</v>
      </c>
      <c r="E348" s="5">
        <v>50</v>
      </c>
      <c r="F348" s="5">
        <v>46</v>
      </c>
      <c r="G348" s="5">
        <v>122</v>
      </c>
      <c r="H348" s="5">
        <f t="shared" si="15"/>
        <v>5.6815342668847975E-3</v>
      </c>
      <c r="I348" s="7">
        <f t="shared" si="16"/>
        <v>15143232000.000002</v>
      </c>
      <c r="J348" s="7">
        <f t="shared" si="17"/>
        <v>0</v>
      </c>
    </row>
    <row r="349" spans="2:10" x14ac:dyDescent="0.2">
      <c r="B349" s="5">
        <v>46097</v>
      </c>
      <c r="C349" s="7">
        <v>6.0237399999999996E-7</v>
      </c>
      <c r="D349" s="5" t="s">
        <v>1227</v>
      </c>
      <c r="E349" s="5">
        <v>51</v>
      </c>
      <c r="F349" s="5">
        <v>46</v>
      </c>
      <c r="G349" s="5">
        <v>186</v>
      </c>
      <c r="H349" s="5">
        <f t="shared" si="15"/>
        <v>3.7265977449459425E-3</v>
      </c>
      <c r="I349" s="7">
        <f t="shared" si="16"/>
        <v>7517627520</v>
      </c>
      <c r="J349" s="7">
        <f t="shared" si="17"/>
        <v>0</v>
      </c>
    </row>
    <row r="350" spans="2:10" x14ac:dyDescent="0.2">
      <c r="B350" s="5">
        <v>46098</v>
      </c>
      <c r="C350" s="7">
        <v>4.8413300000000001E-7</v>
      </c>
      <c r="D350" s="5" t="s">
        <v>1228</v>
      </c>
      <c r="E350" s="5">
        <v>52</v>
      </c>
      <c r="F350" s="5">
        <v>46</v>
      </c>
      <c r="G350" s="5">
        <v>1062</v>
      </c>
      <c r="H350" s="5">
        <f t="shared" si="15"/>
        <v>6.5268096097923281E-4</v>
      </c>
      <c r="I350" s="7">
        <f t="shared" si="16"/>
        <v>6041979840</v>
      </c>
      <c r="J350" s="7">
        <f t="shared" si="17"/>
        <v>0</v>
      </c>
    </row>
    <row r="351" spans="2:10" x14ac:dyDescent="0.2">
      <c r="B351" s="5">
        <v>46099</v>
      </c>
      <c r="C351" s="7">
        <v>2.46324E-7</v>
      </c>
      <c r="D351" s="5" t="s">
        <v>1229</v>
      </c>
      <c r="E351" s="5">
        <v>53</v>
      </c>
      <c r="F351" s="5">
        <v>46</v>
      </c>
      <c r="G351" s="5">
        <v>1284</v>
      </c>
      <c r="H351" s="5">
        <f t="shared" si="15"/>
        <v>5.3983425277254302E-4</v>
      </c>
      <c r="I351" s="7">
        <f t="shared" si="16"/>
        <v>3074123520</v>
      </c>
      <c r="J351" s="7">
        <f t="shared" si="17"/>
        <v>0</v>
      </c>
    </row>
    <row r="352" spans="2:10" x14ac:dyDescent="0.2">
      <c r="B352" s="5">
        <v>46100</v>
      </c>
      <c r="C352" s="7">
        <v>9.0391000000000005E-8</v>
      </c>
      <c r="D352" s="5" t="s">
        <v>1230</v>
      </c>
      <c r="E352" s="5">
        <v>54</v>
      </c>
      <c r="F352" s="5">
        <v>46</v>
      </c>
      <c r="G352" s="5">
        <v>313632</v>
      </c>
      <c r="H352" s="5">
        <f t="shared" si="15"/>
        <v>2.2100652374755931E-6</v>
      </c>
      <c r="I352" s="7">
        <f t="shared" si="16"/>
        <v>960949053.26443958</v>
      </c>
      <c r="J352" s="7">
        <f t="shared" si="17"/>
        <v>5.1742099874868912E-22</v>
      </c>
    </row>
    <row r="353" spans="2:10" x14ac:dyDescent="0.2">
      <c r="B353" s="5">
        <v>46101</v>
      </c>
      <c r="C353" s="7">
        <v>2.4569599999999999E-8</v>
      </c>
      <c r="D353" s="5" t="s">
        <v>1231</v>
      </c>
      <c r="E353" s="5">
        <v>55</v>
      </c>
      <c r="F353" s="5">
        <v>46</v>
      </c>
      <c r="G353" s="5">
        <v>30492</v>
      </c>
      <c r="H353" s="5">
        <f t="shared" si="15"/>
        <v>2.2732099585463247E-5</v>
      </c>
      <c r="I353" s="7">
        <f t="shared" si="16"/>
        <v>306628607.09460706</v>
      </c>
      <c r="J353" s="7">
        <f t="shared" si="17"/>
        <v>1.4119030487627577E-303</v>
      </c>
    </row>
    <row r="354" spans="2:10" x14ac:dyDescent="0.2">
      <c r="B354" s="5">
        <v>46103</v>
      </c>
      <c r="C354" s="7">
        <v>3.0014E-9</v>
      </c>
      <c r="D354" s="5" t="s">
        <v>1233</v>
      </c>
      <c r="E354" s="5">
        <v>57</v>
      </c>
      <c r="F354" s="5">
        <v>46</v>
      </c>
      <c r="G354" s="5">
        <v>1468022.4</v>
      </c>
      <c r="H354" s="5">
        <f t="shared" si="15"/>
        <v>4.7216389924291711E-7</v>
      </c>
      <c r="I354" s="7">
        <f t="shared" si="16"/>
        <v>12547789.072363509</v>
      </c>
      <c r="J354" s="7">
        <f t="shared" si="17"/>
        <v>4.2840306708914309</v>
      </c>
    </row>
    <row r="355" spans="2:10" x14ac:dyDescent="0.2">
      <c r="B355" s="5">
        <v>46107</v>
      </c>
      <c r="C355" s="7">
        <v>6.9799999999999994E-11</v>
      </c>
      <c r="D355" s="5" t="s">
        <v>1237</v>
      </c>
      <c r="E355" s="5">
        <v>61</v>
      </c>
      <c r="F355" s="5">
        <v>46</v>
      </c>
      <c r="G355" s="5">
        <v>205124400000000</v>
      </c>
      <c r="H355" s="5">
        <f t="shared" si="15"/>
        <v>3.3791551885584809E-15</v>
      </c>
      <c r="I355" s="7">
        <f t="shared" si="16"/>
        <v>2.5432666364366692E-3</v>
      </c>
      <c r="J355" s="7">
        <f t="shared" si="17"/>
        <v>2.5432663654133777E-3</v>
      </c>
    </row>
    <row r="356" spans="2:10" x14ac:dyDescent="0.2">
      <c r="B356" s="5">
        <v>46109</v>
      </c>
      <c r="C356" s="7">
        <v>3.6296E-9</v>
      </c>
      <c r="D356" s="5" t="s">
        <v>1239</v>
      </c>
      <c r="E356" s="5">
        <v>63</v>
      </c>
      <c r="F356" s="5">
        <v>46</v>
      </c>
      <c r="G356" s="5">
        <v>49324.32</v>
      </c>
      <c r="H356" s="5">
        <f t="shared" si="15"/>
        <v>1.4052848180369142E-5</v>
      </c>
      <c r="I356" s="7">
        <f t="shared" si="16"/>
        <v>45297166.444431856</v>
      </c>
      <c r="J356" s="7">
        <f t="shared" si="17"/>
        <v>1.5470919777435614E-185</v>
      </c>
    </row>
    <row r="357" spans="2:10" x14ac:dyDescent="0.2">
      <c r="B357" s="5">
        <v>46111</v>
      </c>
      <c r="C357" s="7">
        <v>7.5314200000000006E-8</v>
      </c>
      <c r="D357" s="5" t="s">
        <v>1241</v>
      </c>
      <c r="E357" s="5">
        <v>65</v>
      </c>
      <c r="F357" s="5">
        <v>46</v>
      </c>
      <c r="G357" s="5">
        <v>1404</v>
      </c>
      <c r="H357" s="5">
        <f t="shared" si="15"/>
        <v>4.9369457304839404E-4</v>
      </c>
      <c r="I357" s="7">
        <f t="shared" si="16"/>
        <v>939921216.00000012</v>
      </c>
      <c r="J357" s="7">
        <f t="shared" si="17"/>
        <v>0</v>
      </c>
    </row>
    <row r="358" spans="2:10" x14ac:dyDescent="0.2">
      <c r="B358" s="5">
        <v>46112</v>
      </c>
      <c r="C358" s="7">
        <v>3.0181500000000001E-7</v>
      </c>
      <c r="D358" s="5" t="s">
        <v>1242</v>
      </c>
      <c r="E358" s="5">
        <v>66</v>
      </c>
      <c r="F358" s="5">
        <v>46</v>
      </c>
      <c r="G358" s="5">
        <v>75744</v>
      </c>
      <c r="H358" s="5">
        <f t="shared" si="15"/>
        <v>9.151182675326696E-6</v>
      </c>
      <c r="I358" s="7">
        <f t="shared" si="16"/>
        <v>3765263954.9828224</v>
      </c>
      <c r="J358" s="7">
        <f t="shared" si="17"/>
        <v>1.7458782802732038E-116</v>
      </c>
    </row>
    <row r="359" spans="2:10" x14ac:dyDescent="0.2">
      <c r="B359" s="5">
        <v>46113</v>
      </c>
      <c r="C359" s="7">
        <v>4.3967000000000002E-7</v>
      </c>
      <c r="D359" s="5" t="s">
        <v>1243</v>
      </c>
      <c r="E359" s="5">
        <v>67</v>
      </c>
      <c r="F359" s="5">
        <v>46</v>
      </c>
      <c r="G359" s="5">
        <v>93</v>
      </c>
      <c r="H359" s="5">
        <f t="shared" si="15"/>
        <v>7.453195489891885E-3</v>
      </c>
      <c r="I359" s="7">
        <f t="shared" si="16"/>
        <v>5487081600</v>
      </c>
      <c r="J359" s="7">
        <f t="shared" si="17"/>
        <v>0</v>
      </c>
    </row>
    <row r="360" spans="2:10" x14ac:dyDescent="0.2">
      <c r="B360" s="5">
        <v>46114</v>
      </c>
      <c r="C360" s="7">
        <v>1.04833E-6</v>
      </c>
      <c r="D360" s="5" t="s">
        <v>1244</v>
      </c>
      <c r="E360" s="5">
        <v>68</v>
      </c>
      <c r="F360" s="5">
        <v>46</v>
      </c>
      <c r="G360" s="5">
        <v>145.19999999999999</v>
      </c>
      <c r="H360" s="5">
        <f t="shared" si="15"/>
        <v>4.7737409129472823E-3</v>
      </c>
      <c r="I360" s="7">
        <f t="shared" si="16"/>
        <v>13083158400</v>
      </c>
      <c r="J360" s="7">
        <f t="shared" si="17"/>
        <v>0</v>
      </c>
    </row>
    <row r="361" spans="2:10" x14ac:dyDescent="0.2">
      <c r="B361" s="5">
        <v>46115</v>
      </c>
      <c r="C361" s="7">
        <v>9.4181100000000002E-7</v>
      </c>
      <c r="D361" s="5" t="s">
        <v>1245</v>
      </c>
      <c r="E361" s="5">
        <v>69</v>
      </c>
      <c r="F361" s="5">
        <v>46</v>
      </c>
      <c r="G361" s="5">
        <v>25</v>
      </c>
      <c r="H361" s="5">
        <f t="shared" si="15"/>
        <v>2.7725887222397813E-2</v>
      </c>
      <c r="I361" s="7">
        <f t="shared" si="16"/>
        <v>11753801280</v>
      </c>
      <c r="J361" s="7">
        <f t="shared" si="17"/>
        <v>0</v>
      </c>
    </row>
    <row r="362" spans="2:10" x14ac:dyDescent="0.2">
      <c r="B362" s="5">
        <v>46116</v>
      </c>
      <c r="C362" s="7">
        <v>1.4684500000000001E-6</v>
      </c>
      <c r="D362" s="5" t="s">
        <v>1246</v>
      </c>
      <c r="E362" s="5">
        <v>70</v>
      </c>
      <c r="F362" s="5">
        <v>46</v>
      </c>
      <c r="G362" s="5">
        <v>11.8</v>
      </c>
      <c r="H362" s="5">
        <f t="shared" si="15"/>
        <v>5.8741286488130956E-2</v>
      </c>
      <c r="I362" s="7">
        <f t="shared" si="16"/>
        <v>18326256000</v>
      </c>
      <c r="J362" s="7">
        <f t="shared" si="17"/>
        <v>0</v>
      </c>
    </row>
    <row r="363" spans="2:10" x14ac:dyDescent="0.2">
      <c r="B363" s="5">
        <v>46117</v>
      </c>
      <c r="C363" s="7">
        <v>8.7878199999999999E-7</v>
      </c>
      <c r="D363" s="5" t="s">
        <v>1247</v>
      </c>
      <c r="E363" s="5">
        <v>71</v>
      </c>
      <c r="F363" s="5">
        <v>46</v>
      </c>
      <c r="G363" s="5">
        <v>4.3</v>
      </c>
      <c r="H363" s="5">
        <f t="shared" si="15"/>
        <v>0.16119701873487099</v>
      </c>
      <c r="I363" s="7">
        <f t="shared" si="16"/>
        <v>10967199360</v>
      </c>
      <c r="J363" s="7">
        <f t="shared" si="17"/>
        <v>0</v>
      </c>
    </row>
    <row r="364" spans="2:10" x14ac:dyDescent="0.2">
      <c r="B364" s="5">
        <v>46118</v>
      </c>
      <c r="C364" s="7">
        <v>1.05203E-6</v>
      </c>
      <c r="D364" s="5" t="s">
        <v>1248</v>
      </c>
      <c r="E364" s="5">
        <v>72</v>
      </c>
      <c r="F364" s="5">
        <v>46</v>
      </c>
      <c r="G364" s="5">
        <v>1.9</v>
      </c>
      <c r="H364" s="5">
        <f t="shared" si="15"/>
        <v>0.36481430555786598</v>
      </c>
      <c r="I364" s="7">
        <f t="shared" si="16"/>
        <v>13129334400</v>
      </c>
      <c r="J364" s="7">
        <f t="shared" si="17"/>
        <v>0</v>
      </c>
    </row>
    <row r="365" spans="2:10" x14ac:dyDescent="0.2">
      <c r="B365" s="5">
        <v>47096</v>
      </c>
      <c r="C365" s="7">
        <v>4.92997E-7</v>
      </c>
      <c r="D365" s="5" t="s">
        <v>1261</v>
      </c>
      <c r="E365" s="5">
        <v>49</v>
      </c>
      <c r="F365" s="5">
        <v>47</v>
      </c>
      <c r="G365" s="5">
        <v>4.4000000000000004</v>
      </c>
      <c r="H365" s="5">
        <f t="shared" si="15"/>
        <v>0.15753345012726028</v>
      </c>
      <c r="I365" s="7">
        <f t="shared" si="16"/>
        <v>6152602560</v>
      </c>
      <c r="J365" s="7">
        <f t="shared" si="17"/>
        <v>0</v>
      </c>
    </row>
    <row r="366" spans="2:10" x14ac:dyDescent="0.2">
      <c r="B366" s="5">
        <v>47097</v>
      </c>
      <c r="C366" s="7">
        <v>4.5802799999999998E-7</v>
      </c>
      <c r="D366" s="5" t="s">
        <v>1262</v>
      </c>
      <c r="E366" s="5">
        <v>50</v>
      </c>
      <c r="F366" s="5">
        <v>47</v>
      </c>
      <c r="G366" s="5">
        <v>25.5</v>
      </c>
      <c r="H366" s="5">
        <f t="shared" si="15"/>
        <v>2.7182242374899815E-2</v>
      </c>
      <c r="I366" s="7">
        <f t="shared" si="16"/>
        <v>5716189440</v>
      </c>
      <c r="J366" s="7">
        <f t="shared" si="17"/>
        <v>0</v>
      </c>
    </row>
    <row r="367" spans="2:10" x14ac:dyDescent="0.2">
      <c r="B367" s="5">
        <v>47098</v>
      </c>
      <c r="C367" s="7">
        <v>1.8629599999999999E-7</v>
      </c>
      <c r="D367" s="5" t="s">
        <v>1263</v>
      </c>
      <c r="E367" s="5">
        <v>51</v>
      </c>
      <c r="F367" s="5">
        <v>47</v>
      </c>
      <c r="G367" s="5">
        <v>47.5</v>
      </c>
      <c r="H367" s="5">
        <f t="shared" si="15"/>
        <v>1.4592572222314637E-2</v>
      </c>
      <c r="I367" s="7">
        <f t="shared" si="16"/>
        <v>2324974080</v>
      </c>
      <c r="J367" s="7">
        <f t="shared" si="17"/>
        <v>0</v>
      </c>
    </row>
    <row r="368" spans="2:10" x14ac:dyDescent="0.2">
      <c r="B368" s="5">
        <v>47099</v>
      </c>
      <c r="C368" s="7">
        <v>1.06585E-7</v>
      </c>
      <c r="D368" s="5" t="s">
        <v>1264</v>
      </c>
      <c r="E368" s="5">
        <v>52</v>
      </c>
      <c r="F368" s="5">
        <v>47</v>
      </c>
      <c r="G368" s="5">
        <v>124</v>
      </c>
      <c r="H368" s="5">
        <f t="shared" si="15"/>
        <v>5.5898966174189133E-3</v>
      </c>
      <c r="I368" s="7">
        <f t="shared" si="16"/>
        <v>1330180800</v>
      </c>
      <c r="J368" s="7">
        <f t="shared" si="17"/>
        <v>0</v>
      </c>
    </row>
    <row r="369" spans="2:10" x14ac:dyDescent="0.2">
      <c r="B369" s="5">
        <v>47100</v>
      </c>
      <c r="C369" s="7">
        <v>2.9874400000000002E-8</v>
      </c>
      <c r="D369" s="5" t="s">
        <v>1265</v>
      </c>
      <c r="E369" s="5">
        <v>53</v>
      </c>
      <c r="F369" s="5">
        <v>47</v>
      </c>
      <c r="G369" s="5">
        <v>120.6</v>
      </c>
      <c r="H369" s="5">
        <f t="shared" si="15"/>
        <v>5.7474890593693642E-3</v>
      </c>
      <c r="I369" s="7">
        <f t="shared" si="16"/>
        <v>372832512</v>
      </c>
      <c r="J369" s="7">
        <f t="shared" si="17"/>
        <v>0</v>
      </c>
    </row>
    <row r="370" spans="2:10" x14ac:dyDescent="0.2">
      <c r="B370" s="5">
        <v>47101</v>
      </c>
      <c r="C370" s="7">
        <v>1.82876E-8</v>
      </c>
      <c r="D370" s="5" t="s">
        <v>1266</v>
      </c>
      <c r="E370" s="5">
        <v>54</v>
      </c>
      <c r="F370" s="5">
        <v>47</v>
      </c>
      <c r="G370" s="5">
        <v>666</v>
      </c>
      <c r="H370" s="5">
        <f t="shared" si="15"/>
        <v>1.0407615323722902E-3</v>
      </c>
      <c r="I370" s="7">
        <f t="shared" si="16"/>
        <v>228229248</v>
      </c>
      <c r="J370" s="7">
        <f t="shared" si="17"/>
        <v>0</v>
      </c>
    </row>
    <row r="371" spans="2:10" x14ac:dyDescent="0.2">
      <c r="B371" s="5">
        <v>47102</v>
      </c>
      <c r="C371" s="7">
        <v>4.188E-9</v>
      </c>
      <c r="D371" s="5" t="s">
        <v>1267</v>
      </c>
      <c r="E371" s="5">
        <v>55</v>
      </c>
      <c r="F371" s="5">
        <v>47</v>
      </c>
      <c r="G371" s="5">
        <v>774</v>
      </c>
      <c r="H371" s="5">
        <f t="shared" si="15"/>
        <v>8.9553899297150556E-4</v>
      </c>
      <c r="I371" s="7">
        <f t="shared" si="16"/>
        <v>52266240</v>
      </c>
      <c r="J371" s="7">
        <f t="shared" si="17"/>
        <v>0</v>
      </c>
    </row>
    <row r="372" spans="2:10" x14ac:dyDescent="0.2">
      <c r="B372" s="5">
        <v>47103</v>
      </c>
      <c r="C372" s="7">
        <v>1.8845999999999999E-9</v>
      </c>
      <c r="D372" s="5" t="s">
        <v>1268</v>
      </c>
      <c r="E372" s="5">
        <v>56</v>
      </c>
      <c r="F372" s="5">
        <v>47</v>
      </c>
      <c r="G372" s="5">
        <v>3942</v>
      </c>
      <c r="H372" s="5">
        <f t="shared" si="15"/>
        <v>1.7583642327751023E-4</v>
      </c>
      <c r="I372" s="7">
        <f t="shared" si="16"/>
        <v>23519808</v>
      </c>
      <c r="J372" s="7">
        <f t="shared" si="17"/>
        <v>0</v>
      </c>
    </row>
    <row r="373" spans="2:10" x14ac:dyDescent="0.2">
      <c r="B373" s="5">
        <v>47104</v>
      </c>
      <c r="C373" s="7">
        <v>4.1879999999999999E-10</v>
      </c>
      <c r="D373" s="5" t="s">
        <v>1269</v>
      </c>
      <c r="E373" s="5">
        <v>57</v>
      </c>
      <c r="F373" s="5">
        <v>47</v>
      </c>
      <c r="G373" s="5">
        <v>4152</v>
      </c>
      <c r="H373" s="5">
        <f t="shared" si="15"/>
        <v>1.6694296256260726E-4</v>
      </c>
      <c r="I373" s="7">
        <f t="shared" si="16"/>
        <v>5226624</v>
      </c>
      <c r="J373" s="7">
        <f t="shared" si="17"/>
        <v>0</v>
      </c>
    </row>
    <row r="374" spans="2:10" x14ac:dyDescent="0.2">
      <c r="B374" s="5">
        <v>47105</v>
      </c>
      <c r="C374" s="7">
        <v>6.9799999999999994E-11</v>
      </c>
      <c r="D374" s="5" t="s">
        <v>1270</v>
      </c>
      <c r="E374" s="5">
        <v>58</v>
      </c>
      <c r="F374" s="5">
        <v>47</v>
      </c>
      <c r="G374" s="5">
        <v>3567456</v>
      </c>
      <c r="H374" s="5">
        <f t="shared" si="15"/>
        <v>1.9429733136440794E-7</v>
      </c>
      <c r="I374" s="7">
        <f t="shared" si="16"/>
        <v>134619.28773413473</v>
      </c>
      <c r="J374" s="7">
        <f t="shared" si="17"/>
        <v>293.78415783989243</v>
      </c>
    </row>
    <row r="375" spans="2:10" x14ac:dyDescent="0.2">
      <c r="B375" s="5">
        <v>47110</v>
      </c>
      <c r="C375" s="7">
        <v>6.9799999999999994E-11</v>
      </c>
      <c r="D375" s="5" t="s">
        <v>1275</v>
      </c>
      <c r="E375" s="5">
        <v>63</v>
      </c>
      <c r="F375" s="5">
        <v>47</v>
      </c>
      <c r="G375" s="5">
        <v>24.6</v>
      </c>
      <c r="H375" s="5">
        <f t="shared" si="15"/>
        <v>2.8176714656908342E-2</v>
      </c>
      <c r="I375" s="7">
        <f t="shared" si="16"/>
        <v>871103.99999999988</v>
      </c>
      <c r="J375" s="7">
        <f t="shared" si="17"/>
        <v>0</v>
      </c>
    </row>
    <row r="376" spans="2:10" x14ac:dyDescent="0.2">
      <c r="B376" s="5">
        <v>47111</v>
      </c>
      <c r="C376" s="7">
        <v>8.3759999999999998E-10</v>
      </c>
      <c r="D376" s="5" t="s">
        <v>1276</v>
      </c>
      <c r="E376" s="5">
        <v>64</v>
      </c>
      <c r="F376" s="5">
        <v>47</v>
      </c>
      <c r="G376" s="5">
        <v>643680</v>
      </c>
      <c r="H376" s="5">
        <f t="shared" si="15"/>
        <v>1.0768505787968328E-6</v>
      </c>
      <c r="I376" s="7">
        <f t="shared" si="16"/>
        <v>6330525.0987126119</v>
      </c>
      <c r="J376" s="7">
        <f t="shared" si="17"/>
        <v>1.129770636618964E-8</v>
      </c>
    </row>
    <row r="377" spans="2:10" x14ac:dyDescent="0.2">
      <c r="B377" s="5">
        <v>47112</v>
      </c>
      <c r="C377" s="7">
        <v>4.7464000000000001E-9</v>
      </c>
      <c r="D377" s="5" t="s">
        <v>1277</v>
      </c>
      <c r="E377" s="5">
        <v>65</v>
      </c>
      <c r="F377" s="5">
        <v>47</v>
      </c>
      <c r="G377" s="5">
        <v>11268</v>
      </c>
      <c r="H377" s="5">
        <f t="shared" si="15"/>
        <v>6.1514659261620983E-5</v>
      </c>
      <c r="I377" s="7">
        <f t="shared" si="16"/>
        <v>59235072</v>
      </c>
      <c r="J377" s="7">
        <f t="shared" si="17"/>
        <v>0</v>
      </c>
    </row>
    <row r="378" spans="2:10" x14ac:dyDescent="0.2">
      <c r="B378" s="5">
        <v>47113</v>
      </c>
      <c r="C378" s="7">
        <v>3.07818E-8</v>
      </c>
      <c r="D378" s="5" t="s">
        <v>1278</v>
      </c>
      <c r="E378" s="5">
        <v>66</v>
      </c>
      <c r="F378" s="5">
        <v>47</v>
      </c>
      <c r="G378" s="5">
        <v>19332</v>
      </c>
      <c r="H378" s="5">
        <f t="shared" si="15"/>
        <v>3.5854913126419684E-5</v>
      </c>
      <c r="I378" s="7">
        <f t="shared" si="16"/>
        <v>384156863.99998647</v>
      </c>
      <c r="J378" s="7">
        <f t="shared" si="17"/>
        <v>0</v>
      </c>
    </row>
    <row r="379" spans="2:10" x14ac:dyDescent="0.2">
      <c r="B379" s="5">
        <v>47114</v>
      </c>
      <c r="C379" s="7">
        <v>7.8385400000000005E-8</v>
      </c>
      <c r="D379" s="5" t="s">
        <v>1279</v>
      </c>
      <c r="E379" s="5">
        <v>67</v>
      </c>
      <c r="F379" s="5">
        <v>47</v>
      </c>
      <c r="G379" s="5">
        <v>4.5999999999999996</v>
      </c>
      <c r="H379" s="5">
        <f t="shared" si="15"/>
        <v>0.15068416968694465</v>
      </c>
      <c r="I379" s="7">
        <f t="shared" si="16"/>
        <v>978249792.00000012</v>
      </c>
      <c r="J379" s="7">
        <f t="shared" si="17"/>
        <v>0</v>
      </c>
    </row>
    <row r="380" spans="2:10" x14ac:dyDescent="0.2">
      <c r="B380" s="5">
        <v>47115</v>
      </c>
      <c r="C380" s="7">
        <v>2.8590100000000001E-7</v>
      </c>
      <c r="D380" s="5" t="s">
        <v>1280</v>
      </c>
      <c r="E380" s="5">
        <v>68</v>
      </c>
      <c r="F380" s="5">
        <v>47</v>
      </c>
      <c r="G380" s="5">
        <v>1200</v>
      </c>
      <c r="H380" s="5">
        <f t="shared" si="15"/>
        <v>5.7762265046662107E-4</v>
      </c>
      <c r="I380" s="7">
        <f t="shared" si="16"/>
        <v>3568044480</v>
      </c>
      <c r="J380" s="7">
        <f t="shared" si="17"/>
        <v>0</v>
      </c>
    </row>
    <row r="381" spans="2:10" x14ac:dyDescent="0.2">
      <c r="B381" s="5">
        <v>47116</v>
      </c>
      <c r="C381" s="7">
        <v>4.50908E-7</v>
      </c>
      <c r="D381" s="5" t="s">
        <v>1281</v>
      </c>
      <c r="E381" s="5">
        <v>69</v>
      </c>
      <c r="F381" s="5">
        <v>47</v>
      </c>
      <c r="G381" s="5">
        <v>237</v>
      </c>
      <c r="H381" s="5">
        <f t="shared" si="15"/>
        <v>2.9246716479322584E-3</v>
      </c>
      <c r="I381" s="7">
        <f t="shared" si="16"/>
        <v>5627331840</v>
      </c>
      <c r="J381" s="7">
        <f t="shared" si="17"/>
        <v>0</v>
      </c>
    </row>
    <row r="382" spans="2:10" x14ac:dyDescent="0.2">
      <c r="B382" s="5">
        <v>47117</v>
      </c>
      <c r="C382" s="7">
        <v>9.8180700000000005E-7</v>
      </c>
      <c r="D382" s="5" t="s">
        <v>1282</v>
      </c>
      <c r="E382" s="5">
        <v>70</v>
      </c>
      <c r="F382" s="5">
        <v>47</v>
      </c>
      <c r="G382" s="5">
        <v>72.8</v>
      </c>
      <c r="H382" s="5">
        <f t="shared" si="15"/>
        <v>9.5212524802190286E-3</v>
      </c>
      <c r="I382" s="7">
        <f t="shared" si="16"/>
        <v>12252951360</v>
      </c>
      <c r="J382" s="7">
        <f t="shared" si="17"/>
        <v>0</v>
      </c>
    </row>
    <row r="383" spans="2:10" x14ac:dyDescent="0.2">
      <c r="B383" s="5">
        <v>47118</v>
      </c>
      <c r="C383" s="7">
        <v>9.9367300000000001E-7</v>
      </c>
      <c r="D383" s="5" t="s">
        <v>1283</v>
      </c>
      <c r="E383" s="5">
        <v>71</v>
      </c>
      <c r="F383" s="5">
        <v>47</v>
      </c>
      <c r="G383" s="5">
        <v>3.76</v>
      </c>
      <c r="H383" s="5">
        <f t="shared" si="15"/>
        <v>0.18434765440424078</v>
      </c>
      <c r="I383" s="7">
        <f t="shared" si="16"/>
        <v>12401039040</v>
      </c>
      <c r="J383" s="7">
        <f t="shared" si="17"/>
        <v>0</v>
      </c>
    </row>
    <row r="384" spans="2:10" x14ac:dyDescent="0.2">
      <c r="B384" s="5">
        <v>47119</v>
      </c>
      <c r="C384" s="7">
        <v>1.52045E-6</v>
      </c>
      <c r="D384" s="5" t="s">
        <v>1284</v>
      </c>
      <c r="E384" s="5">
        <v>72</v>
      </c>
      <c r="F384" s="5">
        <v>47</v>
      </c>
      <c r="G384" s="5">
        <v>6</v>
      </c>
      <c r="H384" s="5">
        <f t="shared" si="15"/>
        <v>0.11552453009332421</v>
      </c>
      <c r="I384" s="7">
        <f t="shared" si="16"/>
        <v>18975216000</v>
      </c>
      <c r="J384" s="7">
        <f t="shared" si="17"/>
        <v>0</v>
      </c>
    </row>
    <row r="385" spans="2:10" x14ac:dyDescent="0.2">
      <c r="B385" s="5">
        <v>47120</v>
      </c>
      <c r="C385" s="7">
        <v>1.26903E-6</v>
      </c>
      <c r="D385" s="5" t="s">
        <v>1285</v>
      </c>
      <c r="E385" s="5">
        <v>73</v>
      </c>
      <c r="F385" s="5">
        <v>47</v>
      </c>
      <c r="G385" s="5">
        <v>1.23</v>
      </c>
      <c r="H385" s="5">
        <f t="shared" si="15"/>
        <v>0.56353429313816694</v>
      </c>
      <c r="I385" s="7">
        <f t="shared" si="16"/>
        <v>15837494400</v>
      </c>
      <c r="J385" s="7">
        <f t="shared" si="17"/>
        <v>0</v>
      </c>
    </row>
    <row r="386" spans="2:10" x14ac:dyDescent="0.2">
      <c r="B386" s="5">
        <v>47121</v>
      </c>
      <c r="C386" s="7">
        <v>1.5272899999999999E-6</v>
      </c>
      <c r="D386" s="5" t="s">
        <v>1286</v>
      </c>
      <c r="E386" s="5">
        <v>74</v>
      </c>
      <c r="F386" s="5">
        <v>47</v>
      </c>
      <c r="G386" s="5">
        <v>0.78</v>
      </c>
      <c r="H386" s="5">
        <f t="shared" si="15"/>
        <v>0.88865023148710931</v>
      </c>
      <c r="I386" s="7">
        <f t="shared" si="16"/>
        <v>19060579200</v>
      </c>
      <c r="J386" s="7">
        <f t="shared" si="17"/>
        <v>0</v>
      </c>
    </row>
    <row r="387" spans="2:10" x14ac:dyDescent="0.2">
      <c r="B387" s="5">
        <v>47122</v>
      </c>
      <c r="C387" s="7">
        <v>7.83435E-7</v>
      </c>
      <c r="D387" s="5" t="s">
        <v>1287</v>
      </c>
      <c r="E387" s="5">
        <v>75</v>
      </c>
      <c r="F387" s="5">
        <v>47</v>
      </c>
      <c r="G387" s="5">
        <v>0.52900000000000003</v>
      </c>
      <c r="H387" s="5">
        <f t="shared" si="15"/>
        <v>1.3102971277125619</v>
      </c>
      <c r="I387" s="7">
        <f t="shared" si="16"/>
        <v>9777268800</v>
      </c>
      <c r="J387" s="7">
        <f t="shared" si="17"/>
        <v>0</v>
      </c>
    </row>
    <row r="388" spans="2:10" x14ac:dyDescent="0.2">
      <c r="B388" s="5">
        <v>47123</v>
      </c>
      <c r="C388" s="7">
        <v>6.77758E-7</v>
      </c>
      <c r="D388" s="5" t="s">
        <v>1288</v>
      </c>
      <c r="E388" s="5">
        <v>76</v>
      </c>
      <c r="F388" s="5">
        <v>47</v>
      </c>
      <c r="G388" s="5">
        <v>0.3</v>
      </c>
      <c r="H388" s="5">
        <f t="shared" ref="H388:H451" si="18">LN(2)/G388</f>
        <v>2.3104906018664844</v>
      </c>
      <c r="I388" s="7">
        <f t="shared" ref="I388:I451" si="19">2*6240000000000000*C388*(1-EXP(-H388*10*24*3600))</f>
        <v>8458419840</v>
      </c>
      <c r="J388" s="7">
        <f t="shared" ref="J388:J451" si="20">EXP(-H388*365*24*3600)*I388</f>
        <v>0</v>
      </c>
    </row>
    <row r="389" spans="2:10" x14ac:dyDescent="0.2">
      <c r="B389" s="5">
        <v>48097</v>
      </c>
      <c r="C389" s="7">
        <v>2.81503E-7</v>
      </c>
      <c r="D389" s="5" t="s">
        <v>1299</v>
      </c>
      <c r="E389" s="5">
        <v>49</v>
      </c>
      <c r="F389" s="5">
        <v>48</v>
      </c>
      <c r="G389" s="5">
        <v>1.1000000000000001</v>
      </c>
      <c r="H389" s="5">
        <f t="shared" si="18"/>
        <v>0.63013380050904111</v>
      </c>
      <c r="I389" s="7">
        <f t="shared" si="19"/>
        <v>3513157440</v>
      </c>
      <c r="J389" s="7">
        <f t="shared" si="20"/>
        <v>0</v>
      </c>
    </row>
    <row r="390" spans="2:10" x14ac:dyDescent="0.2">
      <c r="B390" s="5">
        <v>48098</v>
      </c>
      <c r="C390" s="7">
        <v>1.9460200000000001E-7</v>
      </c>
      <c r="D390" s="5" t="s">
        <v>1300</v>
      </c>
      <c r="E390" s="5">
        <v>50</v>
      </c>
      <c r="F390" s="5">
        <v>48</v>
      </c>
      <c r="G390" s="5">
        <v>9.1999999999999993</v>
      </c>
      <c r="H390" s="5">
        <f t="shared" si="18"/>
        <v>7.5342084843472323E-2</v>
      </c>
      <c r="I390" s="7">
        <f t="shared" si="19"/>
        <v>2428632960</v>
      </c>
      <c r="J390" s="7">
        <f t="shared" si="20"/>
        <v>0</v>
      </c>
    </row>
    <row r="391" spans="2:10" x14ac:dyDescent="0.2">
      <c r="B391" s="5">
        <v>48099</v>
      </c>
      <c r="C391" s="7">
        <v>5.8911200000000001E-8</v>
      </c>
      <c r="D391" s="5" t="s">
        <v>1301</v>
      </c>
      <c r="E391" s="5">
        <v>51</v>
      </c>
      <c r="F391" s="5">
        <v>48</v>
      </c>
      <c r="G391" s="5">
        <v>16</v>
      </c>
      <c r="H391" s="5">
        <f t="shared" si="18"/>
        <v>4.332169878499658E-2</v>
      </c>
      <c r="I391" s="7">
        <f t="shared" si="19"/>
        <v>735211776</v>
      </c>
      <c r="J391" s="7">
        <f t="shared" si="20"/>
        <v>0</v>
      </c>
    </row>
    <row r="392" spans="2:10" x14ac:dyDescent="0.2">
      <c r="B392" s="5">
        <v>48100</v>
      </c>
      <c r="C392" s="7">
        <v>3.2107999999999999E-8</v>
      </c>
      <c r="D392" s="5" t="s">
        <v>1302</v>
      </c>
      <c r="E392" s="5">
        <v>52</v>
      </c>
      <c r="F392" s="5">
        <v>48</v>
      </c>
      <c r="G392" s="5">
        <v>49.1</v>
      </c>
      <c r="H392" s="5">
        <f t="shared" si="18"/>
        <v>1.4117050520569149E-2</v>
      </c>
      <c r="I392" s="7">
        <f t="shared" si="19"/>
        <v>400707840</v>
      </c>
      <c r="J392" s="7">
        <f t="shared" si="20"/>
        <v>0</v>
      </c>
    </row>
    <row r="393" spans="2:10" x14ac:dyDescent="0.2">
      <c r="B393" s="5">
        <v>48101</v>
      </c>
      <c r="C393" s="7">
        <v>6.9800000000000003E-9</v>
      </c>
      <c r="D393" s="5" t="s">
        <v>1303</v>
      </c>
      <c r="E393" s="5">
        <v>53</v>
      </c>
      <c r="F393" s="5">
        <v>48</v>
      </c>
      <c r="G393" s="5">
        <v>81.599999999999994</v>
      </c>
      <c r="H393" s="5">
        <f t="shared" si="18"/>
        <v>8.494450742156193E-3</v>
      </c>
      <c r="I393" s="7">
        <f t="shared" si="19"/>
        <v>87110400</v>
      </c>
      <c r="J393" s="7">
        <f t="shared" si="20"/>
        <v>0</v>
      </c>
    </row>
    <row r="394" spans="2:10" x14ac:dyDescent="0.2">
      <c r="B394" s="5">
        <v>48102</v>
      </c>
      <c r="C394" s="7">
        <v>3.2806E-9</v>
      </c>
      <c r="D394" s="5" t="s">
        <v>1304</v>
      </c>
      <c r="E394" s="5">
        <v>54</v>
      </c>
      <c r="F394" s="5">
        <v>48</v>
      </c>
      <c r="G394" s="5">
        <v>330</v>
      </c>
      <c r="H394" s="5">
        <f t="shared" si="18"/>
        <v>2.1004460016968039E-3</v>
      </c>
      <c r="I394" s="7">
        <f t="shared" si="19"/>
        <v>40941888</v>
      </c>
      <c r="J394" s="7">
        <f t="shared" si="20"/>
        <v>0</v>
      </c>
    </row>
    <row r="395" spans="2:10" x14ac:dyDescent="0.2">
      <c r="B395" s="5">
        <v>48103</v>
      </c>
      <c r="C395" s="7">
        <v>3.4899999999999998E-10</v>
      </c>
      <c r="D395" s="5" t="s">
        <v>1305</v>
      </c>
      <c r="E395" s="5">
        <v>55</v>
      </c>
      <c r="F395" s="5">
        <v>48</v>
      </c>
      <c r="G395" s="5">
        <v>438</v>
      </c>
      <c r="H395" s="5">
        <f t="shared" si="18"/>
        <v>1.582527809497592E-3</v>
      </c>
      <c r="I395" s="7">
        <f t="shared" si="19"/>
        <v>4355520</v>
      </c>
      <c r="J395" s="7">
        <f t="shared" si="20"/>
        <v>0</v>
      </c>
    </row>
    <row r="396" spans="2:10" x14ac:dyDescent="0.2">
      <c r="B396" s="5">
        <v>48113</v>
      </c>
      <c r="C396" s="7">
        <v>6.9799999999999994E-11</v>
      </c>
      <c r="D396" s="5" t="s">
        <v>1315</v>
      </c>
      <c r="E396" s="5">
        <v>65</v>
      </c>
      <c r="F396" s="5">
        <v>48</v>
      </c>
      <c r="G396" s="5">
        <v>2.5246080000000001E+23</v>
      </c>
      <c r="H396" s="5">
        <f t="shared" si="18"/>
        <v>2.7455635907037657E-24</v>
      </c>
      <c r="I396" s="7">
        <f t="shared" si="19"/>
        <v>0</v>
      </c>
      <c r="J396" s="7">
        <f t="shared" si="20"/>
        <v>0</v>
      </c>
    </row>
    <row r="397" spans="2:10" x14ac:dyDescent="0.2">
      <c r="B397" s="5">
        <v>48114</v>
      </c>
      <c r="C397" s="7">
        <v>2.3034000000000001E-9</v>
      </c>
      <c r="D397" s="5" t="s">
        <v>1316</v>
      </c>
      <c r="E397" s="5">
        <v>66</v>
      </c>
      <c r="F397" s="5">
        <v>48</v>
      </c>
      <c r="G397" s="5">
        <v>6.627096E+25</v>
      </c>
      <c r="H397" s="5">
        <f t="shared" si="18"/>
        <v>1.045928986934768E-26</v>
      </c>
      <c r="I397" s="7">
        <f t="shared" si="19"/>
        <v>0</v>
      </c>
      <c r="J397" s="7">
        <f t="shared" si="20"/>
        <v>0</v>
      </c>
    </row>
    <row r="398" spans="2:10" x14ac:dyDescent="0.2">
      <c r="B398" s="5">
        <v>48115</v>
      </c>
      <c r="C398" s="7">
        <v>1.05398E-8</v>
      </c>
      <c r="D398" s="5" t="s">
        <v>1317</v>
      </c>
      <c r="E398" s="5">
        <v>67</v>
      </c>
      <c r="F398" s="5">
        <v>48</v>
      </c>
      <c r="G398" s="5">
        <v>192456</v>
      </c>
      <c r="H398" s="5">
        <f t="shared" si="18"/>
        <v>3.6015877944046708E-6</v>
      </c>
      <c r="I398" s="7">
        <f t="shared" si="19"/>
        <v>125680427.0074733</v>
      </c>
      <c r="J398" s="7">
        <f t="shared" si="20"/>
        <v>5.9189210125284106E-42</v>
      </c>
    </row>
    <row r="399" spans="2:10" x14ac:dyDescent="0.2">
      <c r="B399" s="5">
        <v>48116</v>
      </c>
      <c r="C399" s="7">
        <v>6.1005199999999994E-8</v>
      </c>
      <c r="D399" s="5" t="s">
        <v>1318</v>
      </c>
      <c r="E399" s="5">
        <v>68</v>
      </c>
      <c r="F399" s="5">
        <v>48</v>
      </c>
      <c r="G399" s="5">
        <v>1.0414008E+27</v>
      </c>
      <c r="H399" s="5">
        <f t="shared" si="18"/>
        <v>6.6559117350394328E-28</v>
      </c>
      <c r="I399" s="7">
        <f t="shared" si="19"/>
        <v>0</v>
      </c>
      <c r="J399" s="7">
        <f t="shared" si="20"/>
        <v>0</v>
      </c>
    </row>
    <row r="400" spans="2:10" x14ac:dyDescent="0.2">
      <c r="B400" s="5">
        <v>48117</v>
      </c>
      <c r="C400" s="7">
        <v>1.35203E-7</v>
      </c>
      <c r="D400" s="5" t="s">
        <v>1319</v>
      </c>
      <c r="E400" s="5">
        <v>69</v>
      </c>
      <c r="F400" s="5">
        <v>48</v>
      </c>
      <c r="G400" s="5">
        <v>8964</v>
      </c>
      <c r="H400" s="5">
        <f t="shared" si="18"/>
        <v>7.7325656019627993E-5</v>
      </c>
      <c r="I400" s="7">
        <f t="shared" si="19"/>
        <v>1687333440</v>
      </c>
      <c r="J400" s="7">
        <f t="shared" si="20"/>
        <v>0</v>
      </c>
    </row>
    <row r="401" spans="2:10" x14ac:dyDescent="0.2">
      <c r="B401" s="5">
        <v>48118</v>
      </c>
      <c r="C401" s="7">
        <v>4.9048500000000001E-7</v>
      </c>
      <c r="D401" s="5" t="s">
        <v>1320</v>
      </c>
      <c r="E401" s="5">
        <v>70</v>
      </c>
      <c r="F401" s="5">
        <v>48</v>
      </c>
      <c r="G401" s="5">
        <v>3018</v>
      </c>
      <c r="H401" s="5">
        <f t="shared" si="18"/>
        <v>2.2967103398275192E-4</v>
      </c>
      <c r="I401" s="7">
        <f t="shared" si="19"/>
        <v>6121252800</v>
      </c>
      <c r="J401" s="7">
        <f t="shared" si="20"/>
        <v>0</v>
      </c>
    </row>
    <row r="402" spans="2:10" x14ac:dyDescent="0.2">
      <c r="B402" s="5">
        <v>48119</v>
      </c>
      <c r="C402" s="7">
        <v>6.4481199999999996E-7</v>
      </c>
      <c r="D402" s="5" t="s">
        <v>1321</v>
      </c>
      <c r="E402" s="5">
        <v>71</v>
      </c>
      <c r="F402" s="5">
        <v>48</v>
      </c>
      <c r="G402" s="5">
        <v>161.4</v>
      </c>
      <c r="H402" s="5">
        <f t="shared" si="18"/>
        <v>4.2945921967778517E-3</v>
      </c>
      <c r="I402" s="7">
        <f t="shared" si="19"/>
        <v>8047253760</v>
      </c>
      <c r="J402" s="7">
        <f t="shared" si="20"/>
        <v>0</v>
      </c>
    </row>
    <row r="403" spans="2:10" x14ac:dyDescent="0.2">
      <c r="B403" s="5">
        <v>48120</v>
      </c>
      <c r="C403" s="7">
        <v>1.5927E-6</v>
      </c>
      <c r="D403" s="5" t="s">
        <v>1322</v>
      </c>
      <c r="E403" s="5">
        <v>72</v>
      </c>
      <c r="F403" s="5">
        <v>48</v>
      </c>
      <c r="G403" s="5">
        <v>50.8</v>
      </c>
      <c r="H403" s="5">
        <f t="shared" si="18"/>
        <v>1.3644629538581601E-2</v>
      </c>
      <c r="I403" s="7">
        <f t="shared" si="19"/>
        <v>19876896000</v>
      </c>
      <c r="J403" s="7">
        <f t="shared" si="20"/>
        <v>0</v>
      </c>
    </row>
    <row r="404" spans="2:10" x14ac:dyDescent="0.2">
      <c r="B404" s="5">
        <v>48121</v>
      </c>
      <c r="C404" s="7">
        <v>1.5565400000000001E-6</v>
      </c>
      <c r="D404" s="5" t="s">
        <v>1323</v>
      </c>
      <c r="E404" s="5">
        <v>73</v>
      </c>
      <c r="F404" s="5">
        <v>48</v>
      </c>
      <c r="G404" s="5">
        <v>13.5</v>
      </c>
      <c r="H404" s="5">
        <f t="shared" si="18"/>
        <v>5.1344235597032988E-2</v>
      </c>
      <c r="I404" s="7">
        <f t="shared" si="19"/>
        <v>19425619200</v>
      </c>
      <c r="J404" s="7">
        <f t="shared" si="20"/>
        <v>0</v>
      </c>
    </row>
    <row r="405" spans="2:10" x14ac:dyDescent="0.2">
      <c r="B405" s="5">
        <v>48122</v>
      </c>
      <c r="C405" s="7">
        <v>2.84798E-6</v>
      </c>
      <c r="D405" s="5" t="s">
        <v>1324</v>
      </c>
      <c r="E405" s="5">
        <v>74</v>
      </c>
      <c r="F405" s="5">
        <v>48</v>
      </c>
      <c r="G405" s="5">
        <v>5.24</v>
      </c>
      <c r="H405" s="5">
        <f t="shared" si="18"/>
        <v>0.1322799962900659</v>
      </c>
      <c r="I405" s="7">
        <f t="shared" si="19"/>
        <v>35542790400</v>
      </c>
      <c r="J405" s="7">
        <f t="shared" si="20"/>
        <v>0</v>
      </c>
    </row>
    <row r="406" spans="2:10" x14ac:dyDescent="0.2">
      <c r="B406" s="5">
        <v>48123</v>
      </c>
      <c r="C406" s="7">
        <v>2.0535899999999998E-6</v>
      </c>
      <c r="D406" s="5" t="s">
        <v>1325</v>
      </c>
      <c r="E406" s="5">
        <v>75</v>
      </c>
      <c r="F406" s="5">
        <v>48</v>
      </c>
      <c r="G406" s="5">
        <v>2.1</v>
      </c>
      <c r="H406" s="5">
        <f t="shared" si="18"/>
        <v>0.3300700859809263</v>
      </c>
      <c r="I406" s="7">
        <f t="shared" si="19"/>
        <v>25628803200</v>
      </c>
      <c r="J406" s="7">
        <f t="shared" si="20"/>
        <v>0</v>
      </c>
    </row>
    <row r="407" spans="2:10" x14ac:dyDescent="0.2">
      <c r="B407" s="5">
        <v>48124</v>
      </c>
      <c r="C407" s="7">
        <v>2.6906499999999998E-6</v>
      </c>
      <c r="D407" s="5" t="s">
        <v>1326</v>
      </c>
      <c r="E407" s="5">
        <v>76</v>
      </c>
      <c r="F407" s="5">
        <v>48</v>
      </c>
      <c r="G407" s="5">
        <v>1.25</v>
      </c>
      <c r="H407" s="5">
        <f t="shared" si="18"/>
        <v>0.55451774444795621</v>
      </c>
      <c r="I407" s="7">
        <f t="shared" si="19"/>
        <v>33579311999.999996</v>
      </c>
      <c r="J407" s="7">
        <f t="shared" si="20"/>
        <v>0</v>
      </c>
    </row>
    <row r="408" spans="2:10" x14ac:dyDescent="0.2">
      <c r="B408" s="5">
        <v>48125</v>
      </c>
      <c r="C408" s="7">
        <v>1.3319900000000001E-6</v>
      </c>
      <c r="D408" s="5" t="s">
        <v>1327</v>
      </c>
      <c r="E408" s="5">
        <v>77</v>
      </c>
      <c r="F408" s="5">
        <v>48</v>
      </c>
      <c r="G408" s="5">
        <v>0.68</v>
      </c>
      <c r="H408" s="5">
        <f t="shared" si="18"/>
        <v>1.019334089058743</v>
      </c>
      <c r="I408" s="7">
        <f t="shared" si="19"/>
        <v>16623235200</v>
      </c>
      <c r="J408" s="7">
        <f t="shared" si="20"/>
        <v>0</v>
      </c>
    </row>
    <row r="409" spans="2:10" x14ac:dyDescent="0.2">
      <c r="B409" s="5">
        <v>48126</v>
      </c>
      <c r="C409" s="7">
        <v>1.1639800000000001E-6</v>
      </c>
      <c r="D409" s="5" t="s">
        <v>1328</v>
      </c>
      <c r="E409" s="5">
        <v>78</v>
      </c>
      <c r="F409" s="5">
        <v>48</v>
      </c>
      <c r="G409" s="5">
        <v>0.51500000000000001</v>
      </c>
      <c r="H409" s="5">
        <f t="shared" si="18"/>
        <v>1.3459168554562044</v>
      </c>
      <c r="I409" s="7">
        <f t="shared" si="19"/>
        <v>14526470400.000002</v>
      </c>
      <c r="J409" s="7">
        <f t="shared" si="20"/>
        <v>0</v>
      </c>
    </row>
    <row r="410" spans="2:10" x14ac:dyDescent="0.2">
      <c r="B410" s="5">
        <v>49100</v>
      </c>
      <c r="C410" s="7">
        <v>4.0358400000000002E-7</v>
      </c>
      <c r="D410" s="5" t="s">
        <v>1339</v>
      </c>
      <c r="E410" s="5">
        <v>51</v>
      </c>
      <c r="F410" s="5">
        <v>49</v>
      </c>
      <c r="G410" s="5">
        <v>5.8</v>
      </c>
      <c r="H410" s="5">
        <f t="shared" si="18"/>
        <v>0.11950813457930091</v>
      </c>
      <c r="I410" s="7">
        <f t="shared" si="19"/>
        <v>5036728320</v>
      </c>
      <c r="J410" s="7">
        <f t="shared" si="20"/>
        <v>0</v>
      </c>
    </row>
    <row r="411" spans="2:10" x14ac:dyDescent="0.2">
      <c r="B411" s="5">
        <v>49101</v>
      </c>
      <c r="C411" s="7">
        <v>2.4960499999999999E-7</v>
      </c>
      <c r="D411" s="5" t="s">
        <v>1340</v>
      </c>
      <c r="E411" s="5">
        <v>52</v>
      </c>
      <c r="F411" s="5">
        <v>49</v>
      </c>
      <c r="G411" s="5">
        <v>15.1</v>
      </c>
      <c r="H411" s="5">
        <f t="shared" si="18"/>
        <v>4.5903786792049359E-2</v>
      </c>
      <c r="I411" s="7">
        <f t="shared" si="19"/>
        <v>3115070400</v>
      </c>
      <c r="J411" s="7">
        <f t="shared" si="20"/>
        <v>0</v>
      </c>
    </row>
    <row r="412" spans="2:10" x14ac:dyDescent="0.2">
      <c r="B412" s="5">
        <v>49102</v>
      </c>
      <c r="C412" s="7">
        <v>4.12518E-8</v>
      </c>
      <c r="D412" s="5" t="s">
        <v>1341</v>
      </c>
      <c r="E412" s="5">
        <v>53</v>
      </c>
      <c r="F412" s="5">
        <v>49</v>
      </c>
      <c r="G412" s="5">
        <v>23.3</v>
      </c>
      <c r="H412" s="5">
        <f t="shared" si="18"/>
        <v>2.9748806032615677E-2</v>
      </c>
      <c r="I412" s="7">
        <f t="shared" si="19"/>
        <v>514822464</v>
      </c>
      <c r="J412" s="7">
        <f t="shared" si="20"/>
        <v>0</v>
      </c>
    </row>
    <row r="413" spans="2:10" x14ac:dyDescent="0.2">
      <c r="B413" s="5">
        <v>49104</v>
      </c>
      <c r="C413" s="7">
        <v>6.3518000000000003E-9</v>
      </c>
      <c r="D413" s="5" t="s">
        <v>1343</v>
      </c>
      <c r="E413" s="5">
        <v>55</v>
      </c>
      <c r="F413" s="5">
        <v>49</v>
      </c>
      <c r="G413" s="5">
        <v>108</v>
      </c>
      <c r="H413" s="5">
        <f t="shared" si="18"/>
        <v>6.4180294496291234E-3</v>
      </c>
      <c r="I413" s="7">
        <f t="shared" si="19"/>
        <v>79270464</v>
      </c>
      <c r="J413" s="7">
        <f t="shared" si="20"/>
        <v>0</v>
      </c>
    </row>
    <row r="414" spans="2:10" x14ac:dyDescent="0.2">
      <c r="B414" s="5">
        <v>49105</v>
      </c>
      <c r="C414" s="7">
        <v>2.4429999999999999E-9</v>
      </c>
      <c r="D414" s="5" t="s">
        <v>1344</v>
      </c>
      <c r="E414" s="5">
        <v>56</v>
      </c>
      <c r="F414" s="5">
        <v>49</v>
      </c>
      <c r="G414" s="5">
        <v>304.2</v>
      </c>
      <c r="H414" s="5">
        <f t="shared" si="18"/>
        <v>2.2785903371464341E-3</v>
      </c>
      <c r="I414" s="7">
        <f t="shared" si="19"/>
        <v>30488640</v>
      </c>
      <c r="J414" s="7">
        <f t="shared" si="20"/>
        <v>0</v>
      </c>
    </row>
    <row r="415" spans="2:10" x14ac:dyDescent="0.2">
      <c r="B415" s="5">
        <v>49106</v>
      </c>
      <c r="C415" s="7">
        <v>3.4899999999999998E-10</v>
      </c>
      <c r="D415" s="5" t="s">
        <v>1345</v>
      </c>
      <c r="E415" s="5">
        <v>57</v>
      </c>
      <c r="F415" s="5">
        <v>49</v>
      </c>
      <c r="G415" s="5">
        <v>372</v>
      </c>
      <c r="H415" s="5">
        <f t="shared" si="18"/>
        <v>1.8632988724729713E-3</v>
      </c>
      <c r="I415" s="7">
        <f t="shared" si="19"/>
        <v>4355520</v>
      </c>
      <c r="J415" s="7">
        <f t="shared" si="20"/>
        <v>0</v>
      </c>
    </row>
    <row r="416" spans="2:10" x14ac:dyDescent="0.2">
      <c r="B416" s="5">
        <v>49107</v>
      </c>
      <c r="C416" s="7">
        <v>2.094E-10</v>
      </c>
      <c r="D416" s="5" t="s">
        <v>1346</v>
      </c>
      <c r="E416" s="5">
        <v>58</v>
      </c>
      <c r="F416" s="5">
        <v>49</v>
      </c>
      <c r="G416" s="5">
        <v>1944</v>
      </c>
      <c r="H416" s="5">
        <f t="shared" si="18"/>
        <v>3.5655719164606238E-4</v>
      </c>
      <c r="I416" s="7">
        <f t="shared" si="19"/>
        <v>2613312</v>
      </c>
      <c r="J416" s="7">
        <f t="shared" si="20"/>
        <v>0</v>
      </c>
    </row>
    <row r="417" spans="2:10" x14ac:dyDescent="0.2">
      <c r="B417" s="5">
        <v>49116</v>
      </c>
      <c r="C417" s="7">
        <v>2.7919999999999998E-10</v>
      </c>
      <c r="D417" s="5" t="s">
        <v>1355</v>
      </c>
      <c r="E417" s="5">
        <v>67</v>
      </c>
      <c r="F417" s="5">
        <v>49</v>
      </c>
      <c r="G417" s="5">
        <v>14.1</v>
      </c>
      <c r="H417" s="5">
        <f t="shared" si="18"/>
        <v>4.9159374507797539E-2</v>
      </c>
      <c r="I417" s="7">
        <f t="shared" si="19"/>
        <v>3484415.9999999995</v>
      </c>
      <c r="J417" s="7">
        <f t="shared" si="20"/>
        <v>0</v>
      </c>
    </row>
    <row r="418" spans="2:10" x14ac:dyDescent="0.2">
      <c r="B418" s="5">
        <v>49117</v>
      </c>
      <c r="C418" s="7">
        <v>4.9557999999999998E-9</v>
      </c>
      <c r="D418" s="5" t="s">
        <v>1356</v>
      </c>
      <c r="E418" s="5">
        <v>68</v>
      </c>
      <c r="F418" s="5">
        <v>49</v>
      </c>
      <c r="G418" s="5">
        <v>2592</v>
      </c>
      <c r="H418" s="5">
        <f t="shared" si="18"/>
        <v>2.6741789373454681E-4</v>
      </c>
      <c r="I418" s="7">
        <f t="shared" si="19"/>
        <v>61848384</v>
      </c>
      <c r="J418" s="7">
        <f t="shared" si="20"/>
        <v>0</v>
      </c>
    </row>
    <row r="419" spans="2:10" x14ac:dyDescent="0.2">
      <c r="B419" s="5">
        <v>49118</v>
      </c>
      <c r="C419" s="7">
        <v>1.8078199999999999E-8</v>
      </c>
      <c r="D419" s="5" t="s">
        <v>1357</v>
      </c>
      <c r="E419" s="5">
        <v>69</v>
      </c>
      <c r="F419" s="5">
        <v>49</v>
      </c>
      <c r="G419" s="5">
        <v>5</v>
      </c>
      <c r="H419" s="5">
        <f t="shared" si="18"/>
        <v>0.13862943611198905</v>
      </c>
      <c r="I419" s="7">
        <f t="shared" si="19"/>
        <v>225615936</v>
      </c>
      <c r="J419" s="7">
        <f t="shared" si="20"/>
        <v>0</v>
      </c>
    </row>
    <row r="420" spans="2:10" x14ac:dyDescent="0.2">
      <c r="B420" s="5">
        <v>49119</v>
      </c>
      <c r="C420" s="7">
        <v>8.8994999999999997E-8</v>
      </c>
      <c r="D420" s="5" t="s">
        <v>1358</v>
      </c>
      <c r="E420" s="5">
        <v>70</v>
      </c>
      <c r="F420" s="5">
        <v>49</v>
      </c>
      <c r="G420" s="5">
        <v>144</v>
      </c>
      <c r="H420" s="5">
        <f t="shared" si="18"/>
        <v>4.8135220872218424E-3</v>
      </c>
      <c r="I420" s="7">
        <f t="shared" si="19"/>
        <v>1110657600</v>
      </c>
      <c r="J420" s="7">
        <f t="shared" si="20"/>
        <v>0</v>
      </c>
    </row>
    <row r="421" spans="2:10" x14ac:dyDescent="0.2">
      <c r="B421" s="5">
        <v>49120</v>
      </c>
      <c r="C421" s="7">
        <v>2.11983E-7</v>
      </c>
      <c r="D421" s="5" t="s">
        <v>1359</v>
      </c>
      <c r="E421" s="5">
        <v>71</v>
      </c>
      <c r="F421" s="5">
        <v>49</v>
      </c>
      <c r="G421" s="5">
        <v>3.08</v>
      </c>
      <c r="H421" s="5">
        <f t="shared" si="18"/>
        <v>0.22504778589608612</v>
      </c>
      <c r="I421" s="7">
        <f t="shared" si="19"/>
        <v>2645547840</v>
      </c>
      <c r="J421" s="7">
        <f t="shared" si="20"/>
        <v>0</v>
      </c>
    </row>
    <row r="422" spans="2:10" x14ac:dyDescent="0.2">
      <c r="B422" s="5">
        <v>49121</v>
      </c>
      <c r="C422" s="7">
        <v>7.48745E-7</v>
      </c>
      <c r="D422" s="5" t="s">
        <v>1360</v>
      </c>
      <c r="E422" s="5">
        <v>72</v>
      </c>
      <c r="F422" s="5">
        <v>49</v>
      </c>
      <c r="G422" s="5">
        <v>23.1</v>
      </c>
      <c r="H422" s="5">
        <f t="shared" si="18"/>
        <v>3.0006371452811483E-2</v>
      </c>
      <c r="I422" s="7">
        <f t="shared" si="19"/>
        <v>9344337600</v>
      </c>
      <c r="J422" s="7">
        <f t="shared" si="20"/>
        <v>0</v>
      </c>
    </row>
    <row r="423" spans="2:10" x14ac:dyDescent="0.2">
      <c r="B423" s="5">
        <v>49122</v>
      </c>
      <c r="C423" s="7">
        <v>1.18772E-6</v>
      </c>
      <c r="D423" s="5" t="s">
        <v>1361</v>
      </c>
      <c r="E423" s="5">
        <v>73</v>
      </c>
      <c r="F423" s="5">
        <v>49</v>
      </c>
      <c r="G423" s="5">
        <v>1.5</v>
      </c>
      <c r="H423" s="5">
        <f t="shared" si="18"/>
        <v>0.46209812037329684</v>
      </c>
      <c r="I423" s="7">
        <f t="shared" si="19"/>
        <v>14822745600</v>
      </c>
      <c r="J423" s="7">
        <f t="shared" si="20"/>
        <v>0</v>
      </c>
    </row>
    <row r="424" spans="2:10" x14ac:dyDescent="0.2">
      <c r="B424" s="5">
        <v>49123</v>
      </c>
      <c r="C424" s="7">
        <v>2.8019799999999999E-6</v>
      </c>
      <c r="D424" s="5" t="s">
        <v>1362</v>
      </c>
      <c r="E424" s="5">
        <v>74</v>
      </c>
      <c r="F424" s="5">
        <v>49</v>
      </c>
      <c r="G424" s="5">
        <v>6.17</v>
      </c>
      <c r="H424" s="5">
        <f t="shared" si="18"/>
        <v>0.11234152035007217</v>
      </c>
      <c r="I424" s="7">
        <f t="shared" si="19"/>
        <v>34968710400</v>
      </c>
      <c r="J424" s="7">
        <f t="shared" si="20"/>
        <v>0</v>
      </c>
    </row>
    <row r="425" spans="2:10" x14ac:dyDescent="0.2">
      <c r="B425" s="5">
        <v>49124</v>
      </c>
      <c r="C425" s="7">
        <v>3.2506599999999998E-6</v>
      </c>
      <c r="D425" s="5" t="s">
        <v>1363</v>
      </c>
      <c r="E425" s="5">
        <v>75</v>
      </c>
      <c r="F425" s="5">
        <v>49</v>
      </c>
      <c r="G425" s="5">
        <v>3.12</v>
      </c>
      <c r="H425" s="5">
        <f t="shared" si="18"/>
        <v>0.22216255787177733</v>
      </c>
      <c r="I425" s="7">
        <f t="shared" si="19"/>
        <v>40568236800</v>
      </c>
      <c r="J425" s="7">
        <f t="shared" si="20"/>
        <v>0</v>
      </c>
    </row>
    <row r="426" spans="2:10" x14ac:dyDescent="0.2">
      <c r="B426" s="5">
        <v>49125</v>
      </c>
      <c r="C426" s="7">
        <v>5.6286699999999996E-6</v>
      </c>
      <c r="D426" s="5" t="s">
        <v>1364</v>
      </c>
      <c r="E426" s="5">
        <v>76</v>
      </c>
      <c r="F426" s="5">
        <v>49</v>
      </c>
      <c r="G426" s="5">
        <v>2.36</v>
      </c>
      <c r="H426" s="5">
        <f t="shared" si="18"/>
        <v>0.29370643244065481</v>
      </c>
      <c r="I426" s="7">
        <f t="shared" si="19"/>
        <v>70245801600</v>
      </c>
      <c r="J426" s="7">
        <f t="shared" si="20"/>
        <v>0</v>
      </c>
    </row>
    <row r="427" spans="2:10" x14ac:dyDescent="0.2">
      <c r="B427" s="5">
        <v>49126</v>
      </c>
      <c r="C427" s="7">
        <v>4.4563099999999999E-6</v>
      </c>
      <c r="D427" s="5" t="s">
        <v>1365</v>
      </c>
      <c r="E427" s="5">
        <v>77</v>
      </c>
      <c r="F427" s="5">
        <v>49</v>
      </c>
      <c r="G427" s="5">
        <v>1.53</v>
      </c>
      <c r="H427" s="5">
        <f t="shared" si="18"/>
        <v>0.45303737291499691</v>
      </c>
      <c r="I427" s="7">
        <f t="shared" si="19"/>
        <v>55614748800</v>
      </c>
      <c r="J427" s="7">
        <f t="shared" si="20"/>
        <v>0</v>
      </c>
    </row>
    <row r="428" spans="2:10" x14ac:dyDescent="0.2">
      <c r="B428" s="5">
        <v>49127</v>
      </c>
      <c r="C428" s="7">
        <v>4.80734E-6</v>
      </c>
      <c r="D428" s="5" t="s">
        <v>1366</v>
      </c>
      <c r="E428" s="5">
        <v>78</v>
      </c>
      <c r="F428" s="5">
        <v>49</v>
      </c>
      <c r="G428" s="5">
        <v>1.0900000000000001</v>
      </c>
      <c r="H428" s="5">
        <f t="shared" si="18"/>
        <v>0.63591484455040848</v>
      </c>
      <c r="I428" s="7">
        <f t="shared" si="19"/>
        <v>59995603200</v>
      </c>
      <c r="J428" s="7">
        <f t="shared" si="20"/>
        <v>0</v>
      </c>
    </row>
    <row r="429" spans="2:10" x14ac:dyDescent="0.2">
      <c r="B429" s="5">
        <v>49128</v>
      </c>
      <c r="C429" s="7">
        <v>2.69951E-6</v>
      </c>
      <c r="D429" s="5" t="s">
        <v>1367</v>
      </c>
      <c r="E429" s="5">
        <v>79</v>
      </c>
      <c r="F429" s="5">
        <v>49</v>
      </c>
      <c r="G429" s="5">
        <v>0.84</v>
      </c>
      <c r="H429" s="5">
        <f t="shared" si="18"/>
        <v>0.82517521495231583</v>
      </c>
      <c r="I429" s="7">
        <f t="shared" si="19"/>
        <v>33689884800</v>
      </c>
      <c r="J429" s="7">
        <f t="shared" si="20"/>
        <v>0</v>
      </c>
    </row>
    <row r="430" spans="2:10" x14ac:dyDescent="0.2">
      <c r="B430" s="5">
        <v>49129</v>
      </c>
      <c r="C430" s="7">
        <v>1.7629399999999999E-6</v>
      </c>
      <c r="D430" s="5" t="s">
        <v>1368</v>
      </c>
      <c r="E430" s="5">
        <v>80</v>
      </c>
      <c r="F430" s="5">
        <v>49</v>
      </c>
      <c r="G430" s="5">
        <v>0.61099999999999999</v>
      </c>
      <c r="H430" s="5">
        <f t="shared" si="18"/>
        <v>1.1344471040260971</v>
      </c>
      <c r="I430" s="7">
        <f t="shared" si="19"/>
        <v>22001491200</v>
      </c>
      <c r="J430" s="7">
        <f t="shared" si="20"/>
        <v>0</v>
      </c>
    </row>
    <row r="431" spans="2:10" x14ac:dyDescent="0.2">
      <c r="B431" s="5">
        <v>49130</v>
      </c>
      <c r="C431" s="7">
        <v>5.3222500000000002E-7</v>
      </c>
      <c r="D431" s="5" t="s">
        <v>1369</v>
      </c>
      <c r="E431" s="5">
        <v>81</v>
      </c>
      <c r="F431" s="5">
        <v>49</v>
      </c>
      <c r="G431" s="5">
        <v>0.28999999999999998</v>
      </c>
      <c r="H431" s="5">
        <f t="shared" si="18"/>
        <v>2.3901626915860184</v>
      </c>
      <c r="I431" s="7">
        <f t="shared" si="19"/>
        <v>6642168000</v>
      </c>
      <c r="J431" s="7">
        <f t="shared" si="20"/>
        <v>0</v>
      </c>
    </row>
    <row r="432" spans="2:10" x14ac:dyDescent="0.2">
      <c r="B432" s="5">
        <v>49131</v>
      </c>
      <c r="C432" s="7">
        <v>8.7459399999999998E-8</v>
      </c>
      <c r="D432" s="5" t="s">
        <v>1370</v>
      </c>
      <c r="E432" s="5">
        <v>82</v>
      </c>
      <c r="F432" s="5">
        <v>49</v>
      </c>
      <c r="G432" s="5">
        <v>0.28000000000000003</v>
      </c>
      <c r="H432" s="5">
        <f t="shared" si="18"/>
        <v>2.4755256448569471</v>
      </c>
      <c r="I432" s="7">
        <f t="shared" si="19"/>
        <v>1091493312</v>
      </c>
      <c r="J432" s="7">
        <f t="shared" si="20"/>
        <v>0</v>
      </c>
    </row>
    <row r="433" spans="2:10" x14ac:dyDescent="0.2">
      <c r="B433" s="5">
        <v>50103</v>
      </c>
      <c r="C433" s="7">
        <v>4.8092200000000002E-8</v>
      </c>
      <c r="D433" s="5" t="s">
        <v>1380</v>
      </c>
      <c r="E433" s="5">
        <v>53</v>
      </c>
      <c r="F433" s="5">
        <v>50</v>
      </c>
      <c r="G433" s="5">
        <v>7</v>
      </c>
      <c r="H433" s="5">
        <f t="shared" si="18"/>
        <v>9.9021025794277892E-2</v>
      </c>
      <c r="I433" s="7">
        <f t="shared" si="19"/>
        <v>600190656</v>
      </c>
      <c r="J433" s="7">
        <f t="shared" si="20"/>
        <v>0</v>
      </c>
    </row>
    <row r="434" spans="2:10" x14ac:dyDescent="0.2">
      <c r="B434" s="5">
        <v>50104</v>
      </c>
      <c r="C434" s="7">
        <v>7.3987999999999997E-9</v>
      </c>
      <c r="D434" s="5" t="s">
        <v>1381</v>
      </c>
      <c r="E434" s="5">
        <v>54</v>
      </c>
      <c r="F434" s="5">
        <v>50</v>
      </c>
      <c r="G434" s="5">
        <v>20.8</v>
      </c>
      <c r="H434" s="5">
        <f t="shared" si="18"/>
        <v>3.3324383680766602E-2</v>
      </c>
      <c r="I434" s="7">
        <f t="shared" si="19"/>
        <v>92337024</v>
      </c>
      <c r="J434" s="7">
        <f t="shared" si="20"/>
        <v>0</v>
      </c>
    </row>
    <row r="435" spans="2:10" x14ac:dyDescent="0.2">
      <c r="B435" s="5">
        <v>50105</v>
      </c>
      <c r="C435" s="7">
        <v>3.3503999999999999E-9</v>
      </c>
      <c r="D435" s="5" t="s">
        <v>1382</v>
      </c>
      <c r="E435" s="5">
        <v>55</v>
      </c>
      <c r="F435" s="5">
        <v>50</v>
      </c>
      <c r="G435" s="5">
        <v>32.700000000000003</v>
      </c>
      <c r="H435" s="5">
        <f t="shared" si="18"/>
        <v>2.1197161485013615E-2</v>
      </c>
      <c r="I435" s="7">
        <f t="shared" si="19"/>
        <v>41812992</v>
      </c>
      <c r="J435" s="7">
        <f t="shared" si="20"/>
        <v>0</v>
      </c>
    </row>
    <row r="436" spans="2:10" x14ac:dyDescent="0.2">
      <c r="B436" s="5">
        <v>50106</v>
      </c>
      <c r="C436" s="7">
        <v>2.7919999999999998E-10</v>
      </c>
      <c r="D436" s="5" t="s">
        <v>1383</v>
      </c>
      <c r="E436" s="5">
        <v>56</v>
      </c>
      <c r="F436" s="5">
        <v>50</v>
      </c>
      <c r="G436" s="5">
        <v>115</v>
      </c>
      <c r="H436" s="5">
        <f t="shared" si="18"/>
        <v>6.0273667874777854E-3</v>
      </c>
      <c r="I436" s="7">
        <f t="shared" si="19"/>
        <v>3484415.9999999995</v>
      </c>
      <c r="J436" s="7">
        <f t="shared" si="20"/>
        <v>0</v>
      </c>
    </row>
    <row r="437" spans="2:10" x14ac:dyDescent="0.2">
      <c r="B437" s="5">
        <v>50107</v>
      </c>
      <c r="C437" s="7">
        <v>6.9799999999999994E-11</v>
      </c>
      <c r="D437" s="5" t="s">
        <v>1384</v>
      </c>
      <c r="E437" s="5">
        <v>57</v>
      </c>
      <c r="F437" s="5">
        <v>50</v>
      </c>
      <c r="G437" s="5">
        <v>174</v>
      </c>
      <c r="H437" s="5">
        <f t="shared" si="18"/>
        <v>3.9836044859766972E-3</v>
      </c>
      <c r="I437" s="7">
        <f t="shared" si="19"/>
        <v>871103.99999999988</v>
      </c>
      <c r="J437" s="7">
        <f t="shared" si="20"/>
        <v>0</v>
      </c>
    </row>
    <row r="438" spans="2:10" x14ac:dyDescent="0.2">
      <c r="B438" s="5">
        <v>50108</v>
      </c>
      <c r="C438" s="7">
        <v>6.9799999999999994E-11</v>
      </c>
      <c r="D438" s="5" t="s">
        <v>1385</v>
      </c>
      <c r="E438" s="5">
        <v>58</v>
      </c>
      <c r="F438" s="5">
        <v>50</v>
      </c>
      <c r="G438" s="5">
        <v>618</v>
      </c>
      <c r="H438" s="5">
        <f t="shared" si="18"/>
        <v>1.1215973795468371E-3</v>
      </c>
      <c r="I438" s="7">
        <f t="shared" si="19"/>
        <v>871103.99999999988</v>
      </c>
      <c r="J438" s="7">
        <f t="shared" si="20"/>
        <v>0</v>
      </c>
    </row>
    <row r="439" spans="2:10" x14ac:dyDescent="0.2">
      <c r="B439" s="5">
        <v>50121</v>
      </c>
      <c r="C439" s="7">
        <v>4.2647800000000002E-8</v>
      </c>
      <c r="D439" s="5" t="s">
        <v>1397</v>
      </c>
      <c r="E439" s="5">
        <v>71</v>
      </c>
      <c r="F439" s="5">
        <v>50</v>
      </c>
      <c r="G439" s="5">
        <v>97308</v>
      </c>
      <c r="H439" s="5">
        <f t="shared" si="18"/>
        <v>7.1232291338835997E-6</v>
      </c>
      <c r="I439" s="7">
        <f t="shared" si="19"/>
        <v>531114074.44566464</v>
      </c>
      <c r="J439" s="7">
        <f t="shared" si="20"/>
        <v>1.4658081020933036E-89</v>
      </c>
    </row>
    <row r="440" spans="2:10" x14ac:dyDescent="0.2">
      <c r="B440" s="5">
        <v>50123</v>
      </c>
      <c r="C440" s="7">
        <v>5.71034E-7</v>
      </c>
      <c r="D440" s="5" t="s">
        <v>1399</v>
      </c>
      <c r="E440" s="5">
        <v>73</v>
      </c>
      <c r="F440" s="5">
        <v>50</v>
      </c>
      <c r="G440" s="5">
        <v>11162879.999999899</v>
      </c>
      <c r="H440" s="5">
        <f t="shared" si="18"/>
        <v>6.2093938173656935E-8</v>
      </c>
      <c r="I440" s="7">
        <f t="shared" si="19"/>
        <v>372256092.73102552</v>
      </c>
      <c r="J440" s="7">
        <f t="shared" si="20"/>
        <v>52530166.495650195</v>
      </c>
    </row>
    <row r="441" spans="2:10" x14ac:dyDescent="0.2">
      <c r="B441" s="5">
        <v>50124</v>
      </c>
      <c r="C441" s="7">
        <v>2.1162000000000002E-6</v>
      </c>
      <c r="D441" s="5" t="s">
        <v>1400</v>
      </c>
      <c r="E441" s="5">
        <v>74</v>
      </c>
      <c r="F441" s="5">
        <v>50</v>
      </c>
      <c r="G441" s="5">
        <v>3.786912E+28</v>
      </c>
      <c r="H441" s="5">
        <f t="shared" si="18"/>
        <v>1.8303757271358439E-29</v>
      </c>
      <c r="I441" s="7">
        <f t="shared" si="19"/>
        <v>0</v>
      </c>
      <c r="J441" s="7">
        <f t="shared" si="20"/>
        <v>0</v>
      </c>
    </row>
    <row r="442" spans="2:10" x14ac:dyDescent="0.2">
      <c r="B442" s="5">
        <v>50125</v>
      </c>
      <c r="C442" s="7">
        <v>3.0897700000000001E-6</v>
      </c>
      <c r="D442" s="5" t="s">
        <v>1401</v>
      </c>
      <c r="E442" s="5">
        <v>75</v>
      </c>
      <c r="F442" s="5">
        <v>50</v>
      </c>
      <c r="G442" s="5">
        <v>832896</v>
      </c>
      <c r="H442" s="5">
        <f t="shared" si="18"/>
        <v>8.3221336224444019E-7</v>
      </c>
      <c r="I442" s="7">
        <f t="shared" si="19"/>
        <v>19772831152.498119</v>
      </c>
      <c r="J442" s="7">
        <f t="shared" si="20"/>
        <v>7.9094975792462371E-2</v>
      </c>
    </row>
    <row r="443" spans="2:10" x14ac:dyDescent="0.2">
      <c r="B443" s="5">
        <v>50126</v>
      </c>
      <c r="C443" s="7">
        <v>7.5391000000000004E-6</v>
      </c>
      <c r="D443" s="5" t="s">
        <v>1402</v>
      </c>
      <c r="E443" s="5">
        <v>76</v>
      </c>
      <c r="F443" s="5">
        <v>50</v>
      </c>
      <c r="G443" s="5">
        <v>7258248000000</v>
      </c>
      <c r="H443" s="5">
        <f t="shared" si="18"/>
        <v>9.5497864024478811E-14</v>
      </c>
      <c r="I443" s="7">
        <f t="shared" si="19"/>
        <v>7763.2124616315959</v>
      </c>
      <c r="J443" s="7">
        <f t="shared" si="20"/>
        <v>7763.18908181592</v>
      </c>
    </row>
    <row r="444" spans="2:10" x14ac:dyDescent="0.2">
      <c r="B444" s="5">
        <v>50127</v>
      </c>
      <c r="C444" s="7">
        <v>7.5761600000000002E-6</v>
      </c>
      <c r="D444" s="5" t="s">
        <v>1403</v>
      </c>
      <c r="E444" s="5">
        <v>77</v>
      </c>
      <c r="F444" s="5">
        <v>50</v>
      </c>
      <c r="G444" s="5">
        <v>7560</v>
      </c>
      <c r="H444" s="5">
        <f t="shared" si="18"/>
        <v>9.1686134994701753E-5</v>
      </c>
      <c r="I444" s="7">
        <f t="shared" si="19"/>
        <v>94550476800</v>
      </c>
      <c r="J444" s="7">
        <f t="shared" si="20"/>
        <v>0</v>
      </c>
    </row>
    <row r="445" spans="2:10" x14ac:dyDescent="0.2">
      <c r="B445" s="5">
        <v>50128</v>
      </c>
      <c r="C445" s="7">
        <v>1.1311000000000001E-5</v>
      </c>
      <c r="D445" s="5" t="s">
        <v>1404</v>
      </c>
      <c r="E445" s="5">
        <v>78</v>
      </c>
      <c r="F445" s="5">
        <v>50</v>
      </c>
      <c r="G445" s="5">
        <v>3544.2</v>
      </c>
      <c r="H445" s="5">
        <f t="shared" si="18"/>
        <v>1.9557225341683464E-4</v>
      </c>
      <c r="I445" s="7">
        <f t="shared" si="19"/>
        <v>141161280000</v>
      </c>
      <c r="J445" s="7">
        <f t="shared" si="20"/>
        <v>0</v>
      </c>
    </row>
    <row r="446" spans="2:10" x14ac:dyDescent="0.2">
      <c r="B446" s="5">
        <v>50129</v>
      </c>
      <c r="C446" s="7">
        <v>7.2390999999999999E-6</v>
      </c>
      <c r="D446" s="5" t="s">
        <v>1405</v>
      </c>
      <c r="E446" s="5">
        <v>79</v>
      </c>
      <c r="F446" s="5">
        <v>50</v>
      </c>
      <c r="G446" s="5">
        <v>133.80000000000001</v>
      </c>
      <c r="H446" s="5">
        <f t="shared" si="18"/>
        <v>5.1804722014943587E-3</v>
      </c>
      <c r="I446" s="7">
        <f t="shared" si="19"/>
        <v>90343968000</v>
      </c>
      <c r="J446" s="7">
        <f t="shared" si="20"/>
        <v>0</v>
      </c>
    </row>
    <row r="447" spans="2:10" x14ac:dyDescent="0.2">
      <c r="B447" s="5">
        <v>50130</v>
      </c>
      <c r="C447" s="7">
        <v>7.3581099999999998E-6</v>
      </c>
      <c r="D447" s="5" t="s">
        <v>1406</v>
      </c>
      <c r="E447" s="5">
        <v>80</v>
      </c>
      <c r="F447" s="5">
        <v>50</v>
      </c>
      <c r="G447" s="5">
        <v>223.2</v>
      </c>
      <c r="H447" s="5">
        <f t="shared" si="18"/>
        <v>3.1054981207882856E-3</v>
      </c>
      <c r="I447" s="7">
        <f t="shared" si="19"/>
        <v>91829212800</v>
      </c>
      <c r="J447" s="7">
        <f t="shared" si="20"/>
        <v>0</v>
      </c>
    </row>
    <row r="448" spans="2:10" x14ac:dyDescent="0.2">
      <c r="B448" s="5">
        <v>50131</v>
      </c>
      <c r="C448" s="7">
        <v>2.7944400000000001E-6</v>
      </c>
      <c r="D448" s="5" t="s">
        <v>1407</v>
      </c>
      <c r="E448" s="5">
        <v>81</v>
      </c>
      <c r="F448" s="5">
        <v>50</v>
      </c>
      <c r="G448" s="5">
        <v>56</v>
      </c>
      <c r="H448" s="5">
        <f t="shared" si="18"/>
        <v>1.2377628224284737E-2</v>
      </c>
      <c r="I448" s="7">
        <f t="shared" si="19"/>
        <v>34874611200</v>
      </c>
      <c r="J448" s="7">
        <f t="shared" si="20"/>
        <v>0</v>
      </c>
    </row>
    <row r="449" spans="2:10" x14ac:dyDescent="0.2">
      <c r="B449" s="5">
        <v>50132</v>
      </c>
      <c r="C449" s="7">
        <v>1.12671E-6</v>
      </c>
      <c r="D449" s="5" t="s">
        <v>1408</v>
      </c>
      <c r="E449" s="5">
        <v>82</v>
      </c>
      <c r="F449" s="5">
        <v>50</v>
      </c>
      <c r="G449" s="5">
        <v>39.700000000000003</v>
      </c>
      <c r="H449" s="5">
        <f t="shared" si="18"/>
        <v>1.7459626714356302E-2</v>
      </c>
      <c r="I449" s="7">
        <f t="shared" si="19"/>
        <v>14061340800</v>
      </c>
      <c r="J449" s="7">
        <f t="shared" si="20"/>
        <v>0</v>
      </c>
    </row>
    <row r="450" spans="2:10" x14ac:dyDescent="0.2">
      <c r="B450" s="5">
        <v>50133</v>
      </c>
      <c r="C450" s="7">
        <v>2.6872999999999999E-8</v>
      </c>
      <c r="D450" s="5" t="s">
        <v>1409</v>
      </c>
      <c r="E450" s="5">
        <v>83</v>
      </c>
      <c r="F450" s="5">
        <v>50</v>
      </c>
      <c r="G450" s="5">
        <v>1.46</v>
      </c>
      <c r="H450" s="5">
        <f t="shared" si="18"/>
        <v>0.47475834284927759</v>
      </c>
      <c r="I450" s="7">
        <f t="shared" si="19"/>
        <v>335375040</v>
      </c>
      <c r="J450" s="7">
        <f t="shared" si="20"/>
        <v>0</v>
      </c>
    </row>
    <row r="451" spans="2:10" x14ac:dyDescent="0.2">
      <c r="B451" s="5">
        <v>50134</v>
      </c>
      <c r="C451" s="7">
        <v>1.3959999999999999E-10</v>
      </c>
      <c r="D451" s="5" t="s">
        <v>1410</v>
      </c>
      <c r="E451" s="5">
        <v>84</v>
      </c>
      <c r="F451" s="5">
        <v>50</v>
      </c>
      <c r="G451" s="5">
        <v>1.05</v>
      </c>
      <c r="H451" s="5">
        <f t="shared" si="18"/>
        <v>0.6601401719618526</v>
      </c>
      <c r="I451" s="7">
        <f t="shared" si="19"/>
        <v>1742207.9999999998</v>
      </c>
      <c r="J451" s="7">
        <f t="shared" si="20"/>
        <v>0</v>
      </c>
    </row>
    <row r="452" spans="2:10" x14ac:dyDescent="0.2">
      <c r="B452" s="5">
        <v>51108</v>
      </c>
      <c r="C452" s="7">
        <v>8.0339800000000006E-8</v>
      </c>
      <c r="D452" s="5" t="s">
        <v>1421</v>
      </c>
      <c r="E452" s="5">
        <v>57</v>
      </c>
      <c r="F452" s="5">
        <v>51</v>
      </c>
      <c r="G452" s="5">
        <v>7.4</v>
      </c>
      <c r="H452" s="5">
        <f t="shared" ref="H452:H515" si="21">LN(2)/G452</f>
        <v>9.3668537913506114E-2</v>
      </c>
      <c r="I452" s="7">
        <f t="shared" ref="I452:I515" si="22">2*6240000000000000*C452*(1-EXP(-H452*10*24*3600))</f>
        <v>1002640704.0000001</v>
      </c>
      <c r="J452" s="7">
        <f t="shared" ref="J452:J515" si="23">EXP(-H452*365*24*3600)*I452</f>
        <v>0</v>
      </c>
    </row>
    <row r="453" spans="2:10" x14ac:dyDescent="0.2">
      <c r="B453" s="5">
        <v>51109</v>
      </c>
      <c r="C453" s="7">
        <v>3.7063800000000003E-8</v>
      </c>
      <c r="D453" s="5" t="s">
        <v>1422</v>
      </c>
      <c r="E453" s="5">
        <v>58</v>
      </c>
      <c r="F453" s="5">
        <v>51</v>
      </c>
      <c r="G453" s="5">
        <v>17</v>
      </c>
      <c r="H453" s="5">
        <f t="shared" si="21"/>
        <v>4.0773363562349722E-2</v>
      </c>
      <c r="I453" s="7">
        <f t="shared" si="22"/>
        <v>462556224.00000006</v>
      </c>
      <c r="J453" s="7">
        <f t="shared" si="23"/>
        <v>0</v>
      </c>
    </row>
    <row r="454" spans="2:10" x14ac:dyDescent="0.2">
      <c r="B454" s="5">
        <v>51110</v>
      </c>
      <c r="C454" s="7">
        <v>5.7236000000000004E-9</v>
      </c>
      <c r="D454" s="5" t="s">
        <v>1423</v>
      </c>
      <c r="E454" s="5">
        <v>59</v>
      </c>
      <c r="F454" s="5">
        <v>51</v>
      </c>
      <c r="G454" s="5">
        <v>23</v>
      </c>
      <c r="H454" s="5">
        <f t="shared" si="21"/>
        <v>3.0136833937388925E-2</v>
      </c>
      <c r="I454" s="7">
        <f t="shared" si="22"/>
        <v>71430528</v>
      </c>
      <c r="J454" s="7">
        <f t="shared" si="23"/>
        <v>0</v>
      </c>
    </row>
    <row r="455" spans="2:10" x14ac:dyDescent="0.2">
      <c r="B455" s="5">
        <v>51111</v>
      </c>
      <c r="C455" s="7">
        <v>1.8148E-9</v>
      </c>
      <c r="D455" s="5" t="s">
        <v>1424</v>
      </c>
      <c r="E455" s="5">
        <v>60</v>
      </c>
      <c r="F455" s="5">
        <v>51</v>
      </c>
      <c r="G455" s="5">
        <v>75</v>
      </c>
      <c r="H455" s="5">
        <f t="shared" si="21"/>
        <v>9.2419624074659371E-3</v>
      </c>
      <c r="I455" s="7">
        <f t="shared" si="22"/>
        <v>22648704</v>
      </c>
      <c r="J455" s="7">
        <f t="shared" si="23"/>
        <v>0</v>
      </c>
    </row>
    <row r="456" spans="2:10" x14ac:dyDescent="0.2">
      <c r="B456" s="5">
        <v>51112</v>
      </c>
      <c r="C456" s="7">
        <v>6.9799999999999994E-11</v>
      </c>
      <c r="D456" s="5" t="s">
        <v>1425</v>
      </c>
      <c r="E456" s="5">
        <v>61</v>
      </c>
      <c r="F456" s="5">
        <v>51</v>
      </c>
      <c r="G456" s="5">
        <v>53.5</v>
      </c>
      <c r="H456" s="5">
        <f t="shared" si="21"/>
        <v>1.2956022066541034E-2</v>
      </c>
      <c r="I456" s="7">
        <f t="shared" si="22"/>
        <v>871103.99999999988</v>
      </c>
      <c r="J456" s="7">
        <f t="shared" si="23"/>
        <v>0</v>
      </c>
    </row>
    <row r="457" spans="2:10" x14ac:dyDescent="0.2">
      <c r="B457" s="5">
        <v>51122</v>
      </c>
      <c r="C457" s="7">
        <v>2.3034000000000001E-9</v>
      </c>
      <c r="D457" s="5" t="s">
        <v>1435</v>
      </c>
      <c r="E457" s="5">
        <v>71</v>
      </c>
      <c r="F457" s="5">
        <v>51</v>
      </c>
      <c r="G457" s="5">
        <v>235336.32000000001</v>
      </c>
      <c r="H457" s="5">
        <f t="shared" si="21"/>
        <v>2.9453472398988192E-6</v>
      </c>
      <c r="I457" s="7">
        <f t="shared" si="22"/>
        <v>26490115.446813095</v>
      </c>
      <c r="J457" s="7">
        <f t="shared" si="23"/>
        <v>1.2130280215446616E-33</v>
      </c>
    </row>
    <row r="458" spans="2:10" x14ac:dyDescent="0.2">
      <c r="B458" s="5">
        <v>51124</v>
      </c>
      <c r="C458" s="7">
        <v>9.5207199999999998E-8</v>
      </c>
      <c r="D458" s="5" t="s">
        <v>1437</v>
      </c>
      <c r="E458" s="5">
        <v>73</v>
      </c>
      <c r="F458" s="5">
        <v>51</v>
      </c>
      <c r="G458" s="5">
        <v>5201280</v>
      </c>
      <c r="H458" s="5">
        <f t="shared" si="21"/>
        <v>1.3326473109695023E-7</v>
      </c>
      <c r="I458" s="7">
        <f t="shared" si="22"/>
        <v>129226246.69517356</v>
      </c>
      <c r="J458" s="7">
        <f t="shared" si="23"/>
        <v>1932719.6549429456</v>
      </c>
    </row>
    <row r="459" spans="2:10" x14ac:dyDescent="0.2">
      <c r="B459" s="5">
        <v>51125</v>
      </c>
      <c r="C459" s="7">
        <v>5.4576600000000004E-7</v>
      </c>
      <c r="D459" s="5" t="s">
        <v>1438</v>
      </c>
      <c r="E459" s="5">
        <v>74</v>
      </c>
      <c r="F459" s="5">
        <v>51</v>
      </c>
      <c r="G459" s="5">
        <v>87053533.055999994</v>
      </c>
      <c r="H459" s="5">
        <f t="shared" si="21"/>
        <v>7.9623095838517667E-9</v>
      </c>
      <c r="I459" s="7">
        <f t="shared" si="22"/>
        <v>46696127.901982009</v>
      </c>
      <c r="J459" s="7">
        <f t="shared" si="23"/>
        <v>36327021.267871007</v>
      </c>
    </row>
    <row r="460" spans="2:10" x14ac:dyDescent="0.2">
      <c r="B460" s="5">
        <v>51126</v>
      </c>
      <c r="C460" s="7">
        <v>1.3797399999999999E-6</v>
      </c>
      <c r="D460" s="5" t="s">
        <v>1439</v>
      </c>
      <c r="E460" s="5">
        <v>75</v>
      </c>
      <c r="F460" s="5">
        <v>51</v>
      </c>
      <c r="G460" s="5">
        <v>1067040</v>
      </c>
      <c r="H460" s="5">
        <f t="shared" si="21"/>
        <v>6.4959812243209751E-7</v>
      </c>
      <c r="I460" s="7">
        <f t="shared" si="22"/>
        <v>7395731956.2335243</v>
      </c>
      <c r="J460" s="7">
        <f t="shared" si="23"/>
        <v>9.3787127401515367</v>
      </c>
    </row>
    <row r="461" spans="2:10" x14ac:dyDescent="0.2">
      <c r="B461" s="5">
        <v>51127</v>
      </c>
      <c r="C461" s="7">
        <v>4.6081300000000004E-6</v>
      </c>
      <c r="D461" s="5" t="s">
        <v>1440</v>
      </c>
      <c r="E461" s="5">
        <v>76</v>
      </c>
      <c r="F461" s="5">
        <v>51</v>
      </c>
      <c r="G461" s="5">
        <v>332640</v>
      </c>
      <c r="H461" s="5">
        <f t="shared" si="21"/>
        <v>2.083775795334131E-6</v>
      </c>
      <c r="I461" s="7">
        <f t="shared" si="22"/>
        <v>48006845625.981781</v>
      </c>
      <c r="J461" s="7">
        <f t="shared" si="23"/>
        <v>1.3870617309132519E-18</v>
      </c>
    </row>
    <row r="462" spans="2:10" x14ac:dyDescent="0.2">
      <c r="B462" s="5">
        <v>51128</v>
      </c>
      <c r="C462" s="7">
        <v>6.5655299999999996E-6</v>
      </c>
      <c r="D462" s="5" t="s">
        <v>1441</v>
      </c>
      <c r="E462" s="5">
        <v>77</v>
      </c>
      <c r="F462" s="5">
        <v>51</v>
      </c>
      <c r="G462" s="5">
        <v>32580</v>
      </c>
      <c r="H462" s="5">
        <f t="shared" si="21"/>
        <v>2.1275235744626926E-5</v>
      </c>
      <c r="I462" s="7">
        <f t="shared" si="22"/>
        <v>81937813548.139526</v>
      </c>
      <c r="J462" s="7">
        <f t="shared" si="23"/>
        <v>3.3865209091171918E-281</v>
      </c>
    </row>
    <row r="463" spans="2:10" x14ac:dyDescent="0.2">
      <c r="B463" s="5">
        <v>51129</v>
      </c>
      <c r="C463" s="7">
        <v>1.40092E-5</v>
      </c>
      <c r="D463" s="5" t="s">
        <v>1442</v>
      </c>
      <c r="E463" s="5">
        <v>78</v>
      </c>
      <c r="F463" s="5">
        <v>51</v>
      </c>
      <c r="G463" s="5">
        <v>15717.5999999999</v>
      </c>
      <c r="H463" s="5">
        <f t="shared" si="21"/>
        <v>4.4100064931029528E-5</v>
      </c>
      <c r="I463" s="7">
        <f t="shared" si="22"/>
        <v>174834816000</v>
      </c>
      <c r="J463" s="7">
        <f t="shared" si="23"/>
        <v>0</v>
      </c>
    </row>
    <row r="464" spans="2:10" x14ac:dyDescent="0.2">
      <c r="B464" s="5">
        <v>51130</v>
      </c>
      <c r="C464" s="7">
        <v>1.4266200000000001E-5</v>
      </c>
      <c r="D464" s="5" t="s">
        <v>1443</v>
      </c>
      <c r="E464" s="5">
        <v>79</v>
      </c>
      <c r="F464" s="5">
        <v>51</v>
      </c>
      <c r="G464" s="5">
        <v>2370</v>
      </c>
      <c r="H464" s="5">
        <f t="shared" si="21"/>
        <v>2.9246716479322586E-4</v>
      </c>
      <c r="I464" s="7">
        <f t="shared" si="22"/>
        <v>178042176000</v>
      </c>
      <c r="J464" s="7">
        <f t="shared" si="23"/>
        <v>0</v>
      </c>
    </row>
    <row r="465" spans="2:10" x14ac:dyDescent="0.2">
      <c r="B465" s="5">
        <v>51131</v>
      </c>
      <c r="C465" s="7">
        <v>1.8558100000000001E-5</v>
      </c>
      <c r="D465" s="5" t="s">
        <v>1444</v>
      </c>
      <c r="E465" s="5">
        <v>80</v>
      </c>
      <c r="F465" s="5">
        <v>51</v>
      </c>
      <c r="G465" s="5">
        <v>1381.8</v>
      </c>
      <c r="H465" s="5">
        <f t="shared" si="21"/>
        <v>5.0162627048773E-4</v>
      </c>
      <c r="I465" s="7">
        <f t="shared" si="22"/>
        <v>231605088000</v>
      </c>
      <c r="J465" s="7">
        <f t="shared" si="23"/>
        <v>0</v>
      </c>
    </row>
    <row r="466" spans="2:10" x14ac:dyDescent="0.2">
      <c r="B466" s="5">
        <v>51132</v>
      </c>
      <c r="C466" s="7">
        <v>1.19459E-5</v>
      </c>
      <c r="D466" s="5" t="s">
        <v>1445</v>
      </c>
      <c r="E466" s="5">
        <v>81</v>
      </c>
      <c r="F466" s="5">
        <v>51</v>
      </c>
      <c r="G466" s="5">
        <v>167.4</v>
      </c>
      <c r="H466" s="5">
        <f t="shared" si="21"/>
        <v>4.1406641610510471E-3</v>
      </c>
      <c r="I466" s="7">
        <f t="shared" si="22"/>
        <v>149084832000</v>
      </c>
      <c r="J466" s="7">
        <f t="shared" si="23"/>
        <v>0</v>
      </c>
    </row>
    <row r="467" spans="2:10" x14ac:dyDescent="0.2">
      <c r="B467" s="5">
        <v>51133</v>
      </c>
      <c r="C467" s="7">
        <v>8.0660899999999999E-6</v>
      </c>
      <c r="D467" s="5" t="s">
        <v>1446</v>
      </c>
      <c r="E467" s="5">
        <v>82</v>
      </c>
      <c r="F467" s="5">
        <v>51</v>
      </c>
      <c r="G467" s="5">
        <v>140.39999999999901</v>
      </c>
      <c r="H467" s="5">
        <f t="shared" si="21"/>
        <v>4.9369457304839753E-3</v>
      </c>
      <c r="I467" s="7">
        <f t="shared" si="22"/>
        <v>100664803200</v>
      </c>
      <c r="J467" s="7">
        <f t="shared" si="23"/>
        <v>0</v>
      </c>
    </row>
    <row r="468" spans="2:10" x14ac:dyDescent="0.2">
      <c r="B468" s="5">
        <v>51134</v>
      </c>
      <c r="C468" s="7">
        <v>1.8650600000000001E-6</v>
      </c>
      <c r="D468" s="5" t="s">
        <v>1447</v>
      </c>
      <c r="E468" s="5">
        <v>83</v>
      </c>
      <c r="F468" s="5">
        <v>51</v>
      </c>
      <c r="G468" s="5">
        <v>0.78</v>
      </c>
      <c r="H468" s="5">
        <f t="shared" si="21"/>
        <v>0.88865023148710931</v>
      </c>
      <c r="I468" s="7">
        <f t="shared" si="22"/>
        <v>23275948800</v>
      </c>
      <c r="J468" s="7">
        <f t="shared" si="23"/>
        <v>0</v>
      </c>
    </row>
    <row r="469" spans="2:10" x14ac:dyDescent="0.2">
      <c r="B469" s="5">
        <v>51135</v>
      </c>
      <c r="C469" s="7">
        <v>1.02096E-6</v>
      </c>
      <c r="D469" s="5" t="s">
        <v>1448</v>
      </c>
      <c r="E469" s="5">
        <v>84</v>
      </c>
      <c r="F469" s="5">
        <v>51</v>
      </c>
      <c r="G469" s="5">
        <v>1.679</v>
      </c>
      <c r="H469" s="5">
        <f t="shared" si="21"/>
        <v>0.41283334160806745</v>
      </c>
      <c r="I469" s="7">
        <f t="shared" si="22"/>
        <v>12741580800</v>
      </c>
      <c r="J469" s="7">
        <f t="shared" si="23"/>
        <v>0</v>
      </c>
    </row>
    <row r="470" spans="2:10" x14ac:dyDescent="0.2">
      <c r="B470" s="5">
        <v>51136</v>
      </c>
      <c r="C470" s="7">
        <v>2.5714300000000001E-7</v>
      </c>
      <c r="D470" s="5" t="s">
        <v>1449</v>
      </c>
      <c r="E470" s="5">
        <v>85</v>
      </c>
      <c r="F470" s="5">
        <v>51</v>
      </c>
      <c r="G470" s="5">
        <v>0.92300000000000004</v>
      </c>
      <c r="H470" s="5">
        <f t="shared" si="21"/>
        <v>0.75097202660882478</v>
      </c>
      <c r="I470" s="7">
        <f t="shared" si="22"/>
        <v>3209144640</v>
      </c>
      <c r="J470" s="7">
        <f t="shared" si="23"/>
        <v>0</v>
      </c>
    </row>
    <row r="471" spans="2:10" x14ac:dyDescent="0.2">
      <c r="B471" s="5">
        <v>52106</v>
      </c>
      <c r="C471" s="7">
        <v>2.7919999999999998E-10</v>
      </c>
      <c r="D471" s="5" t="s">
        <v>1455</v>
      </c>
      <c r="E471" s="5">
        <v>54</v>
      </c>
      <c r="F471" s="5">
        <v>52</v>
      </c>
      <c r="G471" s="5">
        <v>6.9999999999999994E-5</v>
      </c>
      <c r="H471" s="5">
        <f t="shared" si="21"/>
        <v>9902.1025794277903</v>
      </c>
      <c r="I471" s="7">
        <f t="shared" si="22"/>
        <v>3484415.9999999995</v>
      </c>
      <c r="J471" s="7">
        <f t="shared" si="23"/>
        <v>0</v>
      </c>
    </row>
    <row r="472" spans="2:10" x14ac:dyDescent="0.2">
      <c r="B472" s="5">
        <v>52107</v>
      </c>
      <c r="C472" s="7">
        <v>8.1875400000000005E-8</v>
      </c>
      <c r="D472" s="5" t="s">
        <v>1456</v>
      </c>
      <c r="E472" s="5">
        <v>55</v>
      </c>
      <c r="F472" s="5">
        <v>52</v>
      </c>
      <c r="G472" s="5">
        <v>3.0999999999999999E-3</v>
      </c>
      <c r="H472" s="5">
        <f t="shared" si="21"/>
        <v>223.59586469675656</v>
      </c>
      <c r="I472" s="7">
        <f t="shared" si="22"/>
        <v>1021804992.0000001</v>
      </c>
      <c r="J472" s="7">
        <f t="shared" si="23"/>
        <v>0</v>
      </c>
    </row>
    <row r="473" spans="2:10" x14ac:dyDescent="0.2">
      <c r="B473" s="5">
        <v>52108</v>
      </c>
      <c r="C473" s="7">
        <v>2.9176400000000001E-8</v>
      </c>
      <c r="D473" s="5" t="s">
        <v>1457</v>
      </c>
      <c r="E473" s="5">
        <v>56</v>
      </c>
      <c r="F473" s="5">
        <v>52</v>
      </c>
      <c r="G473" s="5">
        <v>2.1</v>
      </c>
      <c r="H473" s="5">
        <f t="shared" si="21"/>
        <v>0.3300700859809263</v>
      </c>
      <c r="I473" s="7">
        <f t="shared" si="22"/>
        <v>364121472</v>
      </c>
      <c r="J473" s="7">
        <f t="shared" si="23"/>
        <v>0</v>
      </c>
    </row>
    <row r="474" spans="2:10" x14ac:dyDescent="0.2">
      <c r="B474" s="5">
        <v>52109</v>
      </c>
      <c r="C474" s="7">
        <v>3.9786000000000003E-9</v>
      </c>
      <c r="D474" s="5" t="s">
        <v>1458</v>
      </c>
      <c r="E474" s="5">
        <v>57</v>
      </c>
      <c r="F474" s="5">
        <v>52</v>
      </c>
      <c r="G474" s="5">
        <v>4.5999999999999996</v>
      </c>
      <c r="H474" s="5">
        <f t="shared" si="21"/>
        <v>0.15068416968694465</v>
      </c>
      <c r="I474" s="7">
        <f t="shared" si="22"/>
        <v>49652928.000000007</v>
      </c>
      <c r="J474" s="7">
        <f t="shared" si="23"/>
        <v>0</v>
      </c>
    </row>
    <row r="475" spans="2:10" x14ac:dyDescent="0.2">
      <c r="B475" s="5">
        <v>52110</v>
      </c>
      <c r="C475" s="7">
        <v>6.9799999999999997E-10</v>
      </c>
      <c r="D475" s="5" t="s">
        <v>1459</v>
      </c>
      <c r="E475" s="5">
        <v>58</v>
      </c>
      <c r="F475" s="5">
        <v>52</v>
      </c>
      <c r="G475" s="5">
        <v>18.600000000000001</v>
      </c>
      <c r="H475" s="5">
        <f t="shared" si="21"/>
        <v>3.726597744945942E-2</v>
      </c>
      <c r="I475" s="7">
        <f t="shared" si="22"/>
        <v>8711040</v>
      </c>
      <c r="J475" s="7">
        <f t="shared" si="23"/>
        <v>0</v>
      </c>
    </row>
    <row r="476" spans="2:10" x14ac:dyDescent="0.2">
      <c r="B476" s="5">
        <v>52123</v>
      </c>
      <c r="C476" s="7">
        <v>2.094E-10</v>
      </c>
      <c r="D476" s="5" t="s">
        <v>1472</v>
      </c>
      <c r="E476" s="5">
        <v>71</v>
      </c>
      <c r="F476" s="5">
        <v>52</v>
      </c>
      <c r="G476" s="5">
        <v>2.9032991999999999E+24</v>
      </c>
      <c r="H476" s="5">
        <f t="shared" si="21"/>
        <v>2.3874466006119702E-25</v>
      </c>
      <c r="I476" s="7">
        <f t="shared" si="22"/>
        <v>0</v>
      </c>
      <c r="J476" s="7">
        <f t="shared" si="23"/>
        <v>0</v>
      </c>
    </row>
    <row r="477" spans="2:10" x14ac:dyDescent="0.2">
      <c r="B477" s="5">
        <v>52127</v>
      </c>
      <c r="C477" s="7">
        <v>3.3915800000000003E-7</v>
      </c>
      <c r="D477" s="5" t="s">
        <v>1476</v>
      </c>
      <c r="E477" s="5">
        <v>75</v>
      </c>
      <c r="F477" s="5">
        <v>52</v>
      </c>
      <c r="G477" s="5">
        <v>33660</v>
      </c>
      <c r="H477" s="5">
        <f t="shared" si="21"/>
        <v>2.0592607859772586E-5</v>
      </c>
      <c r="I477" s="7">
        <f t="shared" si="22"/>
        <v>4232691760.6323543</v>
      </c>
      <c r="J477" s="7">
        <f t="shared" si="23"/>
        <v>3.9092787702149626E-273</v>
      </c>
    </row>
    <row r="478" spans="2:10" x14ac:dyDescent="0.2">
      <c r="B478" s="5">
        <v>52128</v>
      </c>
      <c r="C478" s="7">
        <v>1.87532E-6</v>
      </c>
      <c r="D478" s="5" t="s">
        <v>1477</v>
      </c>
      <c r="E478" s="5">
        <v>76</v>
      </c>
      <c r="F478" s="5">
        <v>52</v>
      </c>
      <c r="G478" s="5">
        <v>7.6053815999999996E+31</v>
      </c>
      <c r="H478" s="5">
        <f t="shared" si="21"/>
        <v>9.1139040355311737E-33</v>
      </c>
      <c r="I478" s="7">
        <f t="shared" si="22"/>
        <v>0</v>
      </c>
      <c r="J478" s="7">
        <f t="shared" si="23"/>
        <v>0</v>
      </c>
    </row>
    <row r="479" spans="2:10" x14ac:dyDescent="0.2">
      <c r="B479" s="5">
        <v>52129</v>
      </c>
      <c r="C479" s="7">
        <v>3.9155699999999998E-6</v>
      </c>
      <c r="D479" s="5" t="s">
        <v>1478</v>
      </c>
      <c r="E479" s="5">
        <v>77</v>
      </c>
      <c r="F479" s="5">
        <v>52</v>
      </c>
      <c r="G479" s="5">
        <v>4194</v>
      </c>
      <c r="H479" s="5">
        <f t="shared" si="21"/>
        <v>1.6527114462564266E-4</v>
      </c>
      <c r="I479" s="7">
        <f t="shared" si="22"/>
        <v>48866313600</v>
      </c>
      <c r="J479" s="7">
        <f t="shared" si="23"/>
        <v>0</v>
      </c>
    </row>
    <row r="480" spans="2:10" x14ac:dyDescent="0.2">
      <c r="B480" s="5">
        <v>52130</v>
      </c>
      <c r="C480" s="7">
        <v>1.12652E-5</v>
      </c>
      <c r="D480" s="5" t="s">
        <v>1479</v>
      </c>
      <c r="E480" s="5">
        <v>78</v>
      </c>
      <c r="F480" s="5">
        <v>52</v>
      </c>
      <c r="G480" s="5">
        <v>9.46728E+31</v>
      </c>
      <c r="H480" s="5">
        <f t="shared" si="21"/>
        <v>7.321502908543376E-33</v>
      </c>
      <c r="I480" s="7">
        <f t="shared" si="22"/>
        <v>0</v>
      </c>
      <c r="J480" s="7">
        <f t="shared" si="23"/>
        <v>0</v>
      </c>
    </row>
    <row r="481" spans="2:10" x14ac:dyDescent="0.2">
      <c r="B481" s="5">
        <v>52131</v>
      </c>
      <c r="C481" s="7">
        <v>1.4110900000000001E-5</v>
      </c>
      <c r="D481" s="5" t="s">
        <v>1480</v>
      </c>
      <c r="E481" s="5">
        <v>79</v>
      </c>
      <c r="F481" s="5">
        <v>52</v>
      </c>
      <c r="G481" s="5">
        <v>1500</v>
      </c>
      <c r="H481" s="5">
        <f t="shared" si="21"/>
        <v>4.6209812037329687E-4</v>
      </c>
      <c r="I481" s="7">
        <f t="shared" si="22"/>
        <v>176104032000</v>
      </c>
      <c r="J481" s="7">
        <f t="shared" si="23"/>
        <v>0</v>
      </c>
    </row>
    <row r="482" spans="2:10" x14ac:dyDescent="0.2">
      <c r="B482" s="5">
        <v>52132</v>
      </c>
      <c r="C482" s="7">
        <v>2.69122E-5</v>
      </c>
      <c r="D482" s="5" t="s">
        <v>1481</v>
      </c>
      <c r="E482" s="5">
        <v>80</v>
      </c>
      <c r="F482" s="5">
        <v>52</v>
      </c>
      <c r="G482" s="5">
        <v>276825.59999999998</v>
      </c>
      <c r="H482" s="5">
        <f t="shared" si="21"/>
        <v>2.5039128626830225E-6</v>
      </c>
      <c r="I482" s="7">
        <f t="shared" si="22"/>
        <v>297261396077.79163</v>
      </c>
      <c r="J482" s="7">
        <f t="shared" si="23"/>
        <v>1.5127645601591971E-23</v>
      </c>
    </row>
    <row r="483" spans="2:10" x14ac:dyDescent="0.2">
      <c r="B483" s="5">
        <v>52133</v>
      </c>
      <c r="C483" s="7">
        <v>2.2688999999999999E-5</v>
      </c>
      <c r="D483" s="5" t="s">
        <v>1482</v>
      </c>
      <c r="E483" s="5">
        <v>81</v>
      </c>
      <c r="F483" s="5">
        <v>52</v>
      </c>
      <c r="G483" s="5">
        <v>750</v>
      </c>
      <c r="H483" s="5">
        <f t="shared" si="21"/>
        <v>9.2419624074659373E-4</v>
      </c>
      <c r="I483" s="7">
        <f t="shared" si="22"/>
        <v>283158720000</v>
      </c>
      <c r="J483" s="7">
        <f t="shared" si="23"/>
        <v>0</v>
      </c>
    </row>
    <row r="484" spans="2:10" x14ac:dyDescent="0.2">
      <c r="B484" s="5">
        <v>52134</v>
      </c>
      <c r="C484" s="7">
        <v>2.2263799999999998E-5</v>
      </c>
      <c r="D484" s="5" t="s">
        <v>1483</v>
      </c>
      <c r="E484" s="5">
        <v>82</v>
      </c>
      <c r="F484" s="5">
        <v>52</v>
      </c>
      <c r="G484" s="5">
        <v>2508</v>
      </c>
      <c r="H484" s="5">
        <f t="shared" si="21"/>
        <v>2.7637447390747421E-4</v>
      </c>
      <c r="I484" s="7">
        <f t="shared" si="22"/>
        <v>277852224000</v>
      </c>
      <c r="J484" s="7">
        <f t="shared" si="23"/>
        <v>0</v>
      </c>
    </row>
    <row r="485" spans="2:10" x14ac:dyDescent="0.2">
      <c r="B485" s="5">
        <v>52135</v>
      </c>
      <c r="C485" s="7">
        <v>7.4746000000000004E-6</v>
      </c>
      <c r="D485" s="5" t="s">
        <v>1484</v>
      </c>
      <c r="E485" s="5">
        <v>83</v>
      </c>
      <c r="F485" s="5">
        <v>52</v>
      </c>
      <c r="G485" s="5">
        <v>19</v>
      </c>
      <c r="H485" s="5">
        <f t="shared" si="21"/>
        <v>3.6481430555786593E-2</v>
      </c>
      <c r="I485" s="7">
        <f t="shared" si="22"/>
        <v>93283008000</v>
      </c>
      <c r="J485" s="7">
        <f t="shared" si="23"/>
        <v>0</v>
      </c>
    </row>
    <row r="486" spans="2:10" x14ac:dyDescent="0.2">
      <c r="B486" s="5">
        <v>52136</v>
      </c>
      <c r="C486" s="7">
        <v>5.4134800000000002E-6</v>
      </c>
      <c r="D486" s="5" t="s">
        <v>1485</v>
      </c>
      <c r="E486" s="5">
        <v>84</v>
      </c>
      <c r="F486" s="5">
        <v>52</v>
      </c>
      <c r="G486" s="5">
        <v>17.63</v>
      </c>
      <c r="H486" s="5">
        <f t="shared" si="21"/>
        <v>3.9316346032895369E-2</v>
      </c>
      <c r="I486" s="7">
        <f t="shared" si="22"/>
        <v>67560230400</v>
      </c>
      <c r="J486" s="7">
        <f t="shared" si="23"/>
        <v>0</v>
      </c>
    </row>
    <row r="487" spans="2:10" x14ac:dyDescent="0.2">
      <c r="B487" s="5">
        <v>52137</v>
      </c>
      <c r="C487" s="7">
        <v>1.8727300000000001E-6</v>
      </c>
      <c r="D487" s="5" t="s">
        <v>1486</v>
      </c>
      <c r="E487" s="5">
        <v>85</v>
      </c>
      <c r="F487" s="5">
        <v>52</v>
      </c>
      <c r="G487" s="5">
        <v>2.4900000000000002</v>
      </c>
      <c r="H487" s="5">
        <f t="shared" si="21"/>
        <v>0.27837236167066071</v>
      </c>
      <c r="I487" s="7">
        <f t="shared" si="22"/>
        <v>23371670400</v>
      </c>
      <c r="J487" s="7">
        <f t="shared" si="23"/>
        <v>0</v>
      </c>
    </row>
    <row r="488" spans="2:10" x14ac:dyDescent="0.2">
      <c r="B488" s="5">
        <v>52138</v>
      </c>
      <c r="C488" s="7">
        <v>9.1075000000000003E-7</v>
      </c>
      <c r="D488" s="5" t="s">
        <v>1487</v>
      </c>
      <c r="E488" s="5">
        <v>86</v>
      </c>
      <c r="F488" s="5">
        <v>52</v>
      </c>
      <c r="G488" s="5">
        <v>1.4</v>
      </c>
      <c r="H488" s="5">
        <f t="shared" si="21"/>
        <v>0.49510512897138953</v>
      </c>
      <c r="I488" s="7">
        <f t="shared" si="22"/>
        <v>11366160000</v>
      </c>
      <c r="J488" s="7">
        <f t="shared" si="23"/>
        <v>0</v>
      </c>
    </row>
    <row r="489" spans="2:10" x14ac:dyDescent="0.2">
      <c r="B489" s="5">
        <v>53110</v>
      </c>
      <c r="C489" s="7">
        <v>2.7919999999999998E-10</v>
      </c>
      <c r="D489" s="5" t="s">
        <v>1494</v>
      </c>
      <c r="E489" s="5">
        <v>57</v>
      </c>
      <c r="F489" s="5">
        <v>53</v>
      </c>
      <c r="G489" s="5">
        <v>0.65</v>
      </c>
      <c r="H489" s="5">
        <f t="shared" si="21"/>
        <v>1.0663802777845313</v>
      </c>
      <c r="I489" s="7">
        <f t="shared" si="22"/>
        <v>3484415.9999999995</v>
      </c>
      <c r="J489" s="7">
        <f t="shared" si="23"/>
        <v>0</v>
      </c>
    </row>
    <row r="490" spans="2:10" x14ac:dyDescent="0.2">
      <c r="B490" s="5">
        <v>53111</v>
      </c>
      <c r="C490" s="7">
        <v>2.25733E-7</v>
      </c>
      <c r="D490" s="5" t="s">
        <v>1495</v>
      </c>
      <c r="E490" s="5">
        <v>58</v>
      </c>
      <c r="F490" s="5">
        <v>53</v>
      </c>
      <c r="G490" s="5">
        <v>2.5</v>
      </c>
      <c r="H490" s="5">
        <f t="shared" si="21"/>
        <v>0.2772588722239781</v>
      </c>
      <c r="I490" s="7">
        <f t="shared" si="22"/>
        <v>2817147840</v>
      </c>
      <c r="J490" s="7">
        <f t="shared" si="23"/>
        <v>0</v>
      </c>
    </row>
    <row r="491" spans="2:10" x14ac:dyDescent="0.2">
      <c r="B491" s="5">
        <v>53112</v>
      </c>
      <c r="C491" s="7">
        <v>3.4551000000000003E-8</v>
      </c>
      <c r="D491" s="5" t="s">
        <v>1496</v>
      </c>
      <c r="E491" s="5">
        <v>59</v>
      </c>
      <c r="F491" s="5">
        <v>53</v>
      </c>
      <c r="G491" s="5">
        <v>3.34</v>
      </c>
      <c r="H491" s="5">
        <f t="shared" si="21"/>
        <v>0.20752909597603153</v>
      </c>
      <c r="I491" s="7">
        <f t="shared" si="22"/>
        <v>431196480.00000006</v>
      </c>
      <c r="J491" s="7">
        <f t="shared" si="23"/>
        <v>0</v>
      </c>
    </row>
    <row r="492" spans="2:10" x14ac:dyDescent="0.2">
      <c r="B492" s="5">
        <v>53113</v>
      </c>
      <c r="C492" s="7">
        <v>1.4937200000000001E-8</v>
      </c>
      <c r="D492" s="5" t="s">
        <v>1497</v>
      </c>
      <c r="E492" s="5">
        <v>60</v>
      </c>
      <c r="F492" s="5">
        <v>53</v>
      </c>
      <c r="G492" s="5">
        <v>6.6</v>
      </c>
      <c r="H492" s="5">
        <f t="shared" si="21"/>
        <v>0.1050223000848402</v>
      </c>
      <c r="I492" s="7">
        <f t="shared" si="22"/>
        <v>186416256</v>
      </c>
      <c r="J492" s="7">
        <f t="shared" si="23"/>
        <v>0</v>
      </c>
    </row>
    <row r="493" spans="2:10" x14ac:dyDescent="0.2">
      <c r="B493" s="5">
        <v>53114</v>
      </c>
      <c r="C493" s="7">
        <v>7.6779999999999997E-10</v>
      </c>
      <c r="D493" s="5" t="s">
        <v>1498</v>
      </c>
      <c r="E493" s="5">
        <v>61</v>
      </c>
      <c r="F493" s="5">
        <v>53</v>
      </c>
      <c r="G493" s="5">
        <v>2.1</v>
      </c>
      <c r="H493" s="5">
        <f t="shared" si="21"/>
        <v>0.3300700859809263</v>
      </c>
      <c r="I493" s="7">
        <f t="shared" si="22"/>
        <v>9582144</v>
      </c>
      <c r="J493" s="7">
        <f t="shared" si="23"/>
        <v>0</v>
      </c>
    </row>
    <row r="494" spans="2:10" x14ac:dyDescent="0.2">
      <c r="B494" s="5">
        <v>53115</v>
      </c>
      <c r="C494" s="7">
        <v>3.4899999999999998E-10</v>
      </c>
      <c r="D494" s="5" t="s">
        <v>1499</v>
      </c>
      <c r="E494" s="5">
        <v>62</v>
      </c>
      <c r="F494" s="5">
        <v>53</v>
      </c>
      <c r="G494" s="5">
        <v>78</v>
      </c>
      <c r="H494" s="5">
        <f t="shared" si="21"/>
        <v>8.8865023148710937E-3</v>
      </c>
      <c r="I494" s="7">
        <f t="shared" si="22"/>
        <v>4355520</v>
      </c>
      <c r="J494" s="7">
        <f t="shared" si="23"/>
        <v>0</v>
      </c>
    </row>
    <row r="495" spans="2:10" x14ac:dyDescent="0.2">
      <c r="B495" s="5">
        <v>53116</v>
      </c>
      <c r="C495" s="7">
        <v>6.9799999999999994E-11</v>
      </c>
      <c r="D495" s="5" t="s">
        <v>1500</v>
      </c>
      <c r="E495" s="5">
        <v>63</v>
      </c>
      <c r="F495" s="5">
        <v>53</v>
      </c>
      <c r="G495" s="5">
        <v>2.91</v>
      </c>
      <c r="H495" s="5">
        <f t="shared" si="21"/>
        <v>0.23819490740891588</v>
      </c>
      <c r="I495" s="7">
        <f t="shared" si="22"/>
        <v>871103.99999999988</v>
      </c>
      <c r="J495" s="7">
        <f t="shared" si="23"/>
        <v>0</v>
      </c>
    </row>
    <row r="496" spans="2:10" x14ac:dyDescent="0.2">
      <c r="B496" s="5">
        <v>53125</v>
      </c>
      <c r="C496" s="7">
        <v>1.3959999999999999E-10</v>
      </c>
      <c r="D496" s="5" t="s">
        <v>1509</v>
      </c>
      <c r="E496" s="5">
        <v>72</v>
      </c>
      <c r="F496" s="5">
        <v>53</v>
      </c>
      <c r="G496" s="5">
        <v>5132764.8</v>
      </c>
      <c r="H496" s="5">
        <f t="shared" si="21"/>
        <v>1.3504362805791244E-7</v>
      </c>
      <c r="I496" s="7">
        <f t="shared" si="22"/>
        <v>191865.95675863815</v>
      </c>
      <c r="J496" s="7">
        <f t="shared" si="23"/>
        <v>2713.0165445214116</v>
      </c>
    </row>
    <row r="497" spans="2:10" x14ac:dyDescent="0.2">
      <c r="B497" s="5">
        <v>53126</v>
      </c>
      <c r="C497" s="7">
        <v>2.7919999999999998E-10</v>
      </c>
      <c r="D497" s="5" t="s">
        <v>1510</v>
      </c>
      <c r="E497" s="5">
        <v>73</v>
      </c>
      <c r="F497" s="5">
        <v>53</v>
      </c>
      <c r="G497" s="5">
        <v>1117152</v>
      </c>
      <c r="H497" s="5">
        <f t="shared" si="21"/>
        <v>6.2045915019616423E-7</v>
      </c>
      <c r="I497" s="7">
        <f t="shared" si="22"/>
        <v>1445896.6223331625</v>
      </c>
      <c r="J497" s="7">
        <f t="shared" si="23"/>
        <v>4.596042951623012E-3</v>
      </c>
    </row>
    <row r="498" spans="2:10" x14ac:dyDescent="0.2">
      <c r="B498" s="5">
        <v>53128</v>
      </c>
      <c r="C498" s="7">
        <v>2.6105199999999999E-8</v>
      </c>
      <c r="D498" s="5" t="s">
        <v>1512</v>
      </c>
      <c r="E498" s="5">
        <v>75</v>
      </c>
      <c r="F498" s="5">
        <v>53</v>
      </c>
      <c r="G498" s="5">
        <v>1499.3999999999901</v>
      </c>
      <c r="H498" s="5">
        <f t="shared" si="21"/>
        <v>4.622830335867346E-4</v>
      </c>
      <c r="I498" s="7">
        <f t="shared" si="22"/>
        <v>325792896</v>
      </c>
      <c r="J498" s="7">
        <f t="shared" si="23"/>
        <v>0</v>
      </c>
    </row>
    <row r="499" spans="2:10" x14ac:dyDescent="0.2">
      <c r="B499" s="5">
        <v>53129</v>
      </c>
      <c r="C499" s="7">
        <v>2.12681E-7</v>
      </c>
      <c r="D499" s="5" t="s">
        <v>1513</v>
      </c>
      <c r="E499" s="5">
        <v>76</v>
      </c>
      <c r="F499" s="5">
        <v>53</v>
      </c>
      <c r="G499" s="5">
        <v>495454320000000</v>
      </c>
      <c r="H499" s="5">
        <f t="shared" si="21"/>
        <v>1.3990132946261228E-15</v>
      </c>
      <c r="I499" s="7">
        <f t="shared" si="22"/>
        <v>3.2083286142924905</v>
      </c>
      <c r="J499" s="7">
        <f t="shared" si="23"/>
        <v>3.2083284727433345</v>
      </c>
    </row>
    <row r="500" spans="2:10" x14ac:dyDescent="0.2">
      <c r="B500" s="5">
        <v>53130</v>
      </c>
      <c r="C500" s="7">
        <v>7.3073599999999999E-7</v>
      </c>
      <c r="D500" s="5" t="s">
        <v>1514</v>
      </c>
      <c r="E500" s="5">
        <v>77</v>
      </c>
      <c r="F500" s="5">
        <v>53</v>
      </c>
      <c r="G500" s="5">
        <v>44496</v>
      </c>
      <c r="H500" s="5">
        <f t="shared" si="21"/>
        <v>1.5577741382594957E-5</v>
      </c>
      <c r="I500" s="7">
        <f t="shared" si="22"/>
        <v>9119572256.3578491</v>
      </c>
      <c r="J500" s="7">
        <f t="shared" si="23"/>
        <v>4.0608628167994012E-204</v>
      </c>
    </row>
    <row r="501" spans="2:10" x14ac:dyDescent="0.2">
      <c r="B501" s="5">
        <v>53131</v>
      </c>
      <c r="C501" s="7">
        <v>3.51171E-6</v>
      </c>
      <c r="D501" s="5" t="s">
        <v>1515</v>
      </c>
      <c r="E501" s="5">
        <v>78</v>
      </c>
      <c r="F501" s="5">
        <v>53</v>
      </c>
      <c r="G501" s="5">
        <v>693377.28</v>
      </c>
      <c r="H501" s="5">
        <f t="shared" si="21"/>
        <v>9.9966814684199819E-7</v>
      </c>
      <c r="I501" s="7">
        <f t="shared" si="22"/>
        <v>25349316939.877872</v>
      </c>
      <c r="J501" s="7">
        <f t="shared" si="23"/>
        <v>5.1594155863246376E-4</v>
      </c>
    </row>
    <row r="502" spans="2:10" x14ac:dyDescent="0.2">
      <c r="B502" s="5">
        <v>53132</v>
      </c>
      <c r="C502" s="7">
        <v>7.0228599999999999E-6</v>
      </c>
      <c r="D502" s="5" t="s">
        <v>1516</v>
      </c>
      <c r="E502" s="5">
        <v>79</v>
      </c>
      <c r="F502" s="5">
        <v>53</v>
      </c>
      <c r="G502" s="5">
        <v>8262</v>
      </c>
      <c r="H502" s="5">
        <f t="shared" si="21"/>
        <v>8.389580979907351E-5</v>
      </c>
      <c r="I502" s="7">
        <f t="shared" si="22"/>
        <v>87645292800</v>
      </c>
      <c r="J502" s="7">
        <f t="shared" si="23"/>
        <v>0</v>
      </c>
    </row>
    <row r="503" spans="2:10" x14ac:dyDescent="0.2">
      <c r="B503" s="5">
        <v>53133</v>
      </c>
      <c r="C503" s="7">
        <v>1.8415099999999999E-5</v>
      </c>
      <c r="D503" s="5" t="s">
        <v>1517</v>
      </c>
      <c r="E503" s="5">
        <v>80</v>
      </c>
      <c r="F503" s="5">
        <v>53</v>
      </c>
      <c r="G503" s="5">
        <v>74988</v>
      </c>
      <c r="H503" s="5">
        <f t="shared" si="21"/>
        <v>9.2434413580832301E-6</v>
      </c>
      <c r="I503" s="7">
        <f t="shared" si="22"/>
        <v>229742290948.05807</v>
      </c>
      <c r="J503" s="7">
        <f t="shared" si="23"/>
        <v>5.8062107426065888E-116</v>
      </c>
    </row>
    <row r="504" spans="2:10" x14ac:dyDescent="0.2">
      <c r="B504" s="5">
        <v>53134</v>
      </c>
      <c r="C504" s="7">
        <v>2.4316900000000001E-5</v>
      </c>
      <c r="D504" s="5" t="s">
        <v>1518</v>
      </c>
      <c r="E504" s="5">
        <v>81</v>
      </c>
      <c r="F504" s="5">
        <v>53</v>
      </c>
      <c r="G504" s="5">
        <v>3150</v>
      </c>
      <c r="H504" s="5">
        <f t="shared" si="21"/>
        <v>2.2004672398728421E-4</v>
      </c>
      <c r="I504" s="7">
        <f t="shared" si="22"/>
        <v>303474912000</v>
      </c>
      <c r="J504" s="7">
        <f t="shared" si="23"/>
        <v>0</v>
      </c>
    </row>
    <row r="505" spans="2:10" x14ac:dyDescent="0.2">
      <c r="B505" s="5">
        <v>53135</v>
      </c>
      <c r="C505" s="7">
        <v>3.85706E-5</v>
      </c>
      <c r="D505" s="5" t="s">
        <v>1519</v>
      </c>
      <c r="E505" s="5">
        <v>82</v>
      </c>
      <c r="F505" s="5">
        <v>53</v>
      </c>
      <c r="G505" s="5">
        <v>23688</v>
      </c>
      <c r="H505" s="5">
        <f t="shared" si="21"/>
        <v>2.9261532445117581E-5</v>
      </c>
      <c r="I505" s="7">
        <f t="shared" si="22"/>
        <v>481361087994.9574</v>
      </c>
      <c r="J505" s="7">
        <f t="shared" si="23"/>
        <v>0</v>
      </c>
    </row>
    <row r="506" spans="2:10" x14ac:dyDescent="0.2">
      <c r="B506" s="5">
        <v>53136</v>
      </c>
      <c r="C506" s="7">
        <v>1.92375E-5</v>
      </c>
      <c r="D506" s="5" t="s">
        <v>1520</v>
      </c>
      <c r="E506" s="5">
        <v>83</v>
      </c>
      <c r="F506" s="5">
        <v>53</v>
      </c>
      <c r="G506" s="5">
        <v>83.4</v>
      </c>
      <c r="H506" s="5">
        <f t="shared" si="21"/>
        <v>8.3111172729010228E-3</v>
      </c>
      <c r="I506" s="7">
        <f t="shared" si="22"/>
        <v>240084000000</v>
      </c>
      <c r="J506" s="7">
        <f t="shared" si="23"/>
        <v>0</v>
      </c>
    </row>
    <row r="507" spans="2:10" x14ac:dyDescent="0.2">
      <c r="B507" s="5">
        <v>53137</v>
      </c>
      <c r="C507" s="7">
        <v>1.8481499999999999E-5</v>
      </c>
      <c r="D507" s="5" t="s">
        <v>1521</v>
      </c>
      <c r="E507" s="5">
        <v>84</v>
      </c>
      <c r="F507" s="5">
        <v>53</v>
      </c>
      <c r="G507" s="5">
        <v>24.5</v>
      </c>
      <c r="H507" s="5">
        <f t="shared" si="21"/>
        <v>2.829172165550797E-2</v>
      </c>
      <c r="I507" s="7">
        <f t="shared" si="22"/>
        <v>230649120000</v>
      </c>
      <c r="J507" s="7">
        <f t="shared" si="23"/>
        <v>0</v>
      </c>
    </row>
    <row r="508" spans="2:10" x14ac:dyDescent="0.2">
      <c r="B508" s="5">
        <v>53138</v>
      </c>
      <c r="C508" s="7">
        <v>9.4235599999999996E-6</v>
      </c>
      <c r="D508" s="5" t="s">
        <v>1522</v>
      </c>
      <c r="E508" s="5">
        <v>85</v>
      </c>
      <c r="F508" s="5">
        <v>53</v>
      </c>
      <c r="G508" s="5">
        <v>6.23</v>
      </c>
      <c r="H508" s="5">
        <f t="shared" si="21"/>
        <v>0.11125957954413246</v>
      </c>
      <c r="I508" s="7">
        <f t="shared" si="22"/>
        <v>117606028800</v>
      </c>
      <c r="J508" s="7">
        <f t="shared" si="23"/>
        <v>0</v>
      </c>
    </row>
    <row r="509" spans="2:10" x14ac:dyDescent="0.2">
      <c r="B509" s="5">
        <v>53139</v>
      </c>
      <c r="C509" s="7">
        <v>5.6522599999999998E-6</v>
      </c>
      <c r="D509" s="5" t="s">
        <v>1523</v>
      </c>
      <c r="E509" s="5">
        <v>86</v>
      </c>
      <c r="F509" s="5">
        <v>53</v>
      </c>
      <c r="G509" s="5">
        <v>2.2799999999999998</v>
      </c>
      <c r="H509" s="5">
        <f t="shared" si="21"/>
        <v>0.30401192129822163</v>
      </c>
      <c r="I509" s="7">
        <f t="shared" si="22"/>
        <v>70540204800</v>
      </c>
      <c r="J509" s="7">
        <f t="shared" si="23"/>
        <v>0</v>
      </c>
    </row>
    <row r="510" spans="2:10" x14ac:dyDescent="0.2">
      <c r="B510" s="5">
        <v>53140</v>
      </c>
      <c r="C510" s="7">
        <v>1.6166399999999999E-6</v>
      </c>
      <c r="D510" s="5" t="s">
        <v>1524</v>
      </c>
      <c r="E510" s="5">
        <v>87</v>
      </c>
      <c r="F510" s="5">
        <v>53</v>
      </c>
      <c r="G510" s="5">
        <v>0.86</v>
      </c>
      <c r="H510" s="5">
        <f t="shared" si="21"/>
        <v>0.805985093674355</v>
      </c>
      <c r="I510" s="7">
        <f t="shared" si="22"/>
        <v>20175667200</v>
      </c>
      <c r="J510" s="7">
        <f t="shared" si="23"/>
        <v>0</v>
      </c>
    </row>
    <row r="511" spans="2:10" x14ac:dyDescent="0.2">
      <c r="B511" s="5">
        <v>53141</v>
      </c>
      <c r="C511" s="7">
        <v>7.4895400000000005E-7</v>
      </c>
      <c r="D511" s="5" t="s">
        <v>1525</v>
      </c>
      <c r="E511" s="5">
        <v>88</v>
      </c>
      <c r="F511" s="5">
        <v>53</v>
      </c>
      <c r="G511" s="5">
        <v>0.43</v>
      </c>
      <c r="H511" s="5">
        <f t="shared" si="21"/>
        <v>1.61197018734871</v>
      </c>
      <c r="I511" s="7">
        <f t="shared" si="22"/>
        <v>9346945920</v>
      </c>
      <c r="J511" s="7">
        <f t="shared" si="23"/>
        <v>0</v>
      </c>
    </row>
    <row r="512" spans="2:10" x14ac:dyDescent="0.2">
      <c r="B512" s="5">
        <v>53142</v>
      </c>
      <c r="C512" s="7">
        <v>3.6379800000000001E-7</v>
      </c>
      <c r="D512" s="5" t="s">
        <v>1526</v>
      </c>
      <c r="E512" s="5">
        <v>89</v>
      </c>
      <c r="F512" s="5">
        <v>53</v>
      </c>
      <c r="G512" s="5">
        <v>0.222</v>
      </c>
      <c r="H512" s="5">
        <f t="shared" si="21"/>
        <v>3.1222845971168707</v>
      </c>
      <c r="I512" s="7">
        <f t="shared" si="22"/>
        <v>4540199040</v>
      </c>
      <c r="J512" s="7">
        <f t="shared" si="23"/>
        <v>0</v>
      </c>
    </row>
    <row r="513" spans="2:10" x14ac:dyDescent="0.2">
      <c r="B513" s="5">
        <v>54110</v>
      </c>
      <c r="C513" s="7">
        <v>1.47906E-7</v>
      </c>
      <c r="D513" s="5" t="s">
        <v>1531</v>
      </c>
      <c r="E513" s="5">
        <v>56</v>
      </c>
      <c r="F513" s="5">
        <v>54</v>
      </c>
      <c r="G513" s="5">
        <v>9.2999999999999999E-2</v>
      </c>
      <c r="H513" s="5">
        <f t="shared" si="21"/>
        <v>7.4531954898918853</v>
      </c>
      <c r="I513" s="7">
        <f t="shared" si="22"/>
        <v>1845866880</v>
      </c>
      <c r="J513" s="7">
        <f t="shared" si="23"/>
        <v>0</v>
      </c>
    </row>
    <row r="514" spans="2:10" x14ac:dyDescent="0.2">
      <c r="B514" s="5">
        <v>54111</v>
      </c>
      <c r="C514" s="7">
        <v>2.3103799999999999E-8</v>
      </c>
      <c r="D514" s="5" t="s">
        <v>1532</v>
      </c>
      <c r="E514" s="5">
        <v>57</v>
      </c>
      <c r="F514" s="5">
        <v>54</v>
      </c>
      <c r="G514" s="5">
        <v>0.81</v>
      </c>
      <c r="H514" s="5">
        <f t="shared" si="21"/>
        <v>0.85573725995054972</v>
      </c>
      <c r="I514" s="7">
        <f t="shared" si="22"/>
        <v>288335424</v>
      </c>
      <c r="J514" s="7">
        <f t="shared" si="23"/>
        <v>0</v>
      </c>
    </row>
    <row r="515" spans="2:10" x14ac:dyDescent="0.2">
      <c r="B515" s="5">
        <v>54112</v>
      </c>
      <c r="C515" s="7">
        <v>7.9572000000000006E-9</v>
      </c>
      <c r="D515" s="5" t="s">
        <v>1533</v>
      </c>
      <c r="E515" s="5">
        <v>58</v>
      </c>
      <c r="F515" s="5">
        <v>54</v>
      </c>
      <c r="G515" s="5">
        <v>2.7</v>
      </c>
      <c r="H515" s="5">
        <f t="shared" si="21"/>
        <v>0.25672117798516492</v>
      </c>
      <c r="I515" s="7">
        <f t="shared" si="22"/>
        <v>99305856.000000015</v>
      </c>
      <c r="J515" s="7">
        <f t="shared" si="23"/>
        <v>0</v>
      </c>
    </row>
    <row r="516" spans="2:10" x14ac:dyDescent="0.2">
      <c r="B516" s="5">
        <v>54113</v>
      </c>
      <c r="C516" s="7">
        <v>5.5839999999999995E-10</v>
      </c>
      <c r="D516" s="5" t="s">
        <v>1534</v>
      </c>
      <c r="E516" s="5">
        <v>59</v>
      </c>
      <c r="F516" s="5">
        <v>54</v>
      </c>
      <c r="G516" s="5">
        <v>2.74</v>
      </c>
      <c r="H516" s="5">
        <f t="shared" ref="H516:H579" si="24">LN(2)/G516</f>
        <v>0.25297342356202379</v>
      </c>
      <c r="I516" s="7">
        <f t="shared" ref="I516:I579" si="25">2*6240000000000000*C516*(1-EXP(-H516*10*24*3600))</f>
        <v>6968831.9999999991</v>
      </c>
      <c r="J516" s="7">
        <f t="shared" ref="J516:J579" si="26">EXP(-H516*365*24*3600)*I516</f>
        <v>0</v>
      </c>
    </row>
    <row r="517" spans="2:10" x14ac:dyDescent="0.2">
      <c r="B517" s="5">
        <v>54114</v>
      </c>
      <c r="C517" s="7">
        <v>6.9799999999999994E-11</v>
      </c>
      <c r="D517" s="5" t="s">
        <v>1535</v>
      </c>
      <c r="E517" s="5">
        <v>60</v>
      </c>
      <c r="F517" s="5">
        <v>54</v>
      </c>
      <c r="G517" s="5">
        <v>10</v>
      </c>
      <c r="H517" s="5">
        <f t="shared" si="24"/>
        <v>6.9314718055994526E-2</v>
      </c>
      <c r="I517" s="7">
        <f t="shared" si="25"/>
        <v>871103.99999999988</v>
      </c>
      <c r="J517" s="7">
        <f t="shared" si="26"/>
        <v>0</v>
      </c>
    </row>
    <row r="518" spans="2:10" x14ac:dyDescent="0.2">
      <c r="B518" s="5">
        <v>54115</v>
      </c>
      <c r="C518" s="7">
        <v>1.3959999999999999E-10</v>
      </c>
      <c r="D518" s="5" t="s">
        <v>1536</v>
      </c>
      <c r="E518" s="5">
        <v>61</v>
      </c>
      <c r="F518" s="5">
        <v>54</v>
      </c>
      <c r="G518" s="5">
        <v>18</v>
      </c>
      <c r="H518" s="5">
        <f t="shared" si="24"/>
        <v>3.8508176697774739E-2</v>
      </c>
      <c r="I518" s="7">
        <f t="shared" si="25"/>
        <v>1742207.9999999998</v>
      </c>
      <c r="J518" s="7">
        <f t="shared" si="26"/>
        <v>0</v>
      </c>
    </row>
    <row r="519" spans="2:10" x14ac:dyDescent="0.2">
      <c r="B519" s="5">
        <v>54133</v>
      </c>
      <c r="C519" s="7">
        <v>1.9443499999999999E-6</v>
      </c>
      <c r="D519" s="5" t="s">
        <v>1554</v>
      </c>
      <c r="E519" s="5">
        <v>79</v>
      </c>
      <c r="F519" s="5">
        <v>54</v>
      </c>
      <c r="G519" s="5">
        <v>453383.99999999901</v>
      </c>
      <c r="H519" s="5">
        <f t="shared" si="24"/>
        <v>1.5288302643232817E-6</v>
      </c>
      <c r="I519" s="7">
        <f t="shared" si="25"/>
        <v>17789211405.845505</v>
      </c>
      <c r="J519" s="7">
        <f t="shared" si="26"/>
        <v>2.0484897553267901E-11</v>
      </c>
    </row>
    <row r="520" spans="2:10" x14ac:dyDescent="0.2">
      <c r="B520" s="5">
        <v>54134</v>
      </c>
      <c r="C520" s="7">
        <v>7.86311E-6</v>
      </c>
      <c r="D520" s="5" t="s">
        <v>1555</v>
      </c>
      <c r="E520" s="5">
        <v>80</v>
      </c>
      <c r="F520" s="5">
        <v>54</v>
      </c>
      <c r="G520" s="5">
        <v>1.8303407999999899E+30</v>
      </c>
      <c r="H520" s="5">
        <f t="shared" si="24"/>
        <v>3.7869842630396979E-31</v>
      </c>
      <c r="I520" s="7">
        <f t="shared" si="25"/>
        <v>0</v>
      </c>
      <c r="J520" s="7">
        <f t="shared" si="26"/>
        <v>0</v>
      </c>
    </row>
    <row r="521" spans="2:10" x14ac:dyDescent="0.2">
      <c r="B521" s="5">
        <v>54135</v>
      </c>
      <c r="C521" s="7">
        <v>1.42142E-5</v>
      </c>
      <c r="D521" s="5" t="s">
        <v>1556</v>
      </c>
      <c r="E521" s="5">
        <v>81</v>
      </c>
      <c r="F521" s="5">
        <v>54</v>
      </c>
      <c r="G521" s="5">
        <v>32904</v>
      </c>
      <c r="H521" s="5">
        <f t="shared" si="24"/>
        <v>2.1065742176025568E-5</v>
      </c>
      <c r="I521" s="7">
        <f t="shared" si="25"/>
        <v>177393213789.81073</v>
      </c>
      <c r="J521" s="7">
        <f t="shared" si="26"/>
        <v>5.4251483331623443E-278</v>
      </c>
    </row>
    <row r="522" spans="2:10" x14ac:dyDescent="0.2">
      <c r="B522" s="5">
        <v>54136</v>
      </c>
      <c r="C522" s="7">
        <v>3.2630599999999999E-5</v>
      </c>
      <c r="D522" s="5" t="s">
        <v>1557</v>
      </c>
      <c r="E522" s="5">
        <v>82</v>
      </c>
      <c r="F522" s="5">
        <v>54</v>
      </c>
      <c r="G522" s="5">
        <v>7.573824E+28</v>
      </c>
      <c r="H522" s="5">
        <f t="shared" si="24"/>
        <v>9.1518786356792195E-30</v>
      </c>
      <c r="I522" s="7">
        <f t="shared" si="25"/>
        <v>0</v>
      </c>
      <c r="J522" s="7">
        <f t="shared" si="26"/>
        <v>0</v>
      </c>
    </row>
    <row r="523" spans="2:10" x14ac:dyDescent="0.2">
      <c r="B523" s="5">
        <v>54137</v>
      </c>
      <c r="C523" s="7">
        <v>2.42532E-5</v>
      </c>
      <c r="D523" s="5" t="s">
        <v>1558</v>
      </c>
      <c r="E523" s="5">
        <v>83</v>
      </c>
      <c r="F523" s="5">
        <v>54</v>
      </c>
      <c r="G523" s="5">
        <v>229.08</v>
      </c>
      <c r="H523" s="5">
        <f t="shared" si="24"/>
        <v>3.0257865398984865E-3</v>
      </c>
      <c r="I523" s="7">
        <f t="shared" si="25"/>
        <v>302679936000</v>
      </c>
      <c r="J523" s="7">
        <f t="shared" si="26"/>
        <v>0</v>
      </c>
    </row>
    <row r="524" spans="2:10" x14ac:dyDescent="0.2">
      <c r="B524" s="5">
        <v>54138</v>
      </c>
      <c r="C524" s="7">
        <v>3.17471E-5</v>
      </c>
      <c r="D524" s="5" t="s">
        <v>1559</v>
      </c>
      <c r="E524" s="5">
        <v>84</v>
      </c>
      <c r="F524" s="5">
        <v>54</v>
      </c>
      <c r="G524" s="5">
        <v>848.4</v>
      </c>
      <c r="H524" s="5">
        <f t="shared" si="24"/>
        <v>8.170051633191246E-4</v>
      </c>
      <c r="I524" s="7">
        <f t="shared" si="25"/>
        <v>396203808000</v>
      </c>
      <c r="J524" s="7">
        <f t="shared" si="26"/>
        <v>0</v>
      </c>
    </row>
    <row r="525" spans="2:10" x14ac:dyDescent="0.2">
      <c r="B525" s="5">
        <v>54139</v>
      </c>
      <c r="C525" s="7">
        <v>1.7910800000000001E-5</v>
      </c>
      <c r="D525" s="5" t="s">
        <v>1560</v>
      </c>
      <c r="E525" s="5">
        <v>85</v>
      </c>
      <c r="F525" s="5">
        <v>54</v>
      </c>
      <c r="G525" s="5">
        <v>39.68</v>
      </c>
      <c r="H525" s="5">
        <f t="shared" si="24"/>
        <v>1.7468426929434105E-2</v>
      </c>
      <c r="I525" s="7">
        <f t="shared" si="25"/>
        <v>223526784000.00003</v>
      </c>
      <c r="J525" s="7">
        <f t="shared" si="26"/>
        <v>0</v>
      </c>
    </row>
    <row r="526" spans="2:10" x14ac:dyDescent="0.2">
      <c r="B526" s="5">
        <v>54140</v>
      </c>
      <c r="C526" s="7">
        <v>1.61934E-5</v>
      </c>
      <c r="D526" s="5" t="s">
        <v>1561</v>
      </c>
      <c r="E526" s="5">
        <v>86</v>
      </c>
      <c r="F526" s="5">
        <v>54</v>
      </c>
      <c r="G526" s="5">
        <v>13.6</v>
      </c>
      <c r="H526" s="5">
        <f t="shared" si="24"/>
        <v>5.0966704452937155E-2</v>
      </c>
      <c r="I526" s="7">
        <f t="shared" si="25"/>
        <v>202093632000</v>
      </c>
      <c r="J526" s="7">
        <f t="shared" si="26"/>
        <v>0</v>
      </c>
    </row>
    <row r="527" spans="2:10" x14ac:dyDescent="0.2">
      <c r="B527" s="5">
        <v>54141</v>
      </c>
      <c r="C527" s="7">
        <v>6.4096600000000004E-6</v>
      </c>
      <c r="D527" s="5" t="s">
        <v>1562</v>
      </c>
      <c r="E527" s="5">
        <v>87</v>
      </c>
      <c r="F527" s="5">
        <v>54</v>
      </c>
      <c r="G527" s="5">
        <v>1.73</v>
      </c>
      <c r="H527" s="5">
        <f t="shared" si="24"/>
        <v>0.40066311015025741</v>
      </c>
      <c r="I527" s="7">
        <f t="shared" si="25"/>
        <v>79992556800</v>
      </c>
      <c r="J527" s="7">
        <f t="shared" si="26"/>
        <v>0</v>
      </c>
    </row>
    <row r="528" spans="2:10" x14ac:dyDescent="0.2">
      <c r="B528" s="5">
        <v>54142</v>
      </c>
      <c r="C528" s="7">
        <v>4.2274399999999998E-6</v>
      </c>
      <c r="D528" s="5" t="s">
        <v>1563</v>
      </c>
      <c r="E528" s="5">
        <v>88</v>
      </c>
      <c r="F528" s="5">
        <v>54</v>
      </c>
      <c r="G528" s="5">
        <v>1.23</v>
      </c>
      <c r="H528" s="5">
        <f t="shared" si="24"/>
        <v>0.56353429313816694</v>
      </c>
      <c r="I528" s="7">
        <f t="shared" si="25"/>
        <v>52758451200</v>
      </c>
      <c r="J528" s="7">
        <f t="shared" si="26"/>
        <v>0</v>
      </c>
    </row>
    <row r="529" spans="2:10" x14ac:dyDescent="0.2">
      <c r="B529" s="5">
        <v>54143</v>
      </c>
      <c r="C529" s="7">
        <v>8.5114099999999996E-7</v>
      </c>
      <c r="D529" s="5" t="s">
        <v>1564</v>
      </c>
      <c r="E529" s="5">
        <v>89</v>
      </c>
      <c r="F529" s="5">
        <v>54</v>
      </c>
      <c r="G529" s="5">
        <v>0.51100000000000001</v>
      </c>
      <c r="H529" s="5">
        <f t="shared" si="24"/>
        <v>1.3564524081407932</v>
      </c>
      <c r="I529" s="7">
        <f t="shared" si="25"/>
        <v>10622239680</v>
      </c>
      <c r="J529" s="7">
        <f t="shared" si="26"/>
        <v>0</v>
      </c>
    </row>
    <row r="530" spans="2:10" x14ac:dyDescent="0.2">
      <c r="B530" s="5">
        <v>54144</v>
      </c>
      <c r="C530" s="7">
        <v>7.7261600000000004E-7</v>
      </c>
      <c r="D530" s="5" t="s">
        <v>1565</v>
      </c>
      <c r="E530" s="5">
        <v>90</v>
      </c>
      <c r="F530" s="5">
        <v>54</v>
      </c>
      <c r="G530" s="5">
        <v>0.38800000000000001</v>
      </c>
      <c r="H530" s="5">
        <f t="shared" si="24"/>
        <v>1.7864618055668693</v>
      </c>
      <c r="I530" s="7">
        <f t="shared" si="25"/>
        <v>9642247680</v>
      </c>
      <c r="J530" s="7">
        <f t="shared" si="26"/>
        <v>0</v>
      </c>
    </row>
    <row r="531" spans="2:10" x14ac:dyDescent="0.2">
      <c r="B531" s="5">
        <v>54145</v>
      </c>
      <c r="C531" s="7">
        <v>1.56422E-7</v>
      </c>
      <c r="D531" s="5" t="s">
        <v>1566</v>
      </c>
      <c r="E531" s="5">
        <v>91</v>
      </c>
      <c r="F531" s="5">
        <v>54</v>
      </c>
      <c r="G531" s="5">
        <v>0.188</v>
      </c>
      <c r="H531" s="5">
        <f t="shared" si="24"/>
        <v>3.6869530880848154</v>
      </c>
      <c r="I531" s="7">
        <f t="shared" si="25"/>
        <v>1952146560</v>
      </c>
      <c r="J531" s="7">
        <f t="shared" si="26"/>
        <v>0</v>
      </c>
    </row>
    <row r="532" spans="2:10" x14ac:dyDescent="0.2">
      <c r="B532" s="5">
        <v>55114</v>
      </c>
      <c r="C532" s="7">
        <v>5.8562200000000003E-8</v>
      </c>
      <c r="D532" s="5" t="s">
        <v>1572</v>
      </c>
      <c r="E532" s="5">
        <v>59</v>
      </c>
      <c r="F532" s="5">
        <v>55</v>
      </c>
      <c r="G532" s="5">
        <v>0.56999999999999995</v>
      </c>
      <c r="H532" s="5">
        <f t="shared" si="24"/>
        <v>1.2160476851928865</v>
      </c>
      <c r="I532" s="7">
        <f t="shared" si="25"/>
        <v>730856256</v>
      </c>
      <c r="J532" s="7">
        <f t="shared" si="26"/>
        <v>0</v>
      </c>
    </row>
    <row r="533" spans="2:10" x14ac:dyDescent="0.2">
      <c r="B533" s="5">
        <v>55115</v>
      </c>
      <c r="C533" s="7">
        <v>6.631E-9</v>
      </c>
      <c r="D533" s="5" t="s">
        <v>1573</v>
      </c>
      <c r="E533" s="5">
        <v>60</v>
      </c>
      <c r="F533" s="5">
        <v>55</v>
      </c>
      <c r="G533" s="5">
        <v>1.4</v>
      </c>
      <c r="H533" s="5">
        <f t="shared" si="24"/>
        <v>0.49510512897138953</v>
      </c>
      <c r="I533" s="7">
        <f t="shared" si="25"/>
        <v>82754880</v>
      </c>
      <c r="J533" s="7">
        <f t="shared" si="26"/>
        <v>0</v>
      </c>
    </row>
    <row r="534" spans="2:10" x14ac:dyDescent="0.2">
      <c r="B534" s="5">
        <v>55116</v>
      </c>
      <c r="C534" s="7">
        <v>1.8845999999999999E-9</v>
      </c>
      <c r="D534" s="5" t="s">
        <v>1574</v>
      </c>
      <c r="E534" s="5">
        <v>61</v>
      </c>
      <c r="F534" s="5">
        <v>55</v>
      </c>
      <c r="G534" s="5">
        <v>0.7</v>
      </c>
      <c r="H534" s="5">
        <f t="shared" si="24"/>
        <v>0.99021025794277906</v>
      </c>
      <c r="I534" s="7">
        <f t="shared" si="25"/>
        <v>23519808</v>
      </c>
      <c r="J534" s="7">
        <f t="shared" si="26"/>
        <v>0</v>
      </c>
    </row>
    <row r="535" spans="2:10" x14ac:dyDescent="0.2">
      <c r="B535" s="5">
        <v>55117</v>
      </c>
      <c r="C535" s="7">
        <v>4.1879999999999999E-10</v>
      </c>
      <c r="D535" s="5" t="s">
        <v>1575</v>
      </c>
      <c r="E535" s="5">
        <v>62</v>
      </c>
      <c r="F535" s="5">
        <v>55</v>
      </c>
      <c r="G535" s="5">
        <v>8.4</v>
      </c>
      <c r="H535" s="5">
        <f t="shared" si="24"/>
        <v>8.2517521495231574E-2</v>
      </c>
      <c r="I535" s="7">
        <f t="shared" si="25"/>
        <v>5226624</v>
      </c>
      <c r="J535" s="7">
        <f t="shared" si="26"/>
        <v>0</v>
      </c>
    </row>
    <row r="536" spans="2:10" x14ac:dyDescent="0.2">
      <c r="B536" s="5">
        <v>55131</v>
      </c>
      <c r="C536" s="7">
        <v>2.094E-10</v>
      </c>
      <c r="D536" s="5" t="s">
        <v>1589</v>
      </c>
      <c r="E536" s="5">
        <v>76</v>
      </c>
      <c r="F536" s="5">
        <v>55</v>
      </c>
      <c r="G536" s="5">
        <v>837129.6</v>
      </c>
      <c r="H536" s="5">
        <f t="shared" si="24"/>
        <v>8.2800462504246091E-7</v>
      </c>
      <c r="I536" s="7">
        <f t="shared" si="25"/>
        <v>1335406.5296480577</v>
      </c>
      <c r="J536" s="7">
        <f t="shared" si="26"/>
        <v>6.1000869347511061E-6</v>
      </c>
    </row>
    <row r="537" spans="2:10" x14ac:dyDescent="0.2">
      <c r="B537" s="5">
        <v>55132</v>
      </c>
      <c r="C537" s="7">
        <v>2.5826000000000002E-9</v>
      </c>
      <c r="D537" s="5" t="s">
        <v>1590</v>
      </c>
      <c r="E537" s="5">
        <v>77</v>
      </c>
      <c r="F537" s="5">
        <v>55</v>
      </c>
      <c r="G537" s="5">
        <v>559872</v>
      </c>
      <c r="H537" s="5">
        <f t="shared" si="24"/>
        <v>1.2380458043266055E-6</v>
      </c>
      <c r="I537" s="7">
        <f t="shared" si="25"/>
        <v>21171761.127450578</v>
      </c>
      <c r="J537" s="7">
        <f t="shared" si="26"/>
        <v>2.3420281251133728E-10</v>
      </c>
    </row>
    <row r="538" spans="2:10" x14ac:dyDescent="0.2">
      <c r="B538" s="5">
        <v>55134</v>
      </c>
      <c r="C538" s="7">
        <v>1.47767E-7</v>
      </c>
      <c r="D538" s="5" t="s">
        <v>1592</v>
      </c>
      <c r="E538" s="5">
        <v>79</v>
      </c>
      <c r="F538" s="5">
        <v>55</v>
      </c>
      <c r="G538" s="5">
        <v>65172755.519999899</v>
      </c>
      <c r="H538" s="5">
        <f t="shared" si="24"/>
        <v>1.0635535892712647E-8</v>
      </c>
      <c r="I538" s="7">
        <f t="shared" si="25"/>
        <v>16868299.418316919</v>
      </c>
      <c r="J538" s="7">
        <f t="shared" si="26"/>
        <v>12061684.117922174</v>
      </c>
    </row>
    <row r="539" spans="2:10" x14ac:dyDescent="0.2">
      <c r="B539" s="5">
        <v>55135</v>
      </c>
      <c r="C539" s="7">
        <v>9.9255600000000009E-7</v>
      </c>
      <c r="D539" s="5" t="s">
        <v>1593</v>
      </c>
      <c r="E539" s="5">
        <v>80</v>
      </c>
      <c r="F539" s="5">
        <v>55</v>
      </c>
      <c r="G539" s="5">
        <v>72582480000000</v>
      </c>
      <c r="H539" s="5">
        <f t="shared" si="24"/>
        <v>9.5497864024478811E-15</v>
      </c>
      <c r="I539" s="7">
        <f t="shared" si="25"/>
        <v>102.20614394787334</v>
      </c>
      <c r="J539" s="7">
        <f t="shared" si="26"/>
        <v>102.20611316726472</v>
      </c>
    </row>
    <row r="540" spans="2:10" x14ac:dyDescent="0.2">
      <c r="B540" s="5">
        <v>55136</v>
      </c>
      <c r="C540" s="7">
        <v>3.0998200000000001E-6</v>
      </c>
      <c r="D540" s="5" t="s">
        <v>1594</v>
      </c>
      <c r="E540" s="5">
        <v>81</v>
      </c>
      <c r="F540" s="5">
        <v>55</v>
      </c>
      <c r="G540" s="5">
        <v>1126656</v>
      </c>
      <c r="H540" s="5">
        <f t="shared" si="24"/>
        <v>6.1522521564696349E-7</v>
      </c>
      <c r="I540" s="7">
        <f t="shared" si="25"/>
        <v>15950498179.150011</v>
      </c>
      <c r="J540" s="7">
        <f t="shared" si="26"/>
        <v>59.800468707825246</v>
      </c>
    </row>
    <row r="541" spans="2:10" x14ac:dyDescent="0.2">
      <c r="B541" s="5">
        <v>55137</v>
      </c>
      <c r="C541" s="7">
        <v>1.1737599999999999E-5</v>
      </c>
      <c r="D541" s="5" t="s">
        <v>1595</v>
      </c>
      <c r="E541" s="5">
        <v>82</v>
      </c>
      <c r="F541" s="5">
        <v>55</v>
      </c>
      <c r="G541" s="5">
        <v>949252608</v>
      </c>
      <c r="H541" s="5">
        <f t="shared" si="24"/>
        <v>7.3020308263398025E-10</v>
      </c>
      <c r="I541" s="7">
        <f t="shared" si="25"/>
        <v>92387731.852743566</v>
      </c>
      <c r="J541" s="7">
        <f t="shared" si="26"/>
        <v>90284564.790728584</v>
      </c>
    </row>
    <row r="542" spans="2:10" x14ac:dyDescent="0.2">
      <c r="B542" s="5">
        <v>55138</v>
      </c>
      <c r="C542" s="7">
        <v>1.4260800000000001E-5</v>
      </c>
      <c r="D542" s="5" t="s">
        <v>1596</v>
      </c>
      <c r="E542" s="5">
        <v>83</v>
      </c>
      <c r="F542" s="5">
        <v>55</v>
      </c>
      <c r="G542" s="5">
        <v>2004.6</v>
      </c>
      <c r="H542" s="5">
        <f t="shared" si="24"/>
        <v>3.4577830018953673E-4</v>
      </c>
      <c r="I542" s="7">
        <f t="shared" si="25"/>
        <v>177974784000</v>
      </c>
      <c r="J542" s="7">
        <f t="shared" si="26"/>
        <v>0</v>
      </c>
    </row>
    <row r="543" spans="2:10" x14ac:dyDescent="0.2">
      <c r="B543" s="5">
        <v>55139</v>
      </c>
      <c r="C543" s="7">
        <v>2.6011199999999999E-5</v>
      </c>
      <c r="D543" s="5" t="s">
        <v>1597</v>
      </c>
      <c r="E543" s="5">
        <v>84</v>
      </c>
      <c r="F543" s="5">
        <v>55</v>
      </c>
      <c r="G543" s="5">
        <v>556.19999999999902</v>
      </c>
      <c r="H543" s="5">
        <f t="shared" si="24"/>
        <v>1.2462193106075989E-3</v>
      </c>
      <c r="I543" s="7">
        <f t="shared" si="25"/>
        <v>324619776000</v>
      </c>
      <c r="J543" s="7">
        <f t="shared" si="26"/>
        <v>0</v>
      </c>
    </row>
    <row r="544" spans="2:10" x14ac:dyDescent="0.2">
      <c r="B544" s="5">
        <v>55140</v>
      </c>
      <c r="C544" s="7">
        <v>2.4516799999999999E-5</v>
      </c>
      <c r="D544" s="5" t="s">
        <v>1598</v>
      </c>
      <c r="E544" s="5">
        <v>85</v>
      </c>
      <c r="F544" s="5">
        <v>55</v>
      </c>
      <c r="G544" s="5">
        <v>63.7</v>
      </c>
      <c r="H544" s="5">
        <f t="shared" si="24"/>
        <v>1.0881431405964604E-2</v>
      </c>
      <c r="I544" s="7">
        <f t="shared" si="25"/>
        <v>305969664000</v>
      </c>
      <c r="J544" s="7">
        <f t="shared" si="26"/>
        <v>0</v>
      </c>
    </row>
    <row r="545" spans="2:10" x14ac:dyDescent="0.2">
      <c r="B545" s="5">
        <v>55141</v>
      </c>
      <c r="C545" s="7">
        <v>2.7565200000000002E-5</v>
      </c>
      <c r="D545" s="5" t="s">
        <v>1599</v>
      </c>
      <c r="E545" s="5">
        <v>86</v>
      </c>
      <c r="F545" s="5">
        <v>55</v>
      </c>
      <c r="G545" s="5">
        <v>24.84</v>
      </c>
      <c r="H545" s="5">
        <f t="shared" si="24"/>
        <v>2.7904475867952708E-2</v>
      </c>
      <c r="I545" s="7">
        <f t="shared" si="25"/>
        <v>344013696000</v>
      </c>
      <c r="J545" s="7">
        <f t="shared" si="26"/>
        <v>0</v>
      </c>
    </row>
    <row r="546" spans="2:10" x14ac:dyDescent="0.2">
      <c r="B546" s="5">
        <v>55142</v>
      </c>
      <c r="C546" s="7">
        <v>1.6966400000000001E-5</v>
      </c>
      <c r="D546" s="5" t="s">
        <v>1600</v>
      </c>
      <c r="E546" s="5">
        <v>87</v>
      </c>
      <c r="F546" s="5">
        <v>55</v>
      </c>
      <c r="G546" s="5">
        <v>1.6839999999999999</v>
      </c>
      <c r="H546" s="5">
        <f t="shared" si="24"/>
        <v>0.41160758940614328</v>
      </c>
      <c r="I546" s="7">
        <f t="shared" si="25"/>
        <v>211740672000</v>
      </c>
      <c r="J546" s="7">
        <f t="shared" si="26"/>
        <v>0</v>
      </c>
    </row>
    <row r="547" spans="2:10" x14ac:dyDescent="0.2">
      <c r="B547" s="5">
        <v>55143</v>
      </c>
      <c r="C547" s="7">
        <v>1.31636E-5</v>
      </c>
      <c r="D547" s="5" t="s">
        <v>1601</v>
      </c>
      <c r="E547" s="5">
        <v>88</v>
      </c>
      <c r="F547" s="5">
        <v>55</v>
      </c>
      <c r="G547" s="5">
        <v>1.7909999999999999</v>
      </c>
      <c r="H547" s="5">
        <f t="shared" si="24"/>
        <v>0.38701685123391699</v>
      </c>
      <c r="I547" s="7">
        <f t="shared" si="25"/>
        <v>164281728000</v>
      </c>
      <c r="J547" s="7">
        <f t="shared" si="26"/>
        <v>0</v>
      </c>
    </row>
    <row r="548" spans="2:10" x14ac:dyDescent="0.2">
      <c r="B548" s="5">
        <v>55144</v>
      </c>
      <c r="C548" s="7">
        <v>5.37823E-6</v>
      </c>
      <c r="D548" s="5" t="s">
        <v>1602</v>
      </c>
      <c r="E548" s="5">
        <v>89</v>
      </c>
      <c r="F548" s="5">
        <v>55</v>
      </c>
      <c r="G548" s="5">
        <v>0.99399999999999999</v>
      </c>
      <c r="H548" s="5">
        <f t="shared" si="24"/>
        <v>0.69733116756533731</v>
      </c>
      <c r="I548" s="7">
        <f t="shared" si="25"/>
        <v>67120310400</v>
      </c>
      <c r="J548" s="7">
        <f t="shared" si="26"/>
        <v>0</v>
      </c>
    </row>
    <row r="549" spans="2:10" x14ac:dyDescent="0.2">
      <c r="B549" s="5">
        <v>55145</v>
      </c>
      <c r="C549" s="7">
        <v>3.20947E-6</v>
      </c>
      <c r="D549" s="5" t="s">
        <v>1603</v>
      </c>
      <c r="E549" s="5">
        <v>90</v>
      </c>
      <c r="F549" s="5">
        <v>55</v>
      </c>
      <c r="G549" s="5">
        <v>0.58699999999999997</v>
      </c>
      <c r="H549" s="5">
        <f t="shared" si="24"/>
        <v>1.1808299498465848</v>
      </c>
      <c r="I549" s="7">
        <f t="shared" si="25"/>
        <v>40054185600</v>
      </c>
      <c r="J549" s="7">
        <f t="shared" si="26"/>
        <v>0</v>
      </c>
    </row>
    <row r="550" spans="2:10" x14ac:dyDescent="0.2">
      <c r="B550" s="5">
        <v>55146</v>
      </c>
      <c r="C550" s="7">
        <v>1.0418299999999999E-6</v>
      </c>
      <c r="D550" s="5" t="s">
        <v>1604</v>
      </c>
      <c r="E550" s="5">
        <v>91</v>
      </c>
      <c r="F550" s="5">
        <v>55</v>
      </c>
      <c r="G550" s="5">
        <v>0.32200000000000001</v>
      </c>
      <c r="H550" s="5">
        <f t="shared" si="24"/>
        <v>2.1526309955277805</v>
      </c>
      <c r="I550" s="7">
        <f t="shared" si="25"/>
        <v>13002038399.999998</v>
      </c>
      <c r="J550" s="7">
        <f t="shared" si="26"/>
        <v>0</v>
      </c>
    </row>
    <row r="551" spans="2:10" x14ac:dyDescent="0.2">
      <c r="B551" s="5">
        <v>55147</v>
      </c>
      <c r="C551" s="7">
        <v>4.52862E-7</v>
      </c>
      <c r="D551" s="5" t="s">
        <v>1605</v>
      </c>
      <c r="E551" s="5">
        <v>92</v>
      </c>
      <c r="F551" s="5">
        <v>55</v>
      </c>
      <c r="G551" s="5">
        <v>0.23</v>
      </c>
      <c r="H551" s="5">
        <f t="shared" si="24"/>
        <v>3.0136833937388925</v>
      </c>
      <c r="I551" s="7">
        <f t="shared" si="25"/>
        <v>5651717760</v>
      </c>
      <c r="J551" s="7">
        <f t="shared" si="26"/>
        <v>0</v>
      </c>
    </row>
    <row r="552" spans="2:10" x14ac:dyDescent="0.2">
      <c r="B552" s="5">
        <v>55148</v>
      </c>
      <c r="C552" s="7">
        <v>8.5853999999999996E-8</v>
      </c>
      <c r="D552" s="5" t="s">
        <v>1606</v>
      </c>
      <c r="E552" s="5">
        <v>93</v>
      </c>
      <c r="F552" s="5">
        <v>55</v>
      </c>
      <c r="G552" s="5">
        <v>0.14599999999999999</v>
      </c>
      <c r="H552" s="5">
        <f t="shared" si="24"/>
        <v>4.747583428492776</v>
      </c>
      <c r="I552" s="7">
        <f t="shared" si="25"/>
        <v>1071457920</v>
      </c>
      <c r="J552" s="7">
        <f t="shared" si="26"/>
        <v>0</v>
      </c>
    </row>
    <row r="553" spans="2:10" x14ac:dyDescent="0.2">
      <c r="B553" s="5">
        <v>56117</v>
      </c>
      <c r="C553" s="7">
        <v>2.5895800000000002E-8</v>
      </c>
      <c r="D553" s="5" t="s">
        <v>1613</v>
      </c>
      <c r="E553" s="5">
        <v>61</v>
      </c>
      <c r="F553" s="5">
        <v>56</v>
      </c>
      <c r="G553" s="5">
        <v>1.75</v>
      </c>
      <c r="H553" s="5">
        <f t="shared" si="24"/>
        <v>0.39608410317711157</v>
      </c>
      <c r="I553" s="7">
        <f t="shared" si="25"/>
        <v>323179584</v>
      </c>
      <c r="J553" s="7">
        <f t="shared" si="26"/>
        <v>0</v>
      </c>
    </row>
    <row r="554" spans="2:10" x14ac:dyDescent="0.2">
      <c r="B554" s="5">
        <v>56118</v>
      </c>
      <c r="C554" s="7">
        <v>4.1182000000000001E-9</v>
      </c>
      <c r="D554" s="5" t="s">
        <v>1614</v>
      </c>
      <c r="E554" s="5">
        <v>62</v>
      </c>
      <c r="F554" s="5">
        <v>56</v>
      </c>
      <c r="G554" s="5">
        <v>5.5</v>
      </c>
      <c r="H554" s="5">
        <f t="shared" si="24"/>
        <v>0.12602676010180824</v>
      </c>
      <c r="I554" s="7">
        <f t="shared" si="25"/>
        <v>51395136</v>
      </c>
      <c r="J554" s="7">
        <f t="shared" si="26"/>
        <v>0</v>
      </c>
    </row>
    <row r="555" spans="2:10" x14ac:dyDescent="0.2">
      <c r="B555" s="5">
        <v>56119</v>
      </c>
      <c r="C555" s="7">
        <v>1.1167999999999999E-9</v>
      </c>
      <c r="D555" s="5" t="s">
        <v>1615</v>
      </c>
      <c r="E555" s="5">
        <v>63</v>
      </c>
      <c r="F555" s="5">
        <v>56</v>
      </c>
      <c r="G555" s="5">
        <v>5.4</v>
      </c>
      <c r="H555" s="5">
        <f t="shared" si="24"/>
        <v>0.12836058899258246</v>
      </c>
      <c r="I555" s="7">
        <f t="shared" si="25"/>
        <v>13937663.999999998</v>
      </c>
      <c r="J555" s="7">
        <f t="shared" si="26"/>
        <v>0</v>
      </c>
    </row>
    <row r="556" spans="2:10" x14ac:dyDescent="0.2">
      <c r="B556" s="5">
        <v>56133</v>
      </c>
      <c r="C556" s="7">
        <v>6.9799999999999994E-11</v>
      </c>
      <c r="D556" s="5" t="s">
        <v>1629</v>
      </c>
      <c r="E556" s="5">
        <v>77</v>
      </c>
      <c r="F556" s="5">
        <v>56</v>
      </c>
      <c r="G556" s="5">
        <v>332964237.60000002</v>
      </c>
      <c r="H556" s="5">
        <f t="shared" si="24"/>
        <v>2.0817466330802885E-9</v>
      </c>
      <c r="I556" s="7">
        <f t="shared" si="25"/>
        <v>1565.3848003396699</v>
      </c>
      <c r="J556" s="7">
        <f t="shared" si="26"/>
        <v>1465.9180635841492</v>
      </c>
    </row>
    <row r="557" spans="2:10" x14ac:dyDescent="0.2">
      <c r="B557" s="5">
        <v>56139</v>
      </c>
      <c r="C557" s="7">
        <v>4.9483300000000001E-6</v>
      </c>
      <c r="D557" s="5" t="s">
        <v>1635</v>
      </c>
      <c r="E557" s="5">
        <v>83</v>
      </c>
      <c r="F557" s="5">
        <v>56</v>
      </c>
      <c r="G557" s="5">
        <v>4983.6000000000004</v>
      </c>
      <c r="H557" s="5">
        <f t="shared" si="24"/>
        <v>1.3908563700135349E-4</v>
      </c>
      <c r="I557" s="7">
        <f t="shared" si="25"/>
        <v>61755158400</v>
      </c>
      <c r="J557" s="7">
        <f t="shared" si="26"/>
        <v>0</v>
      </c>
    </row>
    <row r="558" spans="2:10" x14ac:dyDescent="0.2">
      <c r="B558" s="5">
        <v>56140</v>
      </c>
      <c r="C558" s="7">
        <v>1.1966E-5</v>
      </c>
      <c r="D558" s="5" t="s">
        <v>1636</v>
      </c>
      <c r="E558" s="5">
        <v>84</v>
      </c>
      <c r="F558" s="5">
        <v>56</v>
      </c>
      <c r="G558" s="5">
        <v>1101833.28</v>
      </c>
      <c r="H558" s="5">
        <f t="shared" si="24"/>
        <v>6.2908535541778636E-7</v>
      </c>
      <c r="I558" s="7">
        <f t="shared" si="25"/>
        <v>62617208588.102982</v>
      </c>
      <c r="J558" s="7">
        <f t="shared" si="26"/>
        <v>151.6340733794116</v>
      </c>
    </row>
    <row r="559" spans="2:10" x14ac:dyDescent="0.2">
      <c r="B559" s="5">
        <v>56141</v>
      </c>
      <c r="C559" s="7">
        <v>1.4184499999999999E-5</v>
      </c>
      <c r="D559" s="5" t="s">
        <v>1637</v>
      </c>
      <c r="E559" s="5">
        <v>85</v>
      </c>
      <c r="F559" s="5">
        <v>56</v>
      </c>
      <c r="G559" s="5">
        <v>1096.2</v>
      </c>
      <c r="H559" s="5">
        <f t="shared" si="24"/>
        <v>6.3231817237725352E-4</v>
      </c>
      <c r="I559" s="7">
        <f t="shared" si="25"/>
        <v>177022560000</v>
      </c>
      <c r="J559" s="7">
        <f t="shared" si="26"/>
        <v>0</v>
      </c>
    </row>
    <row r="560" spans="2:10" x14ac:dyDescent="0.2">
      <c r="B560" s="5">
        <v>56142</v>
      </c>
      <c r="C560" s="7">
        <v>2.3874199999999999E-5</v>
      </c>
      <c r="D560" s="5" t="s">
        <v>1638</v>
      </c>
      <c r="E560" s="5">
        <v>86</v>
      </c>
      <c r="F560" s="5">
        <v>56</v>
      </c>
      <c r="G560" s="5">
        <v>636</v>
      </c>
      <c r="H560" s="5">
        <f t="shared" si="24"/>
        <v>1.0898540574841907E-3</v>
      </c>
      <c r="I560" s="7">
        <f t="shared" si="25"/>
        <v>297950016000</v>
      </c>
      <c r="J560" s="7">
        <f t="shared" si="26"/>
        <v>0</v>
      </c>
    </row>
    <row r="561" spans="2:10" x14ac:dyDescent="0.2">
      <c r="B561" s="5">
        <v>56143</v>
      </c>
      <c r="C561" s="7">
        <v>1.8289999999999999E-5</v>
      </c>
      <c r="D561" s="5" t="s">
        <v>1639</v>
      </c>
      <c r="E561" s="5">
        <v>87</v>
      </c>
      <c r="F561" s="5">
        <v>56</v>
      </c>
      <c r="G561" s="5">
        <v>14.5</v>
      </c>
      <c r="H561" s="5">
        <f t="shared" si="24"/>
        <v>4.7803253831720363E-2</v>
      </c>
      <c r="I561" s="7">
        <f t="shared" si="25"/>
        <v>228259200000</v>
      </c>
      <c r="J561" s="7">
        <f t="shared" si="26"/>
        <v>0</v>
      </c>
    </row>
    <row r="562" spans="2:10" x14ac:dyDescent="0.2">
      <c r="B562" s="5">
        <v>56144</v>
      </c>
      <c r="C562" s="7">
        <v>2.0009399999999999E-5</v>
      </c>
      <c r="D562" s="5" t="s">
        <v>1640</v>
      </c>
      <c r="E562" s="5">
        <v>88</v>
      </c>
      <c r="F562" s="5">
        <v>56</v>
      </c>
      <c r="G562" s="5">
        <v>11.5</v>
      </c>
      <c r="H562" s="5">
        <f t="shared" si="24"/>
        <v>6.027366787477785E-2</v>
      </c>
      <c r="I562" s="7">
        <f t="shared" si="25"/>
        <v>249717311999.99997</v>
      </c>
      <c r="J562" s="7">
        <f t="shared" si="26"/>
        <v>0</v>
      </c>
    </row>
    <row r="563" spans="2:10" x14ac:dyDescent="0.2">
      <c r="B563" s="5">
        <v>56145</v>
      </c>
      <c r="C563" s="7">
        <v>1.04223E-5</v>
      </c>
      <c r="D563" s="5" t="s">
        <v>1641</v>
      </c>
      <c r="E563" s="5">
        <v>89</v>
      </c>
      <c r="F563" s="5">
        <v>56</v>
      </c>
      <c r="G563" s="5">
        <v>4.3099999999999996</v>
      </c>
      <c r="H563" s="5">
        <f t="shared" si="24"/>
        <v>0.16082301173084579</v>
      </c>
      <c r="I563" s="7">
        <f t="shared" si="25"/>
        <v>130070304000</v>
      </c>
      <c r="J563" s="7">
        <f t="shared" si="26"/>
        <v>0</v>
      </c>
    </row>
    <row r="564" spans="2:10" x14ac:dyDescent="0.2">
      <c r="B564" s="5">
        <v>56146</v>
      </c>
      <c r="C564" s="7">
        <v>6.8142900000000003E-6</v>
      </c>
      <c r="D564" s="5" t="s">
        <v>1642</v>
      </c>
      <c r="E564" s="5">
        <v>90</v>
      </c>
      <c r="F564" s="5">
        <v>56</v>
      </c>
      <c r="G564" s="5">
        <v>2.2200000000000002</v>
      </c>
      <c r="H564" s="5">
        <f t="shared" si="24"/>
        <v>0.31222845971168706</v>
      </c>
      <c r="I564" s="7">
        <f t="shared" si="25"/>
        <v>85042339200</v>
      </c>
      <c r="J564" s="7">
        <f t="shared" si="26"/>
        <v>0</v>
      </c>
    </row>
    <row r="565" spans="2:10" x14ac:dyDescent="0.2">
      <c r="B565" s="5">
        <v>56147</v>
      </c>
      <c r="C565" s="7">
        <v>3.00196E-6</v>
      </c>
      <c r="D565" s="5" t="s">
        <v>1643</v>
      </c>
      <c r="E565" s="5">
        <v>91</v>
      </c>
      <c r="F565" s="5">
        <v>56</v>
      </c>
      <c r="G565" s="5">
        <v>0.89400000000000002</v>
      </c>
      <c r="H565" s="5">
        <f t="shared" si="24"/>
        <v>0.77533241673371955</v>
      </c>
      <c r="I565" s="7">
        <f t="shared" si="25"/>
        <v>37464460800</v>
      </c>
      <c r="J565" s="7">
        <f t="shared" si="26"/>
        <v>0</v>
      </c>
    </row>
    <row r="566" spans="2:10" x14ac:dyDescent="0.2">
      <c r="B566" s="5">
        <v>56148</v>
      </c>
      <c r="C566" s="7">
        <v>1.4886199999999999E-6</v>
      </c>
      <c r="D566" s="5" t="s">
        <v>1644</v>
      </c>
      <c r="E566" s="5">
        <v>92</v>
      </c>
      <c r="F566" s="5">
        <v>56</v>
      </c>
      <c r="G566" s="5">
        <v>0.61199999999999999</v>
      </c>
      <c r="H566" s="5">
        <f t="shared" si="24"/>
        <v>1.1325934322874924</v>
      </c>
      <c r="I566" s="7">
        <f t="shared" si="25"/>
        <v>18577977600</v>
      </c>
      <c r="J566" s="7">
        <f t="shared" si="26"/>
        <v>0</v>
      </c>
    </row>
    <row r="567" spans="2:10" x14ac:dyDescent="0.2">
      <c r="B567" s="5">
        <v>57123</v>
      </c>
      <c r="C567" s="7">
        <v>3.3413300000000002E-7</v>
      </c>
      <c r="D567" s="5" t="s">
        <v>1653</v>
      </c>
      <c r="E567" s="5">
        <v>66</v>
      </c>
      <c r="F567" s="5">
        <v>57</v>
      </c>
      <c r="G567" s="5">
        <v>17</v>
      </c>
      <c r="H567" s="5">
        <f t="shared" si="24"/>
        <v>4.0773363562349722E-2</v>
      </c>
      <c r="I567" s="7">
        <f t="shared" si="25"/>
        <v>4169979840</v>
      </c>
      <c r="J567" s="7">
        <f t="shared" si="26"/>
        <v>0</v>
      </c>
    </row>
    <row r="568" spans="2:10" x14ac:dyDescent="0.2">
      <c r="B568" s="5">
        <v>57124</v>
      </c>
      <c r="C568" s="7">
        <v>1.5020999999999999E-7</v>
      </c>
      <c r="D568" s="5" t="s">
        <v>1654</v>
      </c>
      <c r="E568" s="5">
        <v>67</v>
      </c>
      <c r="F568" s="5">
        <v>57</v>
      </c>
      <c r="G568" s="5">
        <v>29.21</v>
      </c>
      <c r="H568" s="5">
        <f t="shared" si="24"/>
        <v>2.3729790501881044E-2</v>
      </c>
      <c r="I568" s="7">
        <f t="shared" si="25"/>
        <v>1874620800</v>
      </c>
      <c r="J568" s="7">
        <f t="shared" si="26"/>
        <v>0</v>
      </c>
    </row>
    <row r="569" spans="2:10" x14ac:dyDescent="0.2">
      <c r="B569" s="5">
        <v>57125</v>
      </c>
      <c r="C569" s="7">
        <v>2.4220600000000001E-8</v>
      </c>
      <c r="D569" s="5" t="s">
        <v>1655</v>
      </c>
      <c r="E569" s="5">
        <v>68</v>
      </c>
      <c r="F569" s="5">
        <v>57</v>
      </c>
      <c r="G569" s="5">
        <v>64.8</v>
      </c>
      <c r="H569" s="5">
        <f t="shared" si="24"/>
        <v>1.0696715749381872E-2</v>
      </c>
      <c r="I569" s="7">
        <f t="shared" si="25"/>
        <v>302273088</v>
      </c>
      <c r="J569" s="7">
        <f t="shared" si="26"/>
        <v>0</v>
      </c>
    </row>
    <row r="570" spans="2:10" x14ac:dyDescent="0.2">
      <c r="B570" s="5">
        <v>57126</v>
      </c>
      <c r="C570" s="7">
        <v>7.6779999999999993E-9</v>
      </c>
      <c r="D570" s="5" t="s">
        <v>1656</v>
      </c>
      <c r="E570" s="5">
        <v>69</v>
      </c>
      <c r="F570" s="5">
        <v>57</v>
      </c>
      <c r="G570" s="5">
        <v>54</v>
      </c>
      <c r="H570" s="5">
        <f t="shared" si="24"/>
        <v>1.2836058899258247E-2</v>
      </c>
      <c r="I570" s="7">
        <f t="shared" si="25"/>
        <v>95821439.999999985</v>
      </c>
      <c r="J570" s="7">
        <f t="shared" si="26"/>
        <v>0</v>
      </c>
    </row>
    <row r="571" spans="2:10" x14ac:dyDescent="0.2">
      <c r="B571" s="5">
        <v>57127</v>
      </c>
      <c r="C571" s="7">
        <v>9.0739999999999999E-10</v>
      </c>
      <c r="D571" s="5" t="s">
        <v>1657</v>
      </c>
      <c r="E571" s="5">
        <v>70</v>
      </c>
      <c r="F571" s="5">
        <v>57</v>
      </c>
      <c r="G571" s="5">
        <v>306</v>
      </c>
      <c r="H571" s="5">
        <f t="shared" si="24"/>
        <v>2.2651868645749847E-3</v>
      </c>
      <c r="I571" s="7">
        <f t="shared" si="25"/>
        <v>11324352</v>
      </c>
      <c r="J571" s="7">
        <f t="shared" si="26"/>
        <v>0</v>
      </c>
    </row>
    <row r="572" spans="2:10" x14ac:dyDescent="0.2">
      <c r="B572" s="5">
        <v>57128</v>
      </c>
      <c r="C572" s="7">
        <v>1.3959999999999999E-10</v>
      </c>
      <c r="D572" s="5" t="s">
        <v>1658</v>
      </c>
      <c r="E572" s="5">
        <v>71</v>
      </c>
      <c r="F572" s="5">
        <v>57</v>
      </c>
      <c r="G572" s="5">
        <v>310.79999999999899</v>
      </c>
      <c r="H572" s="5">
        <f t="shared" si="24"/>
        <v>2.2302032836549147E-3</v>
      </c>
      <c r="I572" s="7">
        <f t="shared" si="25"/>
        <v>1742207.9999999998</v>
      </c>
      <c r="J572" s="7">
        <f t="shared" si="26"/>
        <v>0</v>
      </c>
    </row>
    <row r="573" spans="2:10" x14ac:dyDescent="0.2">
      <c r="B573" s="5">
        <v>57136</v>
      </c>
      <c r="C573" s="7">
        <v>4.1879999999999999E-10</v>
      </c>
      <c r="D573" s="5" t="s">
        <v>1666</v>
      </c>
      <c r="E573" s="5">
        <v>79</v>
      </c>
      <c r="F573" s="5">
        <v>57</v>
      </c>
      <c r="G573" s="5">
        <v>592.19999999999902</v>
      </c>
      <c r="H573" s="5">
        <f t="shared" si="24"/>
        <v>1.1704612978047052E-3</v>
      </c>
      <c r="I573" s="7">
        <f t="shared" si="25"/>
        <v>5226624</v>
      </c>
      <c r="J573" s="7">
        <f t="shared" si="26"/>
        <v>0</v>
      </c>
    </row>
    <row r="574" spans="2:10" x14ac:dyDescent="0.2">
      <c r="B574" s="5">
        <v>57137</v>
      </c>
      <c r="C574" s="7">
        <v>3.2108000000000001E-9</v>
      </c>
      <c r="D574" s="5" t="s">
        <v>1667</v>
      </c>
      <c r="E574" s="5">
        <v>80</v>
      </c>
      <c r="F574" s="5">
        <v>57</v>
      </c>
      <c r="G574" s="5">
        <v>1893456000000</v>
      </c>
      <c r="H574" s="5">
        <f t="shared" si="24"/>
        <v>3.6607514542716879E-13</v>
      </c>
      <c r="I574" s="7">
        <f t="shared" si="25"/>
        <v>12.673943217606976</v>
      </c>
      <c r="J574" s="7">
        <f t="shared" si="26"/>
        <v>12.673796903533775</v>
      </c>
    </row>
    <row r="575" spans="2:10" x14ac:dyDescent="0.2">
      <c r="B575" s="5">
        <v>57138</v>
      </c>
      <c r="C575" s="7">
        <v>2.1428600000000001E-8</v>
      </c>
      <c r="D575" s="5" t="s">
        <v>1668</v>
      </c>
      <c r="E575" s="5">
        <v>81</v>
      </c>
      <c r="F575" s="5">
        <v>57</v>
      </c>
      <c r="G575" s="5">
        <v>3.2188752E+18</v>
      </c>
      <c r="H575" s="5">
        <f t="shared" si="24"/>
        <v>2.1533832083951104E-19</v>
      </c>
      <c r="I575" s="7">
        <f t="shared" si="25"/>
        <v>4.9761404255832531E-5</v>
      </c>
      <c r="J575" s="7">
        <f t="shared" si="26"/>
        <v>4.9761404255494605E-5</v>
      </c>
    </row>
    <row r="576" spans="2:10" x14ac:dyDescent="0.2">
      <c r="B576" s="5">
        <v>57140</v>
      </c>
      <c r="C576" s="7">
        <v>5.8625E-7</v>
      </c>
      <c r="D576" s="5" t="s">
        <v>1670</v>
      </c>
      <c r="E576" s="5">
        <v>83</v>
      </c>
      <c r="F576" s="5">
        <v>57</v>
      </c>
      <c r="G576" s="5">
        <v>145026.72</v>
      </c>
      <c r="H576" s="5">
        <f t="shared" si="24"/>
        <v>4.77944464688952E-6</v>
      </c>
      <c r="I576" s="7">
        <f t="shared" si="25"/>
        <v>7198665333.0079918</v>
      </c>
      <c r="J576" s="7">
        <f t="shared" si="26"/>
        <v>2.5026753476118768E-56</v>
      </c>
    </row>
    <row r="577" spans="2:10" x14ac:dyDescent="0.2">
      <c r="B577" s="5">
        <v>57141</v>
      </c>
      <c r="C577" s="7">
        <v>2.1732900000000002E-6</v>
      </c>
      <c r="D577" s="5" t="s">
        <v>1671</v>
      </c>
      <c r="E577" s="5">
        <v>84</v>
      </c>
      <c r="F577" s="5">
        <v>57</v>
      </c>
      <c r="G577" s="5">
        <v>14112</v>
      </c>
      <c r="H577" s="5">
        <f t="shared" si="24"/>
        <v>4.9117572318590229E-5</v>
      </c>
      <c r="I577" s="7">
        <f t="shared" si="25"/>
        <v>27122659200.000004</v>
      </c>
      <c r="J577" s="7">
        <f t="shared" si="26"/>
        <v>0</v>
      </c>
    </row>
    <row r="578" spans="2:10" x14ac:dyDescent="0.2">
      <c r="B578" s="5">
        <v>57142</v>
      </c>
      <c r="C578" s="7">
        <v>4.0859500000000002E-6</v>
      </c>
      <c r="D578" s="5" t="s">
        <v>1672</v>
      </c>
      <c r="E578" s="5">
        <v>85</v>
      </c>
      <c r="F578" s="5">
        <v>57</v>
      </c>
      <c r="G578" s="5">
        <v>5466</v>
      </c>
      <c r="H578" s="5">
        <f t="shared" si="24"/>
        <v>1.2681068067324283E-4</v>
      </c>
      <c r="I578" s="7">
        <f t="shared" si="25"/>
        <v>50992656000</v>
      </c>
      <c r="J578" s="7">
        <f t="shared" si="26"/>
        <v>0</v>
      </c>
    </row>
    <row r="579" spans="2:10" x14ac:dyDescent="0.2">
      <c r="B579" s="5">
        <v>57143</v>
      </c>
      <c r="C579" s="7">
        <v>9.0913099999999995E-6</v>
      </c>
      <c r="D579" s="5" t="s">
        <v>1673</v>
      </c>
      <c r="E579" s="5">
        <v>86</v>
      </c>
      <c r="F579" s="5">
        <v>57</v>
      </c>
      <c r="G579" s="5">
        <v>852</v>
      </c>
      <c r="H579" s="5">
        <f t="shared" si="24"/>
        <v>8.1355302882622684E-4</v>
      </c>
      <c r="I579" s="7">
        <f t="shared" si="25"/>
        <v>113459548800</v>
      </c>
      <c r="J579" s="7">
        <f t="shared" si="26"/>
        <v>0</v>
      </c>
    </row>
    <row r="580" spans="2:10" x14ac:dyDescent="0.2">
      <c r="B580" s="5">
        <v>57144</v>
      </c>
      <c r="C580" s="7">
        <v>1.13531E-5</v>
      </c>
      <c r="D580" s="5" t="s">
        <v>1674</v>
      </c>
      <c r="E580" s="5">
        <v>87</v>
      </c>
      <c r="F580" s="5">
        <v>57</v>
      </c>
      <c r="G580" s="5">
        <v>40.799999999999997</v>
      </c>
      <c r="H580" s="5">
        <f t="shared" ref="H580:H643" si="27">LN(2)/G580</f>
        <v>1.6988901484312386E-2</v>
      </c>
      <c r="I580" s="7">
        <f t="shared" ref="I580:I643" si="28">2*6240000000000000*C580*(1-EXP(-H580*10*24*3600))</f>
        <v>141686688000</v>
      </c>
      <c r="J580" s="7">
        <f t="shared" ref="J580:J643" si="29">EXP(-H580*365*24*3600)*I580</f>
        <v>0</v>
      </c>
    </row>
    <row r="581" spans="2:10" x14ac:dyDescent="0.2">
      <c r="B581" s="5">
        <v>57145</v>
      </c>
      <c r="C581" s="7">
        <v>1.72596E-5</v>
      </c>
      <c r="D581" s="5" t="s">
        <v>1675</v>
      </c>
      <c r="E581" s="5">
        <v>88</v>
      </c>
      <c r="F581" s="5">
        <v>57</v>
      </c>
      <c r="G581" s="5">
        <v>24.8</v>
      </c>
      <c r="H581" s="5">
        <f t="shared" si="27"/>
        <v>2.7949483087094568E-2</v>
      </c>
      <c r="I581" s="7">
        <f t="shared" si="28"/>
        <v>215399808000</v>
      </c>
      <c r="J581" s="7">
        <f t="shared" si="29"/>
        <v>0</v>
      </c>
    </row>
    <row r="582" spans="2:10" x14ac:dyDescent="0.2">
      <c r="B582" s="5">
        <v>57146</v>
      </c>
      <c r="C582" s="7">
        <v>1.2153200000000001E-5</v>
      </c>
      <c r="D582" s="5" t="s">
        <v>1676</v>
      </c>
      <c r="E582" s="5">
        <v>89</v>
      </c>
      <c r="F582" s="5">
        <v>57</v>
      </c>
      <c r="G582" s="5">
        <v>6.27</v>
      </c>
      <c r="H582" s="5">
        <f t="shared" si="27"/>
        <v>0.11054978956298969</v>
      </c>
      <c r="I582" s="7">
        <f t="shared" si="28"/>
        <v>151671936000</v>
      </c>
      <c r="J582" s="7">
        <f t="shared" si="29"/>
        <v>0</v>
      </c>
    </row>
    <row r="583" spans="2:10" x14ac:dyDescent="0.2">
      <c r="B583" s="5">
        <v>57147</v>
      </c>
      <c r="C583" s="7">
        <v>1.2774E-5</v>
      </c>
      <c r="D583" s="5" t="s">
        <v>1677</v>
      </c>
      <c r="E583" s="5">
        <v>90</v>
      </c>
      <c r="F583" s="5">
        <v>57</v>
      </c>
      <c r="G583" s="5">
        <v>4.0599999999999996</v>
      </c>
      <c r="H583" s="5">
        <f t="shared" si="27"/>
        <v>0.17072590654185846</v>
      </c>
      <c r="I583" s="7">
        <f t="shared" si="28"/>
        <v>159419520000</v>
      </c>
      <c r="J583" s="7">
        <f t="shared" si="29"/>
        <v>0</v>
      </c>
    </row>
    <row r="584" spans="2:10" x14ac:dyDescent="0.2">
      <c r="B584" s="5">
        <v>57148</v>
      </c>
      <c r="C584" s="7">
        <v>5.8163599999999997E-6</v>
      </c>
      <c r="D584" s="5" t="s">
        <v>1678</v>
      </c>
      <c r="E584" s="5">
        <v>91</v>
      </c>
      <c r="F584" s="5">
        <v>57</v>
      </c>
      <c r="G584" s="5">
        <v>1.26</v>
      </c>
      <c r="H584" s="5">
        <f t="shared" si="27"/>
        <v>0.55011680996821055</v>
      </c>
      <c r="I584" s="7">
        <f t="shared" si="28"/>
        <v>72588172800</v>
      </c>
      <c r="J584" s="7">
        <f t="shared" si="29"/>
        <v>0</v>
      </c>
    </row>
    <row r="585" spans="2:10" x14ac:dyDescent="0.2">
      <c r="B585" s="5">
        <v>57149</v>
      </c>
      <c r="C585" s="7">
        <v>4.5715500000000003E-6</v>
      </c>
      <c r="D585" s="5" t="s">
        <v>1679</v>
      </c>
      <c r="E585" s="5">
        <v>92</v>
      </c>
      <c r="F585" s="5">
        <v>57</v>
      </c>
      <c r="G585" s="5">
        <v>1.05</v>
      </c>
      <c r="H585" s="5">
        <f t="shared" si="27"/>
        <v>0.6601401719618526</v>
      </c>
      <c r="I585" s="7">
        <f t="shared" si="28"/>
        <v>57052944000</v>
      </c>
      <c r="J585" s="7">
        <f t="shared" si="29"/>
        <v>0</v>
      </c>
    </row>
    <row r="586" spans="2:10" x14ac:dyDescent="0.2">
      <c r="B586" s="5">
        <v>58124</v>
      </c>
      <c r="C586" s="7">
        <v>1.6613099999999999E-6</v>
      </c>
      <c r="D586" s="5" t="s">
        <v>1686</v>
      </c>
      <c r="E586" s="5">
        <v>66</v>
      </c>
      <c r="F586" s="5">
        <v>58</v>
      </c>
      <c r="G586" s="5">
        <v>6</v>
      </c>
      <c r="H586" s="5">
        <f t="shared" si="27"/>
        <v>0.11552453009332421</v>
      </c>
      <c r="I586" s="7">
        <f t="shared" si="28"/>
        <v>20733148800</v>
      </c>
      <c r="J586" s="7">
        <f t="shared" si="29"/>
        <v>0</v>
      </c>
    </row>
    <row r="587" spans="2:10" x14ac:dyDescent="0.2">
      <c r="B587" s="5">
        <v>58125</v>
      </c>
      <c r="C587" s="7">
        <v>7.0728300000000005E-7</v>
      </c>
      <c r="D587" s="5" t="s">
        <v>1687</v>
      </c>
      <c r="E587" s="5">
        <v>67</v>
      </c>
      <c r="F587" s="5">
        <v>58</v>
      </c>
      <c r="G587" s="5">
        <v>9.6999999999999993</v>
      </c>
      <c r="H587" s="5">
        <f t="shared" si="27"/>
        <v>7.1458472222674776E-2</v>
      </c>
      <c r="I587" s="7">
        <f t="shared" si="28"/>
        <v>8826891840</v>
      </c>
      <c r="J587" s="7">
        <f t="shared" si="29"/>
        <v>0</v>
      </c>
    </row>
    <row r="588" spans="2:10" x14ac:dyDescent="0.2">
      <c r="B588" s="5">
        <v>58126</v>
      </c>
      <c r="C588" s="7">
        <v>1.54467E-7</v>
      </c>
      <c r="D588" s="5" t="s">
        <v>1688</v>
      </c>
      <c r="E588" s="5">
        <v>68</v>
      </c>
      <c r="F588" s="5">
        <v>58</v>
      </c>
      <c r="G588" s="5">
        <v>51</v>
      </c>
      <c r="H588" s="5">
        <f t="shared" si="27"/>
        <v>1.3591121187449907E-2</v>
      </c>
      <c r="I588" s="7">
        <f t="shared" si="28"/>
        <v>1927748160</v>
      </c>
      <c r="J588" s="7">
        <f t="shared" si="29"/>
        <v>0</v>
      </c>
    </row>
    <row r="589" spans="2:10" x14ac:dyDescent="0.2">
      <c r="B589" s="5">
        <v>58127</v>
      </c>
      <c r="C589" s="7">
        <v>6.0865600000000002E-8</v>
      </c>
      <c r="D589" s="5" t="s">
        <v>1689</v>
      </c>
      <c r="E589" s="5">
        <v>69</v>
      </c>
      <c r="F589" s="5">
        <v>58</v>
      </c>
      <c r="G589" s="5">
        <v>34</v>
      </c>
      <c r="H589" s="5">
        <f t="shared" si="27"/>
        <v>2.0386681781174861E-2</v>
      </c>
      <c r="I589" s="7">
        <f t="shared" si="28"/>
        <v>759602688</v>
      </c>
      <c r="J589" s="7">
        <f t="shared" si="29"/>
        <v>0</v>
      </c>
    </row>
    <row r="590" spans="2:10" x14ac:dyDescent="0.2">
      <c r="B590" s="5">
        <v>58128</v>
      </c>
      <c r="C590" s="7">
        <v>8.8646000000000002E-9</v>
      </c>
      <c r="D590" s="5" t="s">
        <v>1690</v>
      </c>
      <c r="E590" s="5">
        <v>70</v>
      </c>
      <c r="F590" s="5">
        <v>58</v>
      </c>
      <c r="G590" s="5">
        <v>235.8</v>
      </c>
      <c r="H590" s="5">
        <f t="shared" si="27"/>
        <v>2.9395554731125751E-3</v>
      </c>
      <c r="I590" s="7">
        <f t="shared" si="28"/>
        <v>110630208</v>
      </c>
      <c r="J590" s="7">
        <f t="shared" si="29"/>
        <v>0</v>
      </c>
    </row>
    <row r="591" spans="2:10" x14ac:dyDescent="0.2">
      <c r="B591" s="5">
        <v>58129</v>
      </c>
      <c r="C591" s="7">
        <v>2.7222E-9</v>
      </c>
      <c r="D591" s="5" t="s">
        <v>1691</v>
      </c>
      <c r="E591" s="5">
        <v>71</v>
      </c>
      <c r="F591" s="5">
        <v>58</v>
      </c>
      <c r="G591" s="5">
        <v>210</v>
      </c>
      <c r="H591" s="5">
        <f t="shared" si="27"/>
        <v>3.3007008598092634E-3</v>
      </c>
      <c r="I591" s="7">
        <f t="shared" si="28"/>
        <v>33973056</v>
      </c>
      <c r="J591" s="7">
        <f t="shared" si="29"/>
        <v>0</v>
      </c>
    </row>
    <row r="592" spans="2:10" x14ac:dyDescent="0.2">
      <c r="B592" s="5">
        <v>58130</v>
      </c>
      <c r="C592" s="7">
        <v>6.9799999999999994E-11</v>
      </c>
      <c r="D592" s="5" t="s">
        <v>1692</v>
      </c>
      <c r="E592" s="5">
        <v>72</v>
      </c>
      <c r="F592" s="5">
        <v>58</v>
      </c>
      <c r="G592" s="5">
        <v>1374</v>
      </c>
      <c r="H592" s="5">
        <f t="shared" si="27"/>
        <v>5.0447393053853367E-4</v>
      </c>
      <c r="I592" s="7">
        <f t="shared" si="28"/>
        <v>871103.99999999988</v>
      </c>
      <c r="J592" s="7">
        <f t="shared" si="29"/>
        <v>0</v>
      </c>
    </row>
    <row r="593" spans="2:10" x14ac:dyDescent="0.2">
      <c r="B593" s="5">
        <v>58139</v>
      </c>
      <c r="C593" s="7">
        <v>4.8860000000000005E-10</v>
      </c>
      <c r="D593" s="5" t="s">
        <v>1701</v>
      </c>
      <c r="E593" s="5">
        <v>81</v>
      </c>
      <c r="F593" s="5">
        <v>58</v>
      </c>
      <c r="G593" s="5">
        <v>11892182.3999999</v>
      </c>
      <c r="H593" s="5">
        <f t="shared" si="27"/>
        <v>5.8285952674250198E-8</v>
      </c>
      <c r="I593" s="7">
        <f t="shared" si="28"/>
        <v>299472.01744561933</v>
      </c>
      <c r="J593" s="7">
        <f t="shared" si="29"/>
        <v>47651.550968688083</v>
      </c>
    </row>
    <row r="594" spans="2:10" x14ac:dyDescent="0.2">
      <c r="B594" s="5">
        <v>58141</v>
      </c>
      <c r="C594" s="7">
        <v>4.7464000000000001E-8</v>
      </c>
      <c r="D594" s="5" t="s">
        <v>1703</v>
      </c>
      <c r="E594" s="5">
        <v>83</v>
      </c>
      <c r="F594" s="5">
        <v>58</v>
      </c>
      <c r="G594" s="5">
        <v>2808950.4</v>
      </c>
      <c r="H594" s="5">
        <f t="shared" si="27"/>
        <v>2.4676376648015759E-7</v>
      </c>
      <c r="I594" s="7">
        <f t="shared" si="28"/>
        <v>113736446.88967426</v>
      </c>
      <c r="J594" s="7">
        <f t="shared" si="29"/>
        <v>47450.973528239381</v>
      </c>
    </row>
    <row r="595" spans="2:10" x14ac:dyDescent="0.2">
      <c r="B595" s="5">
        <v>58142</v>
      </c>
      <c r="C595" s="7">
        <v>2.8422599999999999E-7</v>
      </c>
      <c r="D595" s="5" t="s">
        <v>1704</v>
      </c>
      <c r="E595" s="5">
        <v>84</v>
      </c>
      <c r="F595" s="5">
        <v>58</v>
      </c>
      <c r="G595" s="5">
        <v>1.57788E+24</v>
      </c>
      <c r="H595" s="5">
        <f t="shared" si="27"/>
        <v>4.3929017451260252E-25</v>
      </c>
      <c r="I595" s="7">
        <f t="shared" si="28"/>
        <v>0</v>
      </c>
      <c r="J595" s="7">
        <f t="shared" si="29"/>
        <v>0</v>
      </c>
    </row>
    <row r="596" spans="2:10" x14ac:dyDescent="0.2">
      <c r="B596" s="5">
        <v>58143</v>
      </c>
      <c r="C596" s="7">
        <v>6.9953599999999997E-7</v>
      </c>
      <c r="D596" s="5" t="s">
        <v>1705</v>
      </c>
      <c r="E596" s="5">
        <v>85</v>
      </c>
      <c r="F596" s="5">
        <v>58</v>
      </c>
      <c r="G596" s="5">
        <v>118940.4</v>
      </c>
      <c r="H596" s="5">
        <f t="shared" si="27"/>
        <v>5.8276849628885168E-6</v>
      </c>
      <c r="I596" s="7">
        <f t="shared" si="28"/>
        <v>8673415613.5629845</v>
      </c>
      <c r="J596" s="7">
        <f t="shared" si="29"/>
        <v>1.3265903818062E-70</v>
      </c>
    </row>
    <row r="597" spans="2:10" x14ac:dyDescent="0.2">
      <c r="B597" s="5">
        <v>58144</v>
      </c>
      <c r="C597" s="7">
        <v>2.4042600000000002E-6</v>
      </c>
      <c r="D597" s="5" t="s">
        <v>1706</v>
      </c>
      <c r="E597" s="5">
        <v>86</v>
      </c>
      <c r="F597" s="5">
        <v>58</v>
      </c>
      <c r="G597" s="5">
        <v>24616224</v>
      </c>
      <c r="H597" s="5">
        <f t="shared" si="27"/>
        <v>2.8158144017536781E-8</v>
      </c>
      <c r="I597" s="7">
        <f t="shared" si="28"/>
        <v>721176553.7525872</v>
      </c>
      <c r="J597" s="7">
        <f t="shared" si="29"/>
        <v>296749619.4257223</v>
      </c>
    </row>
    <row r="598" spans="2:10" x14ac:dyDescent="0.2">
      <c r="B598" s="5">
        <v>58145</v>
      </c>
      <c r="C598" s="7">
        <v>3.5895999999999999E-6</v>
      </c>
      <c r="D598" s="5" t="s">
        <v>1707</v>
      </c>
      <c r="E598" s="5">
        <v>87</v>
      </c>
      <c r="F598" s="5">
        <v>58</v>
      </c>
      <c r="G598" s="5">
        <v>180.6</v>
      </c>
      <c r="H598" s="5">
        <f t="shared" si="27"/>
        <v>3.8380242555921666E-3</v>
      </c>
      <c r="I598" s="7">
        <f t="shared" si="28"/>
        <v>44798208000</v>
      </c>
      <c r="J598" s="7">
        <f t="shared" si="29"/>
        <v>0</v>
      </c>
    </row>
    <row r="599" spans="2:10" x14ac:dyDescent="0.2">
      <c r="B599" s="5">
        <v>58146</v>
      </c>
      <c r="C599" s="7">
        <v>7.8511000000000001E-6</v>
      </c>
      <c r="D599" s="5" t="s">
        <v>1708</v>
      </c>
      <c r="E599" s="5">
        <v>88</v>
      </c>
      <c r="F599" s="5">
        <v>58</v>
      </c>
      <c r="G599" s="5">
        <v>809.4</v>
      </c>
      <c r="H599" s="5">
        <f t="shared" si="27"/>
        <v>8.5637160929076517E-4</v>
      </c>
      <c r="I599" s="7">
        <f t="shared" si="28"/>
        <v>97981728000</v>
      </c>
      <c r="J599" s="7">
        <f t="shared" si="29"/>
        <v>0</v>
      </c>
    </row>
    <row r="600" spans="2:10" x14ac:dyDescent="0.2">
      <c r="B600" s="5">
        <v>58147</v>
      </c>
      <c r="C600" s="7">
        <v>7.1020799999999996E-6</v>
      </c>
      <c r="D600" s="5" t="s">
        <v>1709</v>
      </c>
      <c r="E600" s="5">
        <v>89</v>
      </c>
      <c r="F600" s="5">
        <v>58</v>
      </c>
      <c r="G600" s="5">
        <v>56.4</v>
      </c>
      <c r="H600" s="5">
        <f t="shared" si="27"/>
        <v>1.2289843626949385E-2</v>
      </c>
      <c r="I600" s="7">
        <f t="shared" si="28"/>
        <v>88633958400</v>
      </c>
      <c r="J600" s="7">
        <f t="shared" si="29"/>
        <v>0</v>
      </c>
    </row>
    <row r="601" spans="2:10" x14ac:dyDescent="0.2">
      <c r="B601" s="5">
        <v>58148</v>
      </c>
      <c r="C601" s="7">
        <v>9.7765399999999997E-6</v>
      </c>
      <c r="D601" s="5" t="s">
        <v>1710</v>
      </c>
      <c r="E601" s="5">
        <v>90</v>
      </c>
      <c r="F601" s="5">
        <v>58</v>
      </c>
      <c r="G601" s="5">
        <v>56.8</v>
      </c>
      <c r="H601" s="5">
        <f t="shared" si="27"/>
        <v>1.2203295432393403E-2</v>
      </c>
      <c r="I601" s="7">
        <f t="shared" si="28"/>
        <v>122011219200</v>
      </c>
      <c r="J601" s="7">
        <f t="shared" si="29"/>
        <v>0</v>
      </c>
    </row>
    <row r="602" spans="2:10" x14ac:dyDescent="0.2">
      <c r="B602" s="5">
        <v>58149</v>
      </c>
      <c r="C602" s="7">
        <v>6.3781799999999996E-6</v>
      </c>
      <c r="D602" s="5" t="s">
        <v>1711</v>
      </c>
      <c r="E602" s="5">
        <v>91</v>
      </c>
      <c r="F602" s="5">
        <v>58</v>
      </c>
      <c r="G602" s="5">
        <v>5.3</v>
      </c>
      <c r="H602" s="5">
        <f t="shared" si="27"/>
        <v>0.1307824868981029</v>
      </c>
      <c r="I602" s="7">
        <f t="shared" si="28"/>
        <v>79599686400</v>
      </c>
      <c r="J602" s="7">
        <f t="shared" si="29"/>
        <v>0</v>
      </c>
    </row>
    <row r="603" spans="2:10" x14ac:dyDescent="0.2">
      <c r="B603" s="5">
        <v>58150</v>
      </c>
      <c r="C603" s="7">
        <v>6.0666700000000003E-6</v>
      </c>
      <c r="D603" s="5" t="s">
        <v>1712</v>
      </c>
      <c r="E603" s="5">
        <v>92</v>
      </c>
      <c r="F603" s="5">
        <v>58</v>
      </c>
      <c r="G603" s="5">
        <v>4</v>
      </c>
      <c r="H603" s="5">
        <f t="shared" si="27"/>
        <v>0.17328679513998632</v>
      </c>
      <c r="I603" s="7">
        <f t="shared" si="28"/>
        <v>75712041600</v>
      </c>
      <c r="J603" s="7">
        <f t="shared" si="29"/>
        <v>0</v>
      </c>
    </row>
    <row r="604" spans="2:10" x14ac:dyDescent="0.2">
      <c r="B604" s="5">
        <v>58151</v>
      </c>
      <c r="C604" s="7">
        <v>3.00566E-6</v>
      </c>
      <c r="D604" s="5" t="s">
        <v>1713</v>
      </c>
      <c r="E604" s="5">
        <v>93</v>
      </c>
      <c r="F604" s="5">
        <v>58</v>
      </c>
      <c r="G604" s="5">
        <v>1.76</v>
      </c>
      <c r="H604" s="5">
        <f t="shared" si="27"/>
        <v>0.39383362531815075</v>
      </c>
      <c r="I604" s="7">
        <f t="shared" si="28"/>
        <v>37510636800</v>
      </c>
      <c r="J604" s="7">
        <f t="shared" si="29"/>
        <v>0</v>
      </c>
    </row>
    <row r="605" spans="2:10" x14ac:dyDescent="0.2">
      <c r="B605" s="5">
        <v>59129</v>
      </c>
      <c r="C605" s="7">
        <v>1.5113799999999999E-6</v>
      </c>
      <c r="D605" s="5" t="s">
        <v>1726</v>
      </c>
      <c r="E605" s="5">
        <v>70</v>
      </c>
      <c r="F605" s="5">
        <v>59</v>
      </c>
      <c r="G605" s="5">
        <v>30</v>
      </c>
      <c r="H605" s="5">
        <f t="shared" si="27"/>
        <v>2.3104906018664842E-2</v>
      </c>
      <c r="I605" s="7">
        <f t="shared" si="28"/>
        <v>18862022400</v>
      </c>
      <c r="J605" s="7">
        <f t="shared" si="29"/>
        <v>0</v>
      </c>
    </row>
    <row r="606" spans="2:10" x14ac:dyDescent="0.2">
      <c r="B606" s="5">
        <v>59130</v>
      </c>
      <c r="C606" s="7">
        <v>4.7470999999999999E-7</v>
      </c>
      <c r="D606" s="5" t="s">
        <v>1727</v>
      </c>
      <c r="E606" s="5">
        <v>71</v>
      </c>
      <c r="F606" s="5">
        <v>59</v>
      </c>
      <c r="G606" s="5">
        <v>40</v>
      </c>
      <c r="H606" s="5">
        <f t="shared" si="27"/>
        <v>1.7328679513998631E-2</v>
      </c>
      <c r="I606" s="7">
        <f t="shared" si="28"/>
        <v>5924380800</v>
      </c>
      <c r="J606" s="7">
        <f t="shared" si="29"/>
        <v>0</v>
      </c>
    </row>
    <row r="607" spans="2:10" x14ac:dyDescent="0.2">
      <c r="B607" s="5">
        <v>59131</v>
      </c>
      <c r="C607" s="7">
        <v>2.1009800000000001E-7</v>
      </c>
      <c r="D607" s="5" t="s">
        <v>1728</v>
      </c>
      <c r="E607" s="5">
        <v>72</v>
      </c>
      <c r="F607" s="5">
        <v>59</v>
      </c>
      <c r="G607" s="5">
        <v>90.6</v>
      </c>
      <c r="H607" s="5">
        <f t="shared" si="27"/>
        <v>7.650631132008227E-3</v>
      </c>
      <c r="I607" s="7">
        <f t="shared" si="28"/>
        <v>2622023040</v>
      </c>
      <c r="J607" s="7">
        <f t="shared" si="29"/>
        <v>0</v>
      </c>
    </row>
    <row r="608" spans="2:10" x14ac:dyDescent="0.2">
      <c r="B608" s="5">
        <v>59132</v>
      </c>
      <c r="C608" s="7">
        <v>4.0972599999999997E-8</v>
      </c>
      <c r="D608" s="5" t="s">
        <v>1729</v>
      </c>
      <c r="E608" s="5">
        <v>73</v>
      </c>
      <c r="F608" s="5">
        <v>59</v>
      </c>
      <c r="G608" s="5">
        <v>96</v>
      </c>
      <c r="H608" s="5">
        <f t="shared" si="27"/>
        <v>7.2202831308327631E-3</v>
      </c>
      <c r="I608" s="7">
        <f t="shared" si="28"/>
        <v>511338047.99999994</v>
      </c>
      <c r="J608" s="7">
        <f t="shared" si="29"/>
        <v>0</v>
      </c>
    </row>
    <row r="609" spans="2:10" x14ac:dyDescent="0.2">
      <c r="B609" s="5">
        <v>59133</v>
      </c>
      <c r="C609" s="7">
        <v>1.5146600000000001E-8</v>
      </c>
      <c r="D609" s="5" t="s">
        <v>1730</v>
      </c>
      <c r="E609" s="5">
        <v>74</v>
      </c>
      <c r="F609" s="5">
        <v>59</v>
      </c>
      <c r="G609" s="5">
        <v>390</v>
      </c>
      <c r="H609" s="5">
        <f t="shared" si="27"/>
        <v>1.7773004629742187E-3</v>
      </c>
      <c r="I609" s="7">
        <f t="shared" si="28"/>
        <v>189029568.00000003</v>
      </c>
      <c r="J609" s="7">
        <f t="shared" si="29"/>
        <v>0</v>
      </c>
    </row>
    <row r="610" spans="2:10" x14ac:dyDescent="0.2">
      <c r="B610" s="5">
        <v>59134</v>
      </c>
      <c r="C610" s="7">
        <v>2.094E-9</v>
      </c>
      <c r="D610" s="5" t="s">
        <v>1731</v>
      </c>
      <c r="E610" s="5">
        <v>75</v>
      </c>
      <c r="F610" s="5">
        <v>59</v>
      </c>
      <c r="G610" s="5">
        <v>660</v>
      </c>
      <c r="H610" s="5">
        <f t="shared" si="27"/>
        <v>1.0502230008484019E-3</v>
      </c>
      <c r="I610" s="7">
        <f t="shared" si="28"/>
        <v>26133120</v>
      </c>
      <c r="J610" s="7">
        <f t="shared" si="29"/>
        <v>0</v>
      </c>
    </row>
    <row r="611" spans="2:10" x14ac:dyDescent="0.2">
      <c r="B611" s="5">
        <v>59135</v>
      </c>
      <c r="C611" s="7">
        <v>3.4899999999999998E-10</v>
      </c>
      <c r="D611" s="5" t="s">
        <v>1732</v>
      </c>
      <c r="E611" s="5">
        <v>76</v>
      </c>
      <c r="F611" s="5">
        <v>59</v>
      </c>
      <c r="G611" s="5">
        <v>1440</v>
      </c>
      <c r="H611" s="5">
        <f t="shared" si="27"/>
        <v>4.8135220872218423E-4</v>
      </c>
      <c r="I611" s="7">
        <f t="shared" si="28"/>
        <v>4355520</v>
      </c>
      <c r="J611" s="7">
        <f t="shared" si="29"/>
        <v>0</v>
      </c>
    </row>
    <row r="612" spans="2:10" x14ac:dyDescent="0.2">
      <c r="B612" s="5">
        <v>59136</v>
      </c>
      <c r="C612" s="7">
        <v>1.3959999999999999E-10</v>
      </c>
      <c r="D612" s="5" t="s">
        <v>1733</v>
      </c>
      <c r="E612" s="5">
        <v>77</v>
      </c>
      <c r="F612" s="5">
        <v>59</v>
      </c>
      <c r="G612" s="5">
        <v>786</v>
      </c>
      <c r="H612" s="5">
        <f t="shared" si="27"/>
        <v>8.8186664193377266E-4</v>
      </c>
      <c r="I612" s="7">
        <f t="shared" si="28"/>
        <v>1742207.9999999998</v>
      </c>
      <c r="J612" s="7">
        <f t="shared" si="29"/>
        <v>0</v>
      </c>
    </row>
    <row r="613" spans="2:10" x14ac:dyDescent="0.2">
      <c r="B613" s="5">
        <v>59142</v>
      </c>
      <c r="C613" s="7">
        <v>1.1866E-9</v>
      </c>
      <c r="D613" s="5" t="s">
        <v>1739</v>
      </c>
      <c r="E613" s="5">
        <v>83</v>
      </c>
      <c r="F613" s="5">
        <v>59</v>
      </c>
      <c r="G613" s="5">
        <v>68832</v>
      </c>
      <c r="H613" s="5">
        <f t="shared" si="27"/>
        <v>1.0070129889585444E-5</v>
      </c>
      <c r="I613" s="7">
        <f t="shared" si="28"/>
        <v>14806302.529917473</v>
      </c>
      <c r="J613" s="7">
        <f t="shared" si="29"/>
        <v>1.7817472410638254E-131</v>
      </c>
    </row>
    <row r="614" spans="2:10" x14ac:dyDescent="0.2">
      <c r="B614" s="5">
        <v>59143</v>
      </c>
      <c r="C614" s="7">
        <v>8.0968000000000004E-9</v>
      </c>
      <c r="D614" s="5" t="s">
        <v>1740</v>
      </c>
      <c r="E614" s="5">
        <v>84</v>
      </c>
      <c r="F614" s="5">
        <v>59</v>
      </c>
      <c r="G614" s="5">
        <v>1172448</v>
      </c>
      <c r="H614" s="5">
        <f t="shared" si="27"/>
        <v>5.9119652262611673E-7</v>
      </c>
      <c r="I614" s="7">
        <f t="shared" si="28"/>
        <v>40417295.861463472</v>
      </c>
      <c r="J614" s="7">
        <f t="shared" si="29"/>
        <v>0.32329011474036701</v>
      </c>
    </row>
    <row r="615" spans="2:10" x14ac:dyDescent="0.2">
      <c r="B615" s="5">
        <v>59144</v>
      </c>
      <c r="C615" s="7">
        <v>3.2806000000000003E-8</v>
      </c>
      <c r="D615" s="5" t="s">
        <v>1741</v>
      </c>
      <c r="E615" s="5">
        <v>85</v>
      </c>
      <c r="F615" s="5">
        <v>59</v>
      </c>
      <c r="G615" s="5">
        <v>1036.8</v>
      </c>
      <c r="H615" s="5">
        <f t="shared" si="27"/>
        <v>6.6854473433636697E-4</v>
      </c>
      <c r="I615" s="7">
        <f t="shared" si="28"/>
        <v>409418880.00000006</v>
      </c>
      <c r="J615" s="7">
        <f t="shared" si="29"/>
        <v>0</v>
      </c>
    </row>
    <row r="616" spans="2:10" x14ac:dyDescent="0.2">
      <c r="B616" s="5">
        <v>59145</v>
      </c>
      <c r="C616" s="7">
        <v>1.84063E-7</v>
      </c>
      <c r="D616" s="5" t="s">
        <v>1742</v>
      </c>
      <c r="E616" s="5">
        <v>86</v>
      </c>
      <c r="F616" s="5">
        <v>59</v>
      </c>
      <c r="G616" s="5">
        <v>21542.400000000001</v>
      </c>
      <c r="H616" s="5">
        <f t="shared" si="27"/>
        <v>3.2175949780894669E-5</v>
      </c>
      <c r="I616" s="7">
        <f t="shared" si="28"/>
        <v>2297106239.9980597</v>
      </c>
      <c r="J616" s="7">
        <f t="shared" si="29"/>
        <v>0</v>
      </c>
    </row>
    <row r="617" spans="2:10" x14ac:dyDescent="0.2">
      <c r="B617" s="5">
        <v>59146</v>
      </c>
      <c r="C617" s="7">
        <v>4.3290000000000002E-7</v>
      </c>
      <c r="D617" s="5" t="s">
        <v>1743</v>
      </c>
      <c r="E617" s="5">
        <v>87</v>
      </c>
      <c r="F617" s="5">
        <v>59</v>
      </c>
      <c r="G617" s="5">
        <v>1449</v>
      </c>
      <c r="H617" s="5">
        <f t="shared" si="27"/>
        <v>4.7836244345061789E-4</v>
      </c>
      <c r="I617" s="7">
        <f t="shared" si="28"/>
        <v>5402592000</v>
      </c>
      <c r="J617" s="7">
        <f t="shared" si="29"/>
        <v>0</v>
      </c>
    </row>
    <row r="618" spans="2:10" x14ac:dyDescent="0.2">
      <c r="B618" s="5">
        <v>59147</v>
      </c>
      <c r="C618" s="7">
        <v>1.40528E-6</v>
      </c>
      <c r="D618" s="5" t="s">
        <v>1744</v>
      </c>
      <c r="E618" s="5">
        <v>88</v>
      </c>
      <c r="F618" s="5">
        <v>59</v>
      </c>
      <c r="G618" s="5">
        <v>804</v>
      </c>
      <c r="H618" s="5">
        <f t="shared" si="27"/>
        <v>8.6212335890540454E-4</v>
      </c>
      <c r="I618" s="7">
        <f t="shared" si="28"/>
        <v>17537894400</v>
      </c>
      <c r="J618" s="7">
        <f t="shared" si="29"/>
        <v>0</v>
      </c>
    </row>
    <row r="619" spans="2:10" x14ac:dyDescent="0.2">
      <c r="B619" s="5">
        <v>59148</v>
      </c>
      <c r="C619" s="7">
        <v>2.0761299999999999E-6</v>
      </c>
      <c r="D619" s="5" t="s">
        <v>1745</v>
      </c>
      <c r="E619" s="5">
        <v>89</v>
      </c>
      <c r="F619" s="5">
        <v>59</v>
      </c>
      <c r="G619" s="5">
        <v>137.4</v>
      </c>
      <c r="H619" s="5">
        <f t="shared" si="27"/>
        <v>5.0447393053853363E-3</v>
      </c>
      <c r="I619" s="7">
        <f t="shared" si="28"/>
        <v>25910102400</v>
      </c>
      <c r="J619" s="7">
        <f t="shared" si="29"/>
        <v>0</v>
      </c>
    </row>
    <row r="620" spans="2:10" x14ac:dyDescent="0.2">
      <c r="B620" s="5">
        <v>59149</v>
      </c>
      <c r="C620" s="7">
        <v>3.99235E-6</v>
      </c>
      <c r="D620" s="5" t="s">
        <v>1746</v>
      </c>
      <c r="E620" s="5">
        <v>90</v>
      </c>
      <c r="F620" s="5">
        <v>59</v>
      </c>
      <c r="G620" s="5">
        <v>135.6</v>
      </c>
      <c r="H620" s="5">
        <f t="shared" si="27"/>
        <v>5.1117048713860275E-3</v>
      </c>
      <c r="I620" s="7">
        <f t="shared" si="28"/>
        <v>49824528000</v>
      </c>
      <c r="J620" s="7">
        <f t="shared" si="29"/>
        <v>0</v>
      </c>
    </row>
    <row r="621" spans="2:10" x14ac:dyDescent="0.2">
      <c r="B621" s="5">
        <v>59150</v>
      </c>
      <c r="C621" s="7">
        <v>3.9568199999999997E-6</v>
      </c>
      <c r="D621" s="5" t="s">
        <v>1747</v>
      </c>
      <c r="E621" s="5">
        <v>91</v>
      </c>
      <c r="F621" s="5">
        <v>59</v>
      </c>
      <c r="G621" s="5">
        <v>6.19</v>
      </c>
      <c r="H621" s="5">
        <f t="shared" si="27"/>
        <v>0.11197854290144511</v>
      </c>
      <c r="I621" s="7">
        <f t="shared" si="28"/>
        <v>49381113599.999992</v>
      </c>
      <c r="J621" s="7">
        <f t="shared" si="29"/>
        <v>0</v>
      </c>
    </row>
    <row r="622" spans="2:10" x14ac:dyDescent="0.2">
      <c r="B622" s="5">
        <v>59151</v>
      </c>
      <c r="C622" s="7">
        <v>5.3140799999999999E-6</v>
      </c>
      <c r="D622" s="5" t="s">
        <v>1748</v>
      </c>
      <c r="E622" s="5">
        <v>92</v>
      </c>
      <c r="F622" s="5">
        <v>59</v>
      </c>
      <c r="G622" s="5">
        <v>18.899999999999999</v>
      </c>
      <c r="H622" s="5">
        <f t="shared" si="27"/>
        <v>3.6674453997880704E-2</v>
      </c>
      <c r="I622" s="7">
        <f t="shared" si="28"/>
        <v>66319718400</v>
      </c>
      <c r="J622" s="7">
        <f t="shared" si="29"/>
        <v>0</v>
      </c>
    </row>
    <row r="623" spans="2:10" x14ac:dyDescent="0.2">
      <c r="B623" s="5">
        <v>59152</v>
      </c>
      <c r="C623" s="7">
        <v>3.8441000000000002E-6</v>
      </c>
      <c r="D623" s="5" t="s">
        <v>1749</v>
      </c>
      <c r="E623" s="5">
        <v>93</v>
      </c>
      <c r="F623" s="5">
        <v>59</v>
      </c>
      <c r="G623" s="5">
        <v>3.57</v>
      </c>
      <c r="H623" s="5">
        <f t="shared" si="27"/>
        <v>0.19415887410642726</v>
      </c>
      <c r="I623" s="7">
        <f t="shared" si="28"/>
        <v>47974368000</v>
      </c>
      <c r="J623" s="7">
        <f t="shared" si="29"/>
        <v>0</v>
      </c>
    </row>
    <row r="624" spans="2:10" x14ac:dyDescent="0.2">
      <c r="B624" s="5">
        <v>60129</v>
      </c>
      <c r="C624" s="7">
        <v>2.47615E-6</v>
      </c>
      <c r="D624" s="5" t="s">
        <v>1758</v>
      </c>
      <c r="E624" s="5">
        <v>69</v>
      </c>
      <c r="F624" s="5">
        <v>60</v>
      </c>
      <c r="G624" s="5">
        <v>6.7</v>
      </c>
      <c r="H624" s="5">
        <f t="shared" si="27"/>
        <v>0.10345480306864854</v>
      </c>
      <c r="I624" s="7">
        <f t="shared" si="28"/>
        <v>30902352000</v>
      </c>
      <c r="J624" s="7">
        <f t="shared" si="29"/>
        <v>0</v>
      </c>
    </row>
    <row r="625" spans="2:10" x14ac:dyDescent="0.2">
      <c r="B625" s="5">
        <v>60130</v>
      </c>
      <c r="C625" s="7">
        <v>1.0235499999999999E-6</v>
      </c>
      <c r="D625" s="5" t="s">
        <v>1759</v>
      </c>
      <c r="E625" s="5">
        <v>70</v>
      </c>
      <c r="F625" s="5">
        <v>60</v>
      </c>
      <c r="G625" s="5">
        <v>21</v>
      </c>
      <c r="H625" s="5">
        <f t="shared" si="27"/>
        <v>3.3007008598092635E-2</v>
      </c>
      <c r="I625" s="7">
        <f t="shared" si="28"/>
        <v>12773904000</v>
      </c>
      <c r="J625" s="7">
        <f t="shared" si="29"/>
        <v>0</v>
      </c>
    </row>
    <row r="626" spans="2:10" x14ac:dyDescent="0.2">
      <c r="B626" s="5">
        <v>60131</v>
      </c>
      <c r="C626" s="7">
        <v>5.8799499999999999E-7</v>
      </c>
      <c r="D626" s="5" t="s">
        <v>1760</v>
      </c>
      <c r="E626" s="5">
        <v>71</v>
      </c>
      <c r="F626" s="5">
        <v>60</v>
      </c>
      <c r="G626" s="5">
        <v>25.4</v>
      </c>
      <c r="H626" s="5">
        <f t="shared" si="27"/>
        <v>2.7289259077163203E-2</v>
      </c>
      <c r="I626" s="7">
        <f t="shared" si="28"/>
        <v>7338177600</v>
      </c>
      <c r="J626" s="7">
        <f t="shared" si="29"/>
        <v>0</v>
      </c>
    </row>
    <row r="627" spans="2:10" x14ac:dyDescent="0.2">
      <c r="B627" s="5">
        <v>60132</v>
      </c>
      <c r="C627" s="7">
        <v>1.61517E-7</v>
      </c>
      <c r="D627" s="5" t="s">
        <v>1761</v>
      </c>
      <c r="E627" s="5">
        <v>72</v>
      </c>
      <c r="F627" s="5">
        <v>60</v>
      </c>
      <c r="G627" s="5">
        <v>94</v>
      </c>
      <c r="H627" s="5">
        <f t="shared" si="27"/>
        <v>7.3739061761696305E-3</v>
      </c>
      <c r="I627" s="7">
        <f t="shared" si="28"/>
        <v>2015732160</v>
      </c>
      <c r="J627" s="7">
        <f t="shared" si="29"/>
        <v>0</v>
      </c>
    </row>
    <row r="628" spans="2:10" x14ac:dyDescent="0.2">
      <c r="B628" s="5">
        <v>60133</v>
      </c>
      <c r="C628" s="7">
        <v>7.0707399999999994E-8</v>
      </c>
      <c r="D628" s="5" t="s">
        <v>1762</v>
      </c>
      <c r="E628" s="5">
        <v>73</v>
      </c>
      <c r="F628" s="5">
        <v>60</v>
      </c>
      <c r="G628" s="5">
        <v>70</v>
      </c>
      <c r="H628" s="5">
        <f t="shared" si="27"/>
        <v>9.9021025794277899E-3</v>
      </c>
      <c r="I628" s="7">
        <f t="shared" si="28"/>
        <v>882428351.99999988</v>
      </c>
      <c r="J628" s="7">
        <f t="shared" si="29"/>
        <v>0</v>
      </c>
    </row>
    <row r="629" spans="2:10" x14ac:dyDescent="0.2">
      <c r="B629" s="5">
        <v>60134</v>
      </c>
      <c r="C629" s="7">
        <v>1.42392E-8</v>
      </c>
      <c r="D629" s="5" t="s">
        <v>1763</v>
      </c>
      <c r="E629" s="5">
        <v>74</v>
      </c>
      <c r="F629" s="5">
        <v>60</v>
      </c>
      <c r="G629" s="5">
        <v>510</v>
      </c>
      <c r="H629" s="5">
        <f t="shared" si="27"/>
        <v>1.3591121187449908E-3</v>
      </c>
      <c r="I629" s="7">
        <f t="shared" si="28"/>
        <v>177705216</v>
      </c>
      <c r="J629" s="7">
        <f t="shared" si="29"/>
        <v>0</v>
      </c>
    </row>
    <row r="630" spans="2:10" x14ac:dyDescent="0.2">
      <c r="B630" s="5">
        <v>60135</v>
      </c>
      <c r="C630" s="7">
        <v>3.8389999999999997E-9</v>
      </c>
      <c r="D630" s="5" t="s">
        <v>1764</v>
      </c>
      <c r="E630" s="5">
        <v>75</v>
      </c>
      <c r="F630" s="5">
        <v>60</v>
      </c>
      <c r="G630" s="5">
        <v>744</v>
      </c>
      <c r="H630" s="5">
        <f t="shared" si="27"/>
        <v>9.3164943623648563E-4</v>
      </c>
      <c r="I630" s="7">
        <f t="shared" si="28"/>
        <v>47910719.999999993</v>
      </c>
      <c r="J630" s="7">
        <f t="shared" si="29"/>
        <v>0</v>
      </c>
    </row>
    <row r="631" spans="2:10" x14ac:dyDescent="0.2">
      <c r="B631" s="5">
        <v>60136</v>
      </c>
      <c r="C631" s="7">
        <v>4.1879999999999999E-10</v>
      </c>
      <c r="D631" s="5" t="s">
        <v>1765</v>
      </c>
      <c r="E631" s="5">
        <v>76</v>
      </c>
      <c r="F631" s="5">
        <v>60</v>
      </c>
      <c r="G631" s="5">
        <v>3039</v>
      </c>
      <c r="H631" s="5">
        <f t="shared" si="27"/>
        <v>2.2808396859491455E-4</v>
      </c>
      <c r="I631" s="7">
        <f t="shared" si="28"/>
        <v>5226624</v>
      </c>
      <c r="J631" s="7">
        <f t="shared" si="29"/>
        <v>0</v>
      </c>
    </row>
    <row r="632" spans="2:10" x14ac:dyDescent="0.2">
      <c r="B632" s="5">
        <v>60137</v>
      </c>
      <c r="C632" s="7">
        <v>1.3959999999999999E-10</v>
      </c>
      <c r="D632" s="5" t="s">
        <v>1766</v>
      </c>
      <c r="E632" s="5">
        <v>77</v>
      </c>
      <c r="F632" s="5">
        <v>60</v>
      </c>
      <c r="G632" s="5">
        <v>2310</v>
      </c>
      <c r="H632" s="5">
        <f t="shared" si="27"/>
        <v>3.0006371452811483E-4</v>
      </c>
      <c r="I632" s="7">
        <f t="shared" si="28"/>
        <v>1742207.9999999998</v>
      </c>
      <c r="J632" s="7">
        <f t="shared" si="29"/>
        <v>0</v>
      </c>
    </row>
    <row r="633" spans="2:10" x14ac:dyDescent="0.2">
      <c r="B633" s="5">
        <v>60144</v>
      </c>
      <c r="C633" s="7">
        <v>6.9799999999999994E-11</v>
      </c>
      <c r="D633" s="5" t="s">
        <v>1773</v>
      </c>
      <c r="E633" s="5">
        <v>84</v>
      </c>
      <c r="F633" s="5">
        <v>60</v>
      </c>
      <c r="G633" s="5">
        <v>7.2266904000000002E+22</v>
      </c>
      <c r="H633" s="5">
        <f t="shared" si="27"/>
        <v>9.5914885264760378E-24</v>
      </c>
      <c r="I633" s="7">
        <f t="shared" si="28"/>
        <v>0</v>
      </c>
      <c r="J633" s="7">
        <f t="shared" si="29"/>
        <v>0</v>
      </c>
    </row>
    <row r="634" spans="2:10" x14ac:dyDescent="0.2">
      <c r="B634" s="5">
        <v>60147</v>
      </c>
      <c r="C634" s="7">
        <v>3.1689199999999998E-8</v>
      </c>
      <c r="D634" s="5" t="s">
        <v>1776</v>
      </c>
      <c r="E634" s="5">
        <v>87</v>
      </c>
      <c r="F634" s="5">
        <v>60</v>
      </c>
      <c r="G634" s="5">
        <v>948672</v>
      </c>
      <c r="H634" s="5">
        <f t="shared" si="27"/>
        <v>7.306499828812754E-7</v>
      </c>
      <c r="I634" s="7">
        <f t="shared" si="28"/>
        <v>185120930.36495101</v>
      </c>
      <c r="J634" s="7">
        <f t="shared" si="29"/>
        <v>1.8219587761553288E-2</v>
      </c>
    </row>
    <row r="635" spans="2:10" x14ac:dyDescent="0.2">
      <c r="B635" s="5">
        <v>60149</v>
      </c>
      <c r="C635" s="7">
        <v>2.9378799999999998E-7</v>
      </c>
      <c r="D635" s="5" t="s">
        <v>1778</v>
      </c>
      <c r="E635" s="5">
        <v>89</v>
      </c>
      <c r="F635" s="5">
        <v>60</v>
      </c>
      <c r="G635" s="5">
        <v>6220.8</v>
      </c>
      <c r="H635" s="5">
        <f t="shared" si="27"/>
        <v>1.114241223893945E-4</v>
      </c>
      <c r="I635" s="7">
        <f t="shared" si="28"/>
        <v>3666474240</v>
      </c>
      <c r="J635" s="7">
        <f t="shared" si="29"/>
        <v>0</v>
      </c>
    </row>
    <row r="636" spans="2:10" x14ac:dyDescent="0.2">
      <c r="B636" s="5">
        <v>60150</v>
      </c>
      <c r="C636" s="7">
        <v>9.2966599999999998E-7</v>
      </c>
      <c r="D636" s="5" t="s">
        <v>1779</v>
      </c>
      <c r="E636" s="5">
        <v>90</v>
      </c>
      <c r="F636" s="5">
        <v>60</v>
      </c>
      <c r="G636" s="5">
        <v>2.8717416000000001E+26</v>
      </c>
      <c r="H636" s="5">
        <f t="shared" si="27"/>
        <v>2.4136822775417722E-27</v>
      </c>
      <c r="I636" s="7">
        <f t="shared" si="28"/>
        <v>0</v>
      </c>
      <c r="J636" s="7">
        <f t="shared" si="29"/>
        <v>0</v>
      </c>
    </row>
    <row r="637" spans="2:10" x14ac:dyDescent="0.2">
      <c r="B637" s="5">
        <v>60151</v>
      </c>
      <c r="C637" s="7">
        <v>1.2463499999999999E-6</v>
      </c>
      <c r="D637" s="5" t="s">
        <v>1780</v>
      </c>
      <c r="E637" s="5">
        <v>91</v>
      </c>
      <c r="F637" s="5">
        <v>60</v>
      </c>
      <c r="G637" s="5">
        <v>746.4</v>
      </c>
      <c r="H637" s="5">
        <f t="shared" si="27"/>
        <v>9.2865377888524286E-4</v>
      </c>
      <c r="I637" s="7">
        <f t="shared" si="28"/>
        <v>15554448000</v>
      </c>
      <c r="J637" s="7">
        <f t="shared" si="29"/>
        <v>0</v>
      </c>
    </row>
    <row r="638" spans="2:10" x14ac:dyDescent="0.2">
      <c r="B638" s="5">
        <v>60152</v>
      </c>
      <c r="C638" s="7">
        <v>2.3340399999999998E-6</v>
      </c>
      <c r="D638" s="5" t="s">
        <v>1781</v>
      </c>
      <c r="E638" s="5">
        <v>92</v>
      </c>
      <c r="F638" s="5">
        <v>60</v>
      </c>
      <c r="G638" s="5">
        <v>684</v>
      </c>
      <c r="H638" s="5">
        <f t="shared" si="27"/>
        <v>1.0133730709940721E-3</v>
      </c>
      <c r="I638" s="7">
        <f t="shared" si="28"/>
        <v>29128819200</v>
      </c>
      <c r="J638" s="7">
        <f t="shared" si="29"/>
        <v>0</v>
      </c>
    </row>
    <row r="639" spans="2:10" x14ac:dyDescent="0.2">
      <c r="B639" s="5">
        <v>60153</v>
      </c>
      <c r="C639" s="7">
        <v>1.9652900000000002E-6</v>
      </c>
      <c r="D639" s="5" t="s">
        <v>1782</v>
      </c>
      <c r="E639" s="5">
        <v>93</v>
      </c>
      <c r="F639" s="5">
        <v>60</v>
      </c>
      <c r="G639" s="5">
        <v>31.6</v>
      </c>
      <c r="H639" s="5">
        <f t="shared" si="27"/>
        <v>2.1935037359491937E-2</v>
      </c>
      <c r="I639" s="7">
        <f t="shared" si="28"/>
        <v>24526819200.000004</v>
      </c>
      <c r="J639" s="7">
        <f t="shared" si="29"/>
        <v>0</v>
      </c>
    </row>
    <row r="640" spans="2:10" x14ac:dyDescent="0.2">
      <c r="B640" s="5">
        <v>60154</v>
      </c>
      <c r="C640" s="7">
        <v>1.9971899999999998E-6</v>
      </c>
      <c r="D640" s="5" t="s">
        <v>1783</v>
      </c>
      <c r="E640" s="5">
        <v>94</v>
      </c>
      <c r="F640" s="5">
        <v>60</v>
      </c>
      <c r="G640" s="5">
        <v>25.9</v>
      </c>
      <c r="H640" s="5">
        <f t="shared" si="27"/>
        <v>2.6762439403858893E-2</v>
      </c>
      <c r="I640" s="7">
        <f t="shared" si="28"/>
        <v>24924931199.999996</v>
      </c>
      <c r="J640" s="7">
        <f t="shared" si="29"/>
        <v>0</v>
      </c>
    </row>
    <row r="641" spans="2:10" x14ac:dyDescent="0.2">
      <c r="B641" s="5">
        <v>61132</v>
      </c>
      <c r="C641" s="7">
        <v>1.1575600000000001E-6</v>
      </c>
      <c r="D641" s="5" t="s">
        <v>1795</v>
      </c>
      <c r="E641" s="5">
        <v>71</v>
      </c>
      <c r="F641" s="5">
        <v>61</v>
      </c>
      <c r="G641" s="5">
        <v>6.2</v>
      </c>
      <c r="H641" s="5">
        <f t="shared" si="27"/>
        <v>0.11179793234837827</v>
      </c>
      <c r="I641" s="7">
        <f t="shared" si="28"/>
        <v>14446348800.000002</v>
      </c>
      <c r="J641" s="7">
        <f t="shared" si="29"/>
        <v>0</v>
      </c>
    </row>
    <row r="642" spans="2:10" x14ac:dyDescent="0.2">
      <c r="B642" s="5">
        <v>61133</v>
      </c>
      <c r="C642" s="7">
        <v>7.98582E-7</v>
      </c>
      <c r="D642" s="5" t="s">
        <v>1796</v>
      </c>
      <c r="E642" s="5">
        <v>72</v>
      </c>
      <c r="F642" s="5">
        <v>61</v>
      </c>
      <c r="G642" s="5">
        <v>13.5</v>
      </c>
      <c r="H642" s="5">
        <f t="shared" si="27"/>
        <v>5.1344235597032988E-2</v>
      </c>
      <c r="I642" s="7">
        <f t="shared" si="28"/>
        <v>9966303360</v>
      </c>
      <c r="J642" s="7">
        <f t="shared" si="29"/>
        <v>0</v>
      </c>
    </row>
    <row r="643" spans="2:10" x14ac:dyDescent="0.2">
      <c r="B643" s="5">
        <v>61134</v>
      </c>
      <c r="C643" s="7">
        <v>2.7054500000000002E-7</v>
      </c>
      <c r="D643" s="5" t="s">
        <v>1797</v>
      </c>
      <c r="E643" s="5">
        <v>73</v>
      </c>
      <c r="F643" s="5">
        <v>61</v>
      </c>
      <c r="G643" s="5">
        <v>5</v>
      </c>
      <c r="H643" s="5">
        <f t="shared" si="27"/>
        <v>0.13862943611198905</v>
      </c>
      <c r="I643" s="7">
        <f t="shared" si="28"/>
        <v>3376401600</v>
      </c>
      <c r="J643" s="7">
        <f t="shared" si="29"/>
        <v>0</v>
      </c>
    </row>
    <row r="644" spans="2:10" x14ac:dyDescent="0.2">
      <c r="B644" s="5">
        <v>61135</v>
      </c>
      <c r="C644" s="7">
        <v>1.5670099999999999E-7</v>
      </c>
      <c r="D644" s="5" t="s">
        <v>1798</v>
      </c>
      <c r="E644" s="5">
        <v>74</v>
      </c>
      <c r="F644" s="5">
        <v>61</v>
      </c>
      <c r="G644" s="5">
        <v>49</v>
      </c>
      <c r="H644" s="5">
        <f t="shared" ref="H644:H707" si="30">LN(2)/G644</f>
        <v>1.4145860827753985E-2</v>
      </c>
      <c r="I644" s="7">
        <f t="shared" ref="I644:I707" si="31">2*6240000000000000*C644*(1-EXP(-H644*10*24*3600))</f>
        <v>1955628480</v>
      </c>
      <c r="J644" s="7">
        <f t="shared" ref="J644:J707" si="32">EXP(-H644*365*24*3600)*I644</f>
        <v>0</v>
      </c>
    </row>
    <row r="645" spans="2:10" x14ac:dyDescent="0.2">
      <c r="B645" s="5">
        <v>61136</v>
      </c>
      <c r="C645" s="7">
        <v>3.7203400000000001E-8</v>
      </c>
      <c r="D645" s="5" t="s">
        <v>1799</v>
      </c>
      <c r="E645" s="5">
        <v>75</v>
      </c>
      <c r="F645" s="5">
        <v>61</v>
      </c>
      <c r="G645" s="5">
        <v>107</v>
      </c>
      <c r="H645" s="5">
        <f t="shared" si="30"/>
        <v>6.4780110332705171E-3</v>
      </c>
      <c r="I645" s="7">
        <f t="shared" si="31"/>
        <v>464298432</v>
      </c>
      <c r="J645" s="7">
        <f t="shared" si="32"/>
        <v>0</v>
      </c>
    </row>
    <row r="646" spans="2:10" x14ac:dyDescent="0.2">
      <c r="B646" s="5">
        <v>61137</v>
      </c>
      <c r="C646" s="7">
        <v>1.4588200000000001E-8</v>
      </c>
      <c r="D646" s="5" t="s">
        <v>1800</v>
      </c>
      <c r="E646" s="5">
        <v>76</v>
      </c>
      <c r="F646" s="5">
        <v>61</v>
      </c>
      <c r="G646" s="5">
        <v>144</v>
      </c>
      <c r="H646" s="5">
        <f t="shared" si="30"/>
        <v>4.8135220872218424E-3</v>
      </c>
      <c r="I646" s="7">
        <f t="shared" si="31"/>
        <v>182060736</v>
      </c>
      <c r="J646" s="7">
        <f t="shared" si="32"/>
        <v>0</v>
      </c>
    </row>
    <row r="647" spans="2:10" x14ac:dyDescent="0.2">
      <c r="B647" s="5">
        <v>61138</v>
      </c>
      <c r="C647" s="7">
        <v>2.6524000000000001E-9</v>
      </c>
      <c r="D647" s="5" t="s">
        <v>1801</v>
      </c>
      <c r="E647" s="5">
        <v>77</v>
      </c>
      <c r="F647" s="5">
        <v>61</v>
      </c>
      <c r="G647" s="5">
        <v>10</v>
      </c>
      <c r="H647" s="5">
        <f t="shared" si="30"/>
        <v>6.9314718055994526E-2</v>
      </c>
      <c r="I647" s="7">
        <f t="shared" si="31"/>
        <v>33101952</v>
      </c>
      <c r="J647" s="7">
        <f t="shared" si="32"/>
        <v>0</v>
      </c>
    </row>
    <row r="648" spans="2:10" x14ac:dyDescent="0.2">
      <c r="B648" s="5">
        <v>61139</v>
      </c>
      <c r="C648" s="7">
        <v>4.1879999999999999E-10</v>
      </c>
      <c r="D648" s="5" t="s">
        <v>1802</v>
      </c>
      <c r="E648" s="5">
        <v>78</v>
      </c>
      <c r="F648" s="5">
        <v>61</v>
      </c>
      <c r="G648" s="5">
        <v>249</v>
      </c>
      <c r="H648" s="5">
        <f t="shared" si="30"/>
        <v>2.7837236167066078E-3</v>
      </c>
      <c r="I648" s="7">
        <f t="shared" si="31"/>
        <v>5226624</v>
      </c>
      <c r="J648" s="7">
        <f t="shared" si="32"/>
        <v>0</v>
      </c>
    </row>
    <row r="649" spans="2:10" x14ac:dyDescent="0.2">
      <c r="B649" s="5">
        <v>61147</v>
      </c>
      <c r="C649" s="7">
        <v>6.9799999999999994E-11</v>
      </c>
      <c r="D649" s="5" t="s">
        <v>1810</v>
      </c>
      <c r="E649" s="5">
        <v>86</v>
      </c>
      <c r="F649" s="5">
        <v>61</v>
      </c>
      <c r="G649" s="5">
        <v>82788207.840000004</v>
      </c>
      <c r="H649" s="5">
        <f t="shared" si="30"/>
        <v>8.3725351550011917E-9</v>
      </c>
      <c r="I649" s="7">
        <f t="shared" si="31"/>
        <v>6278.7163283612335</v>
      </c>
      <c r="J649" s="7">
        <f t="shared" si="32"/>
        <v>4821.7131230040377</v>
      </c>
    </row>
    <row r="650" spans="2:10" x14ac:dyDescent="0.2">
      <c r="B650" s="5">
        <v>61148</v>
      </c>
      <c r="C650" s="7">
        <v>4.8860000000000005E-10</v>
      </c>
      <c r="D650" s="5" t="s">
        <v>1811</v>
      </c>
      <c r="E650" s="5">
        <v>87</v>
      </c>
      <c r="F650" s="5">
        <v>61</v>
      </c>
      <c r="G650" s="5">
        <v>463795.20000000001</v>
      </c>
      <c r="H650" s="5">
        <f t="shared" si="30"/>
        <v>1.4945113286207905E-6</v>
      </c>
      <c r="I650" s="7">
        <f t="shared" si="31"/>
        <v>4421311.5413833568</v>
      </c>
      <c r="J650" s="7">
        <f t="shared" si="32"/>
        <v>1.5026481447316558E-14</v>
      </c>
    </row>
    <row r="651" spans="2:10" x14ac:dyDescent="0.2">
      <c r="B651" s="5">
        <v>61149</v>
      </c>
      <c r="C651" s="7">
        <v>4.4671999999999996E-9</v>
      </c>
      <c r="D651" s="5" t="s">
        <v>1812</v>
      </c>
      <c r="E651" s="5">
        <v>88</v>
      </c>
      <c r="F651" s="5">
        <v>61</v>
      </c>
      <c r="G651" s="5">
        <v>191088</v>
      </c>
      <c r="H651" s="5">
        <f t="shared" si="30"/>
        <v>3.6273715804233928E-6</v>
      </c>
      <c r="I651" s="7">
        <f t="shared" si="31"/>
        <v>53323208.893634059</v>
      </c>
      <c r="J651" s="7">
        <f t="shared" si="32"/>
        <v>1.1136756919428809E-42</v>
      </c>
    </row>
    <row r="652" spans="2:10" x14ac:dyDescent="0.2">
      <c r="B652" s="5">
        <v>61150</v>
      </c>
      <c r="C652" s="7">
        <v>1.5216400000000001E-8</v>
      </c>
      <c r="D652" s="5" t="s">
        <v>1813</v>
      </c>
      <c r="E652" s="5">
        <v>89</v>
      </c>
      <c r="F652" s="5">
        <v>61</v>
      </c>
      <c r="G652" s="5">
        <v>9712.7999999999993</v>
      </c>
      <c r="H652" s="5">
        <f t="shared" si="30"/>
        <v>7.1364300774230435E-5</v>
      </c>
      <c r="I652" s="7">
        <f t="shared" si="31"/>
        <v>189900672</v>
      </c>
      <c r="J652" s="7">
        <f t="shared" si="32"/>
        <v>0</v>
      </c>
    </row>
    <row r="653" spans="2:10" x14ac:dyDescent="0.2">
      <c r="B653" s="5">
        <v>61151</v>
      </c>
      <c r="C653" s="7">
        <v>7.5034999999999997E-8</v>
      </c>
      <c r="D653" s="5" t="s">
        <v>1814</v>
      </c>
      <c r="E653" s="5">
        <v>90</v>
      </c>
      <c r="F653" s="5">
        <v>61</v>
      </c>
      <c r="G653" s="5">
        <v>102240</v>
      </c>
      <c r="H653" s="5">
        <f t="shared" si="30"/>
        <v>6.7796085735518902E-6</v>
      </c>
      <c r="I653" s="7">
        <f t="shared" si="31"/>
        <v>933760326.07998574</v>
      </c>
      <c r="J653" s="7">
        <f t="shared" si="32"/>
        <v>1.3101507265609381E-84</v>
      </c>
    </row>
    <row r="654" spans="2:10" x14ac:dyDescent="0.2">
      <c r="B654" s="5">
        <v>61152</v>
      </c>
      <c r="C654" s="7">
        <v>1.7149899999999999E-7</v>
      </c>
      <c r="D654" s="5" t="s">
        <v>1815</v>
      </c>
      <c r="E654" s="5">
        <v>91</v>
      </c>
      <c r="F654" s="5">
        <v>61</v>
      </c>
      <c r="G654" s="5">
        <v>247.2</v>
      </c>
      <c r="H654" s="5">
        <f t="shared" si="30"/>
        <v>2.8039934488670927E-3</v>
      </c>
      <c r="I654" s="7">
        <f t="shared" si="31"/>
        <v>2140307520</v>
      </c>
      <c r="J654" s="7">
        <f t="shared" si="32"/>
        <v>0</v>
      </c>
    </row>
    <row r="655" spans="2:10" x14ac:dyDescent="0.2">
      <c r="B655" s="5">
        <v>61153</v>
      </c>
      <c r="C655" s="7">
        <v>4.65008E-7</v>
      </c>
      <c r="D655" s="5" t="s">
        <v>1816</v>
      </c>
      <c r="E655" s="5">
        <v>92</v>
      </c>
      <c r="F655" s="5">
        <v>61</v>
      </c>
      <c r="G655" s="5">
        <v>315</v>
      </c>
      <c r="H655" s="5">
        <f t="shared" si="30"/>
        <v>2.2004672398728423E-3</v>
      </c>
      <c r="I655" s="7">
        <f t="shared" si="31"/>
        <v>5803299840</v>
      </c>
      <c r="J655" s="7">
        <f t="shared" si="32"/>
        <v>0</v>
      </c>
    </row>
    <row r="656" spans="2:10" x14ac:dyDescent="0.2">
      <c r="B656" s="5">
        <v>61154</v>
      </c>
      <c r="C656" s="7">
        <v>6.4229999999999997E-7</v>
      </c>
      <c r="D656" s="5" t="s">
        <v>1817</v>
      </c>
      <c r="E656" s="5">
        <v>93</v>
      </c>
      <c r="F656" s="5">
        <v>61</v>
      </c>
      <c r="G656" s="5">
        <v>160.80000000000001</v>
      </c>
      <c r="H656" s="5">
        <f t="shared" si="30"/>
        <v>4.3106167945270229E-3</v>
      </c>
      <c r="I656" s="7">
        <f t="shared" si="31"/>
        <v>8015904000</v>
      </c>
      <c r="J656" s="7">
        <f t="shared" si="32"/>
        <v>0</v>
      </c>
    </row>
    <row r="657" spans="2:10" x14ac:dyDescent="0.2">
      <c r="B657" s="5">
        <v>61155</v>
      </c>
      <c r="C657" s="7">
        <v>8.9148599999999999E-7</v>
      </c>
      <c r="D657" s="5" t="s">
        <v>1818</v>
      </c>
      <c r="E657" s="5">
        <v>94</v>
      </c>
      <c r="F657" s="5">
        <v>61</v>
      </c>
      <c r="G657" s="5">
        <v>41.5</v>
      </c>
      <c r="H657" s="5">
        <f t="shared" si="30"/>
        <v>1.6702341700239647E-2</v>
      </c>
      <c r="I657" s="7">
        <f t="shared" si="31"/>
        <v>11125745280</v>
      </c>
      <c r="J657" s="7">
        <f t="shared" si="32"/>
        <v>0</v>
      </c>
    </row>
    <row r="658" spans="2:10" x14ac:dyDescent="0.2">
      <c r="B658" s="5">
        <v>62133</v>
      </c>
      <c r="C658" s="7">
        <v>7.1607800000000004E-7</v>
      </c>
      <c r="D658" s="5" t="s">
        <v>1830</v>
      </c>
      <c r="E658" s="5">
        <v>71</v>
      </c>
      <c r="F658" s="5">
        <v>62</v>
      </c>
      <c r="G658" s="5">
        <v>2.89</v>
      </c>
      <c r="H658" s="5">
        <f t="shared" si="30"/>
        <v>0.23984331507264542</v>
      </c>
      <c r="I658" s="7">
        <f t="shared" si="31"/>
        <v>8936653440</v>
      </c>
      <c r="J658" s="7">
        <f t="shared" si="32"/>
        <v>0</v>
      </c>
    </row>
    <row r="659" spans="2:10" x14ac:dyDescent="0.2">
      <c r="B659" s="5">
        <v>62134</v>
      </c>
      <c r="C659" s="7">
        <v>7.1712500000000004E-7</v>
      </c>
      <c r="D659" s="5" t="s">
        <v>1831</v>
      </c>
      <c r="E659" s="5">
        <v>72</v>
      </c>
      <c r="F659" s="5">
        <v>62</v>
      </c>
      <c r="G659" s="5">
        <v>9.5</v>
      </c>
      <c r="H659" s="5">
        <f t="shared" si="30"/>
        <v>7.2962861111573185E-2</v>
      </c>
      <c r="I659" s="7">
        <f t="shared" si="31"/>
        <v>8949720000</v>
      </c>
      <c r="J659" s="7">
        <f t="shared" si="32"/>
        <v>0</v>
      </c>
    </row>
    <row r="660" spans="2:10" x14ac:dyDescent="0.2">
      <c r="B660" s="5">
        <v>62135</v>
      </c>
      <c r="C660" s="7">
        <v>3.5514199999999999E-7</v>
      </c>
      <c r="D660" s="5" t="s">
        <v>1832</v>
      </c>
      <c r="E660" s="5">
        <v>73</v>
      </c>
      <c r="F660" s="5">
        <v>62</v>
      </c>
      <c r="G660" s="5">
        <v>10.3</v>
      </c>
      <c r="H660" s="5">
        <f t="shared" si="30"/>
        <v>6.7295842772810213E-2</v>
      </c>
      <c r="I660" s="7">
        <f t="shared" si="31"/>
        <v>4432172160</v>
      </c>
      <c r="J660" s="7">
        <f t="shared" si="32"/>
        <v>0</v>
      </c>
    </row>
    <row r="661" spans="2:10" x14ac:dyDescent="0.2">
      <c r="B661" s="5">
        <v>62136</v>
      </c>
      <c r="C661" s="7">
        <v>2.3054900000000001E-7</v>
      </c>
      <c r="D661" s="5" t="s">
        <v>1833</v>
      </c>
      <c r="E661" s="5">
        <v>74</v>
      </c>
      <c r="F661" s="5">
        <v>62</v>
      </c>
      <c r="G661" s="5">
        <v>47</v>
      </c>
      <c r="H661" s="5">
        <f t="shared" si="30"/>
        <v>1.4747812352339261E-2</v>
      </c>
      <c r="I661" s="7">
        <f t="shared" si="31"/>
        <v>2877251520</v>
      </c>
      <c r="J661" s="7">
        <f t="shared" si="32"/>
        <v>0</v>
      </c>
    </row>
    <row r="662" spans="2:10" x14ac:dyDescent="0.2">
      <c r="B662" s="5">
        <v>62137</v>
      </c>
      <c r="C662" s="7">
        <v>8.1665999999999998E-8</v>
      </c>
      <c r="D662" s="5" t="s">
        <v>1834</v>
      </c>
      <c r="E662" s="5">
        <v>75</v>
      </c>
      <c r="F662" s="5">
        <v>62</v>
      </c>
      <c r="G662" s="5">
        <v>45</v>
      </c>
      <c r="H662" s="5">
        <f t="shared" si="30"/>
        <v>1.5403270679109895E-2</v>
      </c>
      <c r="I662" s="7">
        <f t="shared" si="31"/>
        <v>1019191680</v>
      </c>
      <c r="J662" s="7">
        <f t="shared" si="32"/>
        <v>0</v>
      </c>
    </row>
    <row r="663" spans="2:10" x14ac:dyDescent="0.2">
      <c r="B663" s="5">
        <v>62138</v>
      </c>
      <c r="C663" s="7">
        <v>3.8041000000000003E-8</v>
      </c>
      <c r="D663" s="5" t="s">
        <v>1835</v>
      </c>
      <c r="E663" s="5">
        <v>76</v>
      </c>
      <c r="F663" s="5">
        <v>62</v>
      </c>
      <c r="G663" s="5">
        <v>186</v>
      </c>
      <c r="H663" s="5">
        <f t="shared" si="30"/>
        <v>3.7265977449459425E-3</v>
      </c>
      <c r="I663" s="7">
        <f t="shared" si="31"/>
        <v>474751680.00000006</v>
      </c>
      <c r="J663" s="7">
        <f t="shared" si="32"/>
        <v>0</v>
      </c>
    </row>
    <row r="664" spans="2:10" x14ac:dyDescent="0.2">
      <c r="B664" s="5">
        <v>62139</v>
      </c>
      <c r="C664" s="7">
        <v>9.3532000000000003E-9</v>
      </c>
      <c r="D664" s="5" t="s">
        <v>1836</v>
      </c>
      <c r="E664" s="5">
        <v>77</v>
      </c>
      <c r="F664" s="5">
        <v>62</v>
      </c>
      <c r="G664" s="5">
        <v>154.19999999999999</v>
      </c>
      <c r="H664" s="5">
        <f t="shared" si="30"/>
        <v>4.4951179024639775E-3</v>
      </c>
      <c r="I664" s="7">
        <f t="shared" si="31"/>
        <v>116727936</v>
      </c>
      <c r="J664" s="7">
        <f t="shared" si="32"/>
        <v>0</v>
      </c>
    </row>
    <row r="665" spans="2:10" x14ac:dyDescent="0.2">
      <c r="B665" s="5">
        <v>62140</v>
      </c>
      <c r="C665" s="7">
        <v>2.0242000000000001E-9</v>
      </c>
      <c r="D665" s="5" t="s">
        <v>1837</v>
      </c>
      <c r="E665" s="5">
        <v>78</v>
      </c>
      <c r="F665" s="5">
        <v>62</v>
      </c>
      <c r="G665" s="5">
        <v>889.2</v>
      </c>
      <c r="H665" s="5">
        <f t="shared" si="30"/>
        <v>7.7951774691851692E-4</v>
      </c>
      <c r="I665" s="7">
        <f t="shared" si="31"/>
        <v>25262016</v>
      </c>
      <c r="J665" s="7">
        <f t="shared" si="32"/>
        <v>0</v>
      </c>
    </row>
    <row r="666" spans="2:10" x14ac:dyDescent="0.2">
      <c r="B666" s="5">
        <v>62141</v>
      </c>
      <c r="C666" s="7">
        <v>2.7919999999999998E-10</v>
      </c>
      <c r="D666" s="5" t="s">
        <v>1838</v>
      </c>
      <c r="E666" s="5">
        <v>79</v>
      </c>
      <c r="F666" s="5">
        <v>62</v>
      </c>
      <c r="G666" s="5">
        <v>612</v>
      </c>
      <c r="H666" s="5">
        <f t="shared" si="30"/>
        <v>1.1325934322874924E-3</v>
      </c>
      <c r="I666" s="7">
        <f t="shared" si="31"/>
        <v>3484415.9999999995</v>
      </c>
      <c r="J666" s="7">
        <f t="shared" si="32"/>
        <v>0</v>
      </c>
    </row>
    <row r="667" spans="2:10" x14ac:dyDescent="0.2">
      <c r="B667" s="5">
        <v>62151</v>
      </c>
      <c r="C667" s="7">
        <v>4.8860000000000005E-10</v>
      </c>
      <c r="D667" s="5" t="s">
        <v>1848</v>
      </c>
      <c r="E667" s="5">
        <v>89</v>
      </c>
      <c r="F667" s="5">
        <v>62</v>
      </c>
      <c r="G667" s="5">
        <v>2840184000</v>
      </c>
      <c r="H667" s="5">
        <f t="shared" si="30"/>
        <v>2.4405009695144584E-10</v>
      </c>
      <c r="I667" s="7">
        <f t="shared" si="31"/>
        <v>1285.6270107216249</v>
      </c>
      <c r="J667" s="7">
        <f t="shared" si="32"/>
        <v>1275.770336392316</v>
      </c>
    </row>
    <row r="668" spans="2:10" x14ac:dyDescent="0.2">
      <c r="B668" s="5">
        <v>62153</v>
      </c>
      <c r="C668" s="7">
        <v>1.1866E-8</v>
      </c>
      <c r="D668" s="5" t="s">
        <v>1850</v>
      </c>
      <c r="E668" s="5">
        <v>91</v>
      </c>
      <c r="F668" s="5">
        <v>62</v>
      </c>
      <c r="G668" s="5">
        <v>166622.39999999999</v>
      </c>
      <c r="H668" s="5">
        <f t="shared" si="30"/>
        <v>4.1599879761661417E-6</v>
      </c>
      <c r="I668" s="7">
        <f t="shared" si="31"/>
        <v>144017957.07651138</v>
      </c>
      <c r="J668" s="7">
        <f t="shared" si="32"/>
        <v>1.5261333158957558E-49</v>
      </c>
    </row>
    <row r="669" spans="2:10" x14ac:dyDescent="0.2">
      <c r="B669" s="5">
        <v>62155</v>
      </c>
      <c r="C669" s="7">
        <v>9.0391000000000005E-8</v>
      </c>
      <c r="D669" s="5" t="s">
        <v>1852</v>
      </c>
      <c r="E669" s="5">
        <v>93</v>
      </c>
      <c r="F669" s="5">
        <v>62</v>
      </c>
      <c r="G669" s="5">
        <v>1338</v>
      </c>
      <c r="H669" s="5">
        <f t="shared" si="30"/>
        <v>5.1804722014943589E-4</v>
      </c>
      <c r="I669" s="7">
        <f t="shared" si="31"/>
        <v>1128079680</v>
      </c>
      <c r="J669" s="7">
        <f t="shared" si="32"/>
        <v>0</v>
      </c>
    </row>
    <row r="670" spans="2:10" x14ac:dyDescent="0.2">
      <c r="B670" s="5">
        <v>62156</v>
      </c>
      <c r="C670" s="7">
        <v>2.11983E-7</v>
      </c>
      <c r="D670" s="5" t="s">
        <v>1853</v>
      </c>
      <c r="E670" s="5">
        <v>94</v>
      </c>
      <c r="F670" s="5">
        <v>62</v>
      </c>
      <c r="G670" s="5">
        <v>33840</v>
      </c>
      <c r="H670" s="5">
        <f t="shared" si="30"/>
        <v>2.0483072711582307E-5</v>
      </c>
      <c r="I670" s="7">
        <f t="shared" si="31"/>
        <v>2645547785.4690089</v>
      </c>
      <c r="J670" s="7">
        <f t="shared" si="32"/>
        <v>7.7299952258930594E-272</v>
      </c>
    </row>
    <row r="671" spans="2:10" x14ac:dyDescent="0.2">
      <c r="B671" s="5">
        <v>62157</v>
      </c>
      <c r="C671" s="7">
        <v>2.26222E-7</v>
      </c>
      <c r="D671" s="5" t="s">
        <v>1854</v>
      </c>
      <c r="E671" s="5">
        <v>95</v>
      </c>
      <c r="F671" s="5">
        <v>62</v>
      </c>
      <c r="G671" s="5">
        <v>481.79999999999899</v>
      </c>
      <c r="H671" s="5">
        <f t="shared" si="30"/>
        <v>1.438661644997814E-3</v>
      </c>
      <c r="I671" s="7">
        <f t="shared" si="31"/>
        <v>2823250560</v>
      </c>
      <c r="J671" s="7">
        <f t="shared" si="32"/>
        <v>0</v>
      </c>
    </row>
    <row r="672" spans="2:10" x14ac:dyDescent="0.2">
      <c r="B672" s="5">
        <v>62158</v>
      </c>
      <c r="C672" s="7">
        <v>2.90298E-7</v>
      </c>
      <c r="D672" s="5" t="s">
        <v>1855</v>
      </c>
      <c r="E672" s="5">
        <v>96</v>
      </c>
      <c r="F672" s="5">
        <v>62</v>
      </c>
      <c r="G672" s="5">
        <v>318</v>
      </c>
      <c r="H672" s="5">
        <f t="shared" si="30"/>
        <v>2.1797081149683814E-3</v>
      </c>
      <c r="I672" s="7">
        <f t="shared" si="31"/>
        <v>3622919040</v>
      </c>
      <c r="J672" s="7">
        <f t="shared" si="32"/>
        <v>0</v>
      </c>
    </row>
    <row r="673" spans="2:10" x14ac:dyDescent="0.2">
      <c r="B673" s="5">
        <v>63138</v>
      </c>
      <c r="C673" s="7">
        <v>2.3850700000000001E-7</v>
      </c>
      <c r="D673" s="5" t="s">
        <v>1869</v>
      </c>
      <c r="E673" s="5">
        <v>75</v>
      </c>
      <c r="F673" s="5">
        <v>63</v>
      </c>
      <c r="G673" s="5">
        <v>12.1</v>
      </c>
      <c r="H673" s="5">
        <f t="shared" si="30"/>
        <v>5.728489095536738E-2</v>
      </c>
      <c r="I673" s="7">
        <f t="shared" si="31"/>
        <v>2976567360</v>
      </c>
      <c r="J673" s="7">
        <f t="shared" si="32"/>
        <v>0</v>
      </c>
    </row>
    <row r="674" spans="2:10" x14ac:dyDescent="0.2">
      <c r="B674" s="5">
        <v>63139</v>
      </c>
      <c r="C674" s="7">
        <v>1.89926E-7</v>
      </c>
      <c r="D674" s="5" t="s">
        <v>1870</v>
      </c>
      <c r="E674" s="5">
        <v>76</v>
      </c>
      <c r="F674" s="5">
        <v>63</v>
      </c>
      <c r="G674" s="5">
        <v>17.899999999999999</v>
      </c>
      <c r="H674" s="5">
        <f t="shared" si="30"/>
        <v>3.8723306176533259E-2</v>
      </c>
      <c r="I674" s="7">
        <f t="shared" si="31"/>
        <v>2370276480</v>
      </c>
      <c r="J674" s="7">
        <f t="shared" si="32"/>
        <v>0</v>
      </c>
    </row>
    <row r="675" spans="2:10" x14ac:dyDescent="0.2">
      <c r="B675" s="5">
        <v>63140</v>
      </c>
      <c r="C675" s="7">
        <v>8.4248599999999994E-8</v>
      </c>
      <c r="D675" s="5" t="s">
        <v>1871</v>
      </c>
      <c r="E675" s="5">
        <v>77</v>
      </c>
      <c r="F675" s="5">
        <v>63</v>
      </c>
      <c r="G675" s="5">
        <v>1.51</v>
      </c>
      <c r="H675" s="5">
        <f t="shared" si="30"/>
        <v>0.45903786792049356</v>
      </c>
      <c r="I675" s="7">
        <f t="shared" si="31"/>
        <v>1051422527.9999999</v>
      </c>
      <c r="J675" s="7">
        <f t="shared" si="32"/>
        <v>0</v>
      </c>
    </row>
    <row r="676" spans="2:10" x14ac:dyDescent="0.2">
      <c r="B676" s="5">
        <v>63141</v>
      </c>
      <c r="C676" s="7">
        <v>5.3606399999999999E-8</v>
      </c>
      <c r="D676" s="5" t="s">
        <v>1872</v>
      </c>
      <c r="E676" s="5">
        <v>78</v>
      </c>
      <c r="F676" s="5">
        <v>63</v>
      </c>
      <c r="G676" s="5">
        <v>40.700000000000003</v>
      </c>
      <c r="H676" s="5">
        <f t="shared" si="30"/>
        <v>1.7030643257001113E-2</v>
      </c>
      <c r="I676" s="7">
        <f t="shared" si="31"/>
        <v>669007872</v>
      </c>
      <c r="J676" s="7">
        <f t="shared" si="32"/>
        <v>0</v>
      </c>
    </row>
    <row r="677" spans="2:10" x14ac:dyDescent="0.2">
      <c r="B677" s="5">
        <v>63142</v>
      </c>
      <c r="C677" s="7">
        <v>1.3960000000000001E-8</v>
      </c>
      <c r="D677" s="5" t="s">
        <v>1873</v>
      </c>
      <c r="E677" s="5">
        <v>79</v>
      </c>
      <c r="F677" s="5">
        <v>63</v>
      </c>
      <c r="G677" s="5">
        <v>2.34</v>
      </c>
      <c r="H677" s="5">
        <f t="shared" si="30"/>
        <v>0.29621674382903646</v>
      </c>
      <c r="I677" s="7">
        <f t="shared" si="31"/>
        <v>174220800</v>
      </c>
      <c r="J677" s="7">
        <f t="shared" si="32"/>
        <v>0</v>
      </c>
    </row>
    <row r="678" spans="2:10" x14ac:dyDescent="0.2">
      <c r="B678" s="5">
        <v>63143</v>
      </c>
      <c r="C678" s="7">
        <v>7.0498000000000002E-9</v>
      </c>
      <c r="D678" s="5" t="s">
        <v>1874</v>
      </c>
      <c r="E678" s="5">
        <v>80</v>
      </c>
      <c r="F678" s="5">
        <v>63</v>
      </c>
      <c r="G678" s="5">
        <v>155.39999999999901</v>
      </c>
      <c r="H678" s="5">
        <f t="shared" si="30"/>
        <v>4.4604065673098433E-3</v>
      </c>
      <c r="I678" s="7">
        <f t="shared" si="31"/>
        <v>87981504</v>
      </c>
      <c r="J678" s="7">
        <f t="shared" si="32"/>
        <v>0</v>
      </c>
    </row>
    <row r="679" spans="2:10" x14ac:dyDescent="0.2">
      <c r="B679" s="5">
        <v>63144</v>
      </c>
      <c r="C679" s="7">
        <v>9.0739999999999999E-10</v>
      </c>
      <c r="D679" s="5" t="s">
        <v>1875</v>
      </c>
      <c r="E679" s="5">
        <v>81</v>
      </c>
      <c r="F679" s="5">
        <v>63</v>
      </c>
      <c r="G679" s="5">
        <v>10.199999999999999</v>
      </c>
      <c r="H679" s="5">
        <f t="shared" si="30"/>
        <v>6.7955605937249544E-2</v>
      </c>
      <c r="I679" s="7">
        <f t="shared" si="31"/>
        <v>11324352</v>
      </c>
      <c r="J679" s="7">
        <f t="shared" si="32"/>
        <v>0</v>
      </c>
    </row>
    <row r="680" spans="2:10" x14ac:dyDescent="0.2">
      <c r="B680" s="5">
        <v>63145</v>
      </c>
      <c r="C680" s="7">
        <v>4.1879999999999999E-10</v>
      </c>
      <c r="D680" s="5" t="s">
        <v>1876</v>
      </c>
      <c r="E680" s="5">
        <v>82</v>
      </c>
      <c r="F680" s="5">
        <v>63</v>
      </c>
      <c r="G680" s="5">
        <v>512352</v>
      </c>
      <c r="H680" s="5">
        <f t="shared" si="30"/>
        <v>1.3528729868526819E-6</v>
      </c>
      <c r="I680" s="7">
        <f t="shared" si="31"/>
        <v>3602638.5175607861</v>
      </c>
      <c r="J680" s="7">
        <f t="shared" si="32"/>
        <v>1.0660877709257953E-12</v>
      </c>
    </row>
    <row r="681" spans="2:10" x14ac:dyDescent="0.2">
      <c r="B681" s="5">
        <v>63146</v>
      </c>
      <c r="C681" s="7">
        <v>6.9799999999999994E-11</v>
      </c>
      <c r="D681" s="5" t="s">
        <v>1877</v>
      </c>
      <c r="E681" s="5">
        <v>83</v>
      </c>
      <c r="F681" s="5">
        <v>63</v>
      </c>
      <c r="G681" s="5">
        <v>398304</v>
      </c>
      <c r="H681" s="5">
        <f t="shared" si="30"/>
        <v>1.7402465969710203E-6</v>
      </c>
      <c r="I681" s="7">
        <f t="shared" si="31"/>
        <v>677427.67982754926</v>
      </c>
      <c r="J681" s="7">
        <f t="shared" si="32"/>
        <v>9.9220362285245924E-19</v>
      </c>
    </row>
    <row r="682" spans="2:10" x14ac:dyDescent="0.2">
      <c r="B682" s="5">
        <v>63147</v>
      </c>
      <c r="C682" s="7">
        <v>6.9799999999999994E-11</v>
      </c>
      <c r="D682" s="5" t="s">
        <v>1878</v>
      </c>
      <c r="E682" s="5">
        <v>84</v>
      </c>
      <c r="F682" s="5">
        <v>63</v>
      </c>
      <c r="G682" s="5">
        <v>2082240</v>
      </c>
      <c r="H682" s="5">
        <f t="shared" si="30"/>
        <v>3.3288534489777611E-7</v>
      </c>
      <c r="I682" s="7">
        <f t="shared" si="31"/>
        <v>217730.83096009956</v>
      </c>
      <c r="J682" s="7">
        <f t="shared" si="32"/>
        <v>6.0083046574912027</v>
      </c>
    </row>
    <row r="683" spans="2:10" x14ac:dyDescent="0.2">
      <c r="B683" s="5">
        <v>63154</v>
      </c>
      <c r="C683" s="7">
        <v>3.4899999999999998E-10</v>
      </c>
      <c r="D683" s="5" t="s">
        <v>1885</v>
      </c>
      <c r="E683" s="5">
        <v>91</v>
      </c>
      <c r="F683" s="5">
        <v>63</v>
      </c>
      <c r="G683" s="5">
        <v>271426917.60000002</v>
      </c>
      <c r="H683" s="5">
        <f t="shared" si="30"/>
        <v>2.5537156988292206E-9</v>
      </c>
      <c r="I683" s="7">
        <f t="shared" si="31"/>
        <v>9599.4703878302789</v>
      </c>
      <c r="J683" s="7">
        <f t="shared" si="32"/>
        <v>8856.6974846942194</v>
      </c>
    </row>
    <row r="684" spans="2:10" x14ac:dyDescent="0.2">
      <c r="B684" s="5">
        <v>63155</v>
      </c>
      <c r="C684" s="7">
        <v>1.7450000000000001E-9</v>
      </c>
      <c r="D684" s="5" t="s">
        <v>1886</v>
      </c>
      <c r="E684" s="5">
        <v>92</v>
      </c>
      <c r="F684" s="5">
        <v>63</v>
      </c>
      <c r="G684" s="5">
        <v>149993272.80000001</v>
      </c>
      <c r="H684" s="5">
        <f t="shared" si="30"/>
        <v>4.6211884547927889E-9</v>
      </c>
      <c r="I684" s="7">
        <f t="shared" si="31"/>
        <v>86778.216878722378</v>
      </c>
      <c r="J684" s="7">
        <f t="shared" si="32"/>
        <v>75010.029663526162</v>
      </c>
    </row>
    <row r="685" spans="2:10" x14ac:dyDescent="0.2">
      <c r="B685" s="5">
        <v>63156</v>
      </c>
      <c r="C685" s="7">
        <v>4.8859999999999999E-9</v>
      </c>
      <c r="D685" s="5" t="s">
        <v>1887</v>
      </c>
      <c r="E685" s="5">
        <v>93</v>
      </c>
      <c r="F685" s="5">
        <v>63</v>
      </c>
      <c r="G685" s="5">
        <v>1312416</v>
      </c>
      <c r="H685" s="5">
        <f t="shared" si="30"/>
        <v>5.2814593890957231E-7</v>
      </c>
      <c r="I685" s="7">
        <f t="shared" si="31"/>
        <v>22341327.899263859</v>
      </c>
      <c r="J685" s="7">
        <f t="shared" si="32"/>
        <v>1.3051767351244947</v>
      </c>
    </row>
    <row r="686" spans="2:10" x14ac:dyDescent="0.2">
      <c r="B686" s="5">
        <v>63157</v>
      </c>
      <c r="C686" s="7">
        <v>1.9683600000000001E-8</v>
      </c>
      <c r="D686" s="5" t="s">
        <v>1888</v>
      </c>
      <c r="E686" s="5">
        <v>94</v>
      </c>
      <c r="F686" s="5">
        <v>63</v>
      </c>
      <c r="G686" s="5">
        <v>54648</v>
      </c>
      <c r="H686" s="5">
        <f t="shared" si="30"/>
        <v>1.2683852667251232E-5</v>
      </c>
      <c r="I686" s="7">
        <f t="shared" si="31"/>
        <v>245647052.84765017</v>
      </c>
      <c r="J686" s="7">
        <f t="shared" si="32"/>
        <v>4.7140812568904815E-166</v>
      </c>
    </row>
    <row r="687" spans="2:10" x14ac:dyDescent="0.2">
      <c r="B687" s="5">
        <v>63158</v>
      </c>
      <c r="C687" s="7">
        <v>3.3364400000000002E-8</v>
      </c>
      <c r="D687" s="5" t="s">
        <v>1889</v>
      </c>
      <c r="E687" s="5">
        <v>95</v>
      </c>
      <c r="F687" s="5">
        <v>63</v>
      </c>
      <c r="G687" s="5">
        <v>2754</v>
      </c>
      <c r="H687" s="5">
        <f t="shared" si="30"/>
        <v>2.5168742939722053E-4</v>
      </c>
      <c r="I687" s="7">
        <f t="shared" si="31"/>
        <v>416387712</v>
      </c>
      <c r="J687" s="7">
        <f t="shared" si="32"/>
        <v>0</v>
      </c>
    </row>
    <row r="688" spans="2:10" x14ac:dyDescent="0.2">
      <c r="B688" s="5">
        <v>63159</v>
      </c>
      <c r="C688" s="7">
        <v>6.6938199999999998E-8</v>
      </c>
      <c r="D688" s="5" t="s">
        <v>1890</v>
      </c>
      <c r="E688" s="5">
        <v>96</v>
      </c>
      <c r="F688" s="5">
        <v>63</v>
      </c>
      <c r="G688" s="5">
        <v>1086</v>
      </c>
      <c r="H688" s="5">
        <f t="shared" si="30"/>
        <v>6.3825707233880783E-4</v>
      </c>
      <c r="I688" s="7">
        <f t="shared" si="31"/>
        <v>835388736</v>
      </c>
      <c r="J688" s="7">
        <f t="shared" si="32"/>
        <v>0</v>
      </c>
    </row>
    <row r="689" spans="2:10" x14ac:dyDescent="0.2">
      <c r="B689" s="5">
        <v>63160</v>
      </c>
      <c r="C689" s="7">
        <v>7.8385400000000005E-8</v>
      </c>
      <c r="D689" s="5" t="s">
        <v>1891</v>
      </c>
      <c r="E689" s="5">
        <v>97</v>
      </c>
      <c r="F689" s="5">
        <v>63</v>
      </c>
      <c r="G689" s="5">
        <v>38</v>
      </c>
      <c r="H689" s="5">
        <f t="shared" si="30"/>
        <v>1.8240715277893296E-2</v>
      </c>
      <c r="I689" s="7">
        <f t="shared" si="31"/>
        <v>978249792.00000012</v>
      </c>
      <c r="J689" s="7">
        <f t="shared" si="32"/>
        <v>0</v>
      </c>
    </row>
    <row r="690" spans="2:10" x14ac:dyDescent="0.2">
      <c r="B690" s="5">
        <v>64142</v>
      </c>
      <c r="C690" s="7">
        <v>8.7668800000000005E-8</v>
      </c>
      <c r="D690" s="5" t="s">
        <v>1907</v>
      </c>
      <c r="E690" s="5">
        <v>78</v>
      </c>
      <c r="F690" s="5">
        <v>64</v>
      </c>
      <c r="G690" s="5">
        <v>70.2</v>
      </c>
      <c r="H690" s="5">
        <f t="shared" si="30"/>
        <v>9.8738914609678811E-3</v>
      </c>
      <c r="I690" s="7">
        <f t="shared" si="31"/>
        <v>1094106624</v>
      </c>
      <c r="J690" s="7">
        <f t="shared" si="32"/>
        <v>0</v>
      </c>
    </row>
    <row r="691" spans="2:10" x14ac:dyDescent="0.2">
      <c r="B691" s="5">
        <v>64143</v>
      </c>
      <c r="C691" s="7">
        <v>6.0935400000000004E-8</v>
      </c>
      <c r="D691" s="5" t="s">
        <v>1908</v>
      </c>
      <c r="E691" s="5">
        <v>79</v>
      </c>
      <c r="F691" s="5">
        <v>64</v>
      </c>
      <c r="G691" s="5">
        <v>39</v>
      </c>
      <c r="H691" s="5">
        <f t="shared" si="30"/>
        <v>1.7773004629742187E-2</v>
      </c>
      <c r="I691" s="7">
        <f t="shared" si="31"/>
        <v>760473792</v>
      </c>
      <c r="J691" s="7">
        <f t="shared" si="32"/>
        <v>0</v>
      </c>
    </row>
    <row r="692" spans="2:10" x14ac:dyDescent="0.2">
      <c r="B692" s="5">
        <v>64144</v>
      </c>
      <c r="C692" s="7">
        <v>4.4951200000000001E-8</v>
      </c>
      <c r="D692" s="5" t="s">
        <v>1909</v>
      </c>
      <c r="E692" s="5">
        <v>80</v>
      </c>
      <c r="F692" s="5">
        <v>64</v>
      </c>
      <c r="G692" s="5">
        <v>268.2</v>
      </c>
      <c r="H692" s="5">
        <f t="shared" si="30"/>
        <v>2.5844413891123988E-3</v>
      </c>
      <c r="I692" s="7">
        <f t="shared" si="31"/>
        <v>560990976</v>
      </c>
      <c r="J692" s="7">
        <f t="shared" si="32"/>
        <v>0</v>
      </c>
    </row>
    <row r="693" spans="2:10" x14ac:dyDescent="0.2">
      <c r="B693" s="5">
        <v>64145</v>
      </c>
      <c r="C693" s="7">
        <v>1.8845999999999999E-8</v>
      </c>
      <c r="D693" s="5" t="s">
        <v>1910</v>
      </c>
      <c r="E693" s="5">
        <v>81</v>
      </c>
      <c r="F693" s="5">
        <v>64</v>
      </c>
      <c r="G693" s="5">
        <v>1380</v>
      </c>
      <c r="H693" s="5">
        <f t="shared" si="30"/>
        <v>5.0228056562314871E-4</v>
      </c>
      <c r="I693" s="7">
        <f t="shared" si="31"/>
        <v>235198080</v>
      </c>
      <c r="J693" s="7">
        <f t="shared" si="32"/>
        <v>0</v>
      </c>
    </row>
    <row r="694" spans="2:10" x14ac:dyDescent="0.2">
      <c r="B694" s="5">
        <v>64146</v>
      </c>
      <c r="C694" s="7">
        <v>9.7719999999999998E-9</v>
      </c>
      <c r="D694" s="5" t="s">
        <v>1911</v>
      </c>
      <c r="E694" s="5">
        <v>82</v>
      </c>
      <c r="F694" s="5">
        <v>64</v>
      </c>
      <c r="G694" s="5">
        <v>4170528</v>
      </c>
      <c r="H694" s="5">
        <f t="shared" si="30"/>
        <v>1.6620130126447905E-7</v>
      </c>
      <c r="I694" s="7">
        <f t="shared" si="31"/>
        <v>16313133.36280301</v>
      </c>
      <c r="J694" s="7">
        <f t="shared" si="32"/>
        <v>86349.373868101859</v>
      </c>
    </row>
    <row r="695" spans="2:10" x14ac:dyDescent="0.2">
      <c r="B695" s="5">
        <v>64147</v>
      </c>
      <c r="C695" s="7">
        <v>2.8618000000000002E-9</v>
      </c>
      <c r="D695" s="5" t="s">
        <v>1912</v>
      </c>
      <c r="E695" s="5">
        <v>83</v>
      </c>
      <c r="F695" s="5">
        <v>64</v>
      </c>
      <c r="G695" s="5">
        <v>137016</v>
      </c>
      <c r="H695" s="5">
        <f t="shared" si="30"/>
        <v>5.0588776534123408E-6</v>
      </c>
      <c r="I695" s="7">
        <f t="shared" si="31"/>
        <v>35263814.667191967</v>
      </c>
      <c r="J695" s="7">
        <f t="shared" si="32"/>
        <v>1.8255439611352616E-62</v>
      </c>
    </row>
    <row r="696" spans="2:10" x14ac:dyDescent="0.2">
      <c r="B696" s="5">
        <v>64148</v>
      </c>
      <c r="C696" s="7">
        <v>1.1167999999999999E-9</v>
      </c>
      <c r="D696" s="5" t="s">
        <v>1913</v>
      </c>
      <c r="E696" s="5">
        <v>84</v>
      </c>
      <c r="F696" s="5">
        <v>64</v>
      </c>
      <c r="G696" s="5">
        <v>2243745360</v>
      </c>
      <c r="H696" s="5">
        <f t="shared" si="30"/>
        <v>3.0892417335626059E-10</v>
      </c>
      <c r="I696" s="7">
        <f t="shared" si="31"/>
        <v>3719.6122450381076</v>
      </c>
      <c r="J696" s="7">
        <f t="shared" si="32"/>
        <v>3683.5508612928743</v>
      </c>
    </row>
    <row r="697" spans="2:10" x14ac:dyDescent="0.2">
      <c r="B697" s="5">
        <v>64149</v>
      </c>
      <c r="C697" s="7">
        <v>4.8860000000000005E-10</v>
      </c>
      <c r="D697" s="5" t="s">
        <v>1914</v>
      </c>
      <c r="E697" s="5">
        <v>85</v>
      </c>
      <c r="F697" s="5">
        <v>64</v>
      </c>
      <c r="G697" s="5">
        <v>801792</v>
      </c>
      <c r="H697" s="5">
        <f t="shared" si="30"/>
        <v>8.6449750129702627E-7</v>
      </c>
      <c r="I697" s="7">
        <f t="shared" si="31"/>
        <v>3208496.9280251316</v>
      </c>
      <c r="J697" s="7">
        <f t="shared" si="32"/>
        <v>4.6368279258628917E-6</v>
      </c>
    </row>
    <row r="698" spans="2:10" x14ac:dyDescent="0.2">
      <c r="B698" s="5">
        <v>64159</v>
      </c>
      <c r="C698" s="7">
        <v>1.6054000000000001E-9</v>
      </c>
      <c r="D698" s="5" t="s">
        <v>1924</v>
      </c>
      <c r="E698" s="5">
        <v>95</v>
      </c>
      <c r="F698" s="5">
        <v>64</v>
      </c>
      <c r="G698" s="5">
        <v>66524.399999999994</v>
      </c>
      <c r="H698" s="5">
        <f t="shared" si="30"/>
        <v>1.0419442799332956E-5</v>
      </c>
      <c r="I698" s="7">
        <f t="shared" si="31"/>
        <v>20032925.359730292</v>
      </c>
      <c r="J698" s="7">
        <f t="shared" si="32"/>
        <v>3.9626471466575639E-136</v>
      </c>
    </row>
    <row r="699" spans="2:10" x14ac:dyDescent="0.2">
      <c r="B699" s="5">
        <v>64160</v>
      </c>
      <c r="C699" s="7">
        <v>7.3289999999999998E-9</v>
      </c>
      <c r="D699" s="5" t="s">
        <v>1925</v>
      </c>
      <c r="E699" s="5">
        <v>96</v>
      </c>
      <c r="F699" s="5">
        <v>64</v>
      </c>
      <c r="G699" s="5">
        <v>9.7828559999999996E+26</v>
      </c>
      <c r="H699" s="5">
        <f t="shared" si="30"/>
        <v>7.0853253953645573E-28</v>
      </c>
      <c r="I699" s="7">
        <f t="shared" si="31"/>
        <v>0</v>
      </c>
      <c r="J699" s="7">
        <f t="shared" si="32"/>
        <v>0</v>
      </c>
    </row>
    <row r="700" spans="2:10" x14ac:dyDescent="0.2">
      <c r="B700" s="5">
        <v>64161</v>
      </c>
      <c r="C700" s="7">
        <v>1.1307599999999999E-8</v>
      </c>
      <c r="D700" s="5" t="s">
        <v>1926</v>
      </c>
      <c r="E700" s="5">
        <v>97</v>
      </c>
      <c r="F700" s="5">
        <v>64</v>
      </c>
      <c r="G700" s="5">
        <v>219.6</v>
      </c>
      <c r="H700" s="5">
        <f t="shared" si="30"/>
        <v>3.1564079260471096E-3</v>
      </c>
      <c r="I700" s="7">
        <f t="shared" si="31"/>
        <v>141118848</v>
      </c>
      <c r="J700" s="7">
        <f t="shared" si="32"/>
        <v>0</v>
      </c>
    </row>
    <row r="701" spans="2:10" x14ac:dyDescent="0.2">
      <c r="B701" s="5">
        <v>64162</v>
      </c>
      <c r="C701" s="7">
        <v>1.77292E-8</v>
      </c>
      <c r="D701" s="5" t="s">
        <v>1927</v>
      </c>
      <c r="E701" s="5">
        <v>98</v>
      </c>
      <c r="F701" s="5">
        <v>64</v>
      </c>
      <c r="G701" s="5">
        <v>504</v>
      </c>
      <c r="H701" s="5">
        <f t="shared" si="30"/>
        <v>1.3752920249205263E-3</v>
      </c>
      <c r="I701" s="7">
        <f t="shared" si="31"/>
        <v>221260416</v>
      </c>
      <c r="J701" s="7">
        <f t="shared" si="32"/>
        <v>0</v>
      </c>
    </row>
    <row r="702" spans="2:10" x14ac:dyDescent="0.2">
      <c r="B702" s="5">
        <v>64163</v>
      </c>
      <c r="C702" s="7">
        <v>2.0660800000000001E-8</v>
      </c>
      <c r="D702" s="5" t="s">
        <v>1928</v>
      </c>
      <c r="E702" s="5">
        <v>99</v>
      </c>
      <c r="F702" s="5">
        <v>64</v>
      </c>
      <c r="G702" s="5">
        <v>68</v>
      </c>
      <c r="H702" s="5">
        <f t="shared" si="30"/>
        <v>1.0193340890587431E-2</v>
      </c>
      <c r="I702" s="7">
        <f t="shared" si="31"/>
        <v>257846784.00000003</v>
      </c>
      <c r="J702" s="7">
        <f t="shared" si="32"/>
        <v>0</v>
      </c>
    </row>
    <row r="703" spans="2:10" x14ac:dyDescent="0.2">
      <c r="B703" s="5">
        <v>65144</v>
      </c>
      <c r="C703" s="7">
        <v>1.8497E-8</v>
      </c>
      <c r="D703" s="5" t="s">
        <v>1943</v>
      </c>
      <c r="E703" s="5">
        <v>79</v>
      </c>
      <c r="F703" s="5">
        <v>65</v>
      </c>
      <c r="G703" s="5">
        <v>1</v>
      </c>
      <c r="H703" s="5">
        <f t="shared" si="30"/>
        <v>0.69314718055994529</v>
      </c>
      <c r="I703" s="7">
        <f t="shared" si="31"/>
        <v>230842560</v>
      </c>
      <c r="J703" s="7">
        <f t="shared" si="32"/>
        <v>0</v>
      </c>
    </row>
    <row r="704" spans="2:10" x14ac:dyDescent="0.2">
      <c r="B704" s="5">
        <v>65145</v>
      </c>
      <c r="C704" s="7">
        <v>1.1447200000000001E-8</v>
      </c>
      <c r="D704" s="5" t="s">
        <v>1944</v>
      </c>
      <c r="E704" s="5">
        <v>80</v>
      </c>
      <c r="F704" s="5">
        <v>65</v>
      </c>
      <c r="G704" s="5">
        <v>30.9</v>
      </c>
      <c r="H704" s="5">
        <f t="shared" si="30"/>
        <v>2.2431947590936741E-2</v>
      </c>
      <c r="I704" s="7">
        <f t="shared" si="31"/>
        <v>142861056</v>
      </c>
      <c r="J704" s="7">
        <f t="shared" si="32"/>
        <v>0</v>
      </c>
    </row>
    <row r="705" spans="2:10" x14ac:dyDescent="0.2">
      <c r="B705" s="5">
        <v>65146</v>
      </c>
      <c r="C705" s="7">
        <v>8.376E-9</v>
      </c>
      <c r="D705" s="5" t="s">
        <v>1945</v>
      </c>
      <c r="E705" s="5">
        <v>81</v>
      </c>
      <c r="F705" s="5">
        <v>65</v>
      </c>
      <c r="G705" s="5">
        <v>8</v>
      </c>
      <c r="H705" s="5">
        <f t="shared" si="30"/>
        <v>8.6643397569993161E-2</v>
      </c>
      <c r="I705" s="7">
        <f t="shared" si="31"/>
        <v>104532480</v>
      </c>
      <c r="J705" s="7">
        <f t="shared" si="32"/>
        <v>0</v>
      </c>
    </row>
    <row r="706" spans="2:10" x14ac:dyDescent="0.2">
      <c r="B706" s="5">
        <v>65147</v>
      </c>
      <c r="C706" s="7">
        <v>3.0014E-9</v>
      </c>
      <c r="D706" s="5" t="s">
        <v>1946</v>
      </c>
      <c r="E706" s="5">
        <v>82</v>
      </c>
      <c r="F706" s="5">
        <v>65</v>
      </c>
      <c r="G706" s="5">
        <v>5904</v>
      </c>
      <c r="H706" s="5">
        <f t="shared" si="30"/>
        <v>1.174029777371181E-4</v>
      </c>
      <c r="I706" s="7">
        <f t="shared" si="31"/>
        <v>37457472</v>
      </c>
      <c r="J706" s="7">
        <f t="shared" si="32"/>
        <v>0</v>
      </c>
    </row>
    <row r="707" spans="2:10" x14ac:dyDescent="0.2">
      <c r="B707" s="5">
        <v>65148</v>
      </c>
      <c r="C707" s="7">
        <v>1.2563999999999999E-9</v>
      </c>
      <c r="D707" s="5" t="s">
        <v>1947</v>
      </c>
      <c r="E707" s="5">
        <v>83</v>
      </c>
      <c r="F707" s="5">
        <v>65</v>
      </c>
      <c r="G707" s="5">
        <v>3600</v>
      </c>
      <c r="H707" s="5">
        <f t="shared" si="30"/>
        <v>1.9254088348887369E-4</v>
      </c>
      <c r="I707" s="7">
        <f t="shared" si="31"/>
        <v>15679871.999999998</v>
      </c>
      <c r="J707" s="7">
        <f t="shared" si="32"/>
        <v>0</v>
      </c>
    </row>
    <row r="708" spans="2:10" x14ac:dyDescent="0.2">
      <c r="B708" s="5">
        <v>65149</v>
      </c>
      <c r="C708" s="7">
        <v>3.4899999999999998E-10</v>
      </c>
      <c r="D708" s="5" t="s">
        <v>1948</v>
      </c>
      <c r="E708" s="5">
        <v>84</v>
      </c>
      <c r="F708" s="5">
        <v>65</v>
      </c>
      <c r="G708" s="5">
        <v>14824.8</v>
      </c>
      <c r="H708" s="5">
        <f t="shared" ref="H708:H763" si="33">LN(2)/G708</f>
        <v>4.6755921196909595E-5</v>
      </c>
      <c r="I708" s="7">
        <f t="shared" ref="I708:I763" si="34">2*6240000000000000*C708*(1-EXP(-H708*10*24*3600))</f>
        <v>4355520</v>
      </c>
      <c r="J708" s="7">
        <f t="shared" ref="J708:J763" si="35">EXP(-H708*365*24*3600)*I708</f>
        <v>0</v>
      </c>
    </row>
    <row r="709" spans="2:10" x14ac:dyDescent="0.2">
      <c r="B709" s="5">
        <v>65150</v>
      </c>
      <c r="C709" s="7">
        <v>6.9799999999999994E-11</v>
      </c>
      <c r="D709" s="5" t="s">
        <v>1949</v>
      </c>
      <c r="E709" s="5">
        <v>85</v>
      </c>
      <c r="F709" s="5">
        <v>65</v>
      </c>
      <c r="G709" s="5">
        <v>12528</v>
      </c>
      <c r="H709" s="5">
        <f t="shared" si="33"/>
        <v>5.5327840083009681E-5</v>
      </c>
      <c r="I709" s="7">
        <f t="shared" si="34"/>
        <v>871103.99999999988</v>
      </c>
      <c r="J709" s="7">
        <f t="shared" si="35"/>
        <v>0</v>
      </c>
    </row>
    <row r="710" spans="2:10" x14ac:dyDescent="0.2">
      <c r="B710" s="5">
        <v>65160</v>
      </c>
      <c r="C710" s="7">
        <v>6.9799999999999994E-11</v>
      </c>
      <c r="D710" s="5" t="s">
        <v>1959</v>
      </c>
      <c r="E710" s="5">
        <v>95</v>
      </c>
      <c r="F710" s="5">
        <v>65</v>
      </c>
      <c r="G710" s="5">
        <v>6246720</v>
      </c>
      <c r="H710" s="5">
        <f t="shared" si="33"/>
        <v>1.1096178163259204E-7</v>
      </c>
      <c r="I710" s="7">
        <f t="shared" si="34"/>
        <v>79635.252506085802</v>
      </c>
      <c r="J710" s="7">
        <f t="shared" si="35"/>
        <v>2406.4824570762144</v>
      </c>
    </row>
    <row r="711" spans="2:10" x14ac:dyDescent="0.2">
      <c r="B711" s="5">
        <v>65161</v>
      </c>
      <c r="C711" s="7">
        <v>2.094E-10</v>
      </c>
      <c r="D711" s="5" t="s">
        <v>1960</v>
      </c>
      <c r="E711" s="5">
        <v>96</v>
      </c>
      <c r="F711" s="5">
        <v>65</v>
      </c>
      <c r="G711" s="5">
        <v>595296</v>
      </c>
      <c r="H711" s="5">
        <f t="shared" si="33"/>
        <v>1.1643739930386654E-6</v>
      </c>
      <c r="I711" s="7">
        <f t="shared" si="34"/>
        <v>1657697.5550979346</v>
      </c>
      <c r="J711" s="7">
        <f t="shared" si="35"/>
        <v>1.8721600440339491E-10</v>
      </c>
    </row>
    <row r="712" spans="2:10" x14ac:dyDescent="0.2">
      <c r="B712" s="5">
        <v>65162</v>
      </c>
      <c r="C712" s="7">
        <v>8.3759999999999998E-10</v>
      </c>
      <c r="D712" s="5" t="s">
        <v>1961</v>
      </c>
      <c r="E712" s="5">
        <v>97</v>
      </c>
      <c r="F712" s="5">
        <v>65</v>
      </c>
      <c r="G712" s="5">
        <v>456</v>
      </c>
      <c r="H712" s="5">
        <f t="shared" si="33"/>
        <v>1.520059606491108E-3</v>
      </c>
      <c r="I712" s="7">
        <f t="shared" si="34"/>
        <v>10453248</v>
      </c>
      <c r="J712" s="7">
        <f t="shared" si="35"/>
        <v>0</v>
      </c>
    </row>
    <row r="713" spans="2:10" x14ac:dyDescent="0.2">
      <c r="B713" s="5">
        <v>65163</v>
      </c>
      <c r="C713" s="7">
        <v>1.6054000000000001E-9</v>
      </c>
      <c r="D713" s="5" t="s">
        <v>1962</v>
      </c>
      <c r="E713" s="5">
        <v>98</v>
      </c>
      <c r="F713" s="5">
        <v>65</v>
      </c>
      <c r="G713" s="5">
        <v>1170</v>
      </c>
      <c r="H713" s="5">
        <f t="shared" si="33"/>
        <v>5.9243348765807284E-4</v>
      </c>
      <c r="I713" s="7">
        <f t="shared" si="34"/>
        <v>20035392</v>
      </c>
      <c r="J713" s="7">
        <f t="shared" si="35"/>
        <v>0</v>
      </c>
    </row>
    <row r="714" spans="2:10" x14ac:dyDescent="0.2">
      <c r="B714" s="5">
        <v>65164</v>
      </c>
      <c r="C714" s="7">
        <v>2.5127999999999998E-9</v>
      </c>
      <c r="D714" s="5" t="s">
        <v>1963</v>
      </c>
      <c r="E714" s="5">
        <v>99</v>
      </c>
      <c r="F714" s="5">
        <v>65</v>
      </c>
      <c r="G714" s="5">
        <v>180</v>
      </c>
      <c r="H714" s="5">
        <f t="shared" si="33"/>
        <v>3.8508176697774738E-3</v>
      </c>
      <c r="I714" s="7">
        <f t="shared" si="34"/>
        <v>31359743.999999996</v>
      </c>
      <c r="J714" s="7">
        <f t="shared" si="35"/>
        <v>0</v>
      </c>
    </row>
    <row r="715" spans="2:10" x14ac:dyDescent="0.2">
      <c r="B715" s="5">
        <v>65165</v>
      </c>
      <c r="C715" s="7">
        <v>5.0953999999999996E-9</v>
      </c>
      <c r="D715" s="5" t="s">
        <v>1964</v>
      </c>
      <c r="E715" s="5">
        <v>100</v>
      </c>
      <c r="F715" s="5">
        <v>65</v>
      </c>
      <c r="G715" s="5">
        <v>126.6</v>
      </c>
      <c r="H715" s="5">
        <f t="shared" si="33"/>
        <v>5.4750962129537541E-3</v>
      </c>
      <c r="I715" s="7">
        <f t="shared" si="34"/>
        <v>63590591.999999993</v>
      </c>
      <c r="J715" s="7">
        <f t="shared" si="35"/>
        <v>0</v>
      </c>
    </row>
    <row r="716" spans="2:10" x14ac:dyDescent="0.2">
      <c r="B716" s="5">
        <v>66145</v>
      </c>
      <c r="C716" s="7">
        <v>4.4671999999999996E-9</v>
      </c>
      <c r="D716" s="5" t="s">
        <v>1977</v>
      </c>
      <c r="E716" s="5">
        <v>79</v>
      </c>
      <c r="F716" s="5">
        <v>66</v>
      </c>
      <c r="G716" s="5">
        <v>6</v>
      </c>
      <c r="H716" s="5">
        <f t="shared" si="33"/>
        <v>0.11552453009332421</v>
      </c>
      <c r="I716" s="7">
        <f t="shared" si="34"/>
        <v>55750655.999999993</v>
      </c>
      <c r="J716" s="7">
        <f t="shared" si="35"/>
        <v>0</v>
      </c>
    </row>
    <row r="717" spans="2:10" x14ac:dyDescent="0.2">
      <c r="B717" s="5">
        <v>66146</v>
      </c>
      <c r="C717" s="7">
        <v>3.4201999999999998E-9</v>
      </c>
      <c r="D717" s="5" t="s">
        <v>1978</v>
      </c>
      <c r="E717" s="5">
        <v>80</v>
      </c>
      <c r="F717" s="5">
        <v>66</v>
      </c>
      <c r="G717" s="5">
        <v>33.200000000000003</v>
      </c>
      <c r="H717" s="5">
        <f t="shared" si="33"/>
        <v>2.0877927125299556E-2</v>
      </c>
      <c r="I717" s="7">
        <f t="shared" si="34"/>
        <v>42684096</v>
      </c>
      <c r="J717" s="7">
        <f t="shared" si="35"/>
        <v>0</v>
      </c>
    </row>
    <row r="718" spans="2:10" x14ac:dyDescent="0.2">
      <c r="B718" s="5">
        <v>66147</v>
      </c>
      <c r="C718" s="7">
        <v>2.3732E-9</v>
      </c>
      <c r="D718" s="5" t="s">
        <v>1979</v>
      </c>
      <c r="E718" s="5">
        <v>81</v>
      </c>
      <c r="F718" s="5">
        <v>66</v>
      </c>
      <c r="G718" s="5">
        <v>67</v>
      </c>
      <c r="H718" s="5">
        <f t="shared" si="33"/>
        <v>1.0345480306864855E-2</v>
      </c>
      <c r="I718" s="7">
        <f t="shared" si="34"/>
        <v>29617536</v>
      </c>
      <c r="J718" s="7">
        <f t="shared" si="35"/>
        <v>0</v>
      </c>
    </row>
    <row r="719" spans="2:10" x14ac:dyDescent="0.2">
      <c r="B719" s="5">
        <v>66148</v>
      </c>
      <c r="C719" s="7">
        <v>1.7450000000000001E-9</v>
      </c>
      <c r="D719" s="5" t="s">
        <v>1980</v>
      </c>
      <c r="E719" s="5">
        <v>82</v>
      </c>
      <c r="F719" s="5">
        <v>66</v>
      </c>
      <c r="G719" s="5">
        <v>198</v>
      </c>
      <c r="H719" s="5">
        <f t="shared" si="33"/>
        <v>3.5007433361613398E-3</v>
      </c>
      <c r="I719" s="7">
        <f t="shared" si="34"/>
        <v>21777600</v>
      </c>
      <c r="J719" s="7">
        <f t="shared" si="35"/>
        <v>0</v>
      </c>
    </row>
    <row r="720" spans="2:10" x14ac:dyDescent="0.2">
      <c r="B720" s="5">
        <v>66149</v>
      </c>
      <c r="C720" s="7">
        <v>4.8860000000000005E-10</v>
      </c>
      <c r="D720" s="5" t="s">
        <v>1981</v>
      </c>
      <c r="E720" s="5">
        <v>83</v>
      </c>
      <c r="F720" s="5">
        <v>66</v>
      </c>
      <c r="G720" s="5">
        <v>252</v>
      </c>
      <c r="H720" s="5">
        <f t="shared" si="33"/>
        <v>2.7505840498410527E-3</v>
      </c>
      <c r="I720" s="7">
        <f t="shared" si="34"/>
        <v>6097728.0000000009</v>
      </c>
      <c r="J720" s="7">
        <f t="shared" si="35"/>
        <v>0</v>
      </c>
    </row>
    <row r="721" spans="2:10" x14ac:dyDescent="0.2">
      <c r="B721" s="5">
        <v>66150</v>
      </c>
      <c r="C721" s="7">
        <v>2.7919999999999998E-10</v>
      </c>
      <c r="D721" s="5" t="s">
        <v>1982</v>
      </c>
      <c r="E721" s="5">
        <v>84</v>
      </c>
      <c r="F721" s="5">
        <v>66</v>
      </c>
      <c r="G721" s="5">
        <v>430.2</v>
      </c>
      <c r="H721" s="5">
        <f t="shared" si="33"/>
        <v>1.6112207823336712E-3</v>
      </c>
      <c r="I721" s="7">
        <f t="shared" si="34"/>
        <v>3484415.9999999995</v>
      </c>
      <c r="J721" s="7">
        <f t="shared" si="35"/>
        <v>0</v>
      </c>
    </row>
    <row r="722" spans="2:10" x14ac:dyDescent="0.2">
      <c r="B722" s="5">
        <v>66153</v>
      </c>
      <c r="C722" s="7">
        <v>6.9799999999999994E-11</v>
      </c>
      <c r="D722" s="5" t="s">
        <v>1985</v>
      </c>
      <c r="E722" s="5">
        <v>87</v>
      </c>
      <c r="F722" s="5">
        <v>66</v>
      </c>
      <c r="G722" s="5">
        <v>23040</v>
      </c>
      <c r="H722" s="5">
        <f t="shared" si="33"/>
        <v>3.0084513045136514E-5</v>
      </c>
      <c r="I722" s="7">
        <f t="shared" si="34"/>
        <v>871103.99999551813</v>
      </c>
      <c r="J722" s="7">
        <f t="shared" si="35"/>
        <v>0</v>
      </c>
    </row>
    <row r="723" spans="2:10" x14ac:dyDescent="0.2">
      <c r="B723" s="5">
        <v>66166</v>
      </c>
      <c r="C723" s="7">
        <v>2.7919999999999998E-10</v>
      </c>
      <c r="D723" s="5" t="s">
        <v>1998</v>
      </c>
      <c r="E723" s="5">
        <v>100</v>
      </c>
      <c r="F723" s="5">
        <v>66</v>
      </c>
      <c r="G723" s="5">
        <v>293760</v>
      </c>
      <c r="H723" s="5">
        <f t="shared" si="33"/>
        <v>2.3595696505989421E-6</v>
      </c>
      <c r="I723" s="7">
        <f t="shared" si="34"/>
        <v>3030738.0633291164</v>
      </c>
      <c r="J723" s="7">
        <f t="shared" si="35"/>
        <v>1.462490273696105E-26</v>
      </c>
    </row>
    <row r="724" spans="2:10" x14ac:dyDescent="0.2">
      <c r="B724" s="5">
        <v>66167</v>
      </c>
      <c r="C724" s="7">
        <v>1.047E-9</v>
      </c>
      <c r="D724" s="5" t="s">
        <v>1999</v>
      </c>
      <c r="E724" s="5">
        <v>101</v>
      </c>
      <c r="F724" s="5">
        <v>66</v>
      </c>
      <c r="G724" s="5">
        <v>372</v>
      </c>
      <c r="H724" s="5">
        <f t="shared" si="33"/>
        <v>1.8632988724729713E-3</v>
      </c>
      <c r="I724" s="7">
        <f t="shared" si="34"/>
        <v>13066560</v>
      </c>
      <c r="J724" s="7">
        <f t="shared" si="35"/>
        <v>0</v>
      </c>
    </row>
    <row r="725" spans="2:10" x14ac:dyDescent="0.2">
      <c r="B725" s="5">
        <v>66168</v>
      </c>
      <c r="C725" s="7">
        <v>1.4658E-9</v>
      </c>
      <c r="D725" s="5" t="s">
        <v>2000</v>
      </c>
      <c r="E725" s="5">
        <v>102</v>
      </c>
      <c r="F725" s="5">
        <v>66</v>
      </c>
      <c r="G725" s="5">
        <v>522</v>
      </c>
      <c r="H725" s="5">
        <f t="shared" si="33"/>
        <v>1.3278681619922324E-3</v>
      </c>
      <c r="I725" s="7">
        <f t="shared" si="34"/>
        <v>18293184</v>
      </c>
      <c r="J725" s="7">
        <f t="shared" si="35"/>
        <v>0</v>
      </c>
    </row>
    <row r="726" spans="2:10" x14ac:dyDescent="0.2">
      <c r="B726" s="5">
        <v>67147</v>
      </c>
      <c r="C726" s="7">
        <v>4.8860000000000005E-10</v>
      </c>
      <c r="D726" s="5" t="s">
        <v>2011</v>
      </c>
      <c r="E726" s="5">
        <v>80</v>
      </c>
      <c r="F726" s="5">
        <v>67</v>
      </c>
      <c r="G726" s="5">
        <v>5.8</v>
      </c>
      <c r="H726" s="5">
        <f t="shared" si="33"/>
        <v>0.11950813457930091</v>
      </c>
      <c r="I726" s="7">
        <f t="shared" si="34"/>
        <v>6097728.0000000009</v>
      </c>
      <c r="J726" s="7">
        <f t="shared" si="35"/>
        <v>0</v>
      </c>
    </row>
    <row r="727" spans="2:10" x14ac:dyDescent="0.2">
      <c r="B727" s="5">
        <v>67148</v>
      </c>
      <c r="C727" s="7">
        <v>1.047E-9</v>
      </c>
      <c r="D727" s="5" t="s">
        <v>2012</v>
      </c>
      <c r="E727" s="5">
        <v>81</v>
      </c>
      <c r="F727" s="5">
        <v>67</v>
      </c>
      <c r="G727" s="5">
        <v>2.2000000000000002</v>
      </c>
      <c r="H727" s="5">
        <f t="shared" si="33"/>
        <v>0.31506690025452055</v>
      </c>
      <c r="I727" s="7">
        <f t="shared" si="34"/>
        <v>13066560</v>
      </c>
      <c r="J727" s="7">
        <f t="shared" si="35"/>
        <v>0</v>
      </c>
    </row>
    <row r="728" spans="2:10" x14ac:dyDescent="0.2">
      <c r="B728" s="5">
        <v>67149</v>
      </c>
      <c r="C728" s="7">
        <v>4.8860000000000005E-10</v>
      </c>
      <c r="D728" s="5" t="s">
        <v>2013</v>
      </c>
      <c r="E728" s="5">
        <v>82</v>
      </c>
      <c r="F728" s="5">
        <v>67</v>
      </c>
      <c r="G728" s="5">
        <v>21.1</v>
      </c>
      <c r="H728" s="5">
        <f t="shared" si="33"/>
        <v>3.2850577277722524E-2</v>
      </c>
      <c r="I728" s="7">
        <f t="shared" si="34"/>
        <v>6097728.0000000009</v>
      </c>
      <c r="J728" s="7">
        <f t="shared" si="35"/>
        <v>0</v>
      </c>
    </row>
    <row r="729" spans="2:10" x14ac:dyDescent="0.2">
      <c r="B729" s="5">
        <v>67150</v>
      </c>
      <c r="C729" s="7">
        <v>2.7919999999999998E-10</v>
      </c>
      <c r="D729" s="5" t="s">
        <v>2014</v>
      </c>
      <c r="E729" s="5">
        <v>83</v>
      </c>
      <c r="F729" s="5">
        <v>67</v>
      </c>
      <c r="G729" s="5">
        <v>72</v>
      </c>
      <c r="H729" s="5">
        <f t="shared" si="33"/>
        <v>9.6270441744436847E-3</v>
      </c>
      <c r="I729" s="7">
        <f t="shared" si="34"/>
        <v>3484415.9999999995</v>
      </c>
      <c r="J729" s="7">
        <f t="shared" si="35"/>
        <v>0</v>
      </c>
    </row>
    <row r="730" spans="2:10" x14ac:dyDescent="0.2">
      <c r="B730" s="5">
        <v>67153</v>
      </c>
      <c r="C730" s="7">
        <v>6.9799999999999994E-11</v>
      </c>
      <c r="D730" s="5" t="s">
        <v>2017</v>
      </c>
      <c r="E730" s="5">
        <v>86</v>
      </c>
      <c r="F730" s="5">
        <v>67</v>
      </c>
      <c r="G730" s="5">
        <v>120.6</v>
      </c>
      <c r="H730" s="5">
        <f t="shared" si="33"/>
        <v>5.7474890593693642E-3</v>
      </c>
      <c r="I730" s="7">
        <f t="shared" si="34"/>
        <v>871103.99999999988</v>
      </c>
      <c r="J730" s="7">
        <f t="shared" si="35"/>
        <v>0</v>
      </c>
    </row>
    <row r="731" spans="2:10" x14ac:dyDescent="0.2">
      <c r="B731" s="5">
        <v>67168</v>
      </c>
      <c r="C731" s="7">
        <v>1.3959999999999999E-10</v>
      </c>
      <c r="D731" s="5" t="s">
        <v>2032</v>
      </c>
      <c r="E731" s="5">
        <v>101</v>
      </c>
      <c r="F731" s="5">
        <v>67</v>
      </c>
      <c r="G731" s="5">
        <v>179.4</v>
      </c>
      <c r="H731" s="5">
        <f t="shared" si="33"/>
        <v>3.8636966586396058E-3</v>
      </c>
      <c r="I731" s="7">
        <f t="shared" si="34"/>
        <v>1742207.9999999998</v>
      </c>
      <c r="J731" s="7">
        <f t="shared" si="35"/>
        <v>0</v>
      </c>
    </row>
    <row r="732" spans="2:10" x14ac:dyDescent="0.2">
      <c r="B732" s="5">
        <v>67169</v>
      </c>
      <c r="C732" s="7">
        <v>2.094E-10</v>
      </c>
      <c r="D732" s="5" t="s">
        <v>2033</v>
      </c>
      <c r="E732" s="5">
        <v>102</v>
      </c>
      <c r="F732" s="5">
        <v>67</v>
      </c>
      <c r="G732" s="5">
        <v>283.2</v>
      </c>
      <c r="H732" s="5">
        <f t="shared" si="33"/>
        <v>2.4475536036721235E-3</v>
      </c>
      <c r="I732" s="7">
        <f t="shared" si="34"/>
        <v>2613312</v>
      </c>
      <c r="J732" s="7">
        <f t="shared" si="35"/>
        <v>0</v>
      </c>
    </row>
    <row r="733" spans="2:10" x14ac:dyDescent="0.2">
      <c r="B733" s="5">
        <v>67170</v>
      </c>
      <c r="C733" s="7">
        <v>6.9799999999999994E-11</v>
      </c>
      <c r="D733" s="5" t="s">
        <v>2034</v>
      </c>
      <c r="E733" s="5">
        <v>103</v>
      </c>
      <c r="F733" s="5">
        <v>67</v>
      </c>
      <c r="G733" s="5">
        <v>165.6</v>
      </c>
      <c r="H733" s="5">
        <f t="shared" si="33"/>
        <v>4.1856713801929069E-3</v>
      </c>
      <c r="I733" s="7">
        <f t="shared" si="34"/>
        <v>871103.99999999988</v>
      </c>
      <c r="J733" s="7">
        <f t="shared" si="35"/>
        <v>0</v>
      </c>
    </row>
    <row r="734" spans="2:10" x14ac:dyDescent="0.2">
      <c r="B734" s="5">
        <v>68147</v>
      </c>
      <c r="C734" s="7">
        <v>6.9799999999999994E-11</v>
      </c>
      <c r="D734" s="5" t="s">
        <v>2044</v>
      </c>
      <c r="E734" s="5">
        <v>79</v>
      </c>
      <c r="F734" s="5">
        <v>68</v>
      </c>
      <c r="G734" s="5">
        <v>2.5</v>
      </c>
      <c r="H734" s="5">
        <f t="shared" si="33"/>
        <v>0.2772588722239781</v>
      </c>
      <c r="I734" s="7">
        <f t="shared" si="34"/>
        <v>871103.99999999988</v>
      </c>
      <c r="J734" s="7">
        <f t="shared" si="35"/>
        <v>0</v>
      </c>
    </row>
    <row r="735" spans="2:10" x14ac:dyDescent="0.2">
      <c r="B735" s="5">
        <v>68148</v>
      </c>
      <c r="C735" s="7">
        <v>6.9799999999999994E-11</v>
      </c>
      <c r="D735" s="5" t="s">
        <v>2045</v>
      </c>
      <c r="E735" s="5">
        <v>80</v>
      </c>
      <c r="F735" s="5">
        <v>68</v>
      </c>
      <c r="G735" s="5">
        <v>4.5999999999999996</v>
      </c>
      <c r="H735" s="5">
        <f t="shared" si="33"/>
        <v>0.15068416968694465</v>
      </c>
      <c r="I735" s="7">
        <f t="shared" si="34"/>
        <v>871103.99999999988</v>
      </c>
      <c r="J735" s="7">
        <f t="shared" si="35"/>
        <v>0</v>
      </c>
    </row>
    <row r="736" spans="2:10" x14ac:dyDescent="0.2">
      <c r="B736" s="5">
        <v>68149</v>
      </c>
      <c r="C736" s="7">
        <v>1.3959999999999999E-10</v>
      </c>
      <c r="D736" s="5" t="s">
        <v>2046</v>
      </c>
      <c r="E736" s="5">
        <v>81</v>
      </c>
      <c r="F736" s="5">
        <v>68</v>
      </c>
      <c r="G736" s="5">
        <v>4</v>
      </c>
      <c r="H736" s="5">
        <f t="shared" si="33"/>
        <v>0.17328679513998632</v>
      </c>
      <c r="I736" s="7">
        <f t="shared" si="34"/>
        <v>1742207.9999999998</v>
      </c>
      <c r="J736" s="7">
        <f t="shared" si="35"/>
        <v>0</v>
      </c>
    </row>
    <row r="737" spans="2:10" x14ac:dyDescent="0.2">
      <c r="B737" s="5">
        <v>68150</v>
      </c>
      <c r="C737" s="7">
        <v>6.9799999999999994E-11</v>
      </c>
      <c r="D737" s="5" t="s">
        <v>2047</v>
      </c>
      <c r="E737" s="5">
        <v>82</v>
      </c>
      <c r="F737" s="5">
        <v>68</v>
      </c>
      <c r="G737" s="5">
        <v>18.5</v>
      </c>
      <c r="H737" s="5">
        <f t="shared" si="33"/>
        <v>3.7467415165402446E-2</v>
      </c>
      <c r="I737" s="7">
        <f t="shared" si="34"/>
        <v>871103.99999999988</v>
      </c>
      <c r="J737" s="7">
        <f t="shared" si="35"/>
        <v>0</v>
      </c>
    </row>
    <row r="738" spans="2:10" x14ac:dyDescent="0.2">
      <c r="B738" s="5">
        <v>68173</v>
      </c>
      <c r="C738" s="7">
        <v>6.9799999999999994E-11</v>
      </c>
      <c r="D738" s="5" t="s">
        <v>2070</v>
      </c>
      <c r="E738" s="5">
        <v>105</v>
      </c>
      <c r="F738" s="5">
        <v>68</v>
      </c>
      <c r="G738" s="5">
        <v>84</v>
      </c>
      <c r="H738" s="5">
        <f t="shared" si="33"/>
        <v>8.2517521495231588E-3</v>
      </c>
      <c r="I738" s="7">
        <f t="shared" si="34"/>
        <v>871103.99999999988</v>
      </c>
      <c r="J738" s="7">
        <f t="shared" si="35"/>
        <v>0</v>
      </c>
    </row>
    <row r="739" spans="2:10" x14ac:dyDescent="0.2">
      <c r="B739" s="5">
        <v>69151</v>
      </c>
      <c r="C739" s="7">
        <v>1.3959999999999999E-10</v>
      </c>
      <c r="D739" s="5" t="s">
        <v>2083</v>
      </c>
      <c r="E739" s="5">
        <v>82</v>
      </c>
      <c r="F739" s="5">
        <v>69</v>
      </c>
      <c r="G739" s="5">
        <v>4.17</v>
      </c>
      <c r="H739" s="5">
        <f t="shared" si="33"/>
        <v>0.16622234545802045</v>
      </c>
      <c r="I739" s="7">
        <f t="shared" si="34"/>
        <v>1742207.9999999998</v>
      </c>
      <c r="J739" s="7">
        <f t="shared" si="35"/>
        <v>0</v>
      </c>
    </row>
    <row r="740" spans="2:10" x14ac:dyDescent="0.2">
      <c r="B740" s="5">
        <v>69175</v>
      </c>
      <c r="C740" s="7">
        <v>1.3959999999999999E-10</v>
      </c>
      <c r="D740" s="5" t="s">
        <v>2107</v>
      </c>
      <c r="E740" s="5">
        <v>106</v>
      </c>
      <c r="F740" s="5">
        <v>69</v>
      </c>
      <c r="G740" s="5">
        <v>912</v>
      </c>
      <c r="H740" s="5">
        <f t="shared" si="33"/>
        <v>7.6002980324555401E-4</v>
      </c>
      <c r="I740" s="7">
        <f t="shared" si="34"/>
        <v>1742207.9999999998</v>
      </c>
      <c r="J740" s="7">
        <f t="shared" si="35"/>
        <v>0</v>
      </c>
    </row>
    <row r="741" spans="2:10" x14ac:dyDescent="0.2">
      <c r="B741" s="5">
        <v>90230</v>
      </c>
      <c r="C741" s="7">
        <v>2.094E-10</v>
      </c>
      <c r="D741" s="5" t="s">
        <v>2927</v>
      </c>
      <c r="E741" s="5">
        <v>140</v>
      </c>
      <c r="F741" s="5">
        <v>90</v>
      </c>
      <c r="G741" s="5">
        <v>2379443040000</v>
      </c>
      <c r="H741" s="5">
        <f t="shared" si="33"/>
        <v>2.9130648177228285E-13</v>
      </c>
      <c r="I741" s="7">
        <f t="shared" si="34"/>
        <v>0.65774127925903514</v>
      </c>
      <c r="J741" s="7">
        <f t="shared" si="35"/>
        <v>0.65773523685364887</v>
      </c>
    </row>
    <row r="742" spans="2:10" x14ac:dyDescent="0.2">
      <c r="B742" s="5">
        <v>90231</v>
      </c>
      <c r="C742" s="7">
        <v>4.1879999999999999E-10</v>
      </c>
      <c r="D742" s="5" t="s">
        <v>2928</v>
      </c>
      <c r="E742" s="5">
        <v>141</v>
      </c>
      <c r="F742" s="5">
        <v>90</v>
      </c>
      <c r="G742" s="5">
        <v>91872</v>
      </c>
      <c r="H742" s="5">
        <f t="shared" si="33"/>
        <v>7.5447054658649568E-6</v>
      </c>
      <c r="I742" s="7">
        <f t="shared" si="34"/>
        <v>5218911.0917650377</v>
      </c>
      <c r="J742" s="7">
        <f t="shared" si="35"/>
        <v>2.4320190178017043E-97</v>
      </c>
    </row>
    <row r="743" spans="2:10" x14ac:dyDescent="0.2">
      <c r="B743" s="5">
        <v>90232</v>
      </c>
      <c r="C743" s="7">
        <v>7.6779999999999997E-10</v>
      </c>
      <c r="D743" s="5" t="s">
        <v>2929</v>
      </c>
      <c r="E743" s="5">
        <v>142</v>
      </c>
      <c r="F743" s="5">
        <v>90</v>
      </c>
      <c r="G743" s="5">
        <v>4.418064E+17</v>
      </c>
      <c r="H743" s="5">
        <f t="shared" si="33"/>
        <v>1.568893480402152E-18</v>
      </c>
      <c r="I743" s="7">
        <f t="shared" si="34"/>
        <v>1.2988321095974698E-5</v>
      </c>
      <c r="J743" s="7">
        <f t="shared" si="35"/>
        <v>1.2988321095332079E-5</v>
      </c>
    </row>
    <row r="744" spans="2:10" x14ac:dyDescent="0.2">
      <c r="B744" s="5">
        <v>90233</v>
      </c>
      <c r="C744" s="7">
        <v>3.4899999999999998E-10</v>
      </c>
      <c r="D744" s="5" t="s">
        <v>2930</v>
      </c>
      <c r="E744" s="5">
        <v>143</v>
      </c>
      <c r="F744" s="5">
        <v>90</v>
      </c>
      <c r="G744" s="5">
        <v>1309.8</v>
      </c>
      <c r="H744" s="5">
        <f t="shared" si="33"/>
        <v>5.2920077917235095E-4</v>
      </c>
      <c r="I744" s="7">
        <f t="shared" si="34"/>
        <v>4355520</v>
      </c>
      <c r="J744" s="7">
        <f t="shared" si="35"/>
        <v>0</v>
      </c>
    </row>
    <row r="745" spans="2:10" x14ac:dyDescent="0.2">
      <c r="B745" s="5">
        <v>90234</v>
      </c>
      <c r="C745" s="7">
        <v>2.094E-10</v>
      </c>
      <c r="D745" s="5" t="s">
        <v>2931</v>
      </c>
      <c r="E745" s="5">
        <v>144</v>
      </c>
      <c r="F745" s="5">
        <v>90</v>
      </c>
      <c r="G745" s="5">
        <v>2082240</v>
      </c>
      <c r="H745" s="5">
        <f t="shared" si="33"/>
        <v>3.3288534489777611E-7</v>
      </c>
      <c r="I745" s="7">
        <f t="shared" si="34"/>
        <v>653192.49288029876</v>
      </c>
      <c r="J745" s="7">
        <f t="shared" si="35"/>
        <v>18.024913972473609</v>
      </c>
    </row>
    <row r="746" spans="2:10" x14ac:dyDescent="0.2">
      <c r="B746" s="5">
        <v>90236</v>
      </c>
      <c r="C746" s="7">
        <v>1.3959999999999999E-10</v>
      </c>
      <c r="D746" s="5" t="s">
        <v>2933</v>
      </c>
      <c r="E746" s="5">
        <v>146</v>
      </c>
      <c r="F746" s="5">
        <v>90</v>
      </c>
      <c r="G746" s="5">
        <v>2238</v>
      </c>
      <c r="H746" s="5">
        <f t="shared" si="33"/>
        <v>3.0971723885609711E-4</v>
      </c>
      <c r="I746" s="7">
        <f t="shared" si="34"/>
        <v>1742207.9999999998</v>
      </c>
      <c r="J746" s="7">
        <f t="shared" si="35"/>
        <v>0</v>
      </c>
    </row>
    <row r="747" spans="2:10" x14ac:dyDescent="0.2">
      <c r="B747" s="5">
        <v>91230</v>
      </c>
      <c r="C747" s="7">
        <v>2.094E-10</v>
      </c>
      <c r="D747" s="5" t="s">
        <v>2955</v>
      </c>
      <c r="E747" s="5">
        <v>139</v>
      </c>
      <c r="F747" s="5">
        <v>91</v>
      </c>
      <c r="G747" s="5">
        <v>1503359.99999999</v>
      </c>
      <c r="H747" s="5">
        <f t="shared" si="33"/>
        <v>4.6106533402508377E-7</v>
      </c>
      <c r="I747" s="7">
        <f t="shared" si="34"/>
        <v>858682.13103949127</v>
      </c>
      <c r="J747" s="7">
        <f t="shared" si="35"/>
        <v>0.41602817747993098</v>
      </c>
    </row>
    <row r="748" spans="2:10" x14ac:dyDescent="0.2">
      <c r="B748" s="5">
        <v>91231</v>
      </c>
      <c r="C748" s="7">
        <v>3.4201999999999998E-9</v>
      </c>
      <c r="D748" s="5" t="s">
        <v>2956</v>
      </c>
      <c r="E748" s="5">
        <v>140</v>
      </c>
      <c r="F748" s="5">
        <v>91</v>
      </c>
      <c r="G748" s="5">
        <v>1033826976000</v>
      </c>
      <c r="H748" s="5">
        <f t="shared" si="33"/>
        <v>6.704672993171589E-13</v>
      </c>
      <c r="I748" s="7">
        <f t="shared" si="34"/>
        <v>24.726195887533045</v>
      </c>
      <c r="J748" s="7">
        <f t="shared" si="35"/>
        <v>24.725673085916238</v>
      </c>
    </row>
    <row r="749" spans="2:10" x14ac:dyDescent="0.2">
      <c r="B749" s="5">
        <v>91232</v>
      </c>
      <c r="C749" s="7">
        <v>1.1447200000000001E-8</v>
      </c>
      <c r="D749" s="5" t="s">
        <v>2957</v>
      </c>
      <c r="E749" s="5">
        <v>141</v>
      </c>
      <c r="F749" s="5">
        <v>91</v>
      </c>
      <c r="G749" s="5">
        <v>114048</v>
      </c>
      <c r="H749" s="5">
        <f t="shared" si="33"/>
        <v>6.0776794030578814E-6</v>
      </c>
      <c r="I749" s="7">
        <f t="shared" si="34"/>
        <v>142112225.39507362</v>
      </c>
      <c r="J749" s="7">
        <f t="shared" si="35"/>
        <v>8.1898619010579922E-76</v>
      </c>
    </row>
    <row r="750" spans="2:10" x14ac:dyDescent="0.2">
      <c r="B750" s="5">
        <v>91233</v>
      </c>
      <c r="C750" s="7">
        <v>6.0935400000000004E-8</v>
      </c>
      <c r="D750" s="5" t="s">
        <v>2958</v>
      </c>
      <c r="E750" s="5">
        <v>142</v>
      </c>
      <c r="F750" s="5">
        <v>91</v>
      </c>
      <c r="G750" s="5">
        <v>2330640</v>
      </c>
      <c r="H750" s="5">
        <f t="shared" si="33"/>
        <v>2.9740636930626152E-7</v>
      </c>
      <c r="I750" s="7">
        <f t="shared" si="34"/>
        <v>172323480.82150793</v>
      </c>
      <c r="J750" s="7">
        <f t="shared" si="35"/>
        <v>14557.71988932396</v>
      </c>
    </row>
    <row r="751" spans="2:10" x14ac:dyDescent="0.2">
      <c r="B751" s="5">
        <v>91234</v>
      </c>
      <c r="C751" s="7">
        <v>1.47557E-7</v>
      </c>
      <c r="D751" s="5" t="s">
        <v>2959</v>
      </c>
      <c r="E751" s="5">
        <v>143</v>
      </c>
      <c r="F751" s="5">
        <v>91</v>
      </c>
      <c r="G751" s="5">
        <v>24120</v>
      </c>
      <c r="H751" s="5">
        <f t="shared" si="33"/>
        <v>2.873744529684682E-5</v>
      </c>
      <c r="I751" s="7">
        <f t="shared" si="34"/>
        <v>1841511359.9696605</v>
      </c>
      <c r="J751" s="7">
        <f t="shared" si="35"/>
        <v>0</v>
      </c>
    </row>
    <row r="752" spans="2:10" x14ac:dyDescent="0.2">
      <c r="B752" s="5">
        <v>91235</v>
      </c>
      <c r="C752" s="7">
        <v>4.2061499999999998E-7</v>
      </c>
      <c r="D752" s="5" t="s">
        <v>2960</v>
      </c>
      <c r="E752" s="5">
        <v>144</v>
      </c>
      <c r="F752" s="5">
        <v>91</v>
      </c>
      <c r="G752" s="5">
        <v>1464</v>
      </c>
      <c r="H752" s="5">
        <f t="shared" si="33"/>
        <v>4.7346118890706648E-4</v>
      </c>
      <c r="I752" s="7">
        <f t="shared" si="34"/>
        <v>5249275200</v>
      </c>
      <c r="J752" s="7">
        <f t="shared" si="35"/>
        <v>0</v>
      </c>
    </row>
    <row r="753" spans="2:10" x14ac:dyDescent="0.2">
      <c r="B753" s="5">
        <v>91236</v>
      </c>
      <c r="C753" s="7">
        <v>7.5998199999999996E-7</v>
      </c>
      <c r="D753" s="5" t="s">
        <v>2961</v>
      </c>
      <c r="E753" s="5">
        <v>145</v>
      </c>
      <c r="F753" s="5">
        <v>91</v>
      </c>
      <c r="G753" s="5">
        <v>546</v>
      </c>
      <c r="H753" s="5">
        <f t="shared" si="33"/>
        <v>1.2695003306958704E-3</v>
      </c>
      <c r="I753" s="7">
        <f t="shared" si="34"/>
        <v>9484575360</v>
      </c>
      <c r="J753" s="7">
        <f t="shared" si="35"/>
        <v>0</v>
      </c>
    </row>
    <row r="754" spans="2:10" x14ac:dyDescent="0.2">
      <c r="B754" s="5">
        <v>91237</v>
      </c>
      <c r="C754" s="7">
        <v>5.42765E-7</v>
      </c>
      <c r="D754" s="5" t="s">
        <v>2962</v>
      </c>
      <c r="E754" s="5">
        <v>146</v>
      </c>
      <c r="F754" s="5">
        <v>91</v>
      </c>
      <c r="G754" s="5">
        <v>522</v>
      </c>
      <c r="H754" s="5">
        <f t="shared" si="33"/>
        <v>1.3278681619922324E-3</v>
      </c>
      <c r="I754" s="7">
        <f t="shared" si="34"/>
        <v>6773707200</v>
      </c>
      <c r="J754" s="7">
        <f t="shared" si="35"/>
        <v>0</v>
      </c>
    </row>
    <row r="755" spans="2:10" x14ac:dyDescent="0.2">
      <c r="B755" s="5">
        <v>92230</v>
      </c>
      <c r="C755" s="7">
        <v>2.6524000000000001E-9</v>
      </c>
      <c r="D755" s="5" t="s">
        <v>2978</v>
      </c>
      <c r="E755" s="5">
        <v>138</v>
      </c>
      <c r="F755" s="5">
        <v>92</v>
      </c>
      <c r="G755" s="5">
        <v>1797120</v>
      </c>
      <c r="H755" s="5">
        <f t="shared" si="33"/>
        <v>3.8569888519405789E-7</v>
      </c>
      <c r="I755" s="7">
        <f t="shared" si="34"/>
        <v>9381244.1249423418</v>
      </c>
      <c r="J755" s="7">
        <f t="shared" si="35"/>
        <v>48.951152083726264</v>
      </c>
    </row>
    <row r="756" spans="2:10" x14ac:dyDescent="0.2">
      <c r="B756" s="5">
        <v>92231</v>
      </c>
      <c r="C756" s="7">
        <v>3.4201999999999997E-8</v>
      </c>
      <c r="D756" s="5" t="s">
        <v>2979</v>
      </c>
      <c r="E756" s="5">
        <v>139</v>
      </c>
      <c r="F756" s="5">
        <v>92</v>
      </c>
      <c r="G756" s="5">
        <v>362880</v>
      </c>
      <c r="H756" s="5">
        <f t="shared" si="33"/>
        <v>1.9101278123896201E-6</v>
      </c>
      <c r="I756" s="7">
        <f t="shared" si="34"/>
        <v>344894914.01360577</v>
      </c>
      <c r="J756" s="7">
        <f t="shared" si="35"/>
        <v>2.3809303482056443E-18</v>
      </c>
    </row>
    <row r="757" spans="2:10" x14ac:dyDescent="0.2">
      <c r="B757" s="5">
        <v>92232</v>
      </c>
      <c r="C757" s="7">
        <v>1.1668500000000001E-6</v>
      </c>
      <c r="D757" s="5" t="s">
        <v>2980</v>
      </c>
      <c r="E757" s="5">
        <v>140</v>
      </c>
      <c r="F757" s="5">
        <v>92</v>
      </c>
      <c r="G757" s="5">
        <v>2174318640</v>
      </c>
      <c r="H757" s="5">
        <f t="shared" si="33"/>
        <v>3.1878822533570577E-10</v>
      </c>
      <c r="I757" s="7">
        <f t="shared" si="34"/>
        <v>4010382.7380911722</v>
      </c>
      <c r="J757" s="7">
        <f t="shared" si="35"/>
        <v>3970267.120505387</v>
      </c>
    </row>
    <row r="758" spans="2:10" x14ac:dyDescent="0.2">
      <c r="B758" s="5">
        <v>92233</v>
      </c>
      <c r="C758" s="7">
        <v>2.3815399999999999E-5</v>
      </c>
      <c r="D758" s="5" t="s">
        <v>2981</v>
      </c>
      <c r="E758" s="5">
        <v>141</v>
      </c>
      <c r="F758" s="5">
        <v>92</v>
      </c>
      <c r="G758" s="5">
        <v>5023969920000</v>
      </c>
      <c r="H758" s="5">
        <f t="shared" si="33"/>
        <v>1.3796801963335507E-13</v>
      </c>
      <c r="I758" s="7">
        <f t="shared" si="34"/>
        <v>35429.466491680141</v>
      </c>
      <c r="J758" s="7">
        <f t="shared" si="35"/>
        <v>35429.312339842851</v>
      </c>
    </row>
    <row r="759" spans="2:10" x14ac:dyDescent="0.2">
      <c r="B759" s="5">
        <v>92234</v>
      </c>
      <c r="C759" s="7">
        <v>1.3395599999999999E-4</v>
      </c>
      <c r="D759" s="5" t="s">
        <v>2982</v>
      </c>
      <c r="E759" s="5">
        <v>142</v>
      </c>
      <c r="F759" s="5">
        <v>92</v>
      </c>
      <c r="G759" s="5">
        <v>7747390800000</v>
      </c>
      <c r="H759" s="5">
        <f t="shared" si="33"/>
        <v>8.9468467314175671E-14</v>
      </c>
      <c r="I759" s="7">
        <f t="shared" si="34"/>
        <v>129229.14753106239</v>
      </c>
      <c r="J759" s="7">
        <f t="shared" si="35"/>
        <v>129228.78291443366</v>
      </c>
    </row>
    <row r="760" spans="2:10" x14ac:dyDescent="0.2">
      <c r="B760" s="5">
        <v>92235</v>
      </c>
      <c r="C760" s="7">
        <v>4.66799E-5</v>
      </c>
      <c r="D760" s="5" t="s">
        <v>2983</v>
      </c>
      <c r="E760" s="5">
        <v>143</v>
      </c>
      <c r="F760" s="5">
        <v>92</v>
      </c>
      <c r="G760" s="5">
        <v>2.22165504E+16</v>
      </c>
      <c r="H760" s="5">
        <f t="shared" si="33"/>
        <v>3.1199586257997337E-17</v>
      </c>
      <c r="I760" s="7">
        <f t="shared" si="34"/>
        <v>15.70388086634722</v>
      </c>
      <c r="J760" s="7">
        <f t="shared" si="35"/>
        <v>15.703880850896011</v>
      </c>
    </row>
    <row r="761" spans="2:10" x14ac:dyDescent="0.2">
      <c r="B761" s="5">
        <v>92236</v>
      </c>
      <c r="C761" s="7">
        <v>1.3475200000000001E-3</v>
      </c>
      <c r="D761" s="5" t="s">
        <v>2984</v>
      </c>
      <c r="E761" s="5">
        <v>144</v>
      </c>
      <c r="F761" s="5">
        <v>92</v>
      </c>
      <c r="G761" s="5">
        <v>739078992000000</v>
      </c>
      <c r="H761" s="5">
        <f t="shared" si="33"/>
        <v>9.3785263559479616E-16</v>
      </c>
      <c r="I761" s="7">
        <f t="shared" si="34"/>
        <v>13626.934536478075</v>
      </c>
      <c r="J761" s="7">
        <f t="shared" si="35"/>
        <v>13626.934133446219</v>
      </c>
    </row>
    <row r="762" spans="2:10" x14ac:dyDescent="0.2">
      <c r="B762" s="5">
        <v>92237</v>
      </c>
      <c r="C762" s="7">
        <v>4.0387699999999997E-3</v>
      </c>
      <c r="D762" s="5" t="s">
        <v>2985</v>
      </c>
      <c r="E762" s="5">
        <v>145</v>
      </c>
      <c r="F762" s="5">
        <v>92</v>
      </c>
      <c r="G762" s="5">
        <v>583200</v>
      </c>
      <c r="H762" s="5">
        <f t="shared" si="33"/>
        <v>1.1885239721535413E-6</v>
      </c>
      <c r="I762" s="7">
        <f t="shared" si="34"/>
        <v>32353178914641.281</v>
      </c>
      <c r="J762" s="7">
        <f t="shared" si="35"/>
        <v>1.7060771853165014E-3</v>
      </c>
    </row>
    <row r="763" spans="2:10" x14ac:dyDescent="0.2">
      <c r="B763" s="5">
        <v>92238</v>
      </c>
      <c r="C763" s="7">
        <v>1.95415E-4</v>
      </c>
      <c r="D763" s="5" t="s">
        <v>2986</v>
      </c>
      <c r="E763" s="5">
        <v>146</v>
      </c>
      <c r="F763" s="5">
        <v>92</v>
      </c>
      <c r="G763" s="5">
        <v>1.409993568E+17</v>
      </c>
      <c r="H763" s="5">
        <f t="shared" si="33"/>
        <v>4.9159598759243794E-18</v>
      </c>
      <c r="I763" s="7">
        <f t="shared" si="34"/>
        <v>10.358422547973589</v>
      </c>
      <c r="J763" s="7">
        <f t="shared" si="35"/>
        <v>10.358422546367727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Nuclides</vt:lpstr>
      <vt:lpstr>Sheet1</vt:lpstr>
      <vt:lpstr>Sheet2</vt:lpstr>
      <vt:lpstr>Sheet3</vt:lpstr>
      <vt:lpstr>aaa</vt:lpstr>
      <vt:lpstr>HEISOL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2025-07-23T05:43:19Z</dcterms:modified>
</cp:coreProperties>
</file>