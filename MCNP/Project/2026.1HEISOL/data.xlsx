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Project\2026.1HEISOL\"/>
    </mc:Choice>
  </mc:AlternateContent>
  <xr:revisionPtr revIDLastSave="0" documentId="8_{9B0C8BC7-D78F-42E4-8D15-A1D615EF31DD}" xr6:coauthVersionLast="47" xr6:coauthVersionMax="47" xr10:uidLastSave="{00000000-0000-0000-0000-000000000000}"/>
  <bookViews>
    <workbookView xWindow="-120" yWindow="-120" windowWidth="29040" windowHeight="15840" activeTab="1" xr2:uid="{51A59358-4C13-4103-82EF-471D39FD3473}"/>
  </bookViews>
  <sheets>
    <sheet name="Sheet1" sheetId="1" r:id="rId1"/>
    <sheet name="Sheet2" sheetId="2" r:id="rId2"/>
  </sheets>
  <definedNames>
    <definedName name="_xlnm._FilterDatabase" localSheetId="1" hidden="1">Sheet2!$B$2:$B$30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34" i="2"/>
  <c r="C48" i="2"/>
  <c r="C47" i="2"/>
  <c r="C35" i="2"/>
  <c r="C36" i="2"/>
  <c r="C37" i="2"/>
  <c r="C38" i="2"/>
  <c r="C39" i="2"/>
  <c r="C40" i="2"/>
  <c r="C41" i="2"/>
  <c r="C42" i="2"/>
  <c r="C43" i="2"/>
  <c r="C44" i="2"/>
  <c r="C45" i="2"/>
  <c r="C46" i="2"/>
  <c r="C34" i="2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4" i="1"/>
  <c r="J6" i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5" i="1"/>
</calcChain>
</file>

<file path=xl/sharedStrings.xml><?xml version="1.0" encoding="utf-8"?>
<sst xmlns="http://schemas.openxmlformats.org/spreadsheetml/2006/main" count="30" uniqueCount="3">
  <si>
    <t>e</t>
    <phoneticPr fontId="1" type="noConversion"/>
  </si>
  <si>
    <t>p</t>
    <phoneticPr fontId="1" type="noConversion"/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</si>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</sst>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21F4-7946-4E10-8777-8D08E1D3761F}">
  <dimension ref="B3:T28"/>
  <sheetViews>
    <sheetView workbookViewId="0">
      <selection activeCell="J25" sqref="J25:O27"/>
    </sheetView>
  </sheetViews>
  <sheetFormatPr defaultRowHeight="14.25" x14ac:dyDescent="0.2"/>
  <cols>
    <col min="11" max="11" width="10.125" bestFit="1" customWidth="1"/>
    <col min="13" max="13" width="10.125" bestFit="1" customWidth="1"/>
    <col min="15" max="15" width="10.875" customWidth="1"/>
  </cols>
  <sheetData>
    <row r="3" spans="2:20" x14ac:dyDescent="0.2">
      <c r="B3" t="s">
        <v>0</v>
      </c>
      <c r="F3" t="s">
        <v>1</v>
      </c>
    </row>
    <row r="4" spans="2:20" x14ac:dyDescent="0.2">
      <c r="B4">
        <v>1</v>
      </c>
      <c r="C4">
        <v>0.106015549</v>
      </c>
      <c r="F4">
        <v>1</v>
      </c>
      <c r="G4">
        <v>0.205034788</v>
      </c>
      <c r="J4">
        <v>180</v>
      </c>
      <c r="K4" s="1">
        <f>COS(RADIANS(J4))</f>
        <v>-1</v>
      </c>
      <c r="M4" s="1">
        <v>-1</v>
      </c>
      <c r="O4" s="1">
        <f>M4</f>
        <v>-1</v>
      </c>
      <c r="P4" s="1">
        <f>M5</f>
        <v>-0.98480775301220802</v>
      </c>
      <c r="Q4" s="1">
        <f>M6</f>
        <v>-0.93969262078590832</v>
      </c>
      <c r="R4" s="1">
        <f>M7</f>
        <v>-0.86602540378443871</v>
      </c>
      <c r="S4" s="1">
        <f>M8</f>
        <v>-0.7660444431189779</v>
      </c>
      <c r="T4" s="1">
        <f>M9</f>
        <v>-0.64278760968653936</v>
      </c>
    </row>
    <row r="5" spans="2:20" x14ac:dyDescent="0.2">
      <c r="B5">
        <v>2</v>
      </c>
      <c r="C5">
        <v>0.10870606400000001</v>
      </c>
      <c r="F5">
        <v>2</v>
      </c>
      <c r="G5">
        <v>0.24713437299999999</v>
      </c>
      <c r="J5">
        <f>J4-10</f>
        <v>170</v>
      </c>
      <c r="K5" s="1">
        <f t="shared" ref="K5:K22" si="0">COS(RADIANS(J5))</f>
        <v>-0.98480775301220802</v>
      </c>
      <c r="M5" s="1">
        <v>-0.98480775301220802</v>
      </c>
      <c r="O5" s="1">
        <f>M10</f>
        <v>-0.49999999999999978</v>
      </c>
      <c r="P5" s="1">
        <f>M11</f>
        <v>-0.34202014332566871</v>
      </c>
      <c r="Q5" s="1">
        <f>M12</f>
        <v>-0.1736481776669303</v>
      </c>
      <c r="R5" s="1">
        <f>M13</f>
        <v>6.1257422745431001E-17</v>
      </c>
      <c r="S5" s="1">
        <f>M14</f>
        <v>0.17364817766693041</v>
      </c>
      <c r="T5" s="1">
        <f>M15</f>
        <v>0.34202014332566882</v>
      </c>
    </row>
    <row r="6" spans="2:20" x14ac:dyDescent="0.2">
      <c r="B6">
        <v>3</v>
      </c>
      <c r="C6">
        <v>0.109455782</v>
      </c>
      <c r="F6">
        <v>3</v>
      </c>
      <c r="G6">
        <v>0.28217774699999998</v>
      </c>
      <c r="J6">
        <f t="shared" ref="J6:J23" si="1">J5-10</f>
        <v>160</v>
      </c>
      <c r="K6" s="1">
        <f t="shared" si="0"/>
        <v>-0.93969262078590832</v>
      </c>
      <c r="M6" s="1">
        <v>-0.93969262078590832</v>
      </c>
      <c r="O6" s="1">
        <f>M16</f>
        <v>0.50000000000000011</v>
      </c>
      <c r="P6" s="1">
        <f>M17</f>
        <v>0.64278760968653936</v>
      </c>
      <c r="Q6" s="1">
        <f>M18</f>
        <v>0.76604444311897801</v>
      </c>
      <c r="R6" s="1">
        <f>M19</f>
        <v>0.86602540378443871</v>
      </c>
      <c r="S6" s="1">
        <f>M20</f>
        <v>0.93969262078590843</v>
      </c>
      <c r="T6" s="1">
        <f>M21</f>
        <v>0.98480775301220802</v>
      </c>
    </row>
    <row r="7" spans="2:20" x14ac:dyDescent="0.2">
      <c r="B7">
        <v>4</v>
      </c>
      <c r="C7">
        <v>0.108700584</v>
      </c>
      <c r="F7">
        <v>4</v>
      </c>
      <c r="G7">
        <v>0.31026034899999999</v>
      </c>
      <c r="J7">
        <f t="shared" si="1"/>
        <v>150</v>
      </c>
      <c r="K7" s="1">
        <f t="shared" si="0"/>
        <v>-0.86602540378443871</v>
      </c>
      <c r="M7" s="1">
        <v>-0.86602540378443871</v>
      </c>
      <c r="O7" s="1">
        <f>M22</f>
        <v>1</v>
      </c>
    </row>
    <row r="8" spans="2:20" x14ac:dyDescent="0.2">
      <c r="B8">
        <v>5</v>
      </c>
      <c r="C8">
        <v>0.10617832000000001</v>
      </c>
      <c r="F8">
        <v>5</v>
      </c>
      <c r="G8">
        <v>0.33086186499999998</v>
      </c>
      <c r="J8">
        <f t="shared" si="1"/>
        <v>140</v>
      </c>
      <c r="K8" s="1">
        <f t="shared" si="0"/>
        <v>-0.7660444431189779</v>
      </c>
      <c r="M8" s="1">
        <v>-0.7660444431189779</v>
      </c>
    </row>
    <row r="9" spans="2:20" x14ac:dyDescent="0.2">
      <c r="B9">
        <v>6</v>
      </c>
      <c r="C9">
        <v>0.101529413</v>
      </c>
      <c r="F9">
        <v>6</v>
      </c>
      <c r="G9">
        <v>0.34315167000000002</v>
      </c>
      <c r="J9">
        <f t="shared" si="1"/>
        <v>130</v>
      </c>
      <c r="K9" s="1">
        <f t="shared" si="0"/>
        <v>-0.64278760968653936</v>
      </c>
      <c r="M9" s="1">
        <v>-0.64278760968653936</v>
      </c>
    </row>
    <row r="10" spans="2:20" x14ac:dyDescent="0.2">
      <c r="B10">
        <v>7</v>
      </c>
      <c r="C10">
        <v>9.4604623999999998E-2</v>
      </c>
      <c r="F10">
        <v>7</v>
      </c>
      <c r="G10">
        <v>0.34657299699999999</v>
      </c>
      <c r="J10">
        <f t="shared" si="1"/>
        <v>120</v>
      </c>
      <c r="K10" s="1">
        <f t="shared" si="0"/>
        <v>-0.49999999999999978</v>
      </c>
      <c r="M10" s="1">
        <v>-0.49999999999999978</v>
      </c>
    </row>
    <row r="11" spans="2:20" x14ac:dyDescent="0.2">
      <c r="B11">
        <v>8</v>
      </c>
      <c r="C11">
        <v>8.5513789000000007E-2</v>
      </c>
      <c r="F11">
        <v>8</v>
      </c>
      <c r="G11">
        <v>0.34115857300000002</v>
      </c>
      <c r="J11">
        <f t="shared" si="1"/>
        <v>110</v>
      </c>
      <c r="K11" s="1">
        <f t="shared" si="0"/>
        <v>-0.34202014332566871</v>
      </c>
      <c r="M11" s="1">
        <v>-0.34202014332566871</v>
      </c>
    </row>
    <row r="12" spans="2:20" x14ac:dyDescent="0.2">
      <c r="B12">
        <v>9</v>
      </c>
      <c r="C12">
        <v>7.4964995000000006E-2</v>
      </c>
      <c r="F12">
        <v>9</v>
      </c>
      <c r="G12">
        <v>0.32780152499999998</v>
      </c>
      <c r="J12">
        <f t="shared" si="1"/>
        <v>100</v>
      </c>
      <c r="K12" s="1">
        <f t="shared" si="0"/>
        <v>-0.1736481776669303</v>
      </c>
      <c r="M12" s="1">
        <v>-0.1736481776669303</v>
      </c>
    </row>
    <row r="13" spans="2:20" x14ac:dyDescent="0.2">
      <c r="B13">
        <v>10</v>
      </c>
      <c r="C13">
        <v>6.3784719000000004E-2</v>
      </c>
      <c r="F13">
        <v>10</v>
      </c>
      <c r="G13">
        <v>0.30821057600000001</v>
      </c>
      <c r="J13">
        <f t="shared" si="1"/>
        <v>90</v>
      </c>
      <c r="K13" s="1">
        <f t="shared" si="0"/>
        <v>6.1257422745431001E-17</v>
      </c>
      <c r="M13" s="1">
        <v>6.1257422745431001E-17</v>
      </c>
    </row>
    <row r="14" spans="2:20" x14ac:dyDescent="0.2">
      <c r="B14">
        <v>11</v>
      </c>
      <c r="C14">
        <v>5.2802538000000003E-2</v>
      </c>
      <c r="F14">
        <v>11</v>
      </c>
      <c r="G14">
        <v>0.28455681199999999</v>
      </c>
      <c r="J14">
        <f t="shared" si="1"/>
        <v>80</v>
      </c>
      <c r="K14" s="1">
        <f t="shared" si="0"/>
        <v>0.17364817766693041</v>
      </c>
      <c r="M14" s="1">
        <v>0.17364817766693041</v>
      </c>
    </row>
    <row r="15" spans="2:20" x14ac:dyDescent="0.2">
      <c r="B15">
        <v>12</v>
      </c>
      <c r="C15">
        <v>4.2662969000000002E-2</v>
      </c>
      <c r="F15">
        <v>12</v>
      </c>
      <c r="G15">
        <v>0.25893452</v>
      </c>
      <c r="J15">
        <f t="shared" si="1"/>
        <v>70</v>
      </c>
      <c r="K15" s="1">
        <f t="shared" si="0"/>
        <v>0.34202014332566882</v>
      </c>
      <c r="M15" s="1">
        <v>0.34202014332566882</v>
      </c>
    </row>
    <row r="16" spans="2:20" x14ac:dyDescent="0.2">
      <c r="B16">
        <v>13</v>
      </c>
      <c r="C16">
        <v>3.3716915E-2</v>
      </c>
      <c r="F16">
        <v>13</v>
      </c>
      <c r="G16">
        <v>0.232906002</v>
      </c>
      <c r="J16">
        <f t="shared" si="1"/>
        <v>60</v>
      </c>
      <c r="K16" s="1">
        <f t="shared" si="0"/>
        <v>0.50000000000000011</v>
      </c>
      <c r="M16" s="1">
        <v>0.50000000000000011</v>
      </c>
    </row>
    <row r="17" spans="2:15" x14ac:dyDescent="0.2">
      <c r="B17">
        <v>14</v>
      </c>
      <c r="C17">
        <v>2.6129005E-2</v>
      </c>
      <c r="F17">
        <v>14</v>
      </c>
      <c r="G17">
        <v>0.207713866</v>
      </c>
      <c r="J17">
        <f t="shared" si="1"/>
        <v>50</v>
      </c>
      <c r="K17" s="1">
        <f t="shared" si="0"/>
        <v>0.64278760968653936</v>
      </c>
      <c r="M17" s="1">
        <v>0.64278760968653936</v>
      </c>
    </row>
    <row r="18" spans="2:15" x14ac:dyDescent="0.2">
      <c r="B18">
        <v>15</v>
      </c>
      <c r="C18">
        <v>1.9960742E-2</v>
      </c>
      <c r="F18">
        <v>15</v>
      </c>
      <c r="G18">
        <v>0.18410584099999999</v>
      </c>
      <c r="J18">
        <f t="shared" si="1"/>
        <v>40</v>
      </c>
      <c r="K18" s="1">
        <f t="shared" si="0"/>
        <v>0.76604444311897801</v>
      </c>
      <c r="M18" s="1">
        <v>0.76604444311897801</v>
      </c>
    </row>
    <row r="19" spans="2:15" x14ac:dyDescent="0.2">
      <c r="B19">
        <v>16</v>
      </c>
      <c r="C19">
        <v>1.5161564000000001E-2</v>
      </c>
      <c r="F19">
        <v>16</v>
      </c>
      <c r="G19">
        <v>0.16252454899999999</v>
      </c>
      <c r="J19">
        <f t="shared" si="1"/>
        <v>30</v>
      </c>
      <c r="K19" s="1">
        <f t="shared" si="0"/>
        <v>0.86602540378443871</v>
      </c>
      <c r="M19" s="1">
        <v>0.86602540378443871</v>
      </c>
    </row>
    <row r="20" spans="2:15" x14ac:dyDescent="0.2">
      <c r="B20">
        <v>17</v>
      </c>
      <c r="C20">
        <v>1.1603011999999999E-2</v>
      </c>
      <c r="F20">
        <v>17</v>
      </c>
      <c r="G20">
        <v>0.14310515700000001</v>
      </c>
      <c r="J20">
        <f t="shared" si="1"/>
        <v>20</v>
      </c>
      <c r="K20" s="1">
        <f t="shared" si="0"/>
        <v>0.93969262078590843</v>
      </c>
      <c r="M20" s="1">
        <v>0.93969262078590843</v>
      </c>
    </row>
    <row r="21" spans="2:15" x14ac:dyDescent="0.2">
      <c r="B21">
        <v>18</v>
      </c>
      <c r="C21">
        <v>9.1024869999999994E-3</v>
      </c>
      <c r="F21">
        <v>18</v>
      </c>
      <c r="G21">
        <v>0.125825404</v>
      </c>
      <c r="J21">
        <f t="shared" si="1"/>
        <v>10</v>
      </c>
      <c r="K21" s="1">
        <f t="shared" si="0"/>
        <v>0.98480775301220802</v>
      </c>
      <c r="M21" s="1">
        <v>0.98480775301220802</v>
      </c>
    </row>
    <row r="22" spans="2:15" x14ac:dyDescent="0.2">
      <c r="B22">
        <v>19</v>
      </c>
      <c r="C22">
        <v>7.4630460000000001E-3</v>
      </c>
      <c r="F22">
        <v>19</v>
      </c>
      <c r="G22">
        <v>0.110253006</v>
      </c>
      <c r="J22">
        <f t="shared" si="1"/>
        <v>0</v>
      </c>
      <c r="K22" s="1">
        <f t="shared" si="0"/>
        <v>1</v>
      </c>
      <c r="M22" s="1">
        <v>1</v>
      </c>
    </row>
    <row r="23" spans="2:15" x14ac:dyDescent="0.2">
      <c r="B23">
        <v>20</v>
      </c>
      <c r="C23">
        <v>6.3064380000000001E-3</v>
      </c>
      <c r="F23">
        <v>20</v>
      </c>
      <c r="G23">
        <v>9.5298832E-2</v>
      </c>
    </row>
    <row r="25" spans="2:15" x14ac:dyDescent="0.2">
      <c r="J25" s="1">
        <v>4.2900000000000004E-3</v>
      </c>
      <c r="K25" s="1">
        <v>1.66E-2</v>
      </c>
      <c r="L25" s="1">
        <v>3.7100000000000001E-2</v>
      </c>
      <c r="M25" s="1">
        <v>6.5600000000000006E-2</v>
      </c>
      <c r="N25" s="1">
        <v>9.98E-2</v>
      </c>
      <c r="O25" s="1">
        <v>0.13500000000000001</v>
      </c>
    </row>
    <row r="26" spans="2:15" x14ac:dyDescent="0.2">
      <c r="J26" s="1">
        <v>0.16700000000000001</v>
      </c>
      <c r="K26" s="1">
        <v>0.19700000000000001</v>
      </c>
      <c r="L26" s="1">
        <v>0.224</v>
      </c>
      <c r="M26" s="1">
        <v>0.253</v>
      </c>
      <c r="N26" s="1">
        <v>0.28499999999999998</v>
      </c>
      <c r="O26" s="1">
        <v>0.318</v>
      </c>
    </row>
    <row r="27" spans="2:15" x14ac:dyDescent="0.2">
      <c r="J27" s="1">
        <v>0.36199999999999999</v>
      </c>
      <c r="K27" s="1">
        <v>0.43</v>
      </c>
      <c r="L27" s="1">
        <v>0.52800000000000002</v>
      </c>
      <c r="M27" s="1">
        <v>0.63900000000000001</v>
      </c>
      <c r="N27" s="1">
        <v>0.72</v>
      </c>
      <c r="O27" s="1">
        <v>0.63200000000000001</v>
      </c>
    </row>
    <row r="28" spans="2:15" x14ac:dyDescent="0.2">
      <c r="J28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34EE-4439-48F3-A332-A089E423B54F}">
  <sheetPr filterMode="1"/>
  <dimension ref="B2:F48"/>
  <sheetViews>
    <sheetView tabSelected="1" workbookViewId="0">
      <selection activeCell="F34" sqref="F34:F48"/>
    </sheetView>
  </sheetViews>
  <sheetFormatPr defaultRowHeight="14.25" x14ac:dyDescent="0.2"/>
  <sheetData>
    <row r="2" spans="2:4" x14ac:dyDescent="0.2">
      <c r="B2" s="1">
        <v>2.58441E-6</v>
      </c>
      <c r="D2" s="1">
        <v>2.57824E-6</v>
      </c>
    </row>
    <row r="3" spans="2:4" hidden="1" x14ac:dyDescent="0.2">
      <c r="B3" t="s">
        <v>2</v>
      </c>
      <c r="D3" t="s">
        <v>2</v>
      </c>
    </row>
    <row r="4" spans="2:4" x14ac:dyDescent="0.2">
      <c r="B4" s="1">
        <v>4.0998200000000002E-7</v>
      </c>
      <c r="D4" s="1">
        <v>4.0453199999999999E-7</v>
      </c>
    </row>
    <row r="5" spans="2:4" hidden="1" x14ac:dyDescent="0.2">
      <c r="B5" t="s">
        <v>2</v>
      </c>
      <c r="D5" t="s">
        <v>2</v>
      </c>
    </row>
    <row r="6" spans="2:4" x14ac:dyDescent="0.2">
      <c r="B6" s="1">
        <v>7.9100300000000003E-8</v>
      </c>
      <c r="D6" s="1">
        <v>7.74775E-8</v>
      </c>
    </row>
    <row r="7" spans="2:4" hidden="1" x14ac:dyDescent="0.2">
      <c r="B7" t="s">
        <v>2</v>
      </c>
      <c r="D7" t="s">
        <v>2</v>
      </c>
    </row>
    <row r="8" spans="2:4" x14ac:dyDescent="0.2">
      <c r="B8" s="1">
        <v>1.7124600000000001E-8</v>
      </c>
      <c r="D8" s="1">
        <v>1.6837399999999999E-8</v>
      </c>
    </row>
    <row r="9" spans="2:4" hidden="1" x14ac:dyDescent="0.2">
      <c r="B9" t="s">
        <v>2</v>
      </c>
      <c r="D9" t="s">
        <v>2</v>
      </c>
    </row>
    <row r="10" spans="2:4" x14ac:dyDescent="0.2">
      <c r="B10" s="1">
        <v>4.0481599999999998E-9</v>
      </c>
      <c r="D10" s="1">
        <v>3.9529000000000003E-9</v>
      </c>
    </row>
    <row r="11" spans="2:4" hidden="1" x14ac:dyDescent="0.2">
      <c r="B11" t="s">
        <v>2</v>
      </c>
      <c r="D11" t="s">
        <v>2</v>
      </c>
    </row>
    <row r="12" spans="2:4" x14ac:dyDescent="0.2">
      <c r="B12" s="1">
        <v>1.01569E-9</v>
      </c>
      <c r="D12" s="1">
        <v>9.8285400000000001E-10</v>
      </c>
    </row>
    <row r="13" spans="2:4" hidden="1" x14ac:dyDescent="0.2">
      <c r="B13" t="s">
        <v>2</v>
      </c>
      <c r="D13" t="s">
        <v>2</v>
      </c>
    </row>
    <row r="14" spans="2:4" x14ac:dyDescent="0.2">
      <c r="B14" s="1">
        <v>2.52554E-10</v>
      </c>
      <c r="D14" s="1">
        <v>2.5274700000000001E-10</v>
      </c>
    </row>
    <row r="15" spans="2:4" hidden="1" x14ac:dyDescent="0.2">
      <c r="B15" t="s">
        <v>2</v>
      </c>
      <c r="D15" t="s">
        <v>2</v>
      </c>
    </row>
    <row r="16" spans="2:4" x14ac:dyDescent="0.2">
      <c r="B16" s="1">
        <v>7.0865099999999999E-11</v>
      </c>
      <c r="D16" s="1">
        <v>6.7866999999999994E-11</v>
      </c>
    </row>
    <row r="17" spans="2:4" hidden="1" x14ac:dyDescent="0.2">
      <c r="B17" t="s">
        <v>2</v>
      </c>
      <c r="D17" t="s">
        <v>2</v>
      </c>
    </row>
    <row r="18" spans="2:4" x14ac:dyDescent="0.2">
      <c r="B18" s="1">
        <v>1.7282800000000001E-11</v>
      </c>
      <c r="D18" s="1">
        <v>1.8541999999999999E-11</v>
      </c>
    </row>
    <row r="19" spans="2:4" hidden="1" x14ac:dyDescent="0.2">
      <c r="B19" t="s">
        <v>2</v>
      </c>
      <c r="D19" t="s">
        <v>2</v>
      </c>
    </row>
    <row r="20" spans="2:4" x14ac:dyDescent="0.2">
      <c r="B20" s="1">
        <v>4.44803E-12</v>
      </c>
      <c r="D20" s="1">
        <v>5.1922699999999996E-12</v>
      </c>
    </row>
    <row r="21" spans="2:4" hidden="1" x14ac:dyDescent="0.2">
      <c r="B21" t="s">
        <v>2</v>
      </c>
      <c r="D21" t="s">
        <v>2</v>
      </c>
    </row>
    <row r="22" spans="2:4" x14ac:dyDescent="0.2">
      <c r="B22" s="1">
        <v>1.47465E-12</v>
      </c>
      <c r="D22" s="1">
        <v>1.4750500000000001E-12</v>
      </c>
    </row>
    <row r="23" spans="2:4" hidden="1" x14ac:dyDescent="0.2">
      <c r="B23" t="s">
        <v>2</v>
      </c>
      <c r="D23" t="s">
        <v>2</v>
      </c>
    </row>
    <row r="24" spans="2:4" x14ac:dyDescent="0.2">
      <c r="B24" s="1">
        <v>1.6377799999999999E-13</v>
      </c>
      <c r="D24" s="1">
        <v>4.2851799999999998E-13</v>
      </c>
    </row>
    <row r="25" spans="2:4" hidden="1" x14ac:dyDescent="0.2">
      <c r="B25" t="s">
        <v>2</v>
      </c>
      <c r="D25" t="s">
        <v>2</v>
      </c>
    </row>
    <row r="26" spans="2:4" x14ac:dyDescent="0.2">
      <c r="B26" s="1">
        <v>1.3551099999999999E-13</v>
      </c>
      <c r="D26" s="1">
        <v>1.25598E-13</v>
      </c>
    </row>
    <row r="27" spans="2:4" hidden="1" x14ac:dyDescent="0.2">
      <c r="B27" t="s">
        <v>2</v>
      </c>
      <c r="D27" t="s">
        <v>2</v>
      </c>
    </row>
    <row r="28" spans="2:4" x14ac:dyDescent="0.2">
      <c r="B28" s="1">
        <v>0</v>
      </c>
      <c r="D28" s="1">
        <v>3.7106900000000002E-14</v>
      </c>
    </row>
    <row r="29" spans="2:4" hidden="1" x14ac:dyDescent="0.2">
      <c r="B29" t="s">
        <v>2</v>
      </c>
      <c r="D29" t="s">
        <v>2</v>
      </c>
    </row>
    <row r="30" spans="2:4" x14ac:dyDescent="0.2">
      <c r="B30" s="1">
        <v>0</v>
      </c>
      <c r="D30" s="1">
        <v>1.0703000000000001E-14</v>
      </c>
    </row>
    <row r="34" spans="2:6" x14ac:dyDescent="0.2">
      <c r="B34" s="1">
        <v>2.58441E-6</v>
      </c>
      <c r="C34" s="1">
        <f>B$34/B34</f>
        <v>1</v>
      </c>
      <c r="E34" s="1">
        <v>2.57824E-6</v>
      </c>
      <c r="F34" s="1">
        <f>E$34/E34</f>
        <v>1</v>
      </c>
    </row>
    <row r="35" spans="2:6" x14ac:dyDescent="0.2">
      <c r="B35" s="1">
        <v>4.0998200000000002E-7</v>
      </c>
      <c r="C35" s="1">
        <f t="shared" ref="C35:C48" si="0">B$34/B35</f>
        <v>6.3037157728875899</v>
      </c>
      <c r="E35" s="1">
        <v>4.0453199999999999E-7</v>
      </c>
      <c r="F35" s="1">
        <f t="shared" ref="F35:F48" si="1">E$34/E35</f>
        <v>6.3733894969990015</v>
      </c>
    </row>
    <row r="36" spans="2:6" x14ac:dyDescent="0.2">
      <c r="B36" s="1">
        <v>7.9100300000000003E-8</v>
      </c>
      <c r="C36" s="1">
        <f t="shared" si="0"/>
        <v>32.672568877741298</v>
      </c>
      <c r="E36" s="1">
        <v>7.74775E-8</v>
      </c>
      <c r="F36" s="1">
        <f t="shared" si="1"/>
        <v>33.277274047304054</v>
      </c>
    </row>
    <row r="37" spans="2:6" x14ac:dyDescent="0.2">
      <c r="B37" s="1">
        <v>1.7124600000000001E-8</v>
      </c>
      <c r="C37" s="1">
        <f t="shared" si="0"/>
        <v>150.91797764619318</v>
      </c>
      <c r="E37" s="1">
        <v>1.6837399999999999E-8</v>
      </c>
      <c r="F37" s="1">
        <f t="shared" si="1"/>
        <v>153.12577951465192</v>
      </c>
    </row>
    <row r="38" spans="2:6" x14ac:dyDescent="0.2">
      <c r="B38" s="1">
        <v>4.0481599999999998E-9</v>
      </c>
      <c r="C38" s="1">
        <f t="shared" si="0"/>
        <v>638.41597170072339</v>
      </c>
      <c r="E38" s="1">
        <v>3.9529000000000003E-9</v>
      </c>
      <c r="F38" s="1">
        <f t="shared" si="1"/>
        <v>652.24012750132806</v>
      </c>
    </row>
    <row r="39" spans="2:6" x14ac:dyDescent="0.2">
      <c r="B39" s="1">
        <v>1.01569E-9</v>
      </c>
      <c r="C39" s="1">
        <f t="shared" si="0"/>
        <v>2544.4869989859112</v>
      </c>
      <c r="E39" s="1">
        <v>9.8285400000000001E-10</v>
      </c>
      <c r="F39" s="1">
        <f t="shared" si="1"/>
        <v>2623.2176905216847</v>
      </c>
    </row>
    <row r="40" spans="2:6" x14ac:dyDescent="0.2">
      <c r="B40" s="1">
        <v>2.52554E-10</v>
      </c>
      <c r="C40" s="1">
        <f t="shared" si="0"/>
        <v>10233.098664048084</v>
      </c>
      <c r="E40" s="1">
        <v>2.5274700000000001E-10</v>
      </c>
      <c r="F40" s="1">
        <f t="shared" si="1"/>
        <v>10200.872809568462</v>
      </c>
    </row>
    <row r="41" spans="2:6" x14ac:dyDescent="0.2">
      <c r="B41" s="1">
        <v>7.0865099999999999E-11</v>
      </c>
      <c r="C41" s="1">
        <f t="shared" si="0"/>
        <v>36469.432767328348</v>
      </c>
      <c r="E41" s="1">
        <v>6.7866999999999994E-11</v>
      </c>
      <c r="F41" s="1">
        <f t="shared" si="1"/>
        <v>37989.597300602654</v>
      </c>
    </row>
    <row r="42" spans="2:6" x14ac:dyDescent="0.2">
      <c r="B42" s="1">
        <v>1.7282800000000001E-11</v>
      </c>
      <c r="C42" s="1">
        <f t="shared" si="0"/>
        <v>149536.53343208277</v>
      </c>
      <c r="E42" s="1">
        <v>1.8541999999999999E-11</v>
      </c>
      <c r="F42" s="1">
        <f t="shared" si="1"/>
        <v>139048.64631647072</v>
      </c>
    </row>
    <row r="43" spans="2:6" x14ac:dyDescent="0.2">
      <c r="B43" s="1">
        <v>4.44803E-12</v>
      </c>
      <c r="C43" s="1">
        <f t="shared" si="0"/>
        <v>581023.50928388524</v>
      </c>
      <c r="E43" s="1">
        <v>5.1922699999999996E-12</v>
      </c>
      <c r="F43" s="1">
        <f t="shared" si="1"/>
        <v>496553.5305367402</v>
      </c>
    </row>
    <row r="44" spans="2:6" x14ac:dyDescent="0.2">
      <c r="B44" s="1">
        <v>1.47465E-12</v>
      </c>
      <c r="C44" s="1">
        <f t="shared" si="0"/>
        <v>1752558.2341572577</v>
      </c>
      <c r="E44" s="1">
        <v>1.4750500000000001E-12</v>
      </c>
      <c r="F44" s="1">
        <f t="shared" si="1"/>
        <v>1747900.0711840275</v>
      </c>
    </row>
    <row r="45" spans="2:6" x14ac:dyDescent="0.2">
      <c r="B45" s="1">
        <v>1.6377799999999999E-13</v>
      </c>
      <c r="C45" s="1">
        <f t="shared" si="0"/>
        <v>15779958.236148935</v>
      </c>
      <c r="E45" s="1">
        <v>4.2851799999999998E-13</v>
      </c>
      <c r="F45" s="1">
        <f t="shared" si="1"/>
        <v>6016643.4082115572</v>
      </c>
    </row>
    <row r="46" spans="2:6" x14ac:dyDescent="0.2">
      <c r="B46" s="1">
        <v>1.3551099999999999E-13</v>
      </c>
      <c r="C46" s="1">
        <f t="shared" si="0"/>
        <v>19071588.284345921</v>
      </c>
      <c r="E46" s="1">
        <v>1.25598E-13</v>
      </c>
      <c r="F46" s="1">
        <f t="shared" si="1"/>
        <v>20527715.409481045</v>
      </c>
    </row>
    <row r="47" spans="2:6" x14ac:dyDescent="0.2">
      <c r="B47" s="1">
        <v>0</v>
      </c>
      <c r="C47" s="1">
        <f>C46*2</f>
        <v>38143176.568691842</v>
      </c>
      <c r="E47" s="1">
        <v>3.7106900000000002E-14</v>
      </c>
      <c r="F47" s="1">
        <f t="shared" si="1"/>
        <v>69481417.202730492</v>
      </c>
    </row>
    <row r="48" spans="2:6" x14ac:dyDescent="0.2">
      <c r="B48" s="1">
        <v>0</v>
      </c>
      <c r="C48" s="1">
        <f>C47*2</f>
        <v>76286353.137383685</v>
      </c>
      <c r="E48" s="1">
        <v>1.0703000000000001E-14</v>
      </c>
      <c r="F48" s="1">
        <f t="shared" si="1"/>
        <v>240889470.24198821</v>
      </c>
    </row>
  </sheetData>
  <autoFilter ref="B2:B30" xr:uid="{AC0134EE-4439-48F3-A332-A089E423B54F}">
    <filterColumn colId="0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2026-01-29T01:28:26Z</dcterms:created>
  <dcterms:modified xsi:type="dcterms:W3CDTF">2026-01-29T07:19:19Z</dcterms:modified>
</cp:coreProperties>
</file>